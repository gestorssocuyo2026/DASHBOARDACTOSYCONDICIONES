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22" documentId="13_ncr:1_{B31B9B4D-0810-47E6-ACB2-FA5D1859CF90}" xr6:coauthVersionLast="47" xr6:coauthVersionMax="47" xr10:uidLastSave="{27FE309F-596F-46A3-BEDE-089DF08A5ABE}"/>
  <bookViews>
    <workbookView xWindow="-110" yWindow="-110" windowWidth="19420" windowHeight="11500" tabRatio="500" firstSheet="3" activeTab="11" xr2:uid="{00000000-000D-0000-FFFF-FFFF00000000}"/>
  </bookViews>
  <sheets>
    <sheet name="Portada" sheetId="1" r:id="rId1"/>
    <sheet name="Calculos" sheetId="2" r:id="rId2"/>
    <sheet name="Dashboard Ejecutivo" sheetId="3" r:id="rId3"/>
    <sheet name="Parametros" sheetId="4" r:id="rId4"/>
    <sheet name="Captura Enero" sheetId="5" state="hidden" r:id="rId5"/>
    <sheet name="Captura Febrero" sheetId="6" state="hidden" r:id="rId6"/>
    <sheet name="Captura Marzo" sheetId="7" state="hidden" r:id="rId7"/>
    <sheet name="Captura Abril" sheetId="8" state="hidden" r:id="rId8"/>
    <sheet name="Captura Mayo" sheetId="9" state="hidden" r:id="rId9"/>
    <sheet name="Captura Junio" sheetId="10" state="hidden" r:id="rId10"/>
    <sheet name="Captura Julio" sheetId="11" state="hidden" r:id="rId11"/>
    <sheet name="Captura Agosto" sheetId="12" r:id="rId12"/>
    <sheet name="Captura Septiembre" sheetId="13" state="hidden" r:id="rId13"/>
    <sheet name="Captura Octubre" sheetId="14" state="hidden" r:id="rId14"/>
    <sheet name="Captura Noviembre" sheetId="15" state="hidden" r:id="rId15"/>
    <sheet name="Captura Diciembre" sheetId="16" state="hidden" r:id="rId16"/>
    <sheet name="Historico" sheetId="17" r:id="rId17"/>
    <sheet name="Acumulado 2026" sheetId="18" r:id="rId18"/>
    <sheet name="ACUMULADO - 2026" sheetId="19" r:id="rId19"/>
  </sheets>
  <definedNames>
    <definedName name="_xlnm._FilterDatabase" localSheetId="18" hidden="1">'ACUMULADO - 2026'!$A$3:$N$3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19" l="1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M18" i="18"/>
  <c r="L18" i="18"/>
  <c r="K18" i="18"/>
  <c r="J18" i="18"/>
  <c r="M17" i="18"/>
  <c r="L17" i="18"/>
  <c r="K17" i="18"/>
  <c r="J17" i="18"/>
  <c r="M16" i="18"/>
  <c r="L16" i="18"/>
  <c r="K16" i="18"/>
  <c r="J16" i="18"/>
  <c r="M15" i="18"/>
  <c r="L15" i="18"/>
  <c r="K15" i="18"/>
  <c r="J15" i="18"/>
  <c r="M14" i="18"/>
  <c r="L14" i="18"/>
  <c r="K14" i="18"/>
  <c r="J14" i="18"/>
  <c r="M13" i="18"/>
  <c r="L13" i="18"/>
  <c r="K13" i="18"/>
  <c r="J13" i="18"/>
  <c r="M12" i="18"/>
  <c r="L12" i="18"/>
  <c r="K12" i="18"/>
  <c r="J12" i="18"/>
  <c r="M11" i="18"/>
  <c r="L11" i="18"/>
  <c r="K11" i="18"/>
  <c r="J11" i="18"/>
  <c r="M10" i="18"/>
  <c r="L10" i="18"/>
  <c r="K10" i="18"/>
  <c r="J10" i="18"/>
  <c r="M9" i="18"/>
  <c r="L9" i="18"/>
  <c r="K9" i="18"/>
  <c r="J9" i="18"/>
  <c r="M8" i="18"/>
  <c r="L8" i="18"/>
  <c r="K8" i="18"/>
  <c r="J8" i="18"/>
  <c r="M7" i="18"/>
  <c r="M19" i="18" s="1"/>
  <c r="L7" i="18"/>
  <c r="L19" i="18" s="1"/>
  <c r="K7" i="18"/>
  <c r="K19" i="18" s="1"/>
  <c r="J7" i="18"/>
  <c r="J19" i="18" s="1"/>
  <c r="M6" i="18"/>
  <c r="L6" i="18"/>
  <c r="K6" i="18"/>
  <c r="J6" i="18"/>
  <c r="M5" i="18"/>
  <c r="L5" i="18"/>
  <c r="K5" i="18"/>
  <c r="J5" i="18"/>
  <c r="M4" i="18"/>
  <c r="L4" i="18"/>
  <c r="K4" i="18"/>
  <c r="J4" i="18"/>
  <c r="B17" i="17"/>
  <c r="C17" i="17" s="1"/>
  <c r="B16" i="17"/>
  <c r="C16" i="17" s="1"/>
  <c r="B15" i="17"/>
  <c r="C15" i="17" s="1"/>
  <c r="B14" i="17"/>
  <c r="C14" i="17" s="1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AX7" i="16" s="1"/>
  <c r="V9" i="16"/>
  <c r="AV7" i="16" s="1"/>
  <c r="T9" i="16"/>
  <c r="AU7" i="16" s="1"/>
  <c r="Q9" i="16"/>
  <c r="N9" i="16"/>
  <c r="K9" i="16"/>
  <c r="AT7" i="16" s="1"/>
  <c r="F9" i="16"/>
  <c r="G9" i="16" s="1"/>
  <c r="C9" i="16"/>
  <c r="AZ8" i="16"/>
  <c r="AX8" i="16"/>
  <c r="AV8" i="16"/>
  <c r="AU8" i="16"/>
  <c r="AT8" i="16"/>
  <c r="AS8" i="16"/>
  <c r="AO8" i="16"/>
  <c r="AN8" i="16"/>
  <c r="AZ6" i="16" s="1"/>
  <c r="AB8" i="16"/>
  <c r="AA8" i="16"/>
  <c r="AC8" i="16" s="1"/>
  <c r="AY6" i="16" s="1"/>
  <c r="X8" i="16"/>
  <c r="AX6" i="16" s="1"/>
  <c r="V8" i="16"/>
  <c r="AV6" i="16" s="1"/>
  <c r="T8" i="16"/>
  <c r="AU6" i="16" s="1"/>
  <c r="Q8" i="16"/>
  <c r="N8" i="16"/>
  <c r="K8" i="16"/>
  <c r="AT6" i="16" s="1"/>
  <c r="F8" i="16"/>
  <c r="G8" i="16" s="1"/>
  <c r="C8" i="16"/>
  <c r="AZ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AX7" i="15" s="1"/>
  <c r="V9" i="15"/>
  <c r="AV7" i="15" s="1"/>
  <c r="T9" i="15"/>
  <c r="AU7" i="15" s="1"/>
  <c r="Q9" i="15"/>
  <c r="N9" i="15"/>
  <c r="K9" i="15"/>
  <c r="AT7" i="15" s="1"/>
  <c r="F9" i="15"/>
  <c r="G9" i="15" s="1"/>
  <c r="C9" i="15"/>
  <c r="AZ8" i="15"/>
  <c r="AX8" i="15"/>
  <c r="AV8" i="15"/>
  <c r="AU8" i="15"/>
  <c r="AT8" i="15"/>
  <c r="AS8" i="15"/>
  <c r="AO8" i="15"/>
  <c r="AN8" i="15"/>
  <c r="AZ6" i="15" s="1"/>
  <c r="AB8" i="15"/>
  <c r="AA8" i="15"/>
  <c r="AC8" i="15" s="1"/>
  <c r="AY6" i="15" s="1"/>
  <c r="X8" i="15"/>
  <c r="AX6" i="15" s="1"/>
  <c r="V8" i="15"/>
  <c r="AV6" i="15" s="1"/>
  <c r="T8" i="15"/>
  <c r="AU6" i="15" s="1"/>
  <c r="Q8" i="15"/>
  <c r="N8" i="15"/>
  <c r="K8" i="15"/>
  <c r="AT6" i="15" s="1"/>
  <c r="F8" i="15"/>
  <c r="G8" i="15" s="1"/>
  <c r="C8" i="15"/>
  <c r="AZ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Z7" i="14" s="1"/>
  <c r="AB9" i="14"/>
  <c r="AA9" i="14"/>
  <c r="AC9" i="14" s="1"/>
  <c r="AY7" i="14" s="1"/>
  <c r="X9" i="14"/>
  <c r="AX7" i="14" s="1"/>
  <c r="V9" i="14"/>
  <c r="AV7" i="14" s="1"/>
  <c r="T9" i="14"/>
  <c r="AU7" i="14" s="1"/>
  <c r="Q9" i="14"/>
  <c r="N9" i="14"/>
  <c r="K9" i="14"/>
  <c r="AT7" i="14" s="1"/>
  <c r="F9" i="14"/>
  <c r="G9" i="14" s="1"/>
  <c r="C9" i="14"/>
  <c r="AZ8" i="14"/>
  <c r="AX8" i="14"/>
  <c r="AV8" i="14"/>
  <c r="AU8" i="14"/>
  <c r="AT8" i="14"/>
  <c r="AS8" i="14"/>
  <c r="AO8" i="14"/>
  <c r="AN8" i="14"/>
  <c r="AZ6" i="14" s="1"/>
  <c r="AB8" i="14"/>
  <c r="AA8" i="14"/>
  <c r="AC8" i="14" s="1"/>
  <c r="AY6" i="14" s="1"/>
  <c r="X8" i="14"/>
  <c r="AX6" i="14" s="1"/>
  <c r="V8" i="14"/>
  <c r="AV6" i="14" s="1"/>
  <c r="T8" i="14"/>
  <c r="AU6" i="14" s="1"/>
  <c r="Q8" i="14"/>
  <c r="N8" i="14"/>
  <c r="K8" i="14"/>
  <c r="AT6" i="14" s="1"/>
  <c r="F8" i="14"/>
  <c r="G8" i="14" s="1"/>
  <c r="C8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B17" i="13"/>
  <c r="AA17" i="13"/>
  <c r="AC17" i="13" s="1"/>
  <c r="AY15" i="13" s="1"/>
  <c r="X17" i="13"/>
  <c r="V17" i="13"/>
  <c r="T17" i="13"/>
  <c r="Q17" i="13"/>
  <c r="N17" i="13"/>
  <c r="K17" i="13"/>
  <c r="F17" i="13"/>
  <c r="G17" i="13" s="1"/>
  <c r="C17" i="13"/>
  <c r="AZ16" i="13"/>
  <c r="AX16" i="13"/>
  <c r="AV16" i="13"/>
  <c r="AU16" i="13"/>
  <c r="AT16" i="13"/>
  <c r="AS16" i="13"/>
  <c r="AO16" i="13"/>
  <c r="AN16" i="13"/>
  <c r="AB16" i="13"/>
  <c r="AA16" i="13"/>
  <c r="AC16" i="13" s="1"/>
  <c r="AY14" i="13" s="1"/>
  <c r="X16" i="13"/>
  <c r="V16" i="13"/>
  <c r="T16" i="13"/>
  <c r="Q16" i="13"/>
  <c r="N16" i="13"/>
  <c r="K16" i="13"/>
  <c r="F16" i="13"/>
  <c r="G16" i="13" s="1"/>
  <c r="C16" i="13"/>
  <c r="AZ15" i="13"/>
  <c r="AX15" i="13"/>
  <c r="AV15" i="13"/>
  <c r="AU15" i="13"/>
  <c r="AT15" i="13"/>
  <c r="AS15" i="13"/>
  <c r="AO15" i="13"/>
  <c r="AN15" i="13"/>
  <c r="AB15" i="13"/>
  <c r="AA15" i="13"/>
  <c r="AC15" i="13" s="1"/>
  <c r="AY13" i="13" s="1"/>
  <c r="X15" i="13"/>
  <c r="V15" i="13"/>
  <c r="T15" i="13"/>
  <c r="Q15" i="13"/>
  <c r="N15" i="13"/>
  <c r="K15" i="13"/>
  <c r="F15" i="13"/>
  <c r="G15" i="13" s="1"/>
  <c r="C15" i="13"/>
  <c r="AZ14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V14" i="13"/>
  <c r="T14" i="13"/>
  <c r="Q14" i="13"/>
  <c r="N14" i="13"/>
  <c r="K14" i="13"/>
  <c r="F14" i="13"/>
  <c r="G14" i="13" s="1"/>
  <c r="C14" i="13"/>
  <c r="AZ13" i="13"/>
  <c r="AX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N13" i="13"/>
  <c r="K13" i="13"/>
  <c r="F13" i="13"/>
  <c r="G13" i="13" s="1"/>
  <c r="C13" i="13"/>
  <c r="AZ12" i="13"/>
  <c r="AX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T11" i="13"/>
  <c r="AS11" i="13"/>
  <c r="AO11" i="13"/>
  <c r="AN11" i="13"/>
  <c r="AB11" i="13"/>
  <c r="AA11" i="13"/>
  <c r="AC11" i="13" s="1"/>
  <c r="AY9" i="13" s="1"/>
  <c r="X11" i="13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X9" i="13"/>
  <c r="AV9" i="13"/>
  <c r="AU9" i="13"/>
  <c r="AT9" i="13"/>
  <c r="AS9" i="13"/>
  <c r="AO9" i="13"/>
  <c r="AN9" i="13"/>
  <c r="AZ7" i="13" s="1"/>
  <c r="AB9" i="13"/>
  <c r="AA9" i="13"/>
  <c r="AC9" i="13" s="1"/>
  <c r="AY7" i="13" s="1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X8" i="13"/>
  <c r="AV8" i="13"/>
  <c r="AU8" i="13"/>
  <c r="AT8" i="13"/>
  <c r="AS8" i="13"/>
  <c r="AO8" i="13"/>
  <c r="AN8" i="13"/>
  <c r="AZ6" i="13" s="1"/>
  <c r="AB8" i="13"/>
  <c r="AA8" i="13"/>
  <c r="AC8" i="13" s="1"/>
  <c r="AY6" i="13" s="1"/>
  <c r="X8" i="13"/>
  <c r="AX6" i="13" s="1"/>
  <c r="V8" i="13"/>
  <c r="AV6" i="13" s="1"/>
  <c r="T8" i="13"/>
  <c r="AU6" i="13" s="1"/>
  <c r="Q8" i="13"/>
  <c r="N8" i="13"/>
  <c r="K8" i="13"/>
  <c r="AT6" i="13" s="1"/>
  <c r="F8" i="13"/>
  <c r="G8" i="13" s="1"/>
  <c r="C8" i="13"/>
  <c r="AS7" i="13"/>
  <c r="AO7" i="13"/>
  <c r="AN7" i="13"/>
  <c r="AB7" i="13"/>
  <c r="AA7" i="13"/>
  <c r="AC7" i="13" s="1"/>
  <c r="AY5" i="13" s="1"/>
  <c r="X7" i="13"/>
  <c r="V7" i="13"/>
  <c r="T7" i="13"/>
  <c r="Q7" i="13"/>
  <c r="N7" i="13"/>
  <c r="K7" i="13"/>
  <c r="F7" i="13"/>
  <c r="G7" i="13" s="1"/>
  <c r="C7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X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AT17" i="12" s="1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AT10" i="12" s="1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Z7" i="12" s="1"/>
  <c r="AB9" i="12"/>
  <c r="AA9" i="12"/>
  <c r="AC9" i="12" s="1"/>
  <c r="AY7" i="12" s="1"/>
  <c r="X9" i="12"/>
  <c r="AX7" i="12" s="1"/>
  <c r="V9" i="12"/>
  <c r="AV7" i="12" s="1"/>
  <c r="T9" i="12"/>
  <c r="AU7" i="12" s="1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Z6" i="12" s="1"/>
  <c r="AB8" i="12"/>
  <c r="AA8" i="12"/>
  <c r="AC8" i="12" s="1"/>
  <c r="AY6" i="12" s="1"/>
  <c r="X8" i="12"/>
  <c r="AX6" i="12" s="1"/>
  <c r="V8" i="12"/>
  <c r="AV6" i="12" s="1"/>
  <c r="T8" i="12"/>
  <c r="AU6" i="12" s="1"/>
  <c r="Q8" i="12"/>
  <c r="N8" i="12"/>
  <c r="K8" i="12"/>
  <c r="AT6" i="12" s="1"/>
  <c r="F8" i="12"/>
  <c r="G8" i="12" s="1"/>
  <c r="C8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AT5" i="12" s="1"/>
  <c r="F7" i="12"/>
  <c r="G7" i="12" s="1"/>
  <c r="C7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AT4" i="12" s="1"/>
  <c r="F6" i="12"/>
  <c r="G6" i="12" s="1"/>
  <c r="C6" i="12"/>
  <c r="AZ5" i="12"/>
  <c r="AX5" i="12"/>
  <c r="AV5" i="12"/>
  <c r="AU5" i="12"/>
  <c r="AS5" i="12"/>
  <c r="AZ4" i="12"/>
  <c r="AX4" i="12"/>
  <c r="AV4" i="12"/>
  <c r="AU4" i="12"/>
  <c r="AS4" i="12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Z7" i="10" s="1"/>
  <c r="AB9" i="10"/>
  <c r="AA9" i="10"/>
  <c r="AC9" i="10" s="1"/>
  <c r="AY7" i="10" s="1"/>
  <c r="X9" i="10"/>
  <c r="AX7" i="10" s="1"/>
  <c r="V9" i="10"/>
  <c r="AV7" i="10" s="1"/>
  <c r="T9" i="10"/>
  <c r="AU7" i="10" s="1"/>
  <c r="Q9" i="10"/>
  <c r="N9" i="10"/>
  <c r="K9" i="10"/>
  <c r="AT7" i="10" s="1"/>
  <c r="F9" i="10"/>
  <c r="G9" i="10" s="1"/>
  <c r="C9" i="10"/>
  <c r="AZ8" i="10"/>
  <c r="AX8" i="10"/>
  <c r="AV8" i="10"/>
  <c r="AU8" i="10"/>
  <c r="AT8" i="10"/>
  <c r="AS8" i="10"/>
  <c r="AO8" i="10"/>
  <c r="AN8" i="10"/>
  <c r="AZ6" i="10" s="1"/>
  <c r="AB8" i="10"/>
  <c r="AA8" i="10"/>
  <c r="AC8" i="10" s="1"/>
  <c r="AY6" i="10" s="1"/>
  <c r="X8" i="10"/>
  <c r="AX6" i="10" s="1"/>
  <c r="V8" i="10"/>
  <c r="AV6" i="10" s="1"/>
  <c r="T8" i="10"/>
  <c r="AU6" i="10" s="1"/>
  <c r="Q8" i="10"/>
  <c r="N8" i="10"/>
  <c r="K8" i="10"/>
  <c r="AT6" i="10" s="1"/>
  <c r="G8" i="10"/>
  <c r="F8" i="10"/>
  <c r="C8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Z7" i="9" s="1"/>
  <c r="AB9" i="9"/>
  <c r="AA9" i="9"/>
  <c r="AC9" i="9" s="1"/>
  <c r="AY7" i="9" s="1"/>
  <c r="X9" i="9"/>
  <c r="AX7" i="9" s="1"/>
  <c r="V9" i="9"/>
  <c r="AV7" i="9" s="1"/>
  <c r="T9" i="9"/>
  <c r="AU7" i="9" s="1"/>
  <c r="Q9" i="9"/>
  <c r="N9" i="9"/>
  <c r="K9" i="9"/>
  <c r="AT7" i="9" s="1"/>
  <c r="F9" i="9"/>
  <c r="G9" i="9" s="1"/>
  <c r="C9" i="9"/>
  <c r="AZ8" i="9"/>
  <c r="AX8" i="9"/>
  <c r="AV8" i="9"/>
  <c r="AU8" i="9"/>
  <c r="AT8" i="9"/>
  <c r="AS8" i="9"/>
  <c r="AO8" i="9"/>
  <c r="AN8" i="9"/>
  <c r="AZ6" i="9" s="1"/>
  <c r="AB8" i="9"/>
  <c r="AA8" i="9"/>
  <c r="AC8" i="9" s="1"/>
  <c r="AY6" i="9" s="1"/>
  <c r="X8" i="9"/>
  <c r="AX6" i="9" s="1"/>
  <c r="V8" i="9"/>
  <c r="AV6" i="9" s="1"/>
  <c r="T8" i="9"/>
  <c r="AU6" i="9" s="1"/>
  <c r="Q8" i="9"/>
  <c r="N8" i="9"/>
  <c r="K8" i="9"/>
  <c r="AT6" i="9" s="1"/>
  <c r="F8" i="9"/>
  <c r="G8" i="9" s="1"/>
  <c r="C8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Z7" i="8" s="1"/>
  <c r="AB9" i="8"/>
  <c r="AA9" i="8"/>
  <c r="AC9" i="8" s="1"/>
  <c r="AY7" i="8" s="1"/>
  <c r="X9" i="8"/>
  <c r="AX7" i="8" s="1"/>
  <c r="V9" i="8"/>
  <c r="AV7" i="8" s="1"/>
  <c r="T9" i="8"/>
  <c r="AU7" i="8" s="1"/>
  <c r="Q9" i="8"/>
  <c r="N9" i="8"/>
  <c r="K9" i="8"/>
  <c r="AT7" i="8" s="1"/>
  <c r="F9" i="8"/>
  <c r="G9" i="8" s="1"/>
  <c r="C9" i="8"/>
  <c r="AZ8" i="8"/>
  <c r="AX8" i="8"/>
  <c r="AV8" i="8"/>
  <c r="AU8" i="8"/>
  <c r="AT8" i="8"/>
  <c r="AS8" i="8"/>
  <c r="AO8" i="8"/>
  <c r="AN8" i="8"/>
  <c r="AZ6" i="8" s="1"/>
  <c r="AB8" i="8"/>
  <c r="AA8" i="8"/>
  <c r="AC8" i="8" s="1"/>
  <c r="AY6" i="8" s="1"/>
  <c r="X8" i="8"/>
  <c r="AX6" i="8" s="1"/>
  <c r="V8" i="8"/>
  <c r="AV6" i="8" s="1"/>
  <c r="T8" i="8"/>
  <c r="AU6" i="8" s="1"/>
  <c r="Q8" i="8"/>
  <c r="N8" i="8"/>
  <c r="AT6" i="8" s="1"/>
  <c r="K8" i="8"/>
  <c r="F8" i="8"/>
  <c r="G8" i="8" s="1"/>
  <c r="C8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AO20" i="5"/>
  <c r="AN20" i="5"/>
  <c r="AB20" i="5"/>
  <c r="AA20" i="5"/>
  <c r="AC20" i="5" s="1"/>
  <c r="AY18" i="5" s="1"/>
  <c r="X20" i="5"/>
  <c r="V20" i="5"/>
  <c r="T20" i="5"/>
  <c r="Q20" i="5"/>
  <c r="N20" i="5"/>
  <c r="K20" i="5"/>
  <c r="F20" i="5"/>
  <c r="G20" i="5" s="1"/>
  <c r="C20" i="5"/>
  <c r="AO19" i="5"/>
  <c r="AN19" i="5"/>
  <c r="AB19" i="5"/>
  <c r="AA19" i="5"/>
  <c r="AC19" i="5" s="1"/>
  <c r="AY17" i="5" s="1"/>
  <c r="X19" i="5"/>
  <c r="V19" i="5"/>
  <c r="T19" i="5"/>
  <c r="Q19" i="5"/>
  <c r="N19" i="5"/>
  <c r="K19" i="5"/>
  <c r="F19" i="5"/>
  <c r="G19" i="5" s="1"/>
  <c r="C19" i="5"/>
  <c r="AZ18" i="5"/>
  <c r="AX18" i="5"/>
  <c r="AV18" i="5"/>
  <c r="AU18" i="5"/>
  <c r="AT18" i="5"/>
  <c r="AS18" i="5"/>
  <c r="AO18" i="5"/>
  <c r="AN18" i="5"/>
  <c r="AB18" i="5"/>
  <c r="AA18" i="5"/>
  <c r="AC18" i="5" s="1"/>
  <c r="AY16" i="5" s="1"/>
  <c r="X18" i="5"/>
  <c r="V18" i="5"/>
  <c r="T18" i="5"/>
  <c r="Q18" i="5"/>
  <c r="N18" i="5"/>
  <c r="K18" i="5"/>
  <c r="F18" i="5"/>
  <c r="G18" i="5" s="1"/>
  <c r="C18" i="5"/>
  <c r="AZ17" i="5"/>
  <c r="AX17" i="5"/>
  <c r="AV17" i="5"/>
  <c r="AU17" i="5"/>
  <c r="AT17" i="5"/>
  <c r="AS17" i="5"/>
  <c r="AO17" i="5"/>
  <c r="AN17" i="5"/>
  <c r="AB17" i="5"/>
  <c r="AA17" i="5"/>
  <c r="AC17" i="5" s="1"/>
  <c r="AY15" i="5" s="1"/>
  <c r="X17" i="5"/>
  <c r="V17" i="5"/>
  <c r="T17" i="5"/>
  <c r="Q17" i="5"/>
  <c r="N17" i="5"/>
  <c r="K17" i="5"/>
  <c r="F17" i="5"/>
  <c r="G17" i="5" s="1"/>
  <c r="C17" i="5"/>
  <c r="AZ16" i="5"/>
  <c r="AX16" i="5"/>
  <c r="AV16" i="5"/>
  <c r="AU16" i="5"/>
  <c r="AT16" i="5"/>
  <c r="AS16" i="5"/>
  <c r="AO16" i="5"/>
  <c r="AN16" i="5"/>
  <c r="AB16" i="5"/>
  <c r="AA16" i="5"/>
  <c r="AC16" i="5" s="1"/>
  <c r="AY14" i="5" s="1"/>
  <c r="X16" i="5"/>
  <c r="V16" i="5"/>
  <c r="T16" i="5"/>
  <c r="Q16" i="5"/>
  <c r="N16" i="5"/>
  <c r="K16" i="5"/>
  <c r="F16" i="5"/>
  <c r="G16" i="5" s="1"/>
  <c r="C16" i="5"/>
  <c r="AZ15" i="5"/>
  <c r="AX15" i="5"/>
  <c r="AV15" i="5"/>
  <c r="AU15" i="5"/>
  <c r="AT15" i="5"/>
  <c r="AS15" i="5"/>
  <c r="AO15" i="5"/>
  <c r="AN15" i="5"/>
  <c r="AB15" i="5"/>
  <c r="AA15" i="5"/>
  <c r="AC15" i="5" s="1"/>
  <c r="AY13" i="5" s="1"/>
  <c r="X15" i="5"/>
  <c r="V15" i="5"/>
  <c r="T15" i="5"/>
  <c r="Q15" i="5"/>
  <c r="N15" i="5"/>
  <c r="K15" i="5"/>
  <c r="F15" i="5"/>
  <c r="G15" i="5" s="1"/>
  <c r="C15" i="5"/>
  <c r="AZ14" i="5"/>
  <c r="AX14" i="5"/>
  <c r="AV14" i="5"/>
  <c r="AU14" i="5"/>
  <c r="AT14" i="5"/>
  <c r="AS14" i="5"/>
  <c r="AO14" i="5"/>
  <c r="AN14" i="5"/>
  <c r="AB14" i="5"/>
  <c r="AA14" i="5"/>
  <c r="AC14" i="5" s="1"/>
  <c r="AY12" i="5" s="1"/>
  <c r="X14" i="5"/>
  <c r="V14" i="5"/>
  <c r="T14" i="5"/>
  <c r="Q14" i="5"/>
  <c r="N14" i="5"/>
  <c r="K14" i="5"/>
  <c r="F14" i="5"/>
  <c r="G14" i="5" s="1"/>
  <c r="C14" i="5"/>
  <c r="AZ13" i="5"/>
  <c r="AX13" i="5"/>
  <c r="AV13" i="5"/>
  <c r="AU13" i="5"/>
  <c r="AT13" i="5"/>
  <c r="AS13" i="5"/>
  <c r="AO13" i="5"/>
  <c r="AN13" i="5"/>
  <c r="AB13" i="5"/>
  <c r="AA13" i="5"/>
  <c r="AC13" i="5" s="1"/>
  <c r="AY11" i="5" s="1"/>
  <c r="X13" i="5"/>
  <c r="V13" i="5"/>
  <c r="T13" i="5"/>
  <c r="Q13" i="5"/>
  <c r="N13" i="5"/>
  <c r="K13" i="5"/>
  <c r="F13" i="5"/>
  <c r="G13" i="5" s="1"/>
  <c r="C13" i="5"/>
  <c r="AZ12" i="5"/>
  <c r="AX12" i="5"/>
  <c r="AV12" i="5"/>
  <c r="AU12" i="5"/>
  <c r="AT12" i="5"/>
  <c r="AS12" i="5"/>
  <c r="AO12" i="5"/>
  <c r="AN12" i="5"/>
  <c r="AB12" i="5"/>
  <c r="AA12" i="5"/>
  <c r="AC12" i="5" s="1"/>
  <c r="AY10" i="5" s="1"/>
  <c r="X12" i="5"/>
  <c r="V12" i="5"/>
  <c r="T12" i="5"/>
  <c r="Q12" i="5"/>
  <c r="N12" i="5"/>
  <c r="K12" i="5"/>
  <c r="F12" i="5"/>
  <c r="G12" i="5" s="1"/>
  <c r="C12" i="5"/>
  <c r="AZ11" i="5"/>
  <c r="AX11" i="5"/>
  <c r="AV11" i="5"/>
  <c r="AU11" i="5"/>
  <c r="AT11" i="5"/>
  <c r="AS11" i="5"/>
  <c r="AO11" i="5"/>
  <c r="AN11" i="5"/>
  <c r="AB11" i="5"/>
  <c r="AA11" i="5"/>
  <c r="AC11" i="5" s="1"/>
  <c r="AY9" i="5" s="1"/>
  <c r="X11" i="5"/>
  <c r="V11" i="5"/>
  <c r="T11" i="5"/>
  <c r="Q11" i="5"/>
  <c r="N11" i="5"/>
  <c r="K11" i="5"/>
  <c r="F11" i="5"/>
  <c r="G11" i="5" s="1"/>
  <c r="C11" i="5"/>
  <c r="AZ10" i="5"/>
  <c r="AX10" i="5"/>
  <c r="AV10" i="5"/>
  <c r="AU10" i="5"/>
  <c r="AT10" i="5"/>
  <c r="AS10" i="5"/>
  <c r="AO10" i="5"/>
  <c r="AN10" i="5"/>
  <c r="AB10" i="5"/>
  <c r="AA10" i="5"/>
  <c r="AC10" i="5" s="1"/>
  <c r="AY8" i="5" s="1"/>
  <c r="X10" i="5"/>
  <c r="V10" i="5"/>
  <c r="T10" i="5"/>
  <c r="Q10" i="5"/>
  <c r="N10" i="5"/>
  <c r="K10" i="5"/>
  <c r="F10" i="5"/>
  <c r="G10" i="5" s="1"/>
  <c r="C10" i="5"/>
  <c r="AZ9" i="5"/>
  <c r="AX9" i="5"/>
  <c r="AV9" i="5"/>
  <c r="AU9" i="5"/>
  <c r="AT9" i="5"/>
  <c r="AS9" i="5"/>
  <c r="AO9" i="5"/>
  <c r="AN9" i="5"/>
  <c r="AB9" i="5"/>
  <c r="AA9" i="5"/>
  <c r="AC9" i="5" s="1"/>
  <c r="AY7" i="5" s="1"/>
  <c r="X9" i="5"/>
  <c r="V9" i="5"/>
  <c r="T9" i="5"/>
  <c r="Q9" i="5"/>
  <c r="N9" i="5"/>
  <c r="K9" i="5"/>
  <c r="F9" i="5"/>
  <c r="G9" i="5" s="1"/>
  <c r="C9" i="5"/>
  <c r="AZ8" i="5"/>
  <c r="AX8" i="5"/>
  <c r="AV8" i="5"/>
  <c r="AU8" i="5"/>
  <c r="AT8" i="5"/>
  <c r="AS8" i="5"/>
  <c r="AO8" i="5"/>
  <c r="AN8" i="5"/>
  <c r="AB8" i="5"/>
  <c r="AA8" i="5"/>
  <c r="AC8" i="5" s="1"/>
  <c r="AY6" i="5" s="1"/>
  <c r="X8" i="5"/>
  <c r="V8" i="5"/>
  <c r="T8" i="5"/>
  <c r="Q8" i="5"/>
  <c r="N8" i="5"/>
  <c r="K8" i="5"/>
  <c r="F8" i="5"/>
  <c r="G8" i="5" s="1"/>
  <c r="C8" i="5"/>
  <c r="AZ7" i="5"/>
  <c r="AX7" i="5"/>
  <c r="AV7" i="5"/>
  <c r="AU7" i="5"/>
  <c r="AT7" i="5"/>
  <c r="AS7" i="5"/>
  <c r="AO7" i="5"/>
  <c r="AN7" i="5"/>
  <c r="AB7" i="5"/>
  <c r="AA7" i="5"/>
  <c r="AC7" i="5" s="1"/>
  <c r="AY5" i="5" s="1"/>
  <c r="X7" i="5"/>
  <c r="V7" i="5"/>
  <c r="T7" i="5"/>
  <c r="Q7" i="5"/>
  <c r="N7" i="5"/>
  <c r="K7" i="5"/>
  <c r="F7" i="5"/>
  <c r="G7" i="5" s="1"/>
  <c r="C7" i="5"/>
  <c r="AZ6" i="5"/>
  <c r="AX6" i="5"/>
  <c r="AV6" i="5"/>
  <c r="AU6" i="5"/>
  <c r="AT6" i="5"/>
  <c r="AS6" i="5"/>
  <c r="AO6" i="5"/>
  <c r="AN6" i="5"/>
  <c r="AB6" i="5"/>
  <c r="AA6" i="5"/>
  <c r="AC6" i="5" s="1"/>
  <c r="AY4" i="5" s="1"/>
  <c r="X6" i="5"/>
  <c r="V6" i="5"/>
  <c r="T6" i="5"/>
  <c r="Q6" i="5"/>
  <c r="N6" i="5"/>
  <c r="K6" i="5"/>
  <c r="F6" i="5"/>
  <c r="G6" i="5" s="1"/>
  <c r="C6" i="5"/>
  <c r="AZ5" i="5"/>
  <c r="AX5" i="5"/>
  <c r="AV5" i="5"/>
  <c r="AU5" i="5"/>
  <c r="AT5" i="5"/>
  <c r="AS5" i="5"/>
  <c r="AZ4" i="5"/>
  <c r="AX4" i="5"/>
  <c r="AV4" i="5"/>
  <c r="AU4" i="5"/>
  <c r="AT4" i="5"/>
  <c r="AS4" i="5"/>
  <c r="E13" i="4"/>
  <c r="E14" i="4" s="1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AT10" i="11" s="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G8" i="11"/>
  <c r="AP8" i="11" s="1"/>
  <c r="AQ8" i="11" s="1"/>
  <c r="F8" i="1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W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T7" i="12" l="1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P19" i="15"/>
  <c r="AQ19" i="15" s="1"/>
  <c r="BA17" i="15" s="1"/>
  <c r="AW17" i="15"/>
  <c r="AP18" i="15"/>
  <c r="AQ18" i="15" s="1"/>
  <c r="BA16" i="15" s="1"/>
  <c r="AW16" i="15"/>
  <c r="AP17" i="15"/>
  <c r="AQ17" i="15" s="1"/>
  <c r="BA15" i="15" s="1"/>
  <c r="AW15" i="15"/>
  <c r="AP16" i="15"/>
  <c r="AQ16" i="15" s="1"/>
  <c r="BA14" i="15" s="1"/>
  <c r="AW14" i="15"/>
  <c r="AP15" i="15"/>
  <c r="AQ15" i="15" s="1"/>
  <c r="BA13" i="15" s="1"/>
  <c r="AW13" i="15"/>
  <c r="AP14" i="15"/>
  <c r="AQ14" i="15" s="1"/>
  <c r="BA12" i="15" s="1"/>
  <c r="AW12" i="15"/>
  <c r="AP13" i="15"/>
  <c r="AQ13" i="15" s="1"/>
  <c r="BA11" i="15" s="1"/>
  <c r="AW11" i="15"/>
  <c r="AP12" i="15"/>
  <c r="AQ12" i="15" s="1"/>
  <c r="BA10" i="15" s="1"/>
  <c r="AW10" i="15"/>
  <c r="AP11" i="15"/>
  <c r="AQ11" i="15" s="1"/>
  <c r="BA9" i="15" s="1"/>
  <c r="AW9" i="15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W16" i="14"/>
  <c r="AP18" i="14"/>
  <c r="AQ18" i="14" s="1"/>
  <c r="BA16" i="14" s="1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W12" i="14"/>
  <c r="AP14" i="14"/>
  <c r="AQ14" i="14" s="1"/>
  <c r="BA12" i="14" s="1"/>
  <c r="AW11" i="14"/>
  <c r="AP13" i="14"/>
  <c r="AQ13" i="14" s="1"/>
  <c r="BA11" i="14" s="1"/>
  <c r="AW10" i="14"/>
  <c r="AP12" i="14"/>
  <c r="AQ12" i="14" s="1"/>
  <c r="BA10" i="14" s="1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P6" i="14"/>
  <c r="AQ6" i="14" s="1"/>
  <c r="AW4" i="14"/>
  <c r="AP20" i="13"/>
  <c r="AQ20" i="13" s="1"/>
  <c r="BA18" i="13" s="1"/>
  <c r="AW18" i="13"/>
  <c r="AP19" i="13"/>
  <c r="AQ19" i="13" s="1"/>
  <c r="BA17" i="13" s="1"/>
  <c r="AW17" i="13"/>
  <c r="AP18" i="13"/>
  <c r="AQ18" i="13" s="1"/>
  <c r="BA16" i="13" s="1"/>
  <c r="AW16" i="13"/>
  <c r="AP17" i="13"/>
  <c r="AQ17" i="13" s="1"/>
  <c r="BA15" i="13" s="1"/>
  <c r="AW15" i="13"/>
  <c r="AP16" i="13"/>
  <c r="AQ16" i="13" s="1"/>
  <c r="BA14" i="13" s="1"/>
  <c r="AW14" i="13"/>
  <c r="AP15" i="13"/>
  <c r="AQ15" i="13" s="1"/>
  <c r="BA13" i="13" s="1"/>
  <c r="AW13" i="13"/>
  <c r="AP14" i="13"/>
  <c r="AQ14" i="13" s="1"/>
  <c r="BA12" i="13" s="1"/>
  <c r="AW12" i="13"/>
  <c r="AP13" i="13"/>
  <c r="AQ13" i="13" s="1"/>
  <c r="BA11" i="13" s="1"/>
  <c r="AW11" i="13"/>
  <c r="AP12" i="13"/>
  <c r="AQ12" i="13" s="1"/>
  <c r="BA10" i="13" s="1"/>
  <c r="AW10" i="13"/>
  <c r="AP11" i="13"/>
  <c r="AQ11" i="13" s="1"/>
  <c r="BA9" i="13" s="1"/>
  <c r="AW9" i="13"/>
  <c r="AP10" i="13"/>
  <c r="AQ10" i="13" s="1"/>
  <c r="BA8" i="13" s="1"/>
  <c r="AW8" i="13"/>
  <c r="AP9" i="13"/>
  <c r="AQ9" i="13" s="1"/>
  <c r="BA7" i="13" s="1"/>
  <c r="AW7" i="13"/>
  <c r="AP8" i="13"/>
  <c r="AQ8" i="13" s="1"/>
  <c r="BA6" i="13" s="1"/>
  <c r="AW6" i="13"/>
  <c r="AP7" i="13"/>
  <c r="AQ7" i="13" s="1"/>
  <c r="BA5" i="13" s="1"/>
  <c r="AW5" i="13"/>
  <c r="AP6" i="13"/>
  <c r="AQ6" i="13" s="1"/>
  <c r="AW4" i="13"/>
  <c r="AP20" i="12"/>
  <c r="AQ20" i="12" s="1"/>
  <c r="AW18" i="12"/>
  <c r="AP19" i="12"/>
  <c r="AQ19" i="12" s="1"/>
  <c r="AW17" i="12"/>
  <c r="AP18" i="12"/>
  <c r="AQ18" i="12" s="1"/>
  <c r="AW16" i="12"/>
  <c r="AP17" i="12"/>
  <c r="AQ17" i="12" s="1"/>
  <c r="AW15" i="12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P12" i="12"/>
  <c r="AQ12" i="12" s="1"/>
  <c r="AW10" i="12"/>
  <c r="AP11" i="12"/>
  <c r="AQ11" i="12" s="1"/>
  <c r="AW9" i="12"/>
  <c r="AP10" i="12"/>
  <c r="AQ10" i="12" s="1"/>
  <c r="AW8" i="12"/>
  <c r="AP9" i="12"/>
  <c r="AQ9" i="12" s="1"/>
  <c r="AW7" i="12"/>
  <c r="AP8" i="12"/>
  <c r="AQ8" i="12" s="1"/>
  <c r="AW6" i="12"/>
  <c r="AP7" i="12"/>
  <c r="AQ7" i="12" s="1"/>
  <c r="AW5" i="12"/>
  <c r="AP6" i="12"/>
  <c r="AQ6" i="12" s="1"/>
  <c r="AW4" i="12"/>
  <c r="AP20" i="10"/>
  <c r="AQ20" i="10" s="1"/>
  <c r="AW18" i="10"/>
  <c r="AW17" i="10"/>
  <c r="AP19" i="10"/>
  <c r="AQ19" i="10" s="1"/>
  <c r="AP18" i="10"/>
  <c r="AQ18" i="10" s="1"/>
  <c r="AW16" i="10"/>
  <c r="AW15" i="10"/>
  <c r="AP17" i="10"/>
  <c r="AQ17" i="10" s="1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W10" i="10"/>
  <c r="AP12" i="10"/>
  <c r="AQ12" i="10" s="1"/>
  <c r="AP11" i="10"/>
  <c r="AQ11" i="10" s="1"/>
  <c r="AW9" i="10"/>
  <c r="AP10" i="10"/>
  <c r="AQ10" i="10" s="1"/>
  <c r="AW8" i="10"/>
  <c r="AP9" i="10"/>
  <c r="AQ9" i="10" s="1"/>
  <c r="AW7" i="10"/>
  <c r="AW6" i="10"/>
  <c r="AP8" i="10"/>
  <c r="AQ8" i="10" s="1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P12" i="8"/>
  <c r="AQ12" i="8" s="1"/>
  <c r="AW10" i="8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P7" i="8"/>
  <c r="AQ7" i="8" s="1"/>
  <c r="AW5" i="8"/>
  <c r="AP6" i="8"/>
  <c r="AQ6" i="8" s="1"/>
  <c r="AW4" i="8"/>
  <c r="AW18" i="7"/>
  <c r="AP20" i="7"/>
  <c r="AQ20" i="7" s="1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P14" i="7"/>
  <c r="AQ14" i="7" s="1"/>
  <c r="AW12" i="7"/>
  <c r="AP13" i="7"/>
  <c r="AQ13" i="7" s="1"/>
  <c r="AW11" i="7"/>
  <c r="AW10" i="7"/>
  <c r="AP12" i="7"/>
  <c r="AQ12" i="7" s="1"/>
  <c r="AW9" i="7"/>
  <c r="AP11" i="7"/>
  <c r="AQ11" i="7" s="1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AP19" i="6"/>
  <c r="AQ19" i="6" s="1"/>
  <c r="AW17" i="6"/>
  <c r="AW16" i="6"/>
  <c r="AP18" i="6"/>
  <c r="AQ18" i="6" s="1"/>
  <c r="AW15" i="6"/>
  <c r="AP17" i="6"/>
  <c r="AQ17" i="6" s="1"/>
  <c r="AW14" i="6"/>
  <c r="AP16" i="6"/>
  <c r="AQ16" i="6" s="1"/>
  <c r="AP15" i="6"/>
  <c r="AQ15" i="6" s="1"/>
  <c r="AW13" i="6"/>
  <c r="AW12" i="6"/>
  <c r="AP14" i="6"/>
  <c r="AQ14" i="6" s="1"/>
  <c r="AP13" i="6"/>
  <c r="AQ13" i="6" s="1"/>
  <c r="AW11" i="6"/>
  <c r="AW10" i="6"/>
  <c r="AP12" i="6"/>
  <c r="AQ12" i="6" s="1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W4" i="6"/>
  <c r="AP6" i="6"/>
  <c r="AQ6" i="6" s="1"/>
  <c r="AP20" i="5"/>
  <c r="AQ20" i="5" s="1"/>
  <c r="AW18" i="5"/>
  <c r="AP19" i="5"/>
  <c r="AQ19" i="5" s="1"/>
  <c r="AW17" i="5"/>
  <c r="AP18" i="5"/>
  <c r="AQ18" i="5" s="1"/>
  <c r="AW16" i="5"/>
  <c r="AP17" i="5"/>
  <c r="AQ17" i="5" s="1"/>
  <c r="AW15" i="5"/>
  <c r="AW14" i="5"/>
  <c r="AP16" i="5"/>
  <c r="AQ16" i="5" s="1"/>
  <c r="AP15" i="5"/>
  <c r="AQ15" i="5" s="1"/>
  <c r="AW13" i="5"/>
  <c r="AP14" i="5"/>
  <c r="AQ14" i="5" s="1"/>
  <c r="AW12" i="5"/>
  <c r="AW11" i="5"/>
  <c r="AP13" i="5"/>
  <c r="AQ13" i="5" s="1"/>
  <c r="AW10" i="5"/>
  <c r="AP12" i="5"/>
  <c r="AQ12" i="5" s="1"/>
  <c r="AP11" i="5"/>
  <c r="AQ11" i="5" s="1"/>
  <c r="AW9" i="5"/>
  <c r="AP10" i="5"/>
  <c r="AQ10" i="5" s="1"/>
  <c r="AW8" i="5"/>
  <c r="AP9" i="5"/>
  <c r="AQ9" i="5" s="1"/>
  <c r="AW7" i="5"/>
  <c r="AW6" i="5"/>
  <c r="AP8" i="5"/>
  <c r="AQ8" i="5" s="1"/>
  <c r="AW5" i="5"/>
  <c r="AP7" i="5"/>
  <c r="AQ7" i="5" s="1"/>
  <c r="C5" i="2"/>
  <c r="D5" i="2" s="1"/>
  <c r="H14" i="3" s="1"/>
  <c r="AW4" i="5"/>
  <c r="AP6" i="5"/>
  <c r="AQ6" i="5" s="1"/>
  <c r="C28" i="3"/>
  <c r="D37" i="2"/>
  <c r="C27" i="3"/>
  <c r="D36" i="2"/>
  <c r="D35" i="2"/>
  <c r="C26" i="3"/>
  <c r="D34" i="2"/>
  <c r="C25" i="3"/>
  <c r="C24" i="3"/>
  <c r="D33" i="2"/>
  <c r="C23" i="3"/>
  <c r="D32" i="2"/>
  <c r="D31" i="2"/>
  <c r="C22" i="3"/>
  <c r="C21" i="3"/>
  <c r="D30" i="2"/>
  <c r="C20" i="3"/>
  <c r="D29" i="2"/>
  <c r="C19" i="3"/>
  <c r="D28" i="2"/>
  <c r="C18" i="3"/>
  <c r="D27" i="2"/>
  <c r="D26" i="2"/>
  <c r="C17" i="3"/>
  <c r="C16" i="3"/>
  <c r="D25" i="2"/>
  <c r="C15" i="3"/>
  <c r="D24" i="2"/>
  <c r="D23" i="2"/>
  <c r="C14" i="3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W14" i="11"/>
  <c r="AP16" i="11"/>
  <c r="AQ16" i="11" s="1"/>
  <c r="AW13" i="11"/>
  <c r="AP15" i="11"/>
  <c r="AQ15" i="11" s="1"/>
  <c r="AW12" i="11"/>
  <c r="AP14" i="11"/>
  <c r="AQ14" i="11" s="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W7" i="11"/>
  <c r="AP9" i="11"/>
  <c r="AQ9" i="11" s="1"/>
  <c r="H4" i="18"/>
  <c r="H5" i="19"/>
  <c r="BA6" i="11"/>
  <c r="AP7" i="11"/>
  <c r="AQ7" i="11" s="1"/>
  <c r="AW5" i="11"/>
  <c r="AP6" i="11"/>
  <c r="AQ6" i="11" s="1"/>
  <c r="AW4" i="11"/>
  <c r="BA18" i="12" l="1"/>
  <c r="I7" i="19"/>
  <c r="I16" i="18"/>
  <c r="BA17" i="12"/>
  <c r="I13" i="19"/>
  <c r="I18" i="18"/>
  <c r="BA16" i="12"/>
  <c r="I10" i="19"/>
  <c r="I17" i="18"/>
  <c r="BA15" i="12"/>
  <c r="I14" i="19"/>
  <c r="I7" i="18"/>
  <c r="BA14" i="12"/>
  <c r="I11" i="19"/>
  <c r="I6" i="18"/>
  <c r="BA13" i="12"/>
  <c r="I15" i="19"/>
  <c r="I14" i="18"/>
  <c r="BA12" i="12"/>
  <c r="I9" i="19"/>
  <c r="I8" i="18"/>
  <c r="BA11" i="12"/>
  <c r="I17" i="19"/>
  <c r="I10" i="18"/>
  <c r="BA10" i="12"/>
  <c r="I16" i="19"/>
  <c r="I13" i="18"/>
  <c r="BA9" i="12"/>
  <c r="I8" i="19"/>
  <c r="I9" i="18"/>
  <c r="BA8" i="12"/>
  <c r="I6" i="19"/>
  <c r="I11" i="18"/>
  <c r="BA7" i="12"/>
  <c r="I4" i="19"/>
  <c r="I12" i="18"/>
  <c r="BA6" i="12"/>
  <c r="I5" i="19"/>
  <c r="I4" i="18"/>
  <c r="BA5" i="12"/>
  <c r="I18" i="19"/>
  <c r="I15" i="18"/>
  <c r="I12" i="19"/>
  <c r="I19" i="19" s="1"/>
  <c r="I5" i="18"/>
  <c r="I19" i="18" s="1"/>
  <c r="AQ23" i="16"/>
  <c r="BA4" i="16"/>
  <c r="BA19" i="16" s="1"/>
  <c r="AQ23" i="15"/>
  <c r="BA4" i="15"/>
  <c r="BA19" i="15" s="1"/>
  <c r="AQ23" i="14"/>
  <c r="BA4" i="14"/>
  <c r="BA19" i="14" s="1"/>
  <c r="AQ23" i="13"/>
  <c r="BA4" i="13"/>
  <c r="BA19" i="13" s="1"/>
  <c r="AQ23" i="12"/>
  <c r="B13" i="17" s="1"/>
  <c r="C13" i="17" s="1"/>
  <c r="BA4" i="12"/>
  <c r="BA19" i="12" s="1"/>
  <c r="BA18" i="10"/>
  <c r="G16" i="18"/>
  <c r="G7" i="19"/>
  <c r="G18" i="18"/>
  <c r="G13" i="19"/>
  <c r="BA17" i="10"/>
  <c r="BA16" i="10"/>
  <c r="G17" i="18"/>
  <c r="G10" i="19"/>
  <c r="BA15" i="10"/>
  <c r="G7" i="18"/>
  <c r="G14" i="19"/>
  <c r="BA14" i="10"/>
  <c r="G6" i="18"/>
  <c r="G11" i="19"/>
  <c r="G14" i="18"/>
  <c r="G15" i="19"/>
  <c r="BA13" i="10"/>
  <c r="G8" i="18"/>
  <c r="G9" i="19"/>
  <c r="BA12" i="10"/>
  <c r="G10" i="18"/>
  <c r="G17" i="19"/>
  <c r="BA11" i="10"/>
  <c r="BA10" i="10"/>
  <c r="G13" i="18"/>
  <c r="G16" i="19"/>
  <c r="G9" i="18"/>
  <c r="G8" i="19"/>
  <c r="BA9" i="10"/>
  <c r="BA8" i="10"/>
  <c r="G11" i="18"/>
  <c r="G6" i="19"/>
  <c r="G12" i="18"/>
  <c r="G4" i="19"/>
  <c r="BA7" i="10"/>
  <c r="G4" i="18"/>
  <c r="G5" i="19"/>
  <c r="BA6" i="10"/>
  <c r="G15" i="18"/>
  <c r="G18" i="19"/>
  <c r="BA5" i="10"/>
  <c r="AQ23" i="10"/>
  <c r="B11" i="17" s="1"/>
  <c r="C11" i="17" s="1"/>
  <c r="G5" i="18"/>
  <c r="G12" i="19"/>
  <c r="BA4" i="10"/>
  <c r="BA19" i="10" s="1"/>
  <c r="F16" i="18"/>
  <c r="F7" i="19"/>
  <c r="BA18" i="9"/>
  <c r="F18" i="18"/>
  <c r="F13" i="19"/>
  <c r="BA17" i="9"/>
  <c r="F17" i="18"/>
  <c r="F10" i="19"/>
  <c r="BA16" i="9"/>
  <c r="F7" i="18"/>
  <c r="F14" i="19"/>
  <c r="BA15" i="9"/>
  <c r="F6" i="18"/>
  <c r="F11" i="19"/>
  <c r="BA14" i="9"/>
  <c r="F14" i="18"/>
  <c r="F15" i="19"/>
  <c r="BA13" i="9"/>
  <c r="F8" i="18"/>
  <c r="F9" i="19"/>
  <c r="BA12" i="9"/>
  <c r="F10" i="18"/>
  <c r="F17" i="19"/>
  <c r="BA11" i="9"/>
  <c r="F13" i="18"/>
  <c r="F16" i="19"/>
  <c r="BA10" i="9"/>
  <c r="F9" i="18"/>
  <c r="F8" i="19"/>
  <c r="BA9" i="9"/>
  <c r="F11" i="18"/>
  <c r="F6" i="19"/>
  <c r="BA8" i="9"/>
  <c r="F12" i="18"/>
  <c r="F4" i="19"/>
  <c r="BA7" i="9"/>
  <c r="F4" i="18"/>
  <c r="F5" i="19"/>
  <c r="BA6" i="9"/>
  <c r="F15" i="18"/>
  <c r="F18" i="19"/>
  <c r="BA5" i="9"/>
  <c r="AQ23" i="9"/>
  <c r="B10" i="17" s="1"/>
  <c r="C10" i="17" s="1"/>
  <c r="F5" i="18"/>
  <c r="F12" i="19"/>
  <c r="BA4" i="9"/>
  <c r="E16" i="18"/>
  <c r="E7" i="19"/>
  <c r="BA18" i="8"/>
  <c r="E18" i="18"/>
  <c r="E13" i="19"/>
  <c r="BA17" i="8"/>
  <c r="E17" i="18"/>
  <c r="E10" i="19"/>
  <c r="BA16" i="8"/>
  <c r="E7" i="18"/>
  <c r="E14" i="19"/>
  <c r="BA15" i="8"/>
  <c r="E6" i="18"/>
  <c r="E11" i="19"/>
  <c r="BA14" i="8"/>
  <c r="E14" i="18"/>
  <c r="E15" i="19"/>
  <c r="BA13" i="8"/>
  <c r="E8" i="18"/>
  <c r="E9" i="19"/>
  <c r="BA12" i="8"/>
  <c r="BA11" i="8"/>
  <c r="E10" i="18"/>
  <c r="E17" i="19"/>
  <c r="E13" i="18"/>
  <c r="E16" i="19"/>
  <c r="BA10" i="8"/>
  <c r="E9" i="18"/>
  <c r="E8" i="19"/>
  <c r="BA9" i="8"/>
  <c r="BA8" i="8"/>
  <c r="E11" i="18"/>
  <c r="E6" i="19"/>
  <c r="E12" i="18"/>
  <c r="E4" i="19"/>
  <c r="BA7" i="8"/>
  <c r="E4" i="18"/>
  <c r="E5" i="19"/>
  <c r="BA6" i="8"/>
  <c r="BA5" i="8"/>
  <c r="E15" i="18"/>
  <c r="E18" i="19"/>
  <c r="BA4" i="8"/>
  <c r="BA19" i="8" s="1"/>
  <c r="AQ23" i="8"/>
  <c r="B9" i="17" s="1"/>
  <c r="C9" i="17" s="1"/>
  <c r="E5" i="18"/>
  <c r="E12" i="19"/>
  <c r="BA18" i="7"/>
  <c r="D16" i="18"/>
  <c r="D7" i="19"/>
  <c r="D18" i="18"/>
  <c r="D13" i="19"/>
  <c r="BA17" i="7"/>
  <c r="BA16" i="7"/>
  <c r="D17" i="18"/>
  <c r="D10" i="19"/>
  <c r="D7" i="18"/>
  <c r="D14" i="19"/>
  <c r="BA15" i="7"/>
  <c r="D6" i="18"/>
  <c r="D11" i="19"/>
  <c r="BA14" i="7"/>
  <c r="D14" i="18"/>
  <c r="D15" i="19"/>
  <c r="BA13" i="7"/>
  <c r="D8" i="18"/>
  <c r="D9" i="19"/>
  <c r="BA12" i="7"/>
  <c r="BA11" i="7"/>
  <c r="D10" i="18"/>
  <c r="D17" i="19"/>
  <c r="BA10" i="7"/>
  <c r="D13" i="18"/>
  <c r="D16" i="19"/>
  <c r="D9" i="18"/>
  <c r="D8" i="19"/>
  <c r="BA9" i="7"/>
  <c r="BA8" i="7"/>
  <c r="D11" i="18"/>
  <c r="D6" i="19"/>
  <c r="D12" i="18"/>
  <c r="D4" i="19"/>
  <c r="BA7" i="7"/>
  <c r="D5" i="19"/>
  <c r="BA6" i="7"/>
  <c r="D4" i="18"/>
  <c r="D15" i="18"/>
  <c r="D18" i="19"/>
  <c r="BA5" i="7"/>
  <c r="D5" i="18"/>
  <c r="D12" i="19"/>
  <c r="AQ23" i="7"/>
  <c r="B8" i="17" s="1"/>
  <c r="C8" i="17" s="1"/>
  <c r="BA4" i="7"/>
  <c r="BA19" i="7" s="1"/>
  <c r="BA18" i="6"/>
  <c r="C16" i="18"/>
  <c r="C7" i="19"/>
  <c r="BA17" i="6"/>
  <c r="C18" i="18"/>
  <c r="C13" i="19"/>
  <c r="C17" i="18"/>
  <c r="C10" i="19"/>
  <c r="BA16" i="6"/>
  <c r="C7" i="18"/>
  <c r="C14" i="19"/>
  <c r="BA15" i="6"/>
  <c r="BA14" i="6"/>
  <c r="C6" i="18"/>
  <c r="C11" i="19"/>
  <c r="BA13" i="6"/>
  <c r="C14" i="18"/>
  <c r="C15" i="19"/>
  <c r="C8" i="18"/>
  <c r="C9" i="19"/>
  <c r="BA12" i="6"/>
  <c r="C10" i="18"/>
  <c r="C17" i="19"/>
  <c r="BA11" i="6"/>
  <c r="C13" i="18"/>
  <c r="C16" i="19"/>
  <c r="BA10" i="6"/>
  <c r="C9" i="18"/>
  <c r="C8" i="19"/>
  <c r="BA9" i="6"/>
  <c r="BA8" i="6"/>
  <c r="C11" i="18"/>
  <c r="C6" i="19"/>
  <c r="BA7" i="6"/>
  <c r="C12" i="18"/>
  <c r="C4" i="19"/>
  <c r="C4" i="18"/>
  <c r="C5" i="19"/>
  <c r="BA6" i="6"/>
  <c r="C15" i="18"/>
  <c r="C18" i="19"/>
  <c r="BA5" i="6"/>
  <c r="C5" i="18"/>
  <c r="C12" i="19"/>
  <c r="BA4" i="6"/>
  <c r="BA19" i="6" s="1"/>
  <c r="AQ23" i="6"/>
  <c r="B7" i="17" s="1"/>
  <c r="C7" i="17" s="1"/>
  <c r="BA18" i="5"/>
  <c r="B16" i="18"/>
  <c r="B7" i="19"/>
  <c r="B18" i="18"/>
  <c r="B13" i="19"/>
  <c r="E36" i="2"/>
  <c r="BA17" i="5"/>
  <c r="BA16" i="5"/>
  <c r="B17" i="18"/>
  <c r="B10" i="19"/>
  <c r="E35" i="2"/>
  <c r="BA15" i="5"/>
  <c r="B7" i="18"/>
  <c r="B14" i="19"/>
  <c r="E34" i="2"/>
  <c r="B6" i="18"/>
  <c r="B11" i="19"/>
  <c r="E33" i="2"/>
  <c r="BA14" i="5"/>
  <c r="BA13" i="5"/>
  <c r="B14" i="18"/>
  <c r="B15" i="19"/>
  <c r="E32" i="2"/>
  <c r="BA12" i="5"/>
  <c r="B8" i="18"/>
  <c r="B9" i="19"/>
  <c r="E31" i="2"/>
  <c r="B10" i="18"/>
  <c r="B17" i="19"/>
  <c r="E30" i="2"/>
  <c r="BA11" i="5"/>
  <c r="B13" i="18"/>
  <c r="B16" i="19"/>
  <c r="E29" i="2"/>
  <c r="BA10" i="5"/>
  <c r="BA9" i="5"/>
  <c r="B9" i="18"/>
  <c r="B8" i="19"/>
  <c r="E28" i="2"/>
  <c r="B11" i="18"/>
  <c r="B6" i="19"/>
  <c r="E27" i="2"/>
  <c r="BA8" i="5"/>
  <c r="BA7" i="5"/>
  <c r="B12" i="18"/>
  <c r="B4" i="19"/>
  <c r="E26" i="2"/>
  <c r="BA6" i="5"/>
  <c r="B4" i="18"/>
  <c r="B5" i="19"/>
  <c r="N5" i="19" s="1"/>
  <c r="E25" i="2"/>
  <c r="BA5" i="5"/>
  <c r="B15" i="18"/>
  <c r="B18" i="19"/>
  <c r="E24" i="2"/>
  <c r="AQ23" i="5"/>
  <c r="B5" i="18"/>
  <c r="B12" i="19"/>
  <c r="BA4" i="5"/>
  <c r="BA19" i="5" s="1"/>
  <c r="B41" i="2"/>
  <c r="B42" i="2"/>
  <c r="B40" i="2"/>
  <c r="H16" i="18"/>
  <c r="H7" i="19"/>
  <c r="BA18" i="11"/>
  <c r="H18" i="18"/>
  <c r="H13" i="19"/>
  <c r="BA17" i="11"/>
  <c r="H17" i="18"/>
  <c r="H10" i="19"/>
  <c r="BA16" i="11"/>
  <c r="BA15" i="11"/>
  <c r="H7" i="18"/>
  <c r="H14" i="19"/>
  <c r="BA14" i="11"/>
  <c r="H6" i="18"/>
  <c r="H11" i="19"/>
  <c r="BA13" i="11"/>
  <c r="H14" i="18"/>
  <c r="H15" i="19"/>
  <c r="H8" i="18"/>
  <c r="H9" i="19"/>
  <c r="BA12" i="11"/>
  <c r="BA11" i="11"/>
  <c r="H10" i="18"/>
  <c r="H17" i="19"/>
  <c r="BA10" i="11"/>
  <c r="H13" i="18"/>
  <c r="H16" i="19"/>
  <c r="BA9" i="11"/>
  <c r="H9" i="18"/>
  <c r="H8" i="19"/>
  <c r="H11" i="18"/>
  <c r="H6" i="19"/>
  <c r="BA8" i="11"/>
  <c r="BA7" i="11"/>
  <c r="H12" i="18"/>
  <c r="H4" i="19"/>
  <c r="H19" i="19" s="1"/>
  <c r="H15" i="18"/>
  <c r="H18" i="19"/>
  <c r="BA5" i="11"/>
  <c r="H5" i="18"/>
  <c r="H19" i="18" s="1"/>
  <c r="H12" i="19"/>
  <c r="BA4" i="11"/>
  <c r="BA19" i="11" s="1"/>
  <c r="AQ23" i="11"/>
  <c r="B12" i="17" s="1"/>
  <c r="C12" i="17" s="1"/>
  <c r="N4" i="19" l="1"/>
  <c r="B19" i="19"/>
  <c r="N4" i="18"/>
  <c r="B19" i="18"/>
  <c r="B33" i="2"/>
  <c r="B24" i="3" s="1"/>
  <c r="B23" i="2"/>
  <c r="B14" i="3" s="1"/>
  <c r="B27" i="2"/>
  <c r="B18" i="3" s="1"/>
  <c r="B34" i="2"/>
  <c r="B25" i="3" s="1"/>
  <c r="B29" i="2"/>
  <c r="B20" i="3" s="1"/>
  <c r="B25" i="2"/>
  <c r="B16" i="3" s="1"/>
  <c r="B26" i="2"/>
  <c r="B17" i="3" s="1"/>
  <c r="B31" i="2"/>
  <c r="B22" i="3" s="1"/>
  <c r="B30" i="2"/>
  <c r="B21" i="3" s="1"/>
  <c r="B32" i="2"/>
  <c r="B23" i="3" s="1"/>
  <c r="B36" i="2"/>
  <c r="B27" i="3" s="1"/>
  <c r="B24" i="2"/>
  <c r="B15" i="3" s="1"/>
  <c r="B28" i="2"/>
  <c r="B19" i="3" s="1"/>
  <c r="B35" i="2"/>
  <c r="B26" i="3" s="1"/>
  <c r="B37" i="2"/>
  <c r="B28" i="3" s="1"/>
  <c r="B6" i="17"/>
  <c r="C6" i="17" s="1"/>
  <c r="B44" i="2"/>
  <c r="U49" i="3"/>
  <c r="M8" i="3"/>
  <c r="P8" i="3"/>
  <c r="U50" i="3"/>
  <c r="J8" i="3"/>
  <c r="U48" i="3"/>
  <c r="F19" i="18"/>
  <c r="C19" i="19"/>
  <c r="N13" i="19"/>
  <c r="N17" i="18"/>
  <c r="N6" i="18"/>
  <c r="N9" i="19"/>
  <c r="N8" i="19"/>
  <c r="N15" i="18"/>
  <c r="G19" i="19"/>
  <c r="G19" i="18"/>
  <c r="C19" i="18"/>
  <c r="N18" i="18"/>
  <c r="N10" i="19"/>
  <c r="N8" i="18"/>
  <c r="N9" i="18"/>
  <c r="N12" i="18"/>
  <c r="BA19" i="9"/>
  <c r="E19" i="19"/>
  <c r="E19" i="18"/>
  <c r="N16" i="18"/>
  <c r="N7" i="18"/>
  <c r="N11" i="19"/>
  <c r="N16" i="19"/>
  <c r="N6" i="19"/>
  <c r="N5" i="18"/>
  <c r="D19" i="19"/>
  <c r="D19" i="18"/>
  <c r="N7" i="19"/>
  <c r="N14" i="19"/>
  <c r="N14" i="18"/>
  <c r="N18" i="19"/>
  <c r="N15" i="19"/>
  <c r="N11" i="18"/>
  <c r="N10" i="18"/>
  <c r="N17" i="19"/>
  <c r="N13" i="18"/>
  <c r="F19" i="19"/>
  <c r="N12" i="19"/>
  <c r="B8" i="3" l="1"/>
  <c r="B45" i="2"/>
  <c r="F8" i="3" s="1"/>
  <c r="N19" i="19"/>
  <c r="N19" i="18"/>
</calcChain>
</file>

<file path=xl/sharedStrings.xml><?xml version="1.0" encoding="utf-8"?>
<sst xmlns="http://schemas.openxmlformats.org/spreadsheetml/2006/main" count="2926" uniqueCount="266">
  <si>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</si>
  <si>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</si>
  <si>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</si>
  <si>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</si>
  <si>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</si>
  <si>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</si>
  <si>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</si>
  <si>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</si>
  <si>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</si>
  <si>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</si>
  <si>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</si>
  <si>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</si>
  <si>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</si>
  <si>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</si>
  <si>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</si>
  <si>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</si>
  <si>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</si>
  <si>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</si>
  <si>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</si>
  <si>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</si>
  <si>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</si>
  <si>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</si>
  <si>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</si>
  <si>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</si>
  <si>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</si>
  <si>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</si>
  <si>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</si>
  <si>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</si>
  <si>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</si>
  <si>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</si>
  <si>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</si>
  <si>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</si>
  <si>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</si>
  <si>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</si>
  <si>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</si>
  <si>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</si>
  <si>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</si>
  <si>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</si>
  <si>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</si>
  <si>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</si>
  <si>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</si>
  <si>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</si>
  <si>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</si>
  <si>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</si>
  <si>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</si>
  <si>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</si>
  <si>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</si>
  <si>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</si>
  <si>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</si>
  <si>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</si>
  <si>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</si>
  <si>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</si>
  <si>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</si>
  <si>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</si>
  <si>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</si>
  <si>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</si>
  <si>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</si>
  <si>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</si>
  <si>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</si>
  <si>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</si>
  <si>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</si>
  <si>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</si>
  <si>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</si>
  <si>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</si>
  <si>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</si>
  <si>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</si>
  <si>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</si>
  <si>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</si>
  <si>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</si>
  <si>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</si>
  <si>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</si>
  <si>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</si>
  <si>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</si>
  <si>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</si>
  <si>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</si>
  <si>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</si>
  <si>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</si>
  <si>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</si>
  <si>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</si>
  <si>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</si>
  <si>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</si>
  <si>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</si>
  <si>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</si>
  <si>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</si>
  <si>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</si>
  <si>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</si>
  <si>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</si>
  <si>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</si>
  <si>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</si>
  <si>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</si>
  <si>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</si>
  <si>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</si>
  <si>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</si>
  <si>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</si>
  <si>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</si>
  <si>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</si>
  <si>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</si>
  <si>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</si>
  <si>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</si>
  <si>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</si>
  <si>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</si>
  <si>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</si>
  <si>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</si>
  <si>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</si>
  <si>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</si>
  <si>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</si>
  <si>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</si>
  <si>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</si>
  <si>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</si>
  <si>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</si>
  <si>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</si>
  <si>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</si>
  <si>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</si>
  <si>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</si>
  <si>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</si>
  <si>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</si>
  <si>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</si>
  <si>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</si>
  <si>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</si>
  <si>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</si>
  <si>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</si>
  <si>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</si>
  <si>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</si>
  <si>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</si>
  <si>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</si>
  <si>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</si>
  <si>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</si>
  <si>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</si>
  <si>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</si>
  <si>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</si>
  <si>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</si>
  <si>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</si>
  <si>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</si>
  <si>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</si>
  <si>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</si>
  <si>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</si>
  <si>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</si>
  <si>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</si>
  <si>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</si>
  <si>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</si>
  <si>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</si>
  <si>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</si>
  <si>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</si>
  <si>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</si>
  <si>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</si>
  <si>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</si>
  <si>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</si>
  <si>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</si>
  <si>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</si>
  <si>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</si>
  <si>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</si>
  <si>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</si>
  <si>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</si>
  <si>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</si>
  <si>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</si>
  <si>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</si>
  <si>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</si>
  <si>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</si>
  <si>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</si>
  <si>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</si>
  <si>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</si>
  <si>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</si>
  <si>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</si>
  <si>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</si>
  <si>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</si>
  <si>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</si>
  <si>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</si>
  <si>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</si>
  <si>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</si>
  <si>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</si>
  <si>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</si>
  <si>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</si>
  <si>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</si>
  <si>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</si>
  <si>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</si>
  <si>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</si>
  <si>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</si>
  <si>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</si>
  <si>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</si>
  <si>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</si>
  <si>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</si>
  <si>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</si>
  <si>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</si>
  <si>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</si>
  <si>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</si>
  <si>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</si>
  <si>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</si>
  <si>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</si>
  <si>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</si>
  <si>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</si>
  <si>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</si>
  <si>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</si>
  <si>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</si>
  <si>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</si>
  <si>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</si>
  <si>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</si>
  <si>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</si>
  <si>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</si>
  <si>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</si>
  <si>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</si>
  <si>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</si>
  <si>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</si>
  <si>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</si>
  <si>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</si>
  <si>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</si>
  <si>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</si>
  <si>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Febrero 2026</t>
  </si>
  <si>
    <t>Nivel de seguridad planta — Febrero 2026</t>
  </si>
  <si>
    <t>CAPTURA DE DATOS - MARZO</t>
  </si>
  <si>
    <t>TABLERO NIVEL DE SEGURIDAD — MARZO 2026</t>
  </si>
  <si>
    <t>Marzo 2026</t>
  </si>
  <si>
    <t>Nivel de seguridad planta — Marzo 2026</t>
  </si>
  <si>
    <t>CAPTURA DE DATOS - ABRIL</t>
  </si>
  <si>
    <t>TABLERO NIVEL DE SEGURIDAD — ABRIL 2026</t>
  </si>
  <si>
    <t>Abril 2026</t>
  </si>
  <si>
    <t>Nivel de seguridad planta — Abril 2026</t>
  </si>
  <si>
    <t>CAPTURA DE DATOS - MAYO</t>
  </si>
  <si>
    <t>TABLERO NIVEL DE SEGURIDAD — MAYO 2026</t>
  </si>
  <si>
    <t>Mayo 2026</t>
  </si>
  <si>
    <t>Nivel de seguridad planta — Mayo 2026</t>
  </si>
  <si>
    <t>CAPTURA DE DATOS - JUNIO</t>
  </si>
  <si>
    <t>TABLERO NIVEL DE SEGURIDAD — JUNIO 2026</t>
  </si>
  <si>
    <t>Junio 2026</t>
  </si>
  <si>
    <t>Nivel de seguridad planta — Junio 2026</t>
  </si>
  <si>
    <t>CAPTURA DE DATOS - JULIO</t>
  </si>
  <si>
    <t>TABLERO NIVEL DE SEGURIDAD — JULIO 2026</t>
  </si>
  <si>
    <t>Julio 2026</t>
  </si>
  <si>
    <t>Nivel de seguridad planta — Julio 2026</t>
  </si>
  <si>
    <t>CAPTURA DE DATOS - AGOSTO</t>
  </si>
  <si>
    <t>TABLERO NIVEL DE SEGURIDAD — AGOSTO 2026</t>
  </si>
  <si>
    <t>Agosto 2026</t>
  </si>
  <si>
    <t>Nivel de seguridad planta — Agosto 2026</t>
  </si>
  <si>
    <t>CAPTURA DE DATOS - SEPTIEMBRE</t>
  </si>
  <si>
    <t>TABLERO NIVEL DE SEGURIDAD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</si>
  <si>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</si>
  <si>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</si>
  <si>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</si>
  <si>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</si>
  <si>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Octubre 2026</t>
  </si>
  <si>
    <t>Nivel de seguridad planta — Octubre 2026</t>
  </si>
  <si>
    <t>CAPTURA DE DATOS - NOVIEMBRE</t>
  </si>
  <si>
    <t>TABLERO NIVEL DE SEGURIDAD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</si>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</sst>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38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i/>
      <sz val="8"/>
      <color rgb="FF595959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b/>
      <sz val="9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F54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2E75B6"/>
      </patternFill>
    </fill>
    <fill>
      <patternFill patternType="solid">
        <fgColor rgb="FF63BE7B"/>
        <bgColor rgb="FFA9D08E"/>
      </patternFill>
    </fill>
    <fill>
      <patternFill patternType="solid">
        <fgColor rgb="FFFFD966"/>
        <bgColor rgb="FFFFFF99"/>
      </patternFill>
    </fill>
    <fill>
      <patternFill patternType="solid">
        <fgColor rgb="FFE06666"/>
        <bgColor rgb="FFED6B23"/>
      </patternFill>
    </fill>
    <fill>
      <patternFill patternType="solid">
        <fgColor rgb="FFD9D9D9"/>
        <bgColor rgb="FFEBF3FB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4E8A5E"/>
        <bgColor rgb="FF2F6E38"/>
      </patternFill>
    </fill>
    <fill>
      <patternFill patternType="solid">
        <fgColor rgb="FF2E75B6"/>
        <bgColor rgb="FF4F81BD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11" borderId="1" xfId="0" applyFont="1" applyFill="1" applyBorder="1"/>
    <xf numFmtId="0" fontId="0" fillId="11" borderId="1" xfId="0" applyFill="1" applyBorder="1"/>
    <xf numFmtId="9" fontId="3" fillId="11" borderId="1" xfId="0" applyNumberFormat="1" applyFont="1" applyFill="1" applyBorder="1"/>
    <xf numFmtId="0" fontId="20" fillId="0" borderId="0" xfId="0" applyFont="1"/>
    <xf numFmtId="0" fontId="21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2" fillId="0" borderId="0" xfId="0" applyFont="1"/>
    <xf numFmtId="0" fontId="24" fillId="0" borderId="0" xfId="0" applyFont="1" applyAlignment="1">
      <alignment horizontal="left" vertical="center" wrapText="1"/>
    </xf>
    <xf numFmtId="0" fontId="22" fillId="2" borderId="5" xfId="0" applyFont="1" applyFill="1" applyBorder="1"/>
    <xf numFmtId="0" fontId="6" fillId="13" borderId="1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 wrapText="1"/>
    </xf>
    <xf numFmtId="0" fontId="25" fillId="14" borderId="1" xfId="0" applyFont="1" applyFill="1" applyBorder="1" applyAlignment="1">
      <alignment horizontal="center" vertical="center" wrapText="1"/>
    </xf>
    <xf numFmtId="0" fontId="25" fillId="13" borderId="1" xfId="0" applyFont="1" applyFill="1" applyBorder="1" applyAlignment="1">
      <alignment horizontal="center" vertical="center" wrapText="1"/>
    </xf>
    <xf numFmtId="0" fontId="25" fillId="15" borderId="1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0" fontId="0" fillId="2" borderId="0" xfId="0" applyFill="1"/>
    <xf numFmtId="0" fontId="26" fillId="16" borderId="5" xfId="0" applyFont="1" applyFill="1" applyBorder="1" applyAlignment="1">
      <alignment horizontal="left" vertical="center" indent="1"/>
    </xf>
    <xf numFmtId="10" fontId="27" fillId="16" borderId="1" xfId="0" applyNumberFormat="1" applyFont="1" applyFill="1" applyBorder="1" applyAlignment="1">
      <alignment horizontal="center" vertical="center"/>
    </xf>
    <xf numFmtId="10" fontId="28" fillId="16" borderId="1" xfId="0" applyNumberFormat="1" applyFont="1" applyFill="1" applyBorder="1" applyAlignment="1">
      <alignment horizontal="center" vertical="center"/>
    </xf>
    <xf numFmtId="10" fontId="29" fillId="16" borderId="6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6" fillId="17" borderId="5" xfId="0" applyFont="1" applyFill="1" applyBorder="1" applyAlignment="1">
      <alignment horizontal="left" vertical="center" indent="1"/>
    </xf>
    <xf numFmtId="10" fontId="27" fillId="17" borderId="1" xfId="0" applyNumberFormat="1" applyFont="1" applyFill="1" applyBorder="1" applyAlignment="1">
      <alignment horizontal="center" vertical="center"/>
    </xf>
    <xf numFmtId="10" fontId="28" fillId="17" borderId="1" xfId="0" applyNumberFormat="1" applyFont="1" applyFill="1" applyBorder="1" applyAlignment="1">
      <alignment horizontal="center" vertical="center"/>
    </xf>
    <xf numFmtId="10" fontId="29" fillId="17" borderId="6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31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32" fillId="0" borderId="1" xfId="0" applyNumberFormat="1" applyFont="1" applyBorder="1" applyAlignment="1">
      <alignment horizontal="center" vertical="center"/>
    </xf>
    <xf numFmtId="10" fontId="34" fillId="5" borderId="8" xfId="0" applyNumberFormat="1" applyFont="1" applyFill="1" applyBorder="1" applyAlignment="1">
      <alignment horizontal="center" vertical="center"/>
    </xf>
    <xf numFmtId="165" fontId="23" fillId="2" borderId="0" xfId="0" applyNumberFormat="1" applyFont="1" applyFill="1" applyAlignment="1">
      <alignment horizontal="center" vertical="center"/>
    </xf>
    <xf numFmtId="0" fontId="22" fillId="2" borderId="0" xfId="0" applyFont="1" applyFill="1"/>
    <xf numFmtId="165" fontId="23" fillId="2" borderId="1" xfId="0" applyNumberFormat="1" applyFont="1" applyFill="1" applyBorder="1" applyAlignment="1">
      <alignment horizontal="center" vertical="center"/>
    </xf>
    <xf numFmtId="10" fontId="23" fillId="2" borderId="0" xfId="0" applyNumberFormat="1" applyFont="1" applyFill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18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33" fillId="2" borderId="1" xfId="0" applyNumberFormat="1" applyFont="1" applyFill="1" applyBorder="1" applyAlignment="1">
      <alignment horizontal="center" vertical="center"/>
    </xf>
    <xf numFmtId="10" fontId="36" fillId="5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33" fillId="2" borderId="0" xfId="0" applyFont="1" applyFill="1" applyAlignment="1">
      <alignment horizontal="left" vertical="center"/>
    </xf>
    <xf numFmtId="0" fontId="25" fillId="7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35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E38"/>
      <rgbColor rgb="FFBFBFBF"/>
      <rgbColor rgb="FF808080"/>
      <rgbColor rgb="FFA6A6A6"/>
      <rgbColor rgb="FF993366"/>
      <rgbColor rgb="FFFFFBE6"/>
      <rgbColor rgb="FFEBF3FB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F9F9F9"/>
      <rgbColor rgb="FFFFFF99"/>
      <rgbColor rgb="FFA9D08E"/>
      <rgbColor rgb="FFFF99CC"/>
      <rgbColor rgb="FFCC99FF"/>
      <rgbColor rgb="FFFFD966"/>
      <rgbColor rgb="FF2E75B6"/>
      <rgbColor rgb="FF63BE7B"/>
      <rgbColor rgb="FF99CC00"/>
      <rgbColor rgb="FFFFCC00"/>
      <rgbColor rgb="FFFF9900"/>
      <rgbColor rgb="FFED6B23"/>
      <rgbColor rgb="FF595959"/>
      <rgbColor rgb="FF878787"/>
      <rgbColor rgb="FF1F4E79"/>
      <rgbColor rgb="FF4E8A5E"/>
      <rgbColor rgb="FF003300"/>
      <rgbColor rgb="FF333300"/>
      <rgbColor rgb="FF993300"/>
      <rgbColor rgb="FF993366"/>
      <rgbColor rgb="FF2F5496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Centro de Distribucion</c:v>
                </c:pt>
                <c:pt idx="2">
                  <c:v>Materias Primas</c:v>
                </c:pt>
                <c:pt idx="3">
                  <c:v>Linea 2</c:v>
                </c:pt>
                <c:pt idx="4">
                  <c:v>ETEI</c:v>
                </c:pt>
                <c:pt idx="5">
                  <c:v>Linea 1</c:v>
                </c:pt>
                <c:pt idx="6">
                  <c:v>Alrededores</c:v>
                </c:pt>
                <c:pt idx="7">
                  <c:v>Linea 3</c:v>
                </c:pt>
                <c:pt idx="8">
                  <c:v>Linea 4</c:v>
                </c:pt>
                <c:pt idx="9">
                  <c:v>Linea 5</c:v>
                </c:pt>
                <c:pt idx="10">
                  <c:v>Equipos Auxiliares</c:v>
                </c:pt>
                <c:pt idx="11">
                  <c:v>Mantenimiento</c:v>
                </c:pt>
                <c:pt idx="12">
                  <c:v>Jarabes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8F-49BF-8B54-5C9F7FDF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925356"/>
        <c:axId val="8076128"/>
      </c:barChart>
      <c:catAx>
        <c:axId val="279253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76128"/>
        <c:crosses val="autoZero"/>
        <c:auto val="1"/>
        <c:lblAlgn val="ctr"/>
        <c:lblOffset val="100"/>
        <c:noMultiLvlLbl val="0"/>
      </c:catAx>
      <c:valAx>
        <c:axId val="8076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925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0.97735042735042743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0.80000000000000027</c:v>
                </c:pt>
                <c:pt idx="5">
                  <c:v>1</c:v>
                </c:pt>
                <c:pt idx="6">
                  <c:v>0.82666666666666666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7-4AD6-9867-7206F1F1D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6217"/>
        <c:axId val="1489419"/>
      </c:radarChart>
      <c:catAx>
        <c:axId val="5117621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1489419"/>
        <c:crosses val="autoZero"/>
        <c:auto val="1"/>
        <c:lblAlgn val="ctr"/>
        <c:lblOffset val="100"/>
        <c:noMultiLvlLbl val="0"/>
      </c:catAx>
      <c:valAx>
        <c:axId val="1489419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17621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85E-4B1C-9055-0D72C047A881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85E-4B1C-9055-0D72C047A881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85E-4B1C-9055-0D72C047A88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5E-4B1C-9055-0D72C047A88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5E-4B1C-9055-0D72C047A88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5E-4B1C-9055-0D72C047A8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85E-4B1C-9055-0D72C047A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0.91092643373138726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0.43205333333333323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3-4FF7-88BA-F72B6A80E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856933"/>
        <c:axId val="33775662"/>
      </c:lineChart>
      <c:catAx>
        <c:axId val="648569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3775662"/>
        <c:crosses val="autoZero"/>
        <c:auto val="1"/>
        <c:lblAlgn val="ctr"/>
        <c:lblOffset val="100"/>
        <c:noMultiLvlLbl val="0"/>
      </c:catAx>
      <c:valAx>
        <c:axId val="33775662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8569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2070000</xdr:colOff>
      <xdr:row>46</xdr:row>
      <xdr:rowOff>99000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478080</xdr:colOff>
      <xdr:row>46</xdr:row>
      <xdr:rowOff>99000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369720</xdr:colOff>
      <xdr:row>63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578520</xdr:colOff>
      <xdr:row>20</xdr:row>
      <xdr:rowOff>38160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97" t="s">
        <v>0</v>
      </c>
      <c r="C3" s="97"/>
      <c r="D3" s="97"/>
      <c r="E3" s="97"/>
    </row>
    <row r="4" spans="2:5" ht="21.75" customHeight="1" x14ac:dyDescent="0.35">
      <c r="B4" s="97"/>
      <c r="C4" s="97"/>
      <c r="D4" s="97"/>
      <c r="E4" s="97"/>
    </row>
    <row r="5" spans="2:5" ht="21.75" customHeight="1" x14ac:dyDescent="0.35">
      <c r="B5" s="97"/>
      <c r="C5" s="97"/>
      <c r="D5" s="97"/>
      <c r="E5" s="97"/>
    </row>
    <row r="6" spans="2:5" ht="21.75" customHeight="1" x14ac:dyDescent="0.35">
      <c r="B6" s="97"/>
      <c r="C6" s="97"/>
      <c r="D6" s="97"/>
      <c r="E6" s="97"/>
    </row>
    <row r="7" spans="2:5" ht="24" customHeight="1" x14ac:dyDescent="0.35">
      <c r="B7" s="98" t="s">
        <v>1</v>
      </c>
      <c r="C7" s="98"/>
      <c r="D7" s="98"/>
      <c r="E7" s="98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Enero</v>
      </c>
    </row>
    <row r="13" spans="2:5" ht="19.5" customHeight="1" x14ac:dyDescent="0.35">
      <c r="B13" s="1" t="s">
        <v>7</v>
      </c>
      <c r="C13" s="4">
        <f ca="1">TODAY()</f>
        <v>46247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99" t="s">
        <v>11</v>
      </c>
      <c r="C18" s="99"/>
      <c r="D18" s="99"/>
      <c r="E18" s="99"/>
    </row>
    <row r="19" spans="2:5" ht="18" customHeight="1" x14ac:dyDescent="0.35">
      <c r="B19" s="1" t="s">
        <v>12</v>
      </c>
      <c r="C19" s="96" t="s">
        <v>13</v>
      </c>
      <c r="D19" s="96"/>
      <c r="E19" s="96"/>
    </row>
    <row r="20" spans="2:5" ht="18" customHeight="1" x14ac:dyDescent="0.35">
      <c r="B20" s="1" t="s">
        <v>14</v>
      </c>
      <c r="C20" s="96" t="s">
        <v>15</v>
      </c>
      <c r="D20" s="96"/>
      <c r="E20" s="96"/>
    </row>
    <row r="21" spans="2:5" ht="18" customHeight="1" x14ac:dyDescent="0.35">
      <c r="B21" s="1" t="s">
        <v>16</v>
      </c>
      <c r="C21" s="96" t="s">
        <v>17</v>
      </c>
      <c r="D21" s="96"/>
      <c r="E21" s="96"/>
    </row>
    <row r="22" spans="2:5" ht="18" customHeight="1" x14ac:dyDescent="0.35">
      <c r="B22" s="1" t="s">
        <v>18</v>
      </c>
      <c r="C22" s="96" t="s">
        <v>19</v>
      </c>
      <c r="D22" s="96"/>
      <c r="E22" s="96"/>
    </row>
    <row r="23" spans="2:5" ht="18" customHeight="1" x14ac:dyDescent="0.35">
      <c r="B23" s="1" t="s">
        <v>20</v>
      </c>
      <c r="C23" s="96" t="s">
        <v>21</v>
      </c>
      <c r="D23" s="96"/>
      <c r="E23" s="96"/>
    </row>
    <row r="24" spans="2:5" ht="18" customHeight="1" x14ac:dyDescent="0.35">
      <c r="B24" s="1" t="s">
        <v>22</v>
      </c>
      <c r="C24" s="96" t="s">
        <v>23</v>
      </c>
      <c r="D24" s="96"/>
      <c r="E24" s="96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85" t="s">
        <v>24</v>
      </c>
      <c r="B1" s="85"/>
      <c r="C1" s="85"/>
      <c r="D1" s="85"/>
      <c r="E1" s="85"/>
      <c r="F1" s="85"/>
      <c r="G1" s="85"/>
      <c r="H1" s="85"/>
    </row>
    <row r="2" spans="1:8" ht="15" customHeight="1" x14ac:dyDescent="0.35">
      <c r="A2" s="5" t="s">
        <v>25</v>
      </c>
      <c r="B2" s="6" t="s">
        <v>26</v>
      </c>
    </row>
    <row r="3" spans="1:8" ht="15" customHeight="1" x14ac:dyDescent="0.35">
      <c r="A3" s="99" t="s">
        <v>27</v>
      </c>
      <c r="B3" s="99"/>
      <c r="C3" s="99"/>
      <c r="D3" s="99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0.19547008547008549</v>
      </c>
      <c r="D5" s="11">
        <f t="shared" ref="D5:D11" ca="1" si="0">IFERROR(C5/B5,0)</f>
        <v>0.97735042735042743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0.08</v>
      </c>
      <c r="D7" s="11">
        <f t="shared" ca="1" si="0"/>
        <v>1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0.08</v>
      </c>
      <c r="D8" s="11">
        <f t="shared" ca="1" si="0"/>
        <v>1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4.8000000000000015E-2</v>
      </c>
      <c r="D9" s="11">
        <f t="shared" ca="1" si="0"/>
        <v>0.80000000000000027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0.25</v>
      </c>
      <c r="D10" s="11">
        <f t="shared" ca="1" si="0"/>
        <v>1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0.20666666666666667</v>
      </c>
      <c r="D11" s="11">
        <f t="shared" ca="1" si="0"/>
        <v>0.82666666666666666</v>
      </c>
    </row>
    <row r="13" spans="1:8" ht="26.25" customHeight="1" x14ac:dyDescent="0.35">
      <c r="A13" s="99" t="s">
        <v>39</v>
      </c>
      <c r="B13" s="99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0.20666666666666667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14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3.3333333333333335E-3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99" t="s">
        <v>46</v>
      </c>
      <c r="B21" s="99"/>
      <c r="C21" s="99"/>
      <c r="D21" s="99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Centro de Distribucion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93993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Materias Primas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99992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2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99991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ETEI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94990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Linea 1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83989.000000000015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Alrededores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78988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3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94987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4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98986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93985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Equipos Auxiliares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89984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Mantenimiento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86444.538461538468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Jarabes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83982.000000000015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99981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99" t="s">
        <v>52</v>
      </c>
      <c r="B39" s="99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0.93030769230769228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Verde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02" t="s">
        <v>58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</row>
    <row r="3" spans="2:18" ht="21.75" customHeight="1" x14ac:dyDescent="0.35"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</row>
    <row r="4" spans="2:18" ht="18" customHeight="1" x14ac:dyDescent="0.35">
      <c r="B4" s="19" t="s">
        <v>59</v>
      </c>
      <c r="C4" s="20" t="str">
        <f>Calculos!$B$2</f>
        <v>Enero</v>
      </c>
      <c r="F4" s="103" t="s">
        <v>60</v>
      </c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</row>
    <row r="6" spans="2:18" ht="18" customHeight="1" x14ac:dyDescent="0.35">
      <c r="B6" s="104" t="s">
        <v>61</v>
      </c>
      <c r="C6" s="104"/>
      <c r="D6" s="104"/>
      <c r="E6" s="104"/>
      <c r="F6" s="104" t="s">
        <v>62</v>
      </c>
      <c r="G6" s="104"/>
      <c r="H6" s="104"/>
      <c r="I6" s="104"/>
      <c r="J6" s="104" t="s">
        <v>63</v>
      </c>
      <c r="K6" s="104"/>
      <c r="L6" s="104"/>
      <c r="M6" s="104" t="s">
        <v>64</v>
      </c>
      <c r="N6" s="104"/>
      <c r="O6" s="104"/>
      <c r="P6" s="104" t="s">
        <v>65</v>
      </c>
      <c r="Q6" s="104"/>
      <c r="R6" s="104"/>
    </row>
    <row r="7" spans="2:18" ht="13.5" customHeight="1" x14ac:dyDescent="0.35">
      <c r="B7" s="104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</row>
    <row r="8" spans="2:18" ht="19.5" customHeight="1" x14ac:dyDescent="0.35">
      <c r="B8" s="105">
        <f ca="1">Calculos!B44</f>
        <v>0.93030769230769228</v>
      </c>
      <c r="C8" s="105"/>
      <c r="D8" s="105"/>
      <c r="E8" s="105"/>
      <c r="F8" s="106" t="str">
        <f ca="1">Calculos!B45</f>
        <v>Verde</v>
      </c>
      <c r="G8" s="106"/>
      <c r="H8" s="106"/>
      <c r="I8" s="106"/>
      <c r="J8" s="107">
        <f ca="1">Calculos!B40</f>
        <v>0</v>
      </c>
      <c r="K8" s="107"/>
      <c r="L8" s="107"/>
      <c r="M8" s="100">
        <f ca="1">Calculos!B41</f>
        <v>0</v>
      </c>
      <c r="N8" s="100"/>
      <c r="O8" s="100"/>
      <c r="P8" s="101">
        <f ca="1">Calculos!B42</f>
        <v>15</v>
      </c>
      <c r="Q8" s="101"/>
      <c r="R8" s="101"/>
    </row>
    <row r="9" spans="2:18" ht="19.5" customHeight="1" x14ac:dyDescent="0.35">
      <c r="B9" s="105"/>
      <c r="C9" s="105"/>
      <c r="D9" s="105"/>
      <c r="E9" s="105"/>
      <c r="F9" s="106"/>
      <c r="G9" s="106"/>
      <c r="H9" s="106"/>
      <c r="I9" s="106"/>
      <c r="J9" s="107"/>
      <c r="K9" s="107"/>
      <c r="L9" s="107"/>
      <c r="M9" s="100"/>
      <c r="N9" s="100"/>
      <c r="O9" s="100"/>
      <c r="P9" s="101"/>
      <c r="Q9" s="101"/>
      <c r="R9" s="101"/>
    </row>
    <row r="10" spans="2:18" ht="13.5" customHeight="1" x14ac:dyDescent="0.35">
      <c r="B10" s="105"/>
      <c r="C10" s="105"/>
      <c r="D10" s="105"/>
      <c r="E10" s="105"/>
      <c r="F10" s="106"/>
      <c r="G10" s="106"/>
      <c r="H10" s="106"/>
      <c r="I10" s="106"/>
      <c r="J10" s="107"/>
      <c r="K10" s="107"/>
      <c r="L10" s="107"/>
      <c r="M10" s="100"/>
      <c r="N10" s="100"/>
      <c r="O10" s="100"/>
      <c r="P10" s="101"/>
      <c r="Q10" s="101"/>
      <c r="R10" s="101"/>
    </row>
    <row r="12" spans="2:18" ht="26.25" customHeight="1" x14ac:dyDescent="0.35">
      <c r="B12" s="99" t="s">
        <v>66</v>
      </c>
      <c r="C12" s="99"/>
      <c r="D12" s="99"/>
      <c r="E12" s="99"/>
      <c r="G12" s="99" t="s">
        <v>67</v>
      </c>
      <c r="H12" s="99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0.97735042735042743</v>
      </c>
    </row>
    <row r="15" spans="2:18" ht="14.25" customHeight="1" x14ac:dyDescent="0.35">
      <c r="B15" s="3" t="str">
        <f ca="1">Calculos!B24</f>
        <v>Centro de Distribucion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Materias Primas</v>
      </c>
      <c r="C16" s="21">
        <f ca="1">Calculos!C25</f>
        <v>0</v>
      </c>
      <c r="G16" s="3" t="str">
        <f>Calculos!A7</f>
        <v>Auto Evaluacion 2</v>
      </c>
      <c r="H16" s="22">
        <f ca="1">Calculos!D7</f>
        <v>1</v>
      </c>
    </row>
    <row r="17" spans="2:8" ht="14.25" customHeight="1" x14ac:dyDescent="0.35">
      <c r="B17" s="3" t="str">
        <f ca="1">Calculos!B26</f>
        <v>Linea 2</v>
      </c>
      <c r="C17" s="21">
        <f ca="1">Calculos!C26</f>
        <v>0</v>
      </c>
      <c r="G17" s="3" t="str">
        <f>Calculos!A8</f>
        <v>Auto Evaluacion 3</v>
      </c>
      <c r="H17" s="22">
        <f ca="1">Calculos!D8</f>
        <v>1</v>
      </c>
    </row>
    <row r="18" spans="2:8" ht="14.25" customHeight="1" x14ac:dyDescent="0.35">
      <c r="B18" s="3" t="str">
        <f ca="1">Calculos!B27</f>
        <v>ETEI</v>
      </c>
      <c r="C18" s="21">
        <f ca="1">Calculos!C27</f>
        <v>0</v>
      </c>
      <c r="G18" s="3" t="str">
        <f>Calculos!A9</f>
        <v>Cruzada 4</v>
      </c>
      <c r="H18" s="22">
        <f ca="1">Calculos!D9</f>
        <v>0.80000000000000027</v>
      </c>
    </row>
    <row r="19" spans="2:8" ht="14.25" customHeight="1" x14ac:dyDescent="0.35">
      <c r="B19" s="3" t="str">
        <f ca="1">Calculos!B28</f>
        <v>Linea 1</v>
      </c>
      <c r="C19" s="21">
        <f ca="1">Calculos!C28</f>
        <v>0</v>
      </c>
      <c r="G19" s="3" t="str">
        <f>Calculos!A10</f>
        <v>Inspeccion SSO</v>
      </c>
      <c r="H19" s="22">
        <f ca="1">Calculos!D10</f>
        <v>1</v>
      </c>
    </row>
    <row r="20" spans="2:8" ht="14.25" customHeight="1" x14ac:dyDescent="0.35">
      <c r="B20" s="3" t="str">
        <f ca="1">Calculos!B29</f>
        <v>Alrededores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0.82666666666666666</v>
      </c>
    </row>
    <row r="21" spans="2:8" ht="14.25" customHeight="1" x14ac:dyDescent="0.35">
      <c r="B21" s="3" t="str">
        <f ca="1">Calculos!B30</f>
        <v>Linea 3</v>
      </c>
      <c r="C21" s="21">
        <f ca="1">Calculos!C30</f>
        <v>0</v>
      </c>
    </row>
    <row r="22" spans="2:8" ht="14.25" customHeight="1" x14ac:dyDescent="0.35">
      <c r="B22" s="3" t="str">
        <f ca="1">Calculos!B31</f>
        <v>Linea 4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Equipos Auxiliares</v>
      </c>
      <c r="C24" s="21">
        <f ca="1">Calculos!C33</f>
        <v>0</v>
      </c>
    </row>
    <row r="25" spans="2:8" ht="14.25" customHeight="1" x14ac:dyDescent="0.35">
      <c r="B25" s="3" t="str">
        <f ca="1">Calculos!B34</f>
        <v>Mantenimiento</v>
      </c>
      <c r="C25" s="21">
        <f ca="1">Calculos!C34</f>
        <v>0</v>
      </c>
    </row>
    <row r="26" spans="2:8" ht="14.25" customHeight="1" x14ac:dyDescent="0.35">
      <c r="B26" s="3" t="str">
        <f ca="1">Calculos!B35</f>
        <v>Jarabes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12" sqref="A12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85" t="s">
        <v>70</v>
      </c>
      <c r="C2" s="85"/>
      <c r="D2" s="85"/>
      <c r="E2" s="85"/>
      <c r="F2" s="85"/>
    </row>
    <row r="4" spans="2:10" ht="19.5" customHeight="1" x14ac:dyDescent="0.35">
      <c r="B4" s="99" t="s">
        <v>71</v>
      </c>
      <c r="C4" s="99"/>
      <c r="D4" s="99"/>
      <c r="E4" s="99"/>
      <c r="F4" s="99"/>
      <c r="H4" s="99" t="s">
        <v>72</v>
      </c>
      <c r="I4" s="99"/>
    </row>
    <row r="5" spans="2:10" ht="18" customHeight="1" x14ac:dyDescent="0.35">
      <c r="B5" s="7" t="s">
        <v>73</v>
      </c>
      <c r="C5" s="7" t="s">
        <v>28</v>
      </c>
      <c r="D5" s="7" t="s">
        <v>74</v>
      </c>
      <c r="E5" s="7" t="s">
        <v>75</v>
      </c>
      <c r="F5" s="7" t="s">
        <v>76</v>
      </c>
      <c r="H5" s="7" t="s">
        <v>77</v>
      </c>
      <c r="I5" s="7" t="s">
        <v>48</v>
      </c>
      <c r="J5" s="7" t="s">
        <v>78</v>
      </c>
    </row>
    <row r="6" spans="2:10" ht="27.75" customHeight="1" x14ac:dyDescent="0.35">
      <c r="B6" s="27" t="s">
        <v>79</v>
      </c>
      <c r="C6" s="8" t="s">
        <v>32</v>
      </c>
      <c r="D6" s="8" t="s">
        <v>80</v>
      </c>
      <c r="E6" s="28">
        <v>0.2</v>
      </c>
      <c r="F6" s="29" t="s">
        <v>81</v>
      </c>
      <c r="H6" s="8">
        <v>1</v>
      </c>
      <c r="I6" s="30" t="s">
        <v>82</v>
      </c>
      <c r="J6" s="30" t="s">
        <v>83</v>
      </c>
    </row>
    <row r="7" spans="2:10" ht="27.75" customHeight="1" x14ac:dyDescent="0.35">
      <c r="B7" s="27" t="s">
        <v>84</v>
      </c>
      <c r="C7" s="8" t="s">
        <v>33</v>
      </c>
      <c r="D7" s="8" t="s">
        <v>85</v>
      </c>
      <c r="E7" s="28">
        <v>0.08</v>
      </c>
      <c r="F7" s="29" t="s">
        <v>86</v>
      </c>
      <c r="H7" s="8">
        <v>2</v>
      </c>
      <c r="I7" s="30" t="s">
        <v>87</v>
      </c>
      <c r="J7" s="30" t="s">
        <v>88</v>
      </c>
    </row>
    <row r="8" spans="2:10" ht="27.75" customHeight="1" x14ac:dyDescent="0.35">
      <c r="B8" s="27" t="s">
        <v>89</v>
      </c>
      <c r="C8" s="8" t="s">
        <v>34</v>
      </c>
      <c r="D8" s="8" t="s">
        <v>85</v>
      </c>
      <c r="E8" s="28">
        <v>0.08</v>
      </c>
      <c r="F8" s="29" t="s">
        <v>86</v>
      </c>
      <c r="H8" s="8">
        <v>3</v>
      </c>
      <c r="I8" s="30" t="s">
        <v>90</v>
      </c>
      <c r="J8" s="30" t="s">
        <v>91</v>
      </c>
    </row>
    <row r="9" spans="2:10" ht="27.75" customHeight="1" x14ac:dyDescent="0.35">
      <c r="B9" s="27" t="s">
        <v>92</v>
      </c>
      <c r="C9" s="8" t="s">
        <v>35</v>
      </c>
      <c r="D9" s="8" t="s">
        <v>85</v>
      </c>
      <c r="E9" s="28">
        <v>0.08</v>
      </c>
      <c r="F9" s="29" t="s">
        <v>86</v>
      </c>
      <c r="H9" s="8">
        <v>4</v>
      </c>
      <c r="I9" s="30" t="s">
        <v>93</v>
      </c>
      <c r="J9" s="30" t="s">
        <v>94</v>
      </c>
    </row>
    <row r="10" spans="2:10" ht="27.75" customHeight="1" x14ac:dyDescent="0.35">
      <c r="B10" s="27" t="s">
        <v>95</v>
      </c>
      <c r="C10" s="8" t="s">
        <v>36</v>
      </c>
      <c r="D10" s="8" t="s">
        <v>85</v>
      </c>
      <c r="E10" s="28">
        <v>0.06</v>
      </c>
      <c r="F10" s="29" t="s">
        <v>96</v>
      </c>
      <c r="H10" s="8">
        <v>5</v>
      </c>
      <c r="I10" s="30" t="s">
        <v>97</v>
      </c>
      <c r="J10" s="30" t="s">
        <v>98</v>
      </c>
    </row>
    <row r="11" spans="2:10" ht="27.75" customHeight="1" x14ac:dyDescent="0.35">
      <c r="B11" s="27" t="s">
        <v>99</v>
      </c>
      <c r="C11" s="8" t="s">
        <v>37</v>
      </c>
      <c r="D11" s="8" t="s">
        <v>85</v>
      </c>
      <c r="E11" s="28">
        <v>0.25</v>
      </c>
      <c r="F11" s="29" t="s">
        <v>100</v>
      </c>
      <c r="H11" s="8">
        <v>6</v>
      </c>
      <c r="I11" s="30" t="s">
        <v>101</v>
      </c>
      <c r="J11" s="30" t="s">
        <v>102</v>
      </c>
    </row>
    <row r="12" spans="2:10" ht="27.75" customHeight="1" x14ac:dyDescent="0.35">
      <c r="B12" s="27" t="s">
        <v>103</v>
      </c>
      <c r="C12" s="8" t="s">
        <v>104</v>
      </c>
      <c r="D12" s="8" t="s">
        <v>105</v>
      </c>
      <c r="E12" s="28">
        <v>0.25</v>
      </c>
      <c r="F12" s="29" t="s">
        <v>106</v>
      </c>
      <c r="H12" s="8">
        <v>7</v>
      </c>
      <c r="I12" s="30" t="s">
        <v>107</v>
      </c>
      <c r="J12" s="30" t="s">
        <v>98</v>
      </c>
    </row>
    <row r="13" spans="2:10" ht="14.25" customHeight="1" x14ac:dyDescent="0.35">
      <c r="B13" s="31"/>
      <c r="C13" s="31" t="s">
        <v>108</v>
      </c>
      <c r="D13" s="32"/>
      <c r="E13" s="33">
        <f>SUM(E6:E12)</f>
        <v>1</v>
      </c>
      <c r="F13" s="32"/>
      <c r="H13" s="8">
        <v>8</v>
      </c>
      <c r="I13" s="30" t="s">
        <v>109</v>
      </c>
      <c r="J13" s="30" t="s">
        <v>110</v>
      </c>
    </row>
    <row r="14" spans="2:10" ht="14.25" customHeight="1" x14ac:dyDescent="0.35">
      <c r="C14" s="34" t="s">
        <v>111</v>
      </c>
      <c r="E14" s="35" t="str">
        <f>IF(E13=100%,"OK","REVISAR")</f>
        <v>OK</v>
      </c>
      <c r="H14" s="8">
        <v>9</v>
      </c>
      <c r="I14" s="30" t="s">
        <v>112</v>
      </c>
      <c r="J14" s="30" t="s">
        <v>113</v>
      </c>
    </row>
    <row r="15" spans="2:10" ht="14.25" customHeight="1" x14ac:dyDescent="0.35">
      <c r="H15" s="8">
        <v>10</v>
      </c>
      <c r="I15" s="30" t="s">
        <v>114</v>
      </c>
      <c r="J15" s="30" t="s">
        <v>115</v>
      </c>
    </row>
    <row r="16" spans="2:10" ht="19.5" customHeight="1" x14ac:dyDescent="0.35">
      <c r="B16" s="99" t="s">
        <v>116</v>
      </c>
      <c r="C16" s="99"/>
      <c r="D16" s="99"/>
      <c r="E16" s="99"/>
      <c r="F16" s="99"/>
      <c r="H16" s="8">
        <v>11</v>
      </c>
      <c r="I16" s="30" t="s">
        <v>117</v>
      </c>
      <c r="J16" s="30" t="s">
        <v>91</v>
      </c>
    </row>
    <row r="17" spans="2:10" ht="14.25" customHeight="1" x14ac:dyDescent="0.35">
      <c r="B17" s="36"/>
      <c r="C17" s="16" t="s">
        <v>118</v>
      </c>
      <c r="D17" s="36"/>
      <c r="E17" s="37">
        <v>0.1</v>
      </c>
      <c r="F17" s="36"/>
      <c r="H17" s="8">
        <v>12</v>
      </c>
      <c r="I17" s="30" t="s">
        <v>119</v>
      </c>
      <c r="J17" s="30" t="s">
        <v>120</v>
      </c>
    </row>
    <row r="18" spans="2:10" ht="14.25" customHeight="1" x14ac:dyDescent="0.35">
      <c r="B18" s="36"/>
      <c r="C18" s="16" t="s">
        <v>121</v>
      </c>
      <c r="D18" s="36"/>
      <c r="E18" s="37">
        <v>0.05</v>
      </c>
      <c r="F18" s="36"/>
      <c r="H18" s="8">
        <v>13</v>
      </c>
      <c r="I18" s="30" t="s">
        <v>122</v>
      </c>
      <c r="J18" s="30" t="s">
        <v>115</v>
      </c>
    </row>
    <row r="19" spans="2:10" ht="14.25" customHeight="1" x14ac:dyDescent="0.35">
      <c r="B19" s="36"/>
      <c r="C19" s="16" t="s">
        <v>123</v>
      </c>
      <c r="D19" s="36"/>
      <c r="E19" s="2">
        <v>100</v>
      </c>
      <c r="F19" s="36"/>
      <c r="H19" s="8">
        <v>14</v>
      </c>
      <c r="I19" s="30" t="s">
        <v>124</v>
      </c>
      <c r="J19" s="30" t="s">
        <v>125</v>
      </c>
    </row>
    <row r="20" spans="2:10" ht="14.25" customHeight="1" x14ac:dyDescent="0.35">
      <c r="H20" s="8">
        <v>15</v>
      </c>
      <c r="I20" s="30" t="s">
        <v>126</v>
      </c>
      <c r="J20" s="30" t="s">
        <v>127</v>
      </c>
    </row>
    <row r="21" spans="2:10" ht="19.5" customHeight="1" x14ac:dyDescent="0.35">
      <c r="B21" s="99" t="s">
        <v>128</v>
      </c>
      <c r="C21" s="99"/>
      <c r="D21" s="99"/>
      <c r="E21" s="99"/>
      <c r="F21" s="99"/>
    </row>
    <row r="22" spans="2:10" ht="14.25" customHeight="1" x14ac:dyDescent="0.35">
      <c r="B22" s="36"/>
      <c r="C22" s="16" t="s">
        <v>129</v>
      </c>
      <c r="D22" s="36"/>
      <c r="E22" s="2">
        <v>8</v>
      </c>
      <c r="F22" s="36"/>
    </row>
    <row r="23" spans="2:10" ht="14.25" customHeight="1" x14ac:dyDescent="0.35">
      <c r="B23" s="36"/>
      <c r="C23" s="16" t="s">
        <v>130</v>
      </c>
      <c r="D23" s="36"/>
      <c r="E23" s="2">
        <v>10</v>
      </c>
      <c r="F23" s="36"/>
    </row>
    <row r="24" spans="2:10" ht="14.25" customHeight="1" x14ac:dyDescent="0.35">
      <c r="B24" s="36"/>
      <c r="C24" s="16" t="s">
        <v>131</v>
      </c>
      <c r="D24" s="36"/>
      <c r="E24" s="37">
        <v>0.04</v>
      </c>
      <c r="F24" s="36"/>
    </row>
    <row r="25" spans="2:10" ht="14.25" customHeight="1" x14ac:dyDescent="0.35">
      <c r="B25" s="36"/>
      <c r="C25" s="16" t="s">
        <v>132</v>
      </c>
      <c r="D25" s="36"/>
      <c r="E25" s="37">
        <v>0.04</v>
      </c>
      <c r="F25" s="36"/>
    </row>
    <row r="27" spans="2:10" ht="19.5" customHeight="1" x14ac:dyDescent="0.35">
      <c r="B27" s="99" t="s">
        <v>133</v>
      </c>
      <c r="C27" s="99"/>
      <c r="D27" s="99"/>
      <c r="E27" s="99"/>
      <c r="F27" s="99"/>
    </row>
    <row r="28" spans="2:10" ht="14.25" customHeight="1" x14ac:dyDescent="0.35">
      <c r="B28" s="36"/>
      <c r="C28" s="16" t="s">
        <v>134</v>
      </c>
      <c r="D28" s="36"/>
      <c r="E28" s="37">
        <v>0.05</v>
      </c>
      <c r="F28" s="36"/>
    </row>
    <row r="29" spans="2:10" ht="14.25" customHeight="1" x14ac:dyDescent="0.35">
      <c r="B29" s="36"/>
      <c r="C29" s="16" t="s">
        <v>135</v>
      </c>
      <c r="D29" s="36"/>
      <c r="E29" s="37">
        <v>0.1</v>
      </c>
      <c r="F29" s="36"/>
    </row>
    <row r="30" spans="2:10" ht="14.25" customHeight="1" x14ac:dyDescent="0.35">
      <c r="B30" s="36"/>
      <c r="C30" s="16" t="s">
        <v>136</v>
      </c>
      <c r="D30" s="36"/>
      <c r="E30" s="37">
        <v>0.15</v>
      </c>
      <c r="F30" s="36"/>
    </row>
    <row r="31" spans="2:10" ht="14.25" customHeight="1" x14ac:dyDescent="0.35">
      <c r="B31" s="36"/>
      <c r="C31" s="16" t="s">
        <v>137</v>
      </c>
      <c r="D31" s="36"/>
      <c r="E31" s="37">
        <v>0.25</v>
      </c>
      <c r="F31" s="36"/>
    </row>
    <row r="32" spans="2:10" ht="14.25" customHeight="1" x14ac:dyDescent="0.35">
      <c r="B32" s="36"/>
      <c r="C32" s="16" t="s">
        <v>138</v>
      </c>
      <c r="D32" s="36"/>
      <c r="E32" s="37">
        <v>1</v>
      </c>
      <c r="F32" s="36"/>
    </row>
    <row r="33" spans="2:6" ht="14.25" customHeight="1" x14ac:dyDescent="0.35">
      <c r="B33" s="36"/>
      <c r="C33" s="16" t="s">
        <v>139</v>
      </c>
      <c r="D33" s="36"/>
      <c r="E33" s="37">
        <v>1</v>
      </c>
      <c r="F33" s="36"/>
    </row>
    <row r="35" spans="2:6" ht="19.5" customHeight="1" x14ac:dyDescent="0.35">
      <c r="B35" s="99" t="s">
        <v>140</v>
      </c>
      <c r="C35" s="99"/>
      <c r="D35" s="99"/>
      <c r="E35" s="99"/>
      <c r="F35" s="99"/>
    </row>
    <row r="36" spans="2:6" ht="14.25" customHeight="1" x14ac:dyDescent="0.35">
      <c r="B36" s="7" t="s">
        <v>68</v>
      </c>
      <c r="C36" s="7" t="s">
        <v>141</v>
      </c>
      <c r="D36" s="7" t="s">
        <v>142</v>
      </c>
      <c r="E36" s="7" t="s">
        <v>143</v>
      </c>
    </row>
    <row r="37" spans="2:6" ht="14.25" customHeight="1" x14ac:dyDescent="0.35">
      <c r="B37" s="24" t="s">
        <v>53</v>
      </c>
      <c r="C37" s="38">
        <v>0.9</v>
      </c>
      <c r="D37" s="38">
        <v>1.5</v>
      </c>
      <c r="E37" s="39"/>
    </row>
    <row r="38" spans="2:6" ht="14.25" customHeight="1" x14ac:dyDescent="0.35">
      <c r="B38" s="24" t="s">
        <v>54</v>
      </c>
      <c r="C38" s="38">
        <v>0.7</v>
      </c>
      <c r="D38" s="38">
        <v>0.89990000000000003</v>
      </c>
      <c r="E38" s="40"/>
    </row>
    <row r="39" spans="2:6" ht="14.25" customHeight="1" x14ac:dyDescent="0.35">
      <c r="B39" s="24" t="s">
        <v>55</v>
      </c>
      <c r="C39" s="38">
        <v>-1</v>
      </c>
      <c r="D39" s="38">
        <v>0.69989999999999997</v>
      </c>
      <c r="E39" s="41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6B23"/>
    <pageSetUpPr fitToPage="1"/>
  </sheetPr>
  <dimension ref="A1:BC23"/>
  <sheetViews>
    <sheetView showGridLines="0" zoomScale="71" zoomScaleNormal="71" workbookViewId="0">
      <pane xSplit="3" ySplit="5" topLeftCell="AO6" activePane="bottomRight" state="frozen"/>
      <selection pane="topRight" activeCell="D1" sqref="D1"/>
      <selection pane="bottomLeft" activeCell="A6" sqref="A6"/>
      <selection pane="bottomRight" activeCell="AV10" sqref="AV1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144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145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147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Enero'!B6</f>
        <v>Almacen de Repuestos</v>
      </c>
      <c r="AT4" s="53">
        <f>'Captura Enero'!K6+'Captura Enero'!N6+'Captura Enero'!Q6</f>
        <v>0.24</v>
      </c>
      <c r="AU4" s="53">
        <f>'Captura Enero'!T6</f>
        <v>0.06</v>
      </c>
      <c r="AV4" s="53">
        <f>'Captura Enero'!V6</f>
        <v>0.25</v>
      </c>
      <c r="AW4" s="53">
        <f>'Captura Enero'!G6</f>
        <v>0.2</v>
      </c>
      <c r="AX4" s="53">
        <f>'Captura Enero'!X6</f>
        <v>0.25</v>
      </c>
      <c r="AY4" s="53">
        <f>'Captura Enero'!AC6</f>
        <v>0</v>
      </c>
      <c r="AZ4" s="54">
        <f>-'Captura Enero'!AN6</f>
        <v>0</v>
      </c>
      <c r="BA4" s="55">
        <f>'Captura Enero'!AQ6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Enero'!B7</f>
        <v>Alrededores</v>
      </c>
      <c r="AT5" s="60">
        <f>'Captura Enero'!K7+'Captura Enero'!N7+'Captura Enero'!Q7</f>
        <v>0.24</v>
      </c>
      <c r="AU5" s="60">
        <f>'Captura Enero'!T7</f>
        <v>0.06</v>
      </c>
      <c r="AV5" s="60">
        <f>'Captura Enero'!V7</f>
        <v>0.25</v>
      </c>
      <c r="AW5" s="60">
        <f>'Captura Enero'!G7</f>
        <v>0.2</v>
      </c>
      <c r="AX5" s="60">
        <f>'Captura Enero'!X7</f>
        <v>0.15</v>
      </c>
      <c r="AY5" s="60">
        <f>'Captura Enero'!AC7</f>
        <v>0.04</v>
      </c>
      <c r="AZ5" s="61">
        <f>-'Captura Enero'!AN7</f>
        <v>0</v>
      </c>
      <c r="BA5" s="62">
        <f>'Captura Enero'!AQ7</f>
        <v>0.94000000000000006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2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Enero'!B8</f>
        <v>Calidad</v>
      </c>
      <c r="AT6" s="53">
        <f>'Captura Enero'!K8+'Captura Enero'!N8+'Captura Enero'!Q8</f>
        <v>0.24</v>
      </c>
      <c r="AU6" s="53">
        <f>'Captura Enero'!T8</f>
        <v>0.06</v>
      </c>
      <c r="AV6" s="53">
        <f>'Captura Enero'!V8</f>
        <v>0.25</v>
      </c>
      <c r="AW6" s="53">
        <f>'Captura Enero'!G8</f>
        <v>0.2</v>
      </c>
      <c r="AX6" s="53">
        <f>'Captura Enero'!X8</f>
        <v>0.25</v>
      </c>
      <c r="AY6" s="53">
        <f>'Captura Enero'!AC8</f>
        <v>0.08</v>
      </c>
      <c r="AZ6" s="54">
        <f>-'Captura Enero'!AN8</f>
        <v>0</v>
      </c>
      <c r="BA6" s="55">
        <f>'Captura Enero'!AQ8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2</v>
      </c>
      <c r="X7" s="66">
        <f>MAX(0,Parametros!$E$12-Parametros!$E$18*W7)</f>
        <v>0.15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70">
        <f>MAX(0,MIN(1,MAX(0,AP7-IF(S7="NO",Parametros!$E$17,0))+AC7)-AN7-IF(AO7="SI",Parametros!$E$33,0))</f>
        <v>0.94000000000000006</v>
      </c>
      <c r="AR7" s="42"/>
      <c r="AS7" s="59" t="str">
        <f>'Captura Enero'!B9</f>
        <v>Centro de Distribucion</v>
      </c>
      <c r="AT7" s="60">
        <f>'Captura Enero'!K9+'Captura Enero'!N9+'Captura Enero'!Q9</f>
        <v>0.24</v>
      </c>
      <c r="AU7" s="60">
        <f>'Captura Enero'!T9</f>
        <v>0.06</v>
      </c>
      <c r="AV7" s="60">
        <f>'Captura Enero'!V9</f>
        <v>0.25</v>
      </c>
      <c r="AW7" s="60">
        <f>'Captura Enero'!G9</f>
        <v>0.1974358974358974</v>
      </c>
      <c r="AX7" s="60">
        <f>'Captura Enero'!X9</f>
        <v>0.25</v>
      </c>
      <c r="AY7" s="60">
        <f>'Captura Enero'!AC9</f>
        <v>0.04</v>
      </c>
      <c r="AZ7" s="61">
        <f>-'Captura Enero'!AN9</f>
        <v>0</v>
      </c>
      <c r="BA7" s="62">
        <f>'Captura Enero'!AQ9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34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Enero'!B10</f>
        <v>ETEI</v>
      </c>
      <c r="AT8" s="53">
        <f>'Captura Enero'!K10+'Captura Enero'!N10+'Captura Enero'!Q10</f>
        <v>0.24</v>
      </c>
      <c r="AU8" s="53">
        <f>'Captura Enero'!T10</f>
        <v>0.06</v>
      </c>
      <c r="AV8" s="53">
        <f>'Captura Enero'!V10</f>
        <v>0.25</v>
      </c>
      <c r="AW8" s="53">
        <f>'Captura Enero'!G10</f>
        <v>0.15000000000000002</v>
      </c>
      <c r="AX8" s="53">
        <f>'Captura Enero'!X10</f>
        <v>0.25</v>
      </c>
      <c r="AY8" s="53">
        <f>'Captura Enero'!AC10</f>
        <v>0</v>
      </c>
      <c r="AZ8" s="54">
        <f>-'Captura Enero'!AN10</f>
        <v>0</v>
      </c>
      <c r="BA8" s="55">
        <f>'Captura Enero'!AQ10</f>
        <v>0.95000000000000007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0.97435897435897401</v>
      </c>
      <c r="E9" s="65">
        <v>1</v>
      </c>
      <c r="F9" s="11">
        <f t="shared" si="0"/>
        <v>0.987179487179487</v>
      </c>
      <c r="G9" s="66">
        <f>F9*Parametros!$E$6</f>
        <v>0.1974358974358974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21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70">
        <f>MAX(0,MIN(1,MAX(0,AP9-IF(S9="NO",Parametros!$E$17,0))+AC9)-AN9-IF(AO9="SI",Parametros!$E$33,0))</f>
        <v>1</v>
      </c>
      <c r="AR9" s="42"/>
      <c r="AS9" s="59" t="str">
        <f>'Captura Enero'!B11</f>
        <v>Equipos Auxiliares</v>
      </c>
      <c r="AT9" s="60">
        <f>'Captura Enero'!K11+'Captura Enero'!N11+'Captura Enero'!Q11</f>
        <v>0.24</v>
      </c>
      <c r="AU9" s="60">
        <f>'Captura Enero'!T11</f>
        <v>0</v>
      </c>
      <c r="AV9" s="60">
        <f>'Captura Enero'!V11</f>
        <v>0.25</v>
      </c>
      <c r="AW9" s="60">
        <f>'Captura Enero'!G11</f>
        <v>0.2</v>
      </c>
      <c r="AX9" s="60">
        <f>'Captura Enero'!X11</f>
        <v>0.25</v>
      </c>
      <c r="AY9" s="60">
        <f>'Captura Enero'!AC11</f>
        <v>0</v>
      </c>
      <c r="AZ9" s="61">
        <f>-'Captura Enero'!AN11</f>
        <v>0</v>
      </c>
      <c r="BA9" s="62">
        <f>'Captura Enero'!AQ11</f>
        <v>0.84000000000000008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0.5</v>
      </c>
      <c r="F10" s="11">
        <f t="shared" si="0"/>
        <v>0.75</v>
      </c>
      <c r="G10" s="66">
        <f>F10*Parametros!$E$6</f>
        <v>0.15000000000000002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7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70">
        <f>MAX(0,MIN(1,MAX(0,AP10-IF(S10="NO",Parametros!$E$17,0))+AC10)-AN10-IF(AO10="SI",Parametros!$E$33,0))</f>
        <v>0.95000000000000007</v>
      </c>
      <c r="AR10" s="42"/>
      <c r="AS10" s="52" t="str">
        <f>'Captura Enero'!B12</f>
        <v>Jarabes</v>
      </c>
      <c r="AT10" s="53">
        <f>'Captura Enero'!K12+'Captura Enero'!N12+'Captura Enero'!Q12</f>
        <v>0.24</v>
      </c>
      <c r="AU10" s="53">
        <f>'Captura Enero'!T12</f>
        <v>0.06</v>
      </c>
      <c r="AV10" s="53">
        <f>'Captura Enero'!V12</f>
        <v>0.25</v>
      </c>
      <c r="AW10" s="53">
        <f>'Captura Enero'!G12</f>
        <v>0.2</v>
      </c>
      <c r="AX10" s="53">
        <f>'Captura Enero'!X12</f>
        <v>0</v>
      </c>
      <c r="AY10" s="53">
        <f>'Captura Enero'!AC12</f>
        <v>0.04</v>
      </c>
      <c r="AZ10" s="54">
        <f>-'Captura Enero'!AN12</f>
        <v>0</v>
      </c>
      <c r="BA10" s="55">
        <f>'Captura Enero'!AQ12</f>
        <v>0.79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0</v>
      </c>
      <c r="S11" s="68" t="s">
        <v>201</v>
      </c>
      <c r="T11" s="66">
        <f>IF(S11="NO",0,R11*Parametros!$E$10)</f>
        <v>0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9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70">
        <f>MAX(0,MIN(1,MAX(0,AP11-IF(S11="NO",Parametros!$E$17,0))+AC11)-AN11-IF(AO11="SI",Parametros!$E$33,0))</f>
        <v>0.84000000000000008</v>
      </c>
      <c r="AR11" s="42"/>
      <c r="AS11" s="59" t="str">
        <f>'Captura Enero'!B13</f>
        <v>Linea 1</v>
      </c>
      <c r="AT11" s="60">
        <f>'Captura Enero'!K13+'Captura Enero'!N13+'Captura Enero'!Q13</f>
        <v>0.24</v>
      </c>
      <c r="AU11" s="60">
        <f>'Captura Enero'!T13</f>
        <v>0.06</v>
      </c>
      <c r="AV11" s="60">
        <f>'Captura Enero'!V13</f>
        <v>0.25</v>
      </c>
      <c r="AW11" s="60">
        <f>'Captura Enero'!G13</f>
        <v>0.2</v>
      </c>
      <c r="AX11" s="60">
        <f>'Captura Enero'!X13</f>
        <v>0.25</v>
      </c>
      <c r="AY11" s="60">
        <f>'Captura Enero'!AC13</f>
        <v>0.04</v>
      </c>
      <c r="AZ11" s="61">
        <f>-'Captura Enero'!AN13</f>
        <v>-0.05</v>
      </c>
      <c r="BA11" s="62">
        <f>'Captura Enero'!AQ13</f>
        <v>0.95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6</v>
      </c>
      <c r="X12" s="66">
        <f>MAX(0,Parametros!$E$12-Parametros!$E$18*W12)</f>
        <v>0</v>
      </c>
      <c r="Y12" s="67">
        <v>4</v>
      </c>
      <c r="Z12" s="67">
        <v>11</v>
      </c>
      <c r="AA12" s="69">
        <f>IF(Y12&gt;=Parametros!$E$22,Parametros!$E$24,0)</f>
        <v>0</v>
      </c>
      <c r="AB12" s="69">
        <f>IF(Z12&gt;=Parametros!$E$23,Parametros!$E$25,0)</f>
        <v>0.04</v>
      </c>
      <c r="AC12" s="69">
        <f t="shared" si="1"/>
        <v>0.04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70">
        <f>MAX(0,MIN(1,MAX(0,AP12-IF(S12="NO",Parametros!$E$17,0))+AC12)-AN12-IF(AO12="SI",Parametros!$E$33,0))</f>
        <v>0.79</v>
      </c>
      <c r="AR12" s="42"/>
      <c r="AS12" s="52" t="str">
        <f>'Captura Enero'!B14</f>
        <v>Linea 2</v>
      </c>
      <c r="AT12" s="53">
        <f>'Captura Enero'!K14+'Captura Enero'!N14+'Captura Enero'!Q14</f>
        <v>0.24</v>
      </c>
      <c r="AU12" s="53">
        <f>'Captura Enero'!T14</f>
        <v>0.06</v>
      </c>
      <c r="AV12" s="53">
        <f>'Captura Enero'!V14</f>
        <v>0.25</v>
      </c>
      <c r="AW12" s="53">
        <f>'Captura Enero'!G14</f>
        <v>0.2</v>
      </c>
      <c r="AX12" s="53">
        <f>'Captura Enero'!X14</f>
        <v>0.2</v>
      </c>
      <c r="AY12" s="53">
        <f>'Captura Enero'!AC14</f>
        <v>0.04</v>
      </c>
      <c r="AZ12" s="54">
        <f>-'Captura Enero'!AN14</f>
        <v>0</v>
      </c>
      <c r="BA12" s="55">
        <f>'Captura Enero'!AQ14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0</v>
      </c>
      <c r="X13" s="66">
        <f>MAX(0,Parametros!$E$12-Parametros!$E$18*W13)</f>
        <v>0.25</v>
      </c>
      <c r="Y13" s="67">
        <v>4</v>
      </c>
      <c r="Z13" s="67">
        <v>21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70">
        <f>MAX(0,MIN(1,MAX(0,AP13-IF(S13="NO",Parametros!$E$17,0))+AC13)-AN13-IF(AO13="SI",Parametros!$E$33,0))</f>
        <v>0.95</v>
      </c>
      <c r="AR13" s="42"/>
      <c r="AS13" s="59" t="str">
        <f>'Captura Enero'!B15</f>
        <v>Linea 3</v>
      </c>
      <c r="AT13" s="60">
        <f>'Captura Enero'!K15+'Captura Enero'!N15+'Captura Enero'!Q15</f>
        <v>0.24</v>
      </c>
      <c r="AU13" s="60">
        <f>'Captura Enero'!T15</f>
        <v>0.06</v>
      </c>
      <c r="AV13" s="60">
        <f>'Captura Enero'!V15</f>
        <v>0.25</v>
      </c>
      <c r="AW13" s="60">
        <f>'Captura Enero'!G15</f>
        <v>0.2</v>
      </c>
      <c r="AX13" s="60">
        <f>'Captura Enero'!X15</f>
        <v>0.15</v>
      </c>
      <c r="AY13" s="60">
        <f>'Captura Enero'!AC15</f>
        <v>0.04</v>
      </c>
      <c r="AZ13" s="61">
        <f>-'Captura Enero'!AN15</f>
        <v>0</v>
      </c>
      <c r="BA13" s="62">
        <f>'Captura Enero'!AQ15</f>
        <v>0.94000000000000006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12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Enero'!B16</f>
        <v>Linea 4</v>
      </c>
      <c r="AT14" s="53">
        <f>'Captura Enero'!K16+'Captura Enero'!N16+'Captura Enero'!Q16</f>
        <v>0.24</v>
      </c>
      <c r="AU14" s="53">
        <f>'Captura Enero'!T16</f>
        <v>0.06</v>
      </c>
      <c r="AV14" s="53">
        <f>'Captura Enero'!V16</f>
        <v>0.25</v>
      </c>
      <c r="AW14" s="53">
        <f>'Captura Enero'!G16</f>
        <v>0.2</v>
      </c>
      <c r="AX14" s="53">
        <f>'Captura Enero'!X16</f>
        <v>0.15</v>
      </c>
      <c r="AY14" s="53">
        <f>'Captura Enero'!AC16</f>
        <v>0</v>
      </c>
      <c r="AZ14" s="54">
        <f>-'Captura Enero'!AN16</f>
        <v>0</v>
      </c>
      <c r="BA14" s="55">
        <f>'Captura Enero'!AQ16</f>
        <v>0.9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2</v>
      </c>
      <c r="X15" s="66">
        <f>MAX(0,Parametros!$E$12-Parametros!$E$18*W15)</f>
        <v>0.15</v>
      </c>
      <c r="Y15" s="67">
        <v>4</v>
      </c>
      <c r="Z15" s="67">
        <v>12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70">
        <f>MAX(0,MIN(1,MAX(0,AP15-IF(S15="NO",Parametros!$E$17,0))+AC15)-AN15-IF(AO15="SI",Parametros!$E$33,0))</f>
        <v>0.94000000000000006</v>
      </c>
      <c r="AR15" s="42"/>
      <c r="AS15" s="59" t="str">
        <f>'Captura Enero'!B17</f>
        <v>Linea 5</v>
      </c>
      <c r="AT15" s="60">
        <f>'Captura Enero'!K17+'Captura Enero'!N17+'Captura Enero'!Q17</f>
        <v>0.24</v>
      </c>
      <c r="AU15" s="60">
        <f>'Captura Enero'!T17</f>
        <v>0</v>
      </c>
      <c r="AV15" s="60">
        <f>'Captura Enero'!V17</f>
        <v>0.25</v>
      </c>
      <c r="AW15" s="60">
        <f>'Captura Enero'!G17</f>
        <v>0.18461538461538463</v>
      </c>
      <c r="AX15" s="60">
        <f>'Captura Enero'!X17</f>
        <v>0.25</v>
      </c>
      <c r="AY15" s="60">
        <f>'Captura Enero'!AC17</f>
        <v>0.04</v>
      </c>
      <c r="AZ15" s="61">
        <f>-'Captura Enero'!AN17</f>
        <v>0</v>
      </c>
      <c r="BA15" s="62">
        <f>'Captura Enero'!AQ17</f>
        <v>0.86461538461538467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2</v>
      </c>
      <c r="X16" s="66">
        <f>MAX(0,Parametros!$E$12-Parametros!$E$18*W16)</f>
        <v>0.15</v>
      </c>
      <c r="Y16" s="67">
        <v>2</v>
      </c>
      <c r="Z16" s="67">
        <v>5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70">
        <f>MAX(0,MIN(1,MAX(0,AP16-IF(S16="NO",Parametros!$E$17,0))+AC16)-AN16-IF(AO16="SI",Parametros!$E$33,0))</f>
        <v>0.9</v>
      </c>
      <c r="AR16" s="42"/>
      <c r="AS16" s="52" t="str">
        <f>'Captura Enero'!B18</f>
        <v>Mantenimiento</v>
      </c>
      <c r="AT16" s="53">
        <f>'Captura Enero'!K18+'Captura Enero'!N18+'Captura Enero'!Q18</f>
        <v>0.24</v>
      </c>
      <c r="AU16" s="53">
        <f>'Captura Enero'!T18</f>
        <v>0</v>
      </c>
      <c r="AV16" s="53">
        <f>'Captura Enero'!V18</f>
        <v>0.25</v>
      </c>
      <c r="AW16" s="53">
        <f>'Captura Enero'!G18</f>
        <v>0.2</v>
      </c>
      <c r="AX16" s="53">
        <f>'Captura Enero'!X18</f>
        <v>0.25</v>
      </c>
      <c r="AY16" s="53">
        <f>'Captura Enero'!AC18</f>
        <v>0</v>
      </c>
      <c r="AZ16" s="54">
        <f>-'Captura Enero'!AN18</f>
        <v>0</v>
      </c>
      <c r="BA16" s="55">
        <f>'Captura Enero'!AQ18</f>
        <v>0.84000000000000008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0.92307692307692302</v>
      </c>
      <c r="E17" s="65">
        <v>0.92307692307692302</v>
      </c>
      <c r="F17" s="11">
        <f t="shared" si="0"/>
        <v>0.92307692307692302</v>
      </c>
      <c r="G17" s="66">
        <f>F17*Parametros!$E$6</f>
        <v>0.18461538461538463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0</v>
      </c>
      <c r="S17" s="68" t="s">
        <v>201</v>
      </c>
      <c r="T17" s="66">
        <f>IF(S17="NO",0,R17*Parametros!$E$10)</f>
        <v>0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5</v>
      </c>
      <c r="Z17" s="67">
        <v>11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70">
        <f>MAX(0,MIN(1,MAX(0,AP17-IF(S17="NO",Parametros!$E$17,0))+AC17)-AN17-IF(AO17="SI",Parametros!$E$33,0))</f>
        <v>0.86461538461538467</v>
      </c>
      <c r="AR17" s="42"/>
      <c r="AS17" s="59" t="str">
        <f>'Captura Enero'!B19</f>
        <v>Materias Primas</v>
      </c>
      <c r="AT17" s="60">
        <f>'Captura Enero'!K19+'Captura Enero'!N19+'Captura Enero'!Q19</f>
        <v>0.24</v>
      </c>
      <c r="AU17" s="60">
        <f>'Captura Enero'!T19</f>
        <v>0.06</v>
      </c>
      <c r="AV17" s="60">
        <f>'Captura Enero'!V19</f>
        <v>0.25</v>
      </c>
      <c r="AW17" s="60">
        <f>'Captura Enero'!G19</f>
        <v>0.2</v>
      </c>
      <c r="AX17" s="60">
        <f>'Captura Enero'!X19</f>
        <v>0.25</v>
      </c>
      <c r="AY17" s="60">
        <f>'Captura Enero'!AC19</f>
        <v>0.04</v>
      </c>
      <c r="AZ17" s="61">
        <f>-'Captura Enero'!AN19</f>
        <v>0</v>
      </c>
      <c r="BA17" s="62">
        <f>'Captura Enero'!AQ19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9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70">
        <f>MAX(0,MIN(1,MAX(0,AP18-IF(S18="NO",Parametros!$E$17,0))+AC18)-AN18-IF(AO18="SI",Parametros!$E$33,0))</f>
        <v>0.84000000000000008</v>
      </c>
      <c r="AR18" s="42"/>
      <c r="AS18" s="52" t="str">
        <f>'Captura Enero'!B20</f>
        <v>Tratamiento de Aguas</v>
      </c>
      <c r="AT18" s="53">
        <f>'Captura Enero'!K20+'Captura Enero'!N20+'Captura Enero'!Q20</f>
        <v>0.24</v>
      </c>
      <c r="AU18" s="53">
        <f>'Captura Enero'!T20</f>
        <v>0.06</v>
      </c>
      <c r="AV18" s="53">
        <f>'Captura Enero'!V20</f>
        <v>0.25</v>
      </c>
      <c r="AW18" s="53">
        <f>'Captura Enero'!G20</f>
        <v>0.2</v>
      </c>
      <c r="AX18" s="53">
        <f>'Captura Enero'!X20</f>
        <v>0.2</v>
      </c>
      <c r="AY18" s="53">
        <f>'Captura Enero'!AC20</f>
        <v>0</v>
      </c>
      <c r="AZ18" s="54">
        <f>-'Captura Enero'!AN20</f>
        <v>0</v>
      </c>
      <c r="BA18" s="55">
        <f>'Captura Enero'!AQ20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16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202</v>
      </c>
      <c r="AT19" s="90"/>
      <c r="AU19" s="90"/>
      <c r="AV19" s="90"/>
      <c r="AW19" s="90"/>
      <c r="AX19" s="90"/>
      <c r="AY19" s="90"/>
      <c r="AZ19" s="90"/>
      <c r="BA19" s="71">
        <f>AVERAGE(BA4:BA18)</f>
        <v>0.93030769230769228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2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1" spans="1:55" ht="14.25" customHeight="1" x14ac:dyDescent="0.35">
      <c r="AB21">
        <v>0</v>
      </c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0.93030769230769228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6:AV20">
    <cfRule type="cellIs" dxfId="107" priority="2" operator="greaterThanOrEqual">
      <formula>0.9</formula>
    </cfRule>
    <cfRule type="expression" dxfId="106" priority="3">
      <formula>AND(AV6&gt;=0.7,AV6&lt;0.9)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X6:X20 AP6:AP20 AR6:AR20 J6:J20 M6:M20 P6:P20 S6:T20 AE6:AE20 AG6:AG20 AI6:AN20" xr:uid="{00000000-0002-0000-0400-000000000000}">
      <formula1>"SI,NO"</formula1>
      <formula2>0</formula2>
    </dataValidation>
    <dataValidation type="decimal" showErrorMessage="1" errorTitle="Valor invalido" error="Ingrese un porcentaje entre 0% y 150%" sqref="Z6:Z20" xr:uid="{00000000-0002-0000-04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4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400-000004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X8" sqref="AX8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205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206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Febrero'!B6</f>
        <v>Almacen de Repuestos</v>
      </c>
      <c r="AT4" s="53">
        <f>'Captura Febrero'!K6+'Captura Febrero'!N6+'Captura Febrero'!Q6</f>
        <v>0.24</v>
      </c>
      <c r="AU4" s="53">
        <f>'Captura Febrero'!T6</f>
        <v>0.06</v>
      </c>
      <c r="AV4" s="53">
        <f>'Captura Febrero'!V6</f>
        <v>0</v>
      </c>
      <c r="AW4" s="53">
        <f>'Captura Febrero'!G6</f>
        <v>0.16000000000000003</v>
      </c>
      <c r="AX4" s="53">
        <f>'Captura Febrero'!X6</f>
        <v>0.25</v>
      </c>
      <c r="AY4" s="53">
        <f>'Captura Febrero'!AC6</f>
        <v>0.04</v>
      </c>
      <c r="AZ4" s="54">
        <f>-'Captura Febrero'!AN6</f>
        <v>0</v>
      </c>
      <c r="BA4" s="55">
        <f>'Captura Febrero'!AQ6</f>
        <v>0.75000000000000011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Febrero'!B7</f>
        <v>Alrededores</v>
      </c>
      <c r="AT5" s="60">
        <f>'Captura Febrero'!K7+'Captura Febrero'!N7+'Captura Febrero'!Q7</f>
        <v>0.24</v>
      </c>
      <c r="AU5" s="60">
        <f>'Captura Febrero'!T7</f>
        <v>0.06</v>
      </c>
      <c r="AV5" s="60">
        <f>'Captura Febrero'!V7</f>
        <v>0.25</v>
      </c>
      <c r="AW5" s="60">
        <f>'Captura Febrero'!G7</f>
        <v>0.19</v>
      </c>
      <c r="AX5" s="60">
        <f>'Captura Febrero'!X7</f>
        <v>0.25</v>
      </c>
      <c r="AY5" s="60">
        <f>'Captura Febrero'!AC7</f>
        <v>0.04</v>
      </c>
      <c r="AZ5" s="61">
        <f>-'Captura Febrero'!AN7</f>
        <v>0</v>
      </c>
      <c r="BA5" s="62">
        <f>'Captura Febrero'!AQ7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0.6</v>
      </c>
      <c r="E6" s="65">
        <v>1</v>
      </c>
      <c r="F6" s="11">
        <f t="shared" ref="F6:F20" si="0">AVERAGE(D6,E6)</f>
        <v>0.8</v>
      </c>
      <c r="G6" s="66">
        <f>F6*Parametros!$E$6</f>
        <v>0.16000000000000003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11</v>
      </c>
      <c r="Z6" s="67">
        <v>2</v>
      </c>
      <c r="AA6" s="69">
        <f>IF(Y6&gt;=Parametros!$E$22,Parametros!$E$24,0)</f>
        <v>0.04</v>
      </c>
      <c r="AB6" s="69">
        <f>IF(Z6&gt;=Parametros!$E$23,Parametros!$E$25,0)</f>
        <v>0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0.71000000000000008</v>
      </c>
      <c r="AQ6" s="70">
        <f>MAX(0,MIN(1,MAX(0,AP6-IF(S6="NO",Parametros!$E$17,0))+AC6)-AN6-IF(AO6="SI",Parametros!$E$33,0))</f>
        <v>0.75000000000000011</v>
      </c>
      <c r="AR6" s="42"/>
      <c r="AS6" s="52" t="str">
        <f>'Captura Febrero'!B8</f>
        <v>Calidad</v>
      </c>
      <c r="AT6" s="53">
        <f>'Captura Febrero'!K8+'Captura Febrero'!N8+'Captura Febrero'!Q8</f>
        <v>0.24</v>
      </c>
      <c r="AU6" s="53">
        <f>'Captura Febrero'!T8</f>
        <v>0.06</v>
      </c>
      <c r="AV6" s="53">
        <f>'Captura Febrero'!V8</f>
        <v>0</v>
      </c>
      <c r="AW6" s="53">
        <f>'Captura Febrero'!G8</f>
        <v>0.2</v>
      </c>
      <c r="AX6" s="53">
        <f>'Captura Febrero'!X8</f>
        <v>0.25</v>
      </c>
      <c r="AY6" s="53">
        <f>'Captura Febrero'!AC8</f>
        <v>0.08</v>
      </c>
      <c r="AZ6" s="54">
        <f>-'Captura Febrero'!AN8</f>
        <v>0</v>
      </c>
      <c r="BA6" s="55">
        <f>'Captura Febrero'!AQ8</f>
        <v>0.83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0.9</v>
      </c>
      <c r="E7" s="65">
        <v>1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13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Febrero'!B9</f>
        <v>Centro de Distribucion</v>
      </c>
      <c r="AT7" s="60">
        <f>'Captura Febrero'!K9+'Captura Febrero'!N9+'Captura Febrero'!Q9</f>
        <v>0.24</v>
      </c>
      <c r="AU7" s="60">
        <f>'Captura Febrero'!T9</f>
        <v>0.06</v>
      </c>
      <c r="AV7" s="60">
        <f>'Captura Febrero'!V9</f>
        <v>0.25</v>
      </c>
      <c r="AW7" s="60">
        <f>'Captura Febrero'!G9</f>
        <v>0.19750000000000001</v>
      </c>
      <c r="AX7" s="60">
        <f>'Captura Febrero'!X9</f>
        <v>0.25</v>
      </c>
      <c r="AY7" s="60">
        <f>'Captura Febrero'!AC9</f>
        <v>0.04</v>
      </c>
      <c r="AZ7" s="61">
        <f>-'Captura Febrero'!AN9</f>
        <v>0</v>
      </c>
      <c r="BA7" s="62">
        <f>'Captura Febrero'!AQ9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14</v>
      </c>
      <c r="Z8" s="67">
        <v>27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0.75</v>
      </c>
      <c r="AQ8" s="70">
        <f>MAX(0,MIN(1,MAX(0,AP8-IF(S8="NO",Parametros!$E$17,0))+AC8)-AN8-IF(AO8="SI",Parametros!$E$33,0))</f>
        <v>0.83</v>
      </c>
      <c r="AR8" s="42"/>
      <c r="AS8" s="52" t="str">
        <f>'Captura Febrero'!B10</f>
        <v>ETEI</v>
      </c>
      <c r="AT8" s="53">
        <f>'Captura Febrero'!K10+'Captura Febrero'!N10+'Captura Febrero'!Q10</f>
        <v>0.16</v>
      </c>
      <c r="AU8" s="53">
        <f>'Captura Febrero'!T10</f>
        <v>0.06</v>
      </c>
      <c r="AV8" s="53">
        <f>'Captura Febrero'!V10</f>
        <v>0.25</v>
      </c>
      <c r="AW8" s="53">
        <f>'Captura Febrero'!G10</f>
        <v>0.125</v>
      </c>
      <c r="AX8" s="53">
        <f>'Captura Febrero'!X10</f>
        <v>0.25</v>
      </c>
      <c r="AY8" s="53">
        <f>'Captura Febrero'!AC10</f>
        <v>0</v>
      </c>
      <c r="AZ8" s="54">
        <f>-'Captura Febrero'!AN10</f>
        <v>0</v>
      </c>
      <c r="BA8" s="55">
        <f>'Captura Febrero'!AQ10</f>
        <v>0.84499999999999997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0.97499999999999998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2</v>
      </c>
      <c r="Z9" s="67">
        <v>19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70">
        <f>MAX(0,MIN(1,MAX(0,AP9-IF(S9="NO",Parametros!$E$17,0))+AC9)-AN9-IF(AO9="SI",Parametros!$E$33,0))</f>
        <v>1</v>
      </c>
      <c r="AR9" s="42"/>
      <c r="AS9" s="59" t="str">
        <f>'Captura Febrero'!B11</f>
        <v>Equipos Auxiliares</v>
      </c>
      <c r="AT9" s="60">
        <f>'Captura Febrero'!K11+'Captura Febrero'!N11+'Captura Febrero'!Q11</f>
        <v>0.24</v>
      </c>
      <c r="AU9" s="60">
        <f>'Captura Febrero'!T11</f>
        <v>0.06</v>
      </c>
      <c r="AV9" s="60">
        <f>'Captura Febrero'!V11</f>
        <v>0.25</v>
      </c>
      <c r="AW9" s="60">
        <f>'Captura Febrero'!G11</f>
        <v>0.17500000000000002</v>
      </c>
      <c r="AX9" s="60">
        <f>'Captura Febrero'!X11</f>
        <v>0.25</v>
      </c>
      <c r="AY9" s="60">
        <f>'Captura Febrero'!AC11</f>
        <v>0</v>
      </c>
      <c r="AZ9" s="61">
        <f>-'Captura Febrero'!AN11</f>
        <v>0</v>
      </c>
      <c r="BA9" s="62">
        <f>'Captura Febrero'!AQ11</f>
        <v>0.97500000000000009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0.25</v>
      </c>
      <c r="E10" s="65">
        <v>1</v>
      </c>
      <c r="F10" s="11">
        <f t="shared" si="0"/>
        <v>0.625</v>
      </c>
      <c r="G10" s="66">
        <f>F10*Parametros!$E$6</f>
        <v>0.125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0</v>
      </c>
      <c r="M10" s="68" t="s">
        <v>201</v>
      </c>
      <c r="N10" s="66">
        <f>IF(M10="NO",0,L10*Parametros!$E$8)</f>
        <v>0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70">
        <f>MAX(0,MIN(1,MAX(0,AP10-IF(S10="NO",Parametros!$E$17,0))+AC10)-AN10-IF(AO10="SI",Parametros!$E$33,0))</f>
        <v>0.84499999999999997</v>
      </c>
      <c r="AR10" s="42"/>
      <c r="AS10" s="52" t="str">
        <f>'Captura Febrero'!B12</f>
        <v>Jarabes</v>
      </c>
      <c r="AT10" s="53">
        <f>'Captura Febrero'!K12+'Captura Febrero'!N12+'Captura Febrero'!Q12</f>
        <v>0.24</v>
      </c>
      <c r="AU10" s="53">
        <f>'Captura Febrero'!T12</f>
        <v>0.06</v>
      </c>
      <c r="AV10" s="53">
        <f>'Captura Febrero'!V12</f>
        <v>0.25</v>
      </c>
      <c r="AW10" s="53">
        <f>'Captura Febrero'!G12</f>
        <v>0.2</v>
      </c>
      <c r="AX10" s="53">
        <f>'Captura Febrero'!X12</f>
        <v>0.15</v>
      </c>
      <c r="AY10" s="53">
        <f>'Captura Febrero'!AC12</f>
        <v>0</v>
      </c>
      <c r="AZ10" s="54">
        <f>-'Captura Febrero'!AN12</f>
        <v>0</v>
      </c>
      <c r="BA10" s="55">
        <f>'Captura Febrero'!AQ12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0.75</v>
      </c>
      <c r="F11" s="11">
        <f t="shared" si="0"/>
        <v>0.875</v>
      </c>
      <c r="G11" s="66">
        <f>F11*Parametros!$E$6</f>
        <v>0.17500000000000002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1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70">
        <f>MAX(0,MIN(1,MAX(0,AP11-IF(S11="NO",Parametros!$E$17,0))+AC11)-AN11-IF(AO11="SI",Parametros!$E$33,0))</f>
        <v>0.97500000000000009</v>
      </c>
      <c r="AR11" s="42"/>
      <c r="AS11" s="59" t="str">
        <f>'Captura Febrero'!B13</f>
        <v>Linea 1</v>
      </c>
      <c r="AT11" s="60">
        <f>'Captura Febrero'!K13+'Captura Febrero'!N13+'Captura Febrero'!Q13</f>
        <v>0.24</v>
      </c>
      <c r="AU11" s="60">
        <f>'Captura Febrero'!T13</f>
        <v>0.06</v>
      </c>
      <c r="AV11" s="60">
        <f>'Captura Febrero'!V13</f>
        <v>0.25</v>
      </c>
      <c r="AW11" s="60">
        <f>'Captura Febrero'!G13</f>
        <v>0.2</v>
      </c>
      <c r="AX11" s="60">
        <f>'Captura Febrero'!X13</f>
        <v>0.2</v>
      </c>
      <c r="AY11" s="60">
        <f>'Captura Febrero'!AC13</f>
        <v>0.04</v>
      </c>
      <c r="AZ11" s="61">
        <f>-'Captura Febrero'!AN13</f>
        <v>0</v>
      </c>
      <c r="BA11" s="62">
        <f>'Captura Febrero'!AQ13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2</v>
      </c>
      <c r="X12" s="66">
        <f>MAX(0,Parametros!$E$12-Parametros!$E$18*W12)</f>
        <v>0.15</v>
      </c>
      <c r="Y12" s="67">
        <v>0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70">
        <f>MAX(0,MIN(1,MAX(0,AP12-IF(S12="NO",Parametros!$E$17,0))+AC12)-AN12-IF(AO12="SI",Parametros!$E$33,0))</f>
        <v>0.9</v>
      </c>
      <c r="AR12" s="42"/>
      <c r="AS12" s="52" t="str">
        <f>'Captura Febrero'!B14</f>
        <v>Linea 2</v>
      </c>
      <c r="AT12" s="53">
        <f>'Captura Febrero'!K14+'Captura Febrero'!N14+'Captura Febrero'!Q14</f>
        <v>0.24</v>
      </c>
      <c r="AU12" s="53">
        <f>'Captura Febrero'!T14</f>
        <v>0.06</v>
      </c>
      <c r="AV12" s="53">
        <f>'Captura Febrero'!V14</f>
        <v>0.25</v>
      </c>
      <c r="AW12" s="53">
        <f>'Captura Febrero'!G14</f>
        <v>0.2</v>
      </c>
      <c r="AX12" s="53">
        <f>'Captura Febrero'!X14</f>
        <v>0.2</v>
      </c>
      <c r="AY12" s="53">
        <f>'Captura Febrero'!AC14</f>
        <v>0</v>
      </c>
      <c r="AZ12" s="54">
        <f>-'Captura Febrero'!AN14</f>
        <v>0</v>
      </c>
      <c r="BA12" s="55">
        <f>'Captura Febrero'!AQ14</f>
        <v>0.95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5</v>
      </c>
      <c r="Z13" s="67">
        <v>11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Febrero'!B15</f>
        <v>Linea 3</v>
      </c>
      <c r="AT13" s="60">
        <f>'Captura Febrero'!K15+'Captura Febrero'!N15+'Captura Febrero'!Q15</f>
        <v>0.24</v>
      </c>
      <c r="AU13" s="60">
        <f>'Captura Febrero'!T15</f>
        <v>0.06</v>
      </c>
      <c r="AV13" s="60">
        <f>'Captura Febrero'!V15</f>
        <v>0.25</v>
      </c>
      <c r="AW13" s="60">
        <f>'Captura Febrero'!G15</f>
        <v>0.19473684210526321</v>
      </c>
      <c r="AX13" s="60">
        <f>'Captura Febrero'!X15</f>
        <v>0.2</v>
      </c>
      <c r="AY13" s="60">
        <f>'Captura Febrero'!AC15</f>
        <v>0.04</v>
      </c>
      <c r="AZ13" s="61">
        <f>-'Captura Febrero'!AN15</f>
        <v>0</v>
      </c>
      <c r="BA13" s="62">
        <f>'Captura Febrero'!AQ15</f>
        <v>0.98473684210526335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2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0.95</v>
      </c>
      <c r="AR14" s="42"/>
      <c r="AS14" s="52" t="str">
        <f>'Captura Febrero'!B16</f>
        <v>Linea 4</v>
      </c>
      <c r="AT14" s="53">
        <f>'Captura Febrero'!K16+'Captura Febrero'!N16+'Captura Febrero'!Q16</f>
        <v>0.24</v>
      </c>
      <c r="AU14" s="53">
        <f>'Captura Febrero'!T16</f>
        <v>0.06</v>
      </c>
      <c r="AV14" s="53">
        <f>'Captura Febrero'!V16</f>
        <v>0</v>
      </c>
      <c r="AW14" s="53">
        <f>'Captura Febrero'!G16</f>
        <v>0.11428571428571431</v>
      </c>
      <c r="AX14" s="53">
        <f>'Captura Febrero'!X16</f>
        <v>0.25</v>
      </c>
      <c r="AY14" s="53">
        <f>'Captura Febrero'!AC16</f>
        <v>0</v>
      </c>
      <c r="AZ14" s="54">
        <f>-'Captura Febrero'!AN16</f>
        <v>0</v>
      </c>
      <c r="BA14" s="55">
        <f>'Captura Febrero'!AQ16</f>
        <v>0.66428571428571437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0.94736842105263197</v>
      </c>
      <c r="F15" s="11">
        <f t="shared" si="0"/>
        <v>0.97368421052631593</v>
      </c>
      <c r="G15" s="66">
        <f>F15*Parametros!$E$6</f>
        <v>0.19473684210526321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8</v>
      </c>
      <c r="Z15" s="67">
        <v>5</v>
      </c>
      <c r="AA15" s="69">
        <f>IF(Y15&gt;=Parametros!$E$22,Parametros!$E$24,0)</f>
        <v>0.04</v>
      </c>
      <c r="AB15" s="69">
        <f>IF(Z15&gt;=Parametros!$E$23,Parametros!$E$25,0)</f>
        <v>0</v>
      </c>
      <c r="AC15" s="69">
        <f t="shared" si="1"/>
        <v>0.04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70">
        <f>MAX(0,MIN(1,MAX(0,AP15-IF(S15="NO",Parametros!$E$17,0))+AC15)-AN15-IF(AO15="SI",Parametros!$E$33,0))</f>
        <v>0.98473684210526335</v>
      </c>
      <c r="AR15" s="42"/>
      <c r="AS15" s="59" t="str">
        <f>'Captura Febrero'!B17</f>
        <v>Linea 5</v>
      </c>
      <c r="AT15" s="60">
        <f>'Captura Febrero'!K17+'Captura Febrero'!N17+'Captura Febrero'!Q17</f>
        <v>0.24</v>
      </c>
      <c r="AU15" s="60">
        <f>'Captura Febrero'!T17</f>
        <v>0.06</v>
      </c>
      <c r="AV15" s="60">
        <f>'Captura Febrero'!V17</f>
        <v>0.25</v>
      </c>
      <c r="AW15" s="60">
        <f>'Captura Febrero'!G17</f>
        <v>0.16428571428571431</v>
      </c>
      <c r="AX15" s="60">
        <f>'Captura Febrero'!X17</f>
        <v>0.25</v>
      </c>
      <c r="AY15" s="60">
        <f>'Captura Febrero'!AC17</f>
        <v>0</v>
      </c>
      <c r="AZ15" s="61">
        <f>-'Captura Febrero'!AN17</f>
        <v>0</v>
      </c>
      <c r="BA15" s="62">
        <f>'Captura Febrero'!AQ17</f>
        <v>0.96428571428571441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0.42857142857142899</v>
      </c>
      <c r="E16" s="65">
        <v>0.71428571428571397</v>
      </c>
      <c r="F16" s="11">
        <f t="shared" si="0"/>
        <v>0.57142857142857151</v>
      </c>
      <c r="G16" s="66">
        <f>F16*Parametros!$E$6</f>
        <v>0.11428571428571431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4</v>
      </c>
      <c r="Z16" s="67">
        <v>4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0.66428571428571437</v>
      </c>
      <c r="AQ16" s="70">
        <f>MAX(0,MIN(1,MAX(0,AP16-IF(S16="NO",Parametros!$E$17,0))+AC16)-AN16-IF(AO16="SI",Parametros!$E$33,0))</f>
        <v>0.66428571428571437</v>
      </c>
      <c r="AR16" s="42"/>
      <c r="AS16" s="52" t="str">
        <f>'Captura Febrero'!B18</f>
        <v>Mantenimiento</v>
      </c>
      <c r="AT16" s="53">
        <f>'Captura Febrero'!K18+'Captura Febrero'!N18+'Captura Febrero'!Q18</f>
        <v>0.24</v>
      </c>
      <c r="AU16" s="53">
        <f>'Captura Febrero'!T18</f>
        <v>0</v>
      </c>
      <c r="AV16" s="53">
        <f>'Captura Febrero'!V18</f>
        <v>0.25</v>
      </c>
      <c r="AW16" s="53">
        <f>'Captura Febrero'!G18</f>
        <v>0.1705882352941176</v>
      </c>
      <c r="AX16" s="53">
        <f>'Captura Febrero'!X18</f>
        <v>0.25</v>
      </c>
      <c r="AY16" s="53">
        <f>'Captura Febrero'!AC18</f>
        <v>0</v>
      </c>
      <c r="AZ16" s="54">
        <f>-'Captura Febrero'!AN18</f>
        <v>0</v>
      </c>
      <c r="BA16" s="55">
        <f>'Captura Febrero'!AQ18</f>
        <v>0.81058823529411772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0.85714285714285698</v>
      </c>
      <c r="F17" s="11">
        <f t="shared" si="0"/>
        <v>0.82142857142857151</v>
      </c>
      <c r="G17" s="66">
        <f>F17*Parametros!$E$6</f>
        <v>0.16428571428571431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0</v>
      </c>
      <c r="Z17" s="67">
        <v>9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70">
        <f>MAX(0,MIN(1,MAX(0,AP17-IF(S17="NO",Parametros!$E$17,0))+AC17)-AN17-IF(AO17="SI",Parametros!$E$33,0))</f>
        <v>0.96428571428571441</v>
      </c>
      <c r="AR17" s="42"/>
      <c r="AS17" s="59" t="str">
        <f>'Captura Febrero'!B19</f>
        <v>Materias Primas</v>
      </c>
      <c r="AT17" s="60">
        <f>'Captura Febrero'!K19+'Captura Febrero'!N19+'Captura Febrero'!Q19</f>
        <v>0.24</v>
      </c>
      <c r="AU17" s="60">
        <f>'Captura Febrero'!T19</f>
        <v>0.06</v>
      </c>
      <c r="AV17" s="60">
        <f>'Captura Febrero'!V19</f>
        <v>0.25</v>
      </c>
      <c r="AW17" s="60">
        <f>'Captura Febrero'!G19</f>
        <v>0.2</v>
      </c>
      <c r="AX17" s="60">
        <f>'Captura Febrero'!X19</f>
        <v>0.25</v>
      </c>
      <c r="AY17" s="60">
        <f>'Captura Febrero'!AC19</f>
        <v>0.04</v>
      </c>
      <c r="AZ17" s="61">
        <f>-'Captura Febrero'!AN19</f>
        <v>0</v>
      </c>
      <c r="BA17" s="62">
        <f>'Captura Febrero'!AQ19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0.76470588235294101</v>
      </c>
      <c r="E18" s="65">
        <v>0.94117647058823495</v>
      </c>
      <c r="F18" s="11">
        <f t="shared" si="0"/>
        <v>0.85294117647058798</v>
      </c>
      <c r="G18" s="66">
        <f>F18*Parametros!$E$6</f>
        <v>0.1705882352941176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0</v>
      </c>
      <c r="S18" s="68" t="s">
        <v>201</v>
      </c>
      <c r="T18" s="66">
        <f>IF(S18="NO",0,R18*Parametros!$E$10)</f>
        <v>0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6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70">
        <f>MAX(0,MIN(1,MAX(0,AP18-IF(S18="NO",Parametros!$E$17,0))+AC18)-AN18-IF(AO18="SI",Parametros!$E$33,0))</f>
        <v>0.81058823529411772</v>
      </c>
      <c r="AR18" s="42"/>
      <c r="AS18" s="52" t="str">
        <f>'Captura Febrero'!B20</f>
        <v>Tratamiento de Aguas</v>
      </c>
      <c r="AT18" s="53">
        <f>'Captura Febrero'!K20+'Captura Febrero'!N20+'Captura Febrero'!Q20</f>
        <v>0.24</v>
      </c>
      <c r="AU18" s="53">
        <f>'Captura Febrero'!T20</f>
        <v>0.06</v>
      </c>
      <c r="AV18" s="53">
        <f>'Captura Febrero'!V20</f>
        <v>0.25</v>
      </c>
      <c r="AW18" s="53">
        <f>'Captura Febrero'!G20</f>
        <v>0.2</v>
      </c>
      <c r="AX18" s="53">
        <f>'Captura Febrero'!X20</f>
        <v>0.25</v>
      </c>
      <c r="AY18" s="53">
        <f>'Captura Febrero'!AC20</f>
        <v>0</v>
      </c>
      <c r="AZ18" s="54">
        <f>-'Captura Febrero'!AN20</f>
        <v>0</v>
      </c>
      <c r="BA18" s="55">
        <f>'Captura Febrero'!AQ20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4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207</v>
      </c>
      <c r="AT19" s="90"/>
      <c r="AU19" s="90"/>
      <c r="AV19" s="90"/>
      <c r="AW19" s="90"/>
      <c r="AX19" s="90"/>
      <c r="AY19" s="90"/>
      <c r="AZ19" s="90"/>
      <c r="BA19" s="71">
        <f>AVERAGE(BA4:BA18)</f>
        <v>0.91092643373138726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0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0.91092643373138726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5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list" sqref="X6:X20 AP6:AP20 AR6:AR20 J6:J20 M6:M20 P6:P20 S6:T20 AE6:AE20 AG6:AG20 AI6:AN20" xr:uid="{00000000-0002-0000-05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K20" sqref="AK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208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209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210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Marzo'!B6</f>
        <v>Almacen de Repuestos</v>
      </c>
      <c r="AT4" s="53">
        <f>'Captura Marzo'!K6+'Captura Marzo'!N6+'Captura Marzo'!Q6</f>
        <v>0.24</v>
      </c>
      <c r="AU4" s="53">
        <f>'Captura Marzo'!T6</f>
        <v>0.06</v>
      </c>
      <c r="AV4" s="53">
        <f>'Captura Marzo'!V6</f>
        <v>0.25</v>
      </c>
      <c r="AW4" s="53">
        <f>'Captura Marzo'!G6</f>
        <v>0.2</v>
      </c>
      <c r="AX4" s="53">
        <f>'Captura Marzo'!X6</f>
        <v>0.25</v>
      </c>
      <c r="AY4" s="53">
        <f>'Captura Marzo'!AC6</f>
        <v>0</v>
      </c>
      <c r="AZ4" s="54">
        <f>-'Captura Marzo'!AN6</f>
        <v>0</v>
      </c>
      <c r="BA4" s="55">
        <f>'Captura Marzo'!AQ6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Marzo'!B7</f>
        <v>Alrededores</v>
      </c>
      <c r="AT5" s="60">
        <f>'Captura Marzo'!K7+'Captura Marzo'!N7+'Captura Marzo'!Q7</f>
        <v>0.24</v>
      </c>
      <c r="AU5" s="60">
        <f>'Captura Marzo'!T7</f>
        <v>0.06</v>
      </c>
      <c r="AV5" s="60">
        <f>'Captura Marzo'!V7</f>
        <v>0.25</v>
      </c>
      <c r="AW5" s="60">
        <f>'Captura Marzo'!G7</f>
        <v>0.19</v>
      </c>
      <c r="AX5" s="60">
        <f>'Captura Marzo'!X7</f>
        <v>0.25</v>
      </c>
      <c r="AY5" s="60">
        <f>'Captura Marzo'!AC7</f>
        <v>0.04</v>
      </c>
      <c r="AZ5" s="61">
        <f>-'Captura Marzo'!AN7</f>
        <v>0</v>
      </c>
      <c r="BA5" s="62">
        <f>'Captura Marzo'!AQ7</f>
        <v>1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3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Marzo'!B8</f>
        <v>Calidad</v>
      </c>
      <c r="AT6" s="53">
        <f>'Captura Marzo'!K8+'Captura Marzo'!N8+'Captura Marzo'!Q8</f>
        <v>0.24</v>
      </c>
      <c r="AU6" s="53">
        <f>'Captura Marzo'!T8</f>
        <v>0.06</v>
      </c>
      <c r="AV6" s="53">
        <f>'Captura Marzo'!V8</f>
        <v>0.25</v>
      </c>
      <c r="AW6" s="53">
        <f>'Captura Marzo'!G8</f>
        <v>0.2</v>
      </c>
      <c r="AX6" s="53">
        <f>'Captura Marzo'!X8</f>
        <v>0.25</v>
      </c>
      <c r="AY6" s="53">
        <f>'Captura Marzo'!AC8</f>
        <v>0.08</v>
      </c>
      <c r="AZ6" s="54">
        <f>-'Captura Marzo'!AN8</f>
        <v>0</v>
      </c>
      <c r="BA6" s="55">
        <f>'Captura Marzo'!AQ8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0.9</v>
      </c>
      <c r="F7" s="11">
        <f t="shared" si="0"/>
        <v>0.95</v>
      </c>
      <c r="G7" s="66">
        <f>F7*Parametros!$E$6</f>
        <v>0.19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0</v>
      </c>
      <c r="X7" s="66">
        <f>MAX(0,Parametros!$E$12-Parametros!$E$18*W7)</f>
        <v>0.25</v>
      </c>
      <c r="Y7" s="67">
        <v>0</v>
      </c>
      <c r="Z7" s="67">
        <v>10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70">
        <f>MAX(0,MIN(1,MAX(0,AP7-IF(S7="NO",Parametros!$E$17,0))+AC7)-AN7-IF(AO7="SI",Parametros!$E$33,0))</f>
        <v>1</v>
      </c>
      <c r="AR7" s="42"/>
      <c r="AS7" s="59" t="str">
        <f>'Captura Marzo'!B9</f>
        <v>Centro de Distribucion</v>
      </c>
      <c r="AT7" s="60">
        <f>'Captura Marzo'!K9+'Captura Marzo'!N9+'Captura Marzo'!Q9</f>
        <v>0.24</v>
      </c>
      <c r="AU7" s="60">
        <f>'Captura Marzo'!T9</f>
        <v>0.06</v>
      </c>
      <c r="AV7" s="60">
        <f>'Captura Marzo'!V9</f>
        <v>0.25</v>
      </c>
      <c r="AW7" s="60">
        <f>'Captura Marzo'!G9</f>
        <v>0.19750000000000001</v>
      </c>
      <c r="AX7" s="60">
        <f>'Captura Marzo'!X9</f>
        <v>0.2</v>
      </c>
      <c r="AY7" s="60">
        <f>'Captura Marzo'!AC9</f>
        <v>0.04</v>
      </c>
      <c r="AZ7" s="61">
        <f>-'Captura Marzo'!AN9</f>
        <v>0</v>
      </c>
      <c r="BA7" s="62">
        <f>'Captura Marzo'!AQ9</f>
        <v>0.98750000000000004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17</v>
      </c>
      <c r="Z8" s="67">
        <v>38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Marzo'!B10</f>
        <v>ETEI</v>
      </c>
      <c r="AT8" s="53">
        <f>'Captura Marzo'!K10+'Captura Marzo'!N10+'Captura Marzo'!Q10</f>
        <v>0.24</v>
      </c>
      <c r="AU8" s="53">
        <f>'Captura Marzo'!T10</f>
        <v>0.06</v>
      </c>
      <c r="AV8" s="53">
        <f>'Captura Marzo'!V10</f>
        <v>0.25</v>
      </c>
      <c r="AW8" s="53">
        <f>'Captura Marzo'!G10</f>
        <v>0.2</v>
      </c>
      <c r="AX8" s="53">
        <f>'Captura Marzo'!X10</f>
        <v>0.25</v>
      </c>
      <c r="AY8" s="53">
        <f>'Captura Marzo'!AC10</f>
        <v>0.04</v>
      </c>
      <c r="AZ8" s="54">
        <f>-'Captura Marzo'!AN10</f>
        <v>0</v>
      </c>
      <c r="BA8" s="55">
        <f>'Captura Marzo'!AQ10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0.97499999999999998</v>
      </c>
      <c r="E9" s="65">
        <v>1</v>
      </c>
      <c r="F9" s="11">
        <f t="shared" si="0"/>
        <v>0.98750000000000004</v>
      </c>
      <c r="G9" s="66">
        <f>F9*Parametros!$E$6</f>
        <v>0.19750000000000001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5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70">
        <f>MAX(0,MIN(1,MAX(0,AP9-IF(S9="NO",Parametros!$E$17,0))+AC9)-AN9-IF(AO9="SI",Parametros!$E$33,0))</f>
        <v>0.98750000000000004</v>
      </c>
      <c r="AR9" s="42"/>
      <c r="AS9" s="59" t="str">
        <f>'Captura Marzo'!B11</f>
        <v>Equipos Auxiliares</v>
      </c>
      <c r="AT9" s="60">
        <f>'Captura Marzo'!K11+'Captura Marzo'!N11+'Captura Marzo'!Q11</f>
        <v>0.24</v>
      </c>
      <c r="AU9" s="60">
        <f>'Captura Marzo'!T11</f>
        <v>0.06</v>
      </c>
      <c r="AV9" s="60">
        <f>'Captura Marzo'!V11</f>
        <v>0.25</v>
      </c>
      <c r="AW9" s="60">
        <f>'Captura Marzo'!G11</f>
        <v>0.17500000000000002</v>
      </c>
      <c r="AX9" s="60">
        <f>'Captura Marzo'!X11</f>
        <v>0.25</v>
      </c>
      <c r="AY9" s="60">
        <f>'Captura Marzo'!AC11</f>
        <v>0</v>
      </c>
      <c r="AZ9" s="61">
        <f>-'Captura Marzo'!AN11</f>
        <v>0</v>
      </c>
      <c r="BA9" s="62">
        <f>'Captura Marzo'!AQ11</f>
        <v>0.97500000000000009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11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Marzo'!B12</f>
        <v>Jarabes</v>
      </c>
      <c r="AT10" s="53">
        <f>'Captura Marzo'!K12+'Captura Marzo'!N12+'Captura Marzo'!Q12</f>
        <v>0.24</v>
      </c>
      <c r="AU10" s="53">
        <f>'Captura Marzo'!T12</f>
        <v>0.06</v>
      </c>
      <c r="AV10" s="53">
        <f>'Captura Marzo'!V12</f>
        <v>0.25</v>
      </c>
      <c r="AW10" s="53">
        <f>'Captura Marzo'!G12</f>
        <v>0.2</v>
      </c>
      <c r="AX10" s="53">
        <f>'Captura Marzo'!X12</f>
        <v>0.2</v>
      </c>
      <c r="AY10" s="53">
        <f>'Captura Marzo'!AC12</f>
        <v>0</v>
      </c>
      <c r="AZ10" s="54">
        <f>-'Captura Marzo'!AN12</f>
        <v>0</v>
      </c>
      <c r="BA10" s="55">
        <f>'Captura Marzo'!AQ12</f>
        <v>0.95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0.75</v>
      </c>
      <c r="E11" s="65">
        <v>1</v>
      </c>
      <c r="F11" s="11">
        <f t="shared" si="0"/>
        <v>0.875</v>
      </c>
      <c r="G11" s="66">
        <f>F11*Parametros!$E$6</f>
        <v>0.17500000000000002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0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70">
        <f>MAX(0,MIN(1,MAX(0,AP11-IF(S11="NO",Parametros!$E$17,0))+AC11)-AN11-IF(AO11="SI",Parametros!$E$33,0))</f>
        <v>0.97500000000000009</v>
      </c>
      <c r="AR11" s="42"/>
      <c r="AS11" s="59" t="str">
        <f>'Captura Marzo'!B13</f>
        <v>Linea 1</v>
      </c>
      <c r="AT11" s="60">
        <f>'Captura Marzo'!K13+'Captura Marzo'!N13+'Captura Marzo'!Q13</f>
        <v>0.24</v>
      </c>
      <c r="AU11" s="60">
        <f>'Captura Marzo'!T13</f>
        <v>0.06</v>
      </c>
      <c r="AV11" s="60">
        <f>'Captura Marzo'!V13</f>
        <v>0.25</v>
      </c>
      <c r="AW11" s="60">
        <f>'Captura Marzo'!G13</f>
        <v>0.2</v>
      </c>
      <c r="AX11" s="60">
        <f>'Captura Marzo'!X13</f>
        <v>0.2</v>
      </c>
      <c r="AY11" s="60">
        <f>'Captura Marzo'!AC13</f>
        <v>0.04</v>
      </c>
      <c r="AZ11" s="61">
        <f>-'Captura Marzo'!AN13</f>
        <v>0</v>
      </c>
      <c r="BA11" s="62">
        <f>'Captura Marzo'!AQ13</f>
        <v>0.99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5</v>
      </c>
      <c r="Z12" s="67">
        <v>6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70">
        <f>MAX(0,MIN(1,MAX(0,AP12-IF(S12="NO",Parametros!$E$17,0))+AC12)-AN12-IF(AO12="SI",Parametros!$E$33,0))</f>
        <v>0.95</v>
      </c>
      <c r="AR12" s="42"/>
      <c r="AS12" s="52" t="str">
        <f>'Captura Marzo'!B14</f>
        <v>Linea 2</v>
      </c>
      <c r="AT12" s="53">
        <f>'Captura Marzo'!K14+'Captura Marzo'!N14+'Captura Marzo'!Q14</f>
        <v>0.24</v>
      </c>
      <c r="AU12" s="53">
        <f>'Captura Marzo'!T14</f>
        <v>0.06</v>
      </c>
      <c r="AV12" s="53">
        <f>'Captura Marzo'!V14</f>
        <v>0.25</v>
      </c>
      <c r="AW12" s="53">
        <f>'Captura Marzo'!G14</f>
        <v>0.2</v>
      </c>
      <c r="AX12" s="53">
        <f>'Captura Marzo'!X14</f>
        <v>0.2</v>
      </c>
      <c r="AY12" s="53">
        <f>'Captura Marzo'!AC14</f>
        <v>0.04</v>
      </c>
      <c r="AZ12" s="54">
        <f>-'Captura Marzo'!AN14</f>
        <v>0</v>
      </c>
      <c r="BA12" s="55">
        <f>'Captura Marzo'!AQ14</f>
        <v>0.99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</v>
      </c>
      <c r="X13" s="66">
        <f>MAX(0,Parametros!$E$12-Parametros!$E$18*W13)</f>
        <v>0.2</v>
      </c>
      <c r="Y13" s="67">
        <v>4</v>
      </c>
      <c r="Z13" s="67">
        <v>22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70">
        <f>MAX(0,MIN(1,MAX(0,AP13-IF(S13="NO",Parametros!$E$17,0))+AC13)-AN13-IF(AO13="SI",Parametros!$E$33,0))</f>
        <v>0.99</v>
      </c>
      <c r="AR13" s="42"/>
      <c r="AS13" s="59" t="str">
        <f>'Captura Marzo'!B15</f>
        <v>Linea 3</v>
      </c>
      <c r="AT13" s="60">
        <f>'Captura Marzo'!K15+'Captura Marzo'!N15+'Captura Marzo'!Q15</f>
        <v>0.24</v>
      </c>
      <c r="AU13" s="60">
        <f>'Captura Marzo'!T15</f>
        <v>0.06</v>
      </c>
      <c r="AV13" s="60">
        <f>'Captura Marzo'!V15</f>
        <v>0.25</v>
      </c>
      <c r="AW13" s="60">
        <f>'Captura Marzo'!G15</f>
        <v>0.2</v>
      </c>
      <c r="AX13" s="60">
        <f>'Captura Marzo'!X15</f>
        <v>0.25</v>
      </c>
      <c r="AY13" s="60">
        <f>'Captura Marzo'!AC15</f>
        <v>0</v>
      </c>
      <c r="AZ13" s="61">
        <f>-'Captura Marzo'!AN15</f>
        <v>0</v>
      </c>
      <c r="BA13" s="62">
        <f>'Captura Marzo'!AQ15</f>
        <v>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1</v>
      </c>
      <c r="X14" s="66">
        <f>MAX(0,Parametros!$E$12-Parametros!$E$18*W14)</f>
        <v>0.2</v>
      </c>
      <c r="Y14" s="67">
        <v>4</v>
      </c>
      <c r="Z14" s="67">
        <v>15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70">
        <f>MAX(0,MIN(1,MAX(0,AP14-IF(S14="NO",Parametros!$E$17,0))+AC14)-AN14-IF(AO14="SI",Parametros!$E$33,0))</f>
        <v>0.99</v>
      </c>
      <c r="AR14" s="42"/>
      <c r="AS14" s="52" t="str">
        <f>'Captura Marzo'!B16</f>
        <v>Linea 4</v>
      </c>
      <c r="AT14" s="53">
        <f>'Captura Marzo'!K16+'Captura Marzo'!N16+'Captura Marzo'!Q16</f>
        <v>0.24</v>
      </c>
      <c r="AU14" s="53">
        <f>'Captura Marzo'!T16</f>
        <v>0.06</v>
      </c>
      <c r="AV14" s="53">
        <f>'Captura Marzo'!V16</f>
        <v>0.25</v>
      </c>
      <c r="AW14" s="53">
        <f>'Captura Marzo'!G16</f>
        <v>0.2</v>
      </c>
      <c r="AX14" s="53">
        <f>'Captura Marzo'!X16</f>
        <v>0.25</v>
      </c>
      <c r="AY14" s="53">
        <f>'Captura Marzo'!AC16</f>
        <v>0</v>
      </c>
      <c r="AZ14" s="54">
        <f>-'Captura Marzo'!AN16</f>
        <v>0</v>
      </c>
      <c r="BA14" s="55">
        <f>'Captura Marzo'!AQ16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0</v>
      </c>
      <c r="X15" s="66">
        <f>MAX(0,Parametros!$E$12-Parametros!$E$18*W15)</f>
        <v>0.25</v>
      </c>
      <c r="Y15" s="67">
        <v>5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70">
        <f>MAX(0,MIN(1,MAX(0,AP15-IF(S15="NO",Parametros!$E$17,0))+AC15)-AN15-IF(AO15="SI",Parametros!$E$33,0))</f>
        <v>1</v>
      </c>
      <c r="AR15" s="42"/>
      <c r="AS15" s="59" t="str">
        <f>'Captura Marzo'!B17</f>
        <v>Linea 5</v>
      </c>
      <c r="AT15" s="60">
        <f>'Captura Marzo'!K17+'Captura Marzo'!N17+'Captura Marzo'!Q17</f>
        <v>0.24</v>
      </c>
      <c r="AU15" s="60">
        <f>'Captura Marzo'!T17</f>
        <v>0.06</v>
      </c>
      <c r="AV15" s="60">
        <f>'Captura Marzo'!V17</f>
        <v>0.25</v>
      </c>
      <c r="AW15" s="60">
        <f>'Captura Marzo'!G17</f>
        <v>0.1785714285714286</v>
      </c>
      <c r="AX15" s="60">
        <f>'Captura Marzo'!X17</f>
        <v>0.25</v>
      </c>
      <c r="AY15" s="60">
        <f>'Captura Marzo'!AC17</f>
        <v>0.04</v>
      </c>
      <c r="AZ15" s="61">
        <f>-'Captura Marzo'!AN17</f>
        <v>0</v>
      </c>
      <c r="BA15" s="62">
        <f>'Captura Marzo'!AQ17</f>
        <v>1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6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Marzo'!B18</f>
        <v>Mantenimiento</v>
      </c>
      <c r="AT16" s="53">
        <f>'Captura Marzo'!K18+'Captura Marzo'!N18+'Captura Marzo'!Q18</f>
        <v>0.24</v>
      </c>
      <c r="AU16" s="53">
        <f>'Captura Marzo'!T18</f>
        <v>0.06</v>
      </c>
      <c r="AV16" s="53">
        <f>'Captura Marzo'!V18</f>
        <v>0.25</v>
      </c>
      <c r="AW16" s="53">
        <f>'Captura Marzo'!G18</f>
        <v>0.19333333333333333</v>
      </c>
      <c r="AX16" s="53">
        <f>'Captura Marzo'!X18</f>
        <v>0.25</v>
      </c>
      <c r="AY16" s="53">
        <f>'Captura Marzo'!AC18</f>
        <v>0.04</v>
      </c>
      <c r="AZ16" s="54">
        <f>-'Captura Marzo'!AN18</f>
        <v>0</v>
      </c>
      <c r="BA16" s="55">
        <f>'Captura Marzo'!AQ18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0.78571428571428603</v>
      </c>
      <c r="E17" s="65">
        <v>1</v>
      </c>
      <c r="F17" s="11">
        <f t="shared" si="0"/>
        <v>0.89285714285714302</v>
      </c>
      <c r="G17" s="66">
        <f>F17*Parametros!$E$6</f>
        <v>0.1785714285714286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0</v>
      </c>
      <c r="X17" s="66">
        <f>MAX(0,Parametros!$E$12-Parametros!$E$18*W17)</f>
        <v>0.25</v>
      </c>
      <c r="Y17" s="67">
        <v>1</v>
      </c>
      <c r="Z17" s="67">
        <v>16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70">
        <f>MAX(0,MIN(1,MAX(0,AP17-IF(S17="NO",Parametros!$E$17,0))+AC17)-AN17-IF(AO17="SI",Parametros!$E$33,0))</f>
        <v>1</v>
      </c>
      <c r="AR17" s="42"/>
      <c r="AS17" s="59" t="str">
        <f>'Captura Marzo'!B19</f>
        <v>Materias Primas</v>
      </c>
      <c r="AT17" s="60">
        <f>'Captura Marzo'!K19+'Captura Marzo'!N19+'Captura Marzo'!Q19</f>
        <v>0.24</v>
      </c>
      <c r="AU17" s="60">
        <f>'Captura Marzo'!T19</f>
        <v>0.06</v>
      </c>
      <c r="AV17" s="60">
        <f>'Captura Marzo'!V19</f>
        <v>0.25</v>
      </c>
      <c r="AW17" s="60">
        <f>'Captura Marzo'!G19</f>
        <v>0.2</v>
      </c>
      <c r="AX17" s="60">
        <f>'Captura Marzo'!X19</f>
        <v>0.25</v>
      </c>
      <c r="AY17" s="60">
        <f>'Captura Marzo'!AC19</f>
        <v>0.04</v>
      </c>
      <c r="AZ17" s="61">
        <f>-'Captura Marzo'!AN19</f>
        <v>0</v>
      </c>
      <c r="BA17" s="62">
        <f>'Captura Marzo'!AQ19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0.93333333333333302</v>
      </c>
      <c r="E18" s="65">
        <v>1</v>
      </c>
      <c r="F18" s="11">
        <f t="shared" si="0"/>
        <v>0.96666666666666656</v>
      </c>
      <c r="G18" s="66">
        <f>F18*Parametros!$E$6</f>
        <v>0.19333333333333333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2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70">
        <f>MAX(0,MIN(1,MAX(0,AP18-IF(S18="NO",Parametros!$E$17,0))+AC18)-AN18-IF(AO18="SI",Parametros!$E$33,0))</f>
        <v>1</v>
      </c>
      <c r="AR18" s="42"/>
      <c r="AS18" s="52" t="str">
        <f>'Captura Marzo'!B20</f>
        <v>Tratamiento de Aguas</v>
      </c>
      <c r="AT18" s="53">
        <f>'Captura Marzo'!K20+'Captura Marzo'!N20+'Captura Marzo'!Q20</f>
        <v>0.24</v>
      </c>
      <c r="AU18" s="53">
        <f>'Captura Marzo'!T20</f>
        <v>0.06</v>
      </c>
      <c r="AV18" s="53">
        <f>'Captura Marzo'!V20</f>
        <v>0.25</v>
      </c>
      <c r="AW18" s="53">
        <f>'Captura Marzo'!G20</f>
        <v>0.2</v>
      </c>
      <c r="AX18" s="53">
        <f>'Captura Marzo'!X20</f>
        <v>0.25</v>
      </c>
      <c r="AY18" s="53">
        <f>'Captura Marzo'!AC20</f>
        <v>0</v>
      </c>
      <c r="AZ18" s="54">
        <f>-'Captura Marzo'!AN20</f>
        <v>0</v>
      </c>
      <c r="BA18" s="55">
        <f>'Captura Marzo'!AQ20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2</v>
      </c>
      <c r="Z19" s="67">
        <v>15</v>
      </c>
      <c r="AA19" s="69">
        <f>IF(Y19&gt;=Parametros!$E$22,Parametros!$E$24,0)</f>
        <v>0</v>
      </c>
      <c r="AB19" s="69">
        <f>IF(Z19&gt;=Parametros!$E$23,Parametros!$E$25,0)</f>
        <v>0.04</v>
      </c>
      <c r="AC19" s="69">
        <f t="shared" si="1"/>
        <v>0.04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211</v>
      </c>
      <c r="AT19" s="90"/>
      <c r="AU19" s="90"/>
      <c r="AV19" s="90"/>
      <c r="AW19" s="90"/>
      <c r="AX19" s="90"/>
      <c r="AY19" s="90"/>
      <c r="AZ19" s="90"/>
      <c r="BA19" s="71">
        <f>AVERAGE(BA4:BA18)</f>
        <v>0.99283333333333335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4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0.99283333333333335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X6:X20 AP6:AP20 AR6:AR20 J6:J20 M6:M20 P6:P20 S6:T20 AE6:AE20 AG6:AG20 AI6:AN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F20" sqref="AF2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212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213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214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Abril'!B6</f>
        <v>Almacen de Repuestos</v>
      </c>
      <c r="AT4" s="53">
        <f>'Captura Abril'!K6+'Captura Abril'!N6+'Captura Abril'!Q6</f>
        <v>0.16</v>
      </c>
      <c r="AU4" s="53">
        <f>'Captura Abril'!T6</f>
        <v>0.06</v>
      </c>
      <c r="AV4" s="53">
        <f>'Captura Abril'!V6</f>
        <v>0.25</v>
      </c>
      <c r="AW4" s="53">
        <f>'Captura Abril'!G6</f>
        <v>0.2</v>
      </c>
      <c r="AX4" s="53">
        <f>'Captura Abril'!X6</f>
        <v>0.25</v>
      </c>
      <c r="AY4" s="53">
        <f>'Captura Abril'!AC6</f>
        <v>0.04</v>
      </c>
      <c r="AZ4" s="54">
        <f>-'Captura Abril'!AN6</f>
        <v>0</v>
      </c>
      <c r="BA4" s="55">
        <f>'Captura Abril'!AQ6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Abril'!B7</f>
        <v>Alrededores</v>
      </c>
      <c r="AT5" s="60">
        <f>'Captura Abril'!K7+'Captura Abril'!N7+'Captura Abril'!Q7</f>
        <v>0.08</v>
      </c>
      <c r="AU5" s="60">
        <f>'Captura Abril'!T7</f>
        <v>0.06</v>
      </c>
      <c r="AV5" s="60">
        <f>'Captura Abril'!V7</f>
        <v>0.25</v>
      </c>
      <c r="AW5" s="60">
        <f>'Captura Abril'!G7</f>
        <v>8.0000000000000016E-2</v>
      </c>
      <c r="AX5" s="60">
        <f>'Captura Abril'!X7</f>
        <v>0.2</v>
      </c>
      <c r="AY5" s="60">
        <f>'Captura Abril'!AC7</f>
        <v>0.04</v>
      </c>
      <c r="AZ5" s="61">
        <f>-'Captura Abril'!AN7</f>
        <v>0</v>
      </c>
      <c r="BA5" s="62">
        <f>'Captura Abril'!AQ7</f>
        <v>0.71000000000000008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201</v>
      </c>
      <c r="K6" s="66">
        <f>IF(J6="NO",0,IFERROR(H6/I6,0)*Parametros!$E$7)</f>
        <v>0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11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Abril'!B8</f>
        <v>Calidad</v>
      </c>
      <c r="AT6" s="53">
        <f>'Captura Abril'!K8+'Captura Abril'!N8+'Captura Abril'!Q8</f>
        <v>0.24</v>
      </c>
      <c r="AU6" s="53">
        <f>'Captura Abril'!T8</f>
        <v>0.06</v>
      </c>
      <c r="AV6" s="53">
        <f>'Captura Abril'!V8</f>
        <v>0.25</v>
      </c>
      <c r="AW6" s="53">
        <f>'Captura Abril'!G8</f>
        <v>0.2</v>
      </c>
      <c r="AX6" s="53">
        <f>'Captura Abril'!X8</f>
        <v>0.25</v>
      </c>
      <c r="AY6" s="53">
        <f>'Captura Abril'!AC8</f>
        <v>0.08</v>
      </c>
      <c r="AZ6" s="54">
        <f>-'Captura Abril'!AN8</f>
        <v>0</v>
      </c>
      <c r="BA6" s="55">
        <f>'Captura Abril'!AQ8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</v>
      </c>
      <c r="F7" s="11">
        <f t="shared" si="0"/>
        <v>0.4</v>
      </c>
      <c r="G7" s="66">
        <f>F7*Parametros!$E$6</f>
        <v>8.0000000000000016E-2</v>
      </c>
      <c r="H7" s="67">
        <v>10</v>
      </c>
      <c r="I7" s="67">
        <v>10</v>
      </c>
      <c r="J7" s="68" t="s">
        <v>201</v>
      </c>
      <c r="K7" s="66">
        <f>IF(J7="NO",0,IFERROR(H7/I7,0)*Parametros!$E$7)</f>
        <v>0</v>
      </c>
      <c r="L7" s="65">
        <v>1</v>
      </c>
      <c r="M7" s="68" t="s">
        <v>200</v>
      </c>
      <c r="N7" s="66">
        <f>IF(M7="NO",0,L7*Parametros!$E$8)</f>
        <v>0.08</v>
      </c>
      <c r="O7" s="65">
        <v>0</v>
      </c>
      <c r="P7" s="68" t="s">
        <v>201</v>
      </c>
      <c r="Q7" s="66">
        <f>IF(P7="NO",0,O7*Parametros!$E$9)</f>
        <v>0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1</v>
      </c>
      <c r="X7" s="66">
        <f>MAX(0,Parametros!$E$12-Parametros!$E$18*W7)</f>
        <v>0.2</v>
      </c>
      <c r="Y7" s="67">
        <v>0</v>
      </c>
      <c r="Z7" s="67">
        <v>11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70">
        <f>MAX(0,MIN(1,MAX(0,AP7-IF(S7="NO",Parametros!$E$17,0))+AC7)-AN7-IF(AO7="SI",Parametros!$E$33,0))</f>
        <v>0.71000000000000008</v>
      </c>
      <c r="AR7" s="42"/>
      <c r="AS7" s="59" t="str">
        <f>'Captura Abril'!B9</f>
        <v>Centro de Distribucion</v>
      </c>
      <c r="AT7" s="60">
        <f>'Captura Abril'!K9+'Captura Abril'!N9+'Captura Abril'!Q9</f>
        <v>0.24</v>
      </c>
      <c r="AU7" s="60">
        <f>'Captura Abril'!T9</f>
        <v>0.06</v>
      </c>
      <c r="AV7" s="60">
        <f>'Captura Abril'!V9</f>
        <v>0.25</v>
      </c>
      <c r="AW7" s="60">
        <f>'Captura Abril'!G9</f>
        <v>0.2</v>
      </c>
      <c r="AX7" s="60">
        <f>'Captura Abril'!X9</f>
        <v>0.2</v>
      </c>
      <c r="AY7" s="60">
        <f>'Captura Abril'!AC9</f>
        <v>0.04</v>
      </c>
      <c r="AZ7" s="61">
        <f>-'Captura Abril'!AN9</f>
        <v>0</v>
      </c>
      <c r="BA7" s="62">
        <f>'Captura Abril'!AQ9</f>
        <v>0.99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13</v>
      </c>
      <c r="Z8" s="67">
        <v>26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Abril'!B10</f>
        <v>ETEI</v>
      </c>
      <c r="AT8" s="53">
        <f>'Captura Abril'!K10+'Captura Abril'!N10+'Captura Abril'!Q10</f>
        <v>0.24</v>
      </c>
      <c r="AU8" s="53">
        <f>'Captura Abril'!T10</f>
        <v>0.06</v>
      </c>
      <c r="AV8" s="53">
        <f>'Captura Abril'!V10</f>
        <v>0.25</v>
      </c>
      <c r="AW8" s="53">
        <f>'Captura Abril'!G10</f>
        <v>0.2</v>
      </c>
      <c r="AX8" s="53">
        <f>'Captura Abril'!X10</f>
        <v>0.25</v>
      </c>
      <c r="AY8" s="53">
        <f>'Captura Abril'!AC10</f>
        <v>0</v>
      </c>
      <c r="AZ8" s="54">
        <f>-'Captura Abril'!AN10</f>
        <v>0</v>
      </c>
      <c r="BA8" s="55">
        <f>'Captura Abril'!AQ10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1</v>
      </c>
      <c r="X9" s="66">
        <f>MAX(0,Parametros!$E$12-Parametros!$E$18*W9)</f>
        <v>0.2</v>
      </c>
      <c r="Y9" s="67">
        <v>4</v>
      </c>
      <c r="Z9" s="67">
        <v>13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70">
        <f>MAX(0,MIN(1,MAX(0,AP9-IF(S9="NO",Parametros!$E$17,0))+AC9)-AN9-IF(AO9="SI",Parametros!$E$33,0))</f>
        <v>0.99</v>
      </c>
      <c r="AR9" s="42"/>
      <c r="AS9" s="59" t="str">
        <f>'Captura Abril'!B11</f>
        <v>Equipos Auxiliares</v>
      </c>
      <c r="AT9" s="60">
        <f>'Captura Abril'!K11+'Captura Abril'!N11+'Captura Abril'!Q11</f>
        <v>0.24</v>
      </c>
      <c r="AU9" s="60">
        <f>'Captura Abril'!T11</f>
        <v>0.06</v>
      </c>
      <c r="AV9" s="60">
        <f>'Captura Abril'!V11</f>
        <v>0.25</v>
      </c>
      <c r="AW9" s="60">
        <f>'Captura Abril'!G11</f>
        <v>0.2</v>
      </c>
      <c r="AX9" s="60">
        <f>'Captura Abril'!X11</f>
        <v>0.25</v>
      </c>
      <c r="AY9" s="60">
        <f>'Captura Abril'!AC11</f>
        <v>0</v>
      </c>
      <c r="AZ9" s="61">
        <f>-'Captura Abril'!AN11</f>
        <v>0</v>
      </c>
      <c r="BA9" s="62">
        <f>'Captura Abril'!AQ11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3</v>
      </c>
      <c r="Z10" s="67">
        <v>9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Abril'!B12</f>
        <v>Jarabes</v>
      </c>
      <c r="AT10" s="53">
        <f>'Captura Abril'!K12+'Captura Abril'!N12+'Captura Abril'!Q12</f>
        <v>0.24</v>
      </c>
      <c r="AU10" s="53">
        <f>'Captura Abril'!T12</f>
        <v>0.06</v>
      </c>
      <c r="AV10" s="53">
        <f>'Captura Abril'!V12</f>
        <v>0.25</v>
      </c>
      <c r="AW10" s="53">
        <f>'Captura Abril'!G12</f>
        <v>0.2</v>
      </c>
      <c r="AX10" s="53">
        <f>'Captura Abril'!X12</f>
        <v>0.25</v>
      </c>
      <c r="AY10" s="53">
        <f>'Captura Abril'!AC12</f>
        <v>0</v>
      </c>
      <c r="AZ10" s="54">
        <f>-'Captura Abril'!AN12</f>
        <v>0</v>
      </c>
      <c r="BA10" s="55">
        <f>'Captura Abril'!AQ12</f>
        <v>1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1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Abril'!B13</f>
        <v>Linea 1</v>
      </c>
      <c r="AT11" s="60">
        <f>'Captura Abril'!K13+'Captura Abril'!N13+'Captura Abril'!Q13</f>
        <v>0.24</v>
      </c>
      <c r="AU11" s="60">
        <f>'Captura Abril'!T13</f>
        <v>0.06</v>
      </c>
      <c r="AV11" s="60">
        <f>'Captura Abril'!V13</f>
        <v>0.25</v>
      </c>
      <c r="AW11" s="60">
        <f>'Captura Abril'!G13</f>
        <v>0.2</v>
      </c>
      <c r="AX11" s="60">
        <f>'Captura Abril'!X13</f>
        <v>0</v>
      </c>
      <c r="AY11" s="60">
        <f>'Captura Abril'!AC13</f>
        <v>0.04</v>
      </c>
      <c r="AZ11" s="61">
        <f>-'Captura Abril'!AN13</f>
        <v>0</v>
      </c>
      <c r="BA11" s="62">
        <f>'Captura Abril'!AQ13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1</v>
      </c>
      <c r="AR12" s="42"/>
      <c r="AS12" s="52" t="str">
        <f>'Captura Abril'!B14</f>
        <v>Linea 2</v>
      </c>
      <c r="AT12" s="53">
        <f>'Captura Abril'!K14+'Captura Abril'!N14+'Captura Abril'!Q14</f>
        <v>0.24</v>
      </c>
      <c r="AU12" s="53">
        <f>'Captura Abril'!T14</f>
        <v>0.06</v>
      </c>
      <c r="AV12" s="53">
        <f>'Captura Abril'!V14</f>
        <v>0.25</v>
      </c>
      <c r="AW12" s="53">
        <f>'Captura Abril'!G14</f>
        <v>0.2</v>
      </c>
      <c r="AX12" s="53">
        <f>'Captura Abril'!X14</f>
        <v>0.25</v>
      </c>
      <c r="AY12" s="53">
        <f>'Captura Abril'!AC14</f>
        <v>0.04</v>
      </c>
      <c r="AZ12" s="54">
        <f>-'Captura Abril'!AN14</f>
        <v>0</v>
      </c>
      <c r="BA12" s="55">
        <f>'Captura Abril'!AQ14</f>
        <v>1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17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0.79</v>
      </c>
      <c r="AR13" s="42"/>
      <c r="AS13" s="59" t="str">
        <f>'Captura Abril'!B15</f>
        <v>Linea 3</v>
      </c>
      <c r="AT13" s="60">
        <f>'Captura Abril'!K15+'Captura Abril'!N15+'Captura Abril'!Q15</f>
        <v>0.16</v>
      </c>
      <c r="AU13" s="60">
        <f>'Captura Abril'!T15</f>
        <v>0.06</v>
      </c>
      <c r="AV13" s="60">
        <f>'Captura Abril'!V15</f>
        <v>0.25</v>
      </c>
      <c r="AW13" s="60">
        <f>'Captura Abril'!G15</f>
        <v>0.2</v>
      </c>
      <c r="AX13" s="60">
        <f>'Captura Abril'!X15</f>
        <v>0.2</v>
      </c>
      <c r="AY13" s="60">
        <f>'Captura Abril'!AC15</f>
        <v>0</v>
      </c>
      <c r="AZ13" s="61">
        <f>-'Captura Abril'!AN15</f>
        <v>0</v>
      </c>
      <c r="BA13" s="62">
        <f>'Captura Abril'!AQ15</f>
        <v>0.87000000000000011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0</v>
      </c>
      <c r="X14" s="66">
        <f>MAX(0,Parametros!$E$12-Parametros!$E$18*W14)</f>
        <v>0.25</v>
      </c>
      <c r="Y14" s="67">
        <v>3</v>
      </c>
      <c r="Z14" s="67">
        <v>11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70">
        <f>MAX(0,MIN(1,MAX(0,AP14-IF(S14="NO",Parametros!$E$17,0))+AC14)-AN14-IF(AO14="SI",Parametros!$E$33,0))</f>
        <v>1</v>
      </c>
      <c r="AR14" s="42"/>
      <c r="AS14" s="52" t="str">
        <f>'Captura Abril'!B16</f>
        <v>Linea 4</v>
      </c>
      <c r="AT14" s="53">
        <f>'Captura Abril'!K16+'Captura Abril'!N16+'Captura Abril'!Q16</f>
        <v>0.16</v>
      </c>
      <c r="AU14" s="53">
        <f>'Captura Abril'!T16</f>
        <v>0.06</v>
      </c>
      <c r="AV14" s="53">
        <f>'Captura Abril'!V16</f>
        <v>0.25</v>
      </c>
      <c r="AW14" s="53">
        <f>'Captura Abril'!G16</f>
        <v>0.2</v>
      </c>
      <c r="AX14" s="53">
        <f>'Captura Abril'!X16</f>
        <v>0.25</v>
      </c>
      <c r="AY14" s="53">
        <f>'Captura Abril'!AC16</f>
        <v>0.04</v>
      </c>
      <c r="AZ14" s="54">
        <f>-'Captura Abril'!AN16</f>
        <v>0</v>
      </c>
      <c r="BA14" s="55">
        <f>'Captura Abril'!AQ16</f>
        <v>0.96000000000000008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0</v>
      </c>
      <c r="M15" s="68" t="s">
        <v>201</v>
      </c>
      <c r="N15" s="66">
        <f>IF(M15="NO",0,L15*Parametros!$E$8)</f>
        <v>0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</v>
      </c>
      <c r="X15" s="66">
        <f>MAX(0,Parametros!$E$12-Parametros!$E$18*W15)</f>
        <v>0.2</v>
      </c>
      <c r="Y15" s="67">
        <v>4</v>
      </c>
      <c r="Z15" s="67">
        <v>4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70">
        <f>MAX(0,MIN(1,MAX(0,AP15-IF(S15="NO",Parametros!$E$17,0))+AC15)-AN15-IF(AO15="SI",Parametros!$E$33,0))</f>
        <v>0.87000000000000011</v>
      </c>
      <c r="AR15" s="42"/>
      <c r="AS15" s="59" t="str">
        <f>'Captura Abril'!B17</f>
        <v>Linea 5</v>
      </c>
      <c r="AT15" s="60">
        <f>'Captura Abril'!K17+'Captura Abril'!N17+'Captura Abril'!Q17</f>
        <v>0</v>
      </c>
      <c r="AU15" s="60">
        <f>'Captura Abril'!T17</f>
        <v>0.06</v>
      </c>
      <c r="AV15" s="60">
        <f>'Captura Abril'!V17</f>
        <v>0.25</v>
      </c>
      <c r="AW15" s="60">
        <f>'Captura Abril'!G17</f>
        <v>0.2</v>
      </c>
      <c r="AX15" s="60">
        <f>'Captura Abril'!X17</f>
        <v>0.15</v>
      </c>
      <c r="AY15" s="60">
        <f>'Captura Abril'!AC17</f>
        <v>0.08</v>
      </c>
      <c r="AZ15" s="61">
        <f>-'Captura Abril'!AN17</f>
        <v>0</v>
      </c>
      <c r="BA15" s="62">
        <f>'Captura Abril'!AQ17</f>
        <v>0.74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0</v>
      </c>
      <c r="M16" s="68" t="s">
        <v>201</v>
      </c>
      <c r="N16" s="66">
        <f>IF(M16="NO",0,L16*Parametros!$E$8)</f>
        <v>0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10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70">
        <f>MAX(0,MIN(1,MAX(0,AP16-IF(S16="NO",Parametros!$E$17,0))+AC16)-AN16-IF(AO16="SI",Parametros!$E$33,0))</f>
        <v>0.96000000000000008</v>
      </c>
      <c r="AR16" s="42"/>
      <c r="AS16" s="52" t="str">
        <f>'Captura Abril'!B18</f>
        <v>Mantenimiento</v>
      </c>
      <c r="AT16" s="53">
        <f>'Captura Abril'!K18+'Captura Abril'!N18+'Captura Abril'!Q18</f>
        <v>0.24</v>
      </c>
      <c r="AU16" s="53">
        <f>'Captura Abril'!T18</f>
        <v>0.06</v>
      </c>
      <c r="AV16" s="53">
        <f>'Captura Abril'!V18</f>
        <v>0.25</v>
      </c>
      <c r="AW16" s="53">
        <f>'Captura Abril'!G18</f>
        <v>0.2</v>
      </c>
      <c r="AX16" s="53">
        <f>'Captura Abril'!X18</f>
        <v>0.25</v>
      </c>
      <c r="AY16" s="53">
        <f>'Captura Abril'!AC18</f>
        <v>0.04</v>
      </c>
      <c r="AZ16" s="54">
        <f>-'Captura Abril'!AN18</f>
        <v>0</v>
      </c>
      <c r="BA16" s="55">
        <f>'Captura Abril'!AQ18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201</v>
      </c>
      <c r="K17" s="66">
        <f>IF(J17="NO",0,IFERROR(H17/I17,0)*Parametros!$E$7)</f>
        <v>0</v>
      </c>
      <c r="L17" s="65">
        <v>0</v>
      </c>
      <c r="M17" s="68" t="s">
        <v>201</v>
      </c>
      <c r="N17" s="66">
        <f>IF(M17="NO",0,L17*Parametros!$E$8)</f>
        <v>0</v>
      </c>
      <c r="O17" s="65">
        <v>0</v>
      </c>
      <c r="P17" s="68" t="s">
        <v>201</v>
      </c>
      <c r="Q17" s="66">
        <f>IF(P17="NO",0,O17*Parametros!$E$9)</f>
        <v>0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2</v>
      </c>
      <c r="X17" s="66">
        <f>MAX(0,Parametros!$E$12-Parametros!$E$18*W17)</f>
        <v>0.15</v>
      </c>
      <c r="Y17" s="67">
        <v>8</v>
      </c>
      <c r="Z17" s="67">
        <v>10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70">
        <f>MAX(0,MIN(1,MAX(0,AP17-IF(S17="NO",Parametros!$E$17,0))+AC17)-AN17-IF(AO17="SI",Parametros!$E$33,0))</f>
        <v>0.74</v>
      </c>
      <c r="AR17" s="42"/>
      <c r="AS17" s="59" t="str">
        <f>'Captura Abril'!B19</f>
        <v>Materias Primas</v>
      </c>
      <c r="AT17" s="60">
        <f>'Captura Abril'!K19+'Captura Abril'!N19+'Captura Abril'!Q19</f>
        <v>0.24</v>
      </c>
      <c r="AU17" s="60">
        <f>'Captura Abril'!T19</f>
        <v>0.06</v>
      </c>
      <c r="AV17" s="60">
        <f>'Captura Abril'!V19</f>
        <v>0.25</v>
      </c>
      <c r="AW17" s="60">
        <f>'Captura Abril'!G19</f>
        <v>0.2</v>
      </c>
      <c r="AX17" s="60">
        <f>'Captura Abril'!X19</f>
        <v>0.25</v>
      </c>
      <c r="AY17" s="60">
        <f>'Captura Abril'!AC19</f>
        <v>0</v>
      </c>
      <c r="AZ17" s="61">
        <f>-'Captura Abril'!AN19</f>
        <v>0</v>
      </c>
      <c r="BA17" s="62">
        <f>'Captura Abril'!AQ19</f>
        <v>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3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70">
        <f>MAX(0,MIN(1,MAX(0,AP18-IF(S18="NO",Parametros!$E$17,0))+AC18)-AN18-IF(AO18="SI",Parametros!$E$33,0))</f>
        <v>1</v>
      </c>
      <c r="AR18" s="42"/>
      <c r="AS18" s="52" t="str">
        <f>'Captura Abril'!B20</f>
        <v>Tratamiento de Aguas</v>
      </c>
      <c r="AT18" s="53">
        <f>'Captura Abril'!K20+'Captura Abril'!N20+'Captura Abril'!Q20</f>
        <v>0.24</v>
      </c>
      <c r="AU18" s="53">
        <f>'Captura Abril'!T20</f>
        <v>0.06</v>
      </c>
      <c r="AV18" s="53">
        <f>'Captura Abril'!V20</f>
        <v>0.25</v>
      </c>
      <c r="AW18" s="53">
        <f>'Captura Abril'!G20</f>
        <v>0.2</v>
      </c>
      <c r="AX18" s="53">
        <f>'Captura Abril'!X20</f>
        <v>0.25</v>
      </c>
      <c r="AY18" s="53">
        <f>'Captura Abril'!AC20</f>
        <v>0</v>
      </c>
      <c r="AZ18" s="54">
        <f>-'Captura Abril'!AN20</f>
        <v>0</v>
      </c>
      <c r="BA18" s="55">
        <f>'Captura Abril'!AQ20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3</v>
      </c>
      <c r="Z19" s="67">
        <v>9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70">
        <f>MAX(0,MIN(1,MAX(0,AP19-IF(S19="NO",Parametros!$E$17,0))+AC19)-AN19-IF(AO19="SI",Parametros!$E$33,0))</f>
        <v>1</v>
      </c>
      <c r="AR19" s="42"/>
      <c r="AS19" s="90" t="s">
        <v>215</v>
      </c>
      <c r="AT19" s="90"/>
      <c r="AU19" s="90"/>
      <c r="AV19" s="90"/>
      <c r="AW19" s="90"/>
      <c r="AX19" s="90"/>
      <c r="AY19" s="90"/>
      <c r="AZ19" s="90"/>
      <c r="BA19" s="71">
        <f>AVERAGE(BA4:BA18)</f>
        <v>0.93466666666666676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3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0.93466666666666676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X6:X20 AP6:AP20 AR6:AR20 J6:J20 M6:M20 P6:P20 S6:T20 AE6:AE20 AG6:AG20 AI6:AN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Q15" sqref="AQ1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216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217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218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Mayo'!B6</f>
        <v>Almacen de Repuestos</v>
      </c>
      <c r="AT4" s="53">
        <f>'Captura Mayo'!K6+'Captura Mayo'!N6+'Captura Mayo'!Q6</f>
        <v>0.16</v>
      </c>
      <c r="AU4" s="53">
        <f>'Captura Mayo'!T6</f>
        <v>0.06</v>
      </c>
      <c r="AV4" s="53">
        <f>'Captura Mayo'!V6</f>
        <v>0.25</v>
      </c>
      <c r="AW4" s="53">
        <f>'Captura Mayo'!G6</f>
        <v>0.2</v>
      </c>
      <c r="AX4" s="53">
        <f>'Captura Mayo'!X6</f>
        <v>0.25</v>
      </c>
      <c r="AY4" s="53">
        <f>'Captura Mayo'!AC6</f>
        <v>0.04</v>
      </c>
      <c r="AZ4" s="54">
        <f>-'Captura Mayo'!AN6</f>
        <v>0</v>
      </c>
      <c r="BA4" s="55">
        <f>'Captura Mayo'!AQ6</f>
        <v>0.96000000000000008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Mayo'!B7</f>
        <v>Alrededores</v>
      </c>
      <c r="AT5" s="60">
        <f>'Captura Mayo'!K7+'Captura Mayo'!N7+'Captura Mayo'!Q7</f>
        <v>0.24</v>
      </c>
      <c r="AU5" s="60">
        <f>'Captura Mayo'!T7</f>
        <v>0.06</v>
      </c>
      <c r="AV5" s="60">
        <f>'Captura Mayo'!V7</f>
        <v>0.25</v>
      </c>
      <c r="AW5" s="60">
        <f>'Captura Mayo'!G7</f>
        <v>0.1</v>
      </c>
      <c r="AX5" s="60">
        <f>'Captura Mayo'!X7</f>
        <v>0</v>
      </c>
      <c r="AY5" s="60">
        <f>'Captura Mayo'!AC7</f>
        <v>0.04</v>
      </c>
      <c r="AZ5" s="61">
        <f>-'Captura Mayo'!AN7</f>
        <v>0</v>
      </c>
      <c r="BA5" s="62">
        <f>'Captura Mayo'!AQ7</f>
        <v>0.69000000000000006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0</v>
      </c>
      <c r="P6" s="68" t="s">
        <v>201</v>
      </c>
      <c r="Q6" s="66">
        <f>IF(P6="NO",0,O6*Parametros!$E$9)</f>
        <v>0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5</v>
      </c>
      <c r="Z6" s="67">
        <v>15</v>
      </c>
      <c r="AA6" s="69">
        <f>IF(Y6&gt;=Parametros!$E$22,Parametros!$E$24,0)</f>
        <v>0</v>
      </c>
      <c r="AB6" s="69">
        <f>IF(Z6&gt;=Parametros!$E$23,Parametros!$E$25,0)</f>
        <v>0.04</v>
      </c>
      <c r="AC6" s="69">
        <f t="shared" ref="AC6:AC20" si="1">AA6+AB6</f>
        <v>0.04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70">
        <f>MAX(0,MIN(1,MAX(0,AP6-IF(S6="NO",Parametros!$E$17,0))+AC6)-AN6-IF(AO6="SI",Parametros!$E$33,0))</f>
        <v>0.96000000000000008</v>
      </c>
      <c r="AR6" s="42"/>
      <c r="AS6" s="52" t="str">
        <f>'Captura Mayo'!B8</f>
        <v>Calidad</v>
      </c>
      <c r="AT6" s="53">
        <f>'Captura Mayo'!K8+'Captura Mayo'!N8+'Captura Mayo'!Q8</f>
        <v>0.24</v>
      </c>
      <c r="AU6" s="53">
        <f>'Captura Mayo'!T8</f>
        <v>0.06</v>
      </c>
      <c r="AV6" s="53">
        <f>'Captura Mayo'!V8</f>
        <v>0.25</v>
      </c>
      <c r="AW6" s="53">
        <f>'Captura Mayo'!G8</f>
        <v>0.2</v>
      </c>
      <c r="AX6" s="53">
        <f>'Captura Mayo'!X8</f>
        <v>0.25</v>
      </c>
      <c r="AY6" s="53">
        <f>'Captura Mayo'!AC8</f>
        <v>0.08</v>
      </c>
      <c r="AZ6" s="54">
        <f>-'Captura Mayo'!AN8</f>
        <v>0</v>
      </c>
      <c r="BA6" s="55">
        <f>'Captura Mayo'!AQ8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</v>
      </c>
      <c r="F7" s="11">
        <f t="shared" si="0"/>
        <v>0.5</v>
      </c>
      <c r="G7" s="66">
        <f>F7*Parametros!$E$6</f>
        <v>0.1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7</v>
      </c>
      <c r="X7" s="66">
        <f>MAX(0,Parametros!$E$12-Parametros!$E$18*W7)</f>
        <v>0</v>
      </c>
      <c r="Y7" s="67">
        <v>1</v>
      </c>
      <c r="Z7" s="67">
        <v>12</v>
      </c>
      <c r="AA7" s="69">
        <f>IF(Y7&gt;=Parametros!$E$22,Parametros!$E$24,0)</f>
        <v>0</v>
      </c>
      <c r="AB7" s="69">
        <f>IF(Z7&gt;=Parametros!$E$23,Parametros!$E$25,0)</f>
        <v>0.04</v>
      </c>
      <c r="AC7" s="69">
        <f t="shared" si="1"/>
        <v>0.04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70">
        <f>MAX(0,MIN(1,MAX(0,AP7-IF(S7="NO",Parametros!$E$17,0))+AC7)-AN7-IF(AO7="SI",Parametros!$E$33,0))</f>
        <v>0.69000000000000006</v>
      </c>
      <c r="AR7" s="42"/>
      <c r="AS7" s="59" t="str">
        <f>'Captura Mayo'!B9</f>
        <v>Centro de Distribucion</v>
      </c>
      <c r="AT7" s="60">
        <f>'Captura Mayo'!K9+'Captura Mayo'!N9+'Captura Mayo'!Q9</f>
        <v>0.24</v>
      </c>
      <c r="AU7" s="60">
        <f>'Captura Mayo'!T9</f>
        <v>0.06</v>
      </c>
      <c r="AV7" s="60">
        <f>'Captura Mayo'!V9</f>
        <v>0.25</v>
      </c>
      <c r="AW7" s="60">
        <f>'Captura Mayo'!G9</f>
        <v>0.2</v>
      </c>
      <c r="AX7" s="60">
        <f>'Captura Mayo'!X9</f>
        <v>0.25</v>
      </c>
      <c r="AY7" s="60">
        <f>'Captura Mayo'!AC9</f>
        <v>0.04</v>
      </c>
      <c r="AZ7" s="61">
        <f>-'Captura Mayo'!AN9</f>
        <v>-0.1</v>
      </c>
      <c r="BA7" s="62">
        <f>'Captura Mayo'!AQ9</f>
        <v>0.9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9</v>
      </c>
      <c r="Z8" s="67">
        <v>24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70">
        <f>MAX(0,MIN(1,MAX(0,AP8-IF(S8="NO",Parametros!$E$17,0))+AC8)-AN8-IF(AO8="SI",Parametros!$E$33,0))</f>
        <v>1</v>
      </c>
      <c r="AR8" s="42"/>
      <c r="AS8" s="52" t="str">
        <f>'Captura Mayo'!B10</f>
        <v>ETEI</v>
      </c>
      <c r="AT8" s="53">
        <f>'Captura Mayo'!K10+'Captura Mayo'!N10+'Captura Mayo'!Q10</f>
        <v>0.24</v>
      </c>
      <c r="AU8" s="53">
        <f>'Captura Mayo'!T10</f>
        <v>0.06</v>
      </c>
      <c r="AV8" s="53">
        <f>'Captura Mayo'!V10</f>
        <v>0.25</v>
      </c>
      <c r="AW8" s="53">
        <f>'Captura Mayo'!G10</f>
        <v>0.2</v>
      </c>
      <c r="AX8" s="53">
        <f>'Captura Mayo'!X10</f>
        <v>0.2</v>
      </c>
      <c r="AY8" s="53">
        <f>'Captura Mayo'!AC10</f>
        <v>0.04</v>
      </c>
      <c r="AZ8" s="54">
        <f>-'Captura Mayo'!AN10</f>
        <v>0</v>
      </c>
      <c r="BA8" s="55">
        <f>'Captura Mayo'!AQ10</f>
        <v>0.99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5</v>
      </c>
      <c r="Z9" s="67">
        <v>22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2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0.9</v>
      </c>
      <c r="AR9" s="42"/>
      <c r="AS9" s="59" t="str">
        <f>'Captura Mayo'!B11</f>
        <v>Equipos Auxiliares</v>
      </c>
      <c r="AT9" s="60">
        <f>'Captura Mayo'!K11+'Captura Mayo'!N11+'Captura Mayo'!Q11</f>
        <v>0.24</v>
      </c>
      <c r="AU9" s="60">
        <f>'Captura Mayo'!T11</f>
        <v>0.06</v>
      </c>
      <c r="AV9" s="60">
        <f>'Captura Mayo'!V11</f>
        <v>0.25</v>
      </c>
      <c r="AW9" s="60">
        <f>'Captura Mayo'!G11</f>
        <v>0.2</v>
      </c>
      <c r="AX9" s="60">
        <f>'Captura Mayo'!X11</f>
        <v>0.25</v>
      </c>
      <c r="AY9" s="60">
        <f>'Captura Mayo'!AC11</f>
        <v>0.04</v>
      </c>
      <c r="AZ9" s="61">
        <f>-'Captura Mayo'!AN11</f>
        <v>0</v>
      </c>
      <c r="BA9" s="62">
        <f>'Captura Mayo'!AQ11</f>
        <v>1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0</v>
      </c>
      <c r="Z10" s="67">
        <v>23</v>
      </c>
      <c r="AA10" s="69">
        <f>IF(Y10&gt;=Parametros!$E$22,Parametros!$E$24,0)</f>
        <v>0</v>
      </c>
      <c r="AB10" s="69">
        <f>IF(Z10&gt;=Parametros!$E$23,Parametros!$E$25,0)</f>
        <v>0.04</v>
      </c>
      <c r="AC10" s="69">
        <f t="shared" si="1"/>
        <v>0.04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70">
        <f>MAX(0,MIN(1,MAX(0,AP10-IF(S10="NO",Parametros!$E$17,0))+AC10)-AN10-IF(AO10="SI",Parametros!$E$33,0))</f>
        <v>0.99</v>
      </c>
      <c r="AR10" s="42"/>
      <c r="AS10" s="52" t="str">
        <f>'Captura Mayo'!B12</f>
        <v>Jarabes</v>
      </c>
      <c r="AT10" s="53">
        <f>'Captura Mayo'!K12+'Captura Mayo'!N12+'Captura Mayo'!Q12</f>
        <v>0.24</v>
      </c>
      <c r="AU10" s="53">
        <f>'Captura Mayo'!T12</f>
        <v>0.06</v>
      </c>
      <c r="AV10" s="53">
        <f>'Captura Mayo'!V12</f>
        <v>0.25</v>
      </c>
      <c r="AW10" s="53">
        <f>'Captura Mayo'!G12</f>
        <v>0.2</v>
      </c>
      <c r="AX10" s="53">
        <f>'Captura Mayo'!X12</f>
        <v>9.9999999999999978E-2</v>
      </c>
      <c r="AY10" s="53">
        <f>'Captura Mayo'!AC12</f>
        <v>0</v>
      </c>
      <c r="AZ10" s="54">
        <f>-'Captura Mayo'!AN12</f>
        <v>-0.15</v>
      </c>
      <c r="BA10" s="55">
        <f>'Captura Mayo'!AQ12</f>
        <v>0.7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0</v>
      </c>
      <c r="X11" s="66">
        <f>MAX(0,Parametros!$E$12-Parametros!$E$18*W11)</f>
        <v>0.25</v>
      </c>
      <c r="Y11" s="67">
        <v>3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70">
        <f>MAX(0,MIN(1,MAX(0,AP11-IF(S11="NO",Parametros!$E$17,0))+AC11)-AN11-IF(AO11="SI",Parametros!$E$33,0))</f>
        <v>1</v>
      </c>
      <c r="AR11" s="42"/>
      <c r="AS11" s="59" t="str">
        <f>'Captura Mayo'!B13</f>
        <v>Linea 1</v>
      </c>
      <c r="AT11" s="60">
        <f>'Captura Mayo'!K13+'Captura Mayo'!N13+'Captura Mayo'!Q13</f>
        <v>0.24</v>
      </c>
      <c r="AU11" s="60">
        <f>'Captura Mayo'!T13</f>
        <v>0.06</v>
      </c>
      <c r="AV11" s="60">
        <f>'Captura Mayo'!V13</f>
        <v>0.25</v>
      </c>
      <c r="AW11" s="60">
        <f>'Captura Mayo'!G13</f>
        <v>0.2</v>
      </c>
      <c r="AX11" s="60">
        <f>'Captura Mayo'!X13</f>
        <v>0</v>
      </c>
      <c r="AY11" s="60">
        <f>'Captura Mayo'!AC13</f>
        <v>0.04</v>
      </c>
      <c r="AZ11" s="61">
        <f>-'Captura Mayo'!AN13</f>
        <v>-0.15</v>
      </c>
      <c r="BA11" s="62">
        <f>'Captura Mayo'!AQ13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3</v>
      </c>
      <c r="X12" s="66">
        <f>MAX(0,Parametros!$E$12-Parametros!$E$18*W12)</f>
        <v>9.9999999999999978E-2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1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70">
        <f>MAX(0,MIN(1,MAX(0,AP12-IF(S12="NO",Parametros!$E$17,0))+AC12)-AN12-IF(AO12="SI",Parametros!$E$33,0))</f>
        <v>0.7</v>
      </c>
      <c r="AR12" s="42"/>
      <c r="AS12" s="52" t="str">
        <f>'Captura Mayo'!B14</f>
        <v>Linea 2</v>
      </c>
      <c r="AT12" s="53">
        <f>'Captura Mayo'!K14+'Captura Mayo'!N14+'Captura Mayo'!Q14</f>
        <v>0.24</v>
      </c>
      <c r="AU12" s="53">
        <f>'Captura Mayo'!T14</f>
        <v>0.06</v>
      </c>
      <c r="AV12" s="53">
        <f>'Captura Mayo'!V14</f>
        <v>0.25</v>
      </c>
      <c r="AW12" s="53">
        <f>'Captura Mayo'!G14</f>
        <v>0.2</v>
      </c>
      <c r="AX12" s="53">
        <f>'Captura Mayo'!X14</f>
        <v>0.15</v>
      </c>
      <c r="AY12" s="53">
        <f>'Captura Mayo'!AC14</f>
        <v>0</v>
      </c>
      <c r="AZ12" s="54">
        <f>-'Captura Mayo'!AN14</f>
        <v>0</v>
      </c>
      <c r="BA12" s="55">
        <f>'Captura Mayo'!AQ14</f>
        <v>0.9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11</v>
      </c>
      <c r="X13" s="66">
        <f>MAX(0,Parametros!$E$12-Parametros!$E$18*W13)</f>
        <v>0</v>
      </c>
      <c r="Y13" s="67">
        <v>4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Mayo'!B15</f>
        <v>Linea 3</v>
      </c>
      <c r="AT13" s="60">
        <f>'Captura Mayo'!K15+'Captura Mayo'!N15+'Captura Mayo'!Q15</f>
        <v>0.24</v>
      </c>
      <c r="AU13" s="60">
        <f>'Captura Mayo'!T15</f>
        <v>0.06</v>
      </c>
      <c r="AV13" s="60">
        <f>'Captura Mayo'!V15</f>
        <v>0.25</v>
      </c>
      <c r="AW13" s="60">
        <f>'Captura Mayo'!G15</f>
        <v>0.2</v>
      </c>
      <c r="AX13" s="60">
        <f>'Captura Mayo'!X15</f>
        <v>0</v>
      </c>
      <c r="AY13" s="60">
        <f>'Captura Mayo'!AC15</f>
        <v>0.04</v>
      </c>
      <c r="AZ13" s="61">
        <f>-'Captura Mayo'!AN15</f>
        <v>-0.1</v>
      </c>
      <c r="BA13" s="62">
        <f>'Captura Mayo'!AQ15</f>
        <v>0.69000000000000006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9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</v>
      </c>
      <c r="AR14" s="42"/>
      <c r="AS14" s="52" t="str">
        <f>'Captura Mayo'!B16</f>
        <v>Linea 4</v>
      </c>
      <c r="AT14" s="53">
        <f>'Captura Mayo'!K16+'Captura Mayo'!N16+'Captura Mayo'!Q16</f>
        <v>0.24</v>
      </c>
      <c r="AU14" s="53">
        <f>'Captura Mayo'!T16</f>
        <v>0.06</v>
      </c>
      <c r="AV14" s="53">
        <f>'Captura Mayo'!V16</f>
        <v>0.25</v>
      </c>
      <c r="AW14" s="53">
        <f>'Captura Mayo'!G16</f>
        <v>0.2</v>
      </c>
      <c r="AX14" s="53">
        <f>'Captura Mayo'!X16</f>
        <v>0.25</v>
      </c>
      <c r="AY14" s="53">
        <f>'Captura Mayo'!AC16</f>
        <v>0.04</v>
      </c>
      <c r="AZ14" s="54">
        <f>-'Captura Mayo'!AN16</f>
        <v>0</v>
      </c>
      <c r="BA14" s="55">
        <f>'Captura Mayo'!AQ16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11</v>
      </c>
      <c r="X15" s="66">
        <f>MAX(0,Parametros!$E$12-Parametros!$E$18*W15)</f>
        <v>0</v>
      </c>
      <c r="Y15" s="67">
        <v>4</v>
      </c>
      <c r="Z15" s="67">
        <v>11</v>
      </c>
      <c r="AA15" s="69">
        <f>IF(Y15&gt;=Parametros!$E$22,Parametros!$E$24,0)</f>
        <v>0</v>
      </c>
      <c r="AB15" s="69">
        <f>IF(Z15&gt;=Parametros!$E$23,Parametros!$E$25,0)</f>
        <v>0.04</v>
      </c>
      <c r="AC15" s="69">
        <f t="shared" si="1"/>
        <v>0.04</v>
      </c>
      <c r="AD15" s="67">
        <v>0</v>
      </c>
      <c r="AE15" s="68" t="s">
        <v>200</v>
      </c>
      <c r="AF15" s="67">
        <v>1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0.69000000000000006</v>
      </c>
      <c r="AR15" s="42"/>
      <c r="AS15" s="59" t="str">
        <f>'Captura Mayo'!B17</f>
        <v>Linea 5</v>
      </c>
      <c r="AT15" s="60">
        <f>'Captura Mayo'!K17+'Captura Mayo'!N17+'Captura Mayo'!Q17</f>
        <v>0.24</v>
      </c>
      <c r="AU15" s="60">
        <f>'Captura Mayo'!T17</f>
        <v>0.06</v>
      </c>
      <c r="AV15" s="60">
        <f>'Captura Mayo'!V17</f>
        <v>0.25</v>
      </c>
      <c r="AW15" s="60">
        <f>'Captura Mayo'!G17</f>
        <v>0.2</v>
      </c>
      <c r="AX15" s="60">
        <f>'Captura Mayo'!X17</f>
        <v>9.9999999999999978E-2</v>
      </c>
      <c r="AY15" s="60">
        <f>'Captura Mayo'!AC17</f>
        <v>0.04</v>
      </c>
      <c r="AZ15" s="61">
        <f>-'Captura Mayo'!AN17</f>
        <v>0</v>
      </c>
      <c r="BA15" s="62">
        <f>'Captura Mayo'!AQ17</f>
        <v>0.89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2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Mayo'!B18</f>
        <v>Mantenimiento</v>
      </c>
      <c r="AT16" s="53">
        <f>'Captura Mayo'!K18+'Captura Mayo'!N18+'Captura Mayo'!Q18</f>
        <v>0.24</v>
      </c>
      <c r="AU16" s="53">
        <f>'Captura Mayo'!T18</f>
        <v>0.06</v>
      </c>
      <c r="AV16" s="53">
        <f>'Captura Mayo'!V18</f>
        <v>0.25</v>
      </c>
      <c r="AW16" s="53">
        <f>'Captura Mayo'!G18</f>
        <v>0.18666666666666673</v>
      </c>
      <c r="AX16" s="53">
        <f>'Captura Mayo'!X18</f>
        <v>0.25</v>
      </c>
      <c r="AY16" s="53">
        <f>'Captura Mayo'!AC18</f>
        <v>0.04</v>
      </c>
      <c r="AZ16" s="54">
        <f>-'Captura Mayo'!AN18</f>
        <v>0</v>
      </c>
      <c r="BA16" s="55">
        <f>'Captura Mayo'!AQ18</f>
        <v>1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3</v>
      </c>
      <c r="X17" s="66">
        <f>MAX(0,Parametros!$E$12-Parametros!$E$18*W17)</f>
        <v>9.9999999999999978E-2</v>
      </c>
      <c r="Y17" s="67">
        <v>5</v>
      </c>
      <c r="Z17" s="67">
        <v>14</v>
      </c>
      <c r="AA17" s="69">
        <f>IF(Y17&gt;=Parametros!$E$22,Parametros!$E$24,0)</f>
        <v>0</v>
      </c>
      <c r="AB17" s="69">
        <f>IF(Z17&gt;=Parametros!$E$23,Parametros!$E$25,0)</f>
        <v>0.04</v>
      </c>
      <c r="AC17" s="69">
        <f t="shared" si="1"/>
        <v>0.04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70">
        <f>MAX(0,MIN(1,MAX(0,AP17-IF(S17="NO",Parametros!$E$17,0))+AC17)-AN17-IF(AO17="SI",Parametros!$E$33,0))</f>
        <v>0.89</v>
      </c>
      <c r="AR17" s="42"/>
      <c r="AS17" s="59" t="str">
        <f>'Captura Mayo'!B19</f>
        <v>Materias Primas</v>
      </c>
      <c r="AT17" s="60">
        <f>'Captura Mayo'!K19+'Captura Mayo'!N19+'Captura Mayo'!Q19</f>
        <v>0.24</v>
      </c>
      <c r="AU17" s="60">
        <f>'Captura Mayo'!T19</f>
        <v>0</v>
      </c>
      <c r="AV17" s="60">
        <f>'Captura Mayo'!V19</f>
        <v>0.25</v>
      </c>
      <c r="AW17" s="60">
        <f>'Captura Mayo'!G19</f>
        <v>0.2</v>
      </c>
      <c r="AX17" s="60">
        <f>'Captura Mayo'!X19</f>
        <v>0.25</v>
      </c>
      <c r="AY17" s="60">
        <f>'Captura Mayo'!AC19</f>
        <v>0</v>
      </c>
      <c r="AZ17" s="61">
        <f>-'Captura Mayo'!AN19</f>
        <v>0</v>
      </c>
      <c r="BA17" s="62">
        <f>'Captura Mayo'!AQ19</f>
        <v>0.84000000000000008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0</v>
      </c>
      <c r="X18" s="66">
        <f>MAX(0,Parametros!$E$12-Parametros!$E$18*W18)</f>
        <v>0.25</v>
      </c>
      <c r="Y18" s="67">
        <v>1</v>
      </c>
      <c r="Z18" s="67">
        <v>15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70">
        <f>MAX(0,MIN(1,MAX(0,AP18-IF(S18="NO",Parametros!$E$17,0))+AC18)-AN18-IF(AO18="SI",Parametros!$E$33,0))</f>
        <v>1</v>
      </c>
      <c r="AR18" s="42"/>
      <c r="AS18" s="52" t="str">
        <f>'Captura Mayo'!B20</f>
        <v>Tratamiento de Aguas</v>
      </c>
      <c r="AT18" s="53">
        <f>'Captura Mayo'!K20+'Captura Mayo'!N20+'Captura Mayo'!Q20</f>
        <v>0.24</v>
      </c>
      <c r="AU18" s="53">
        <f>'Captura Mayo'!T20</f>
        <v>0.06</v>
      </c>
      <c r="AV18" s="53">
        <f>'Captura Mayo'!V20</f>
        <v>0.25</v>
      </c>
      <c r="AW18" s="53">
        <f>'Captura Mayo'!G20</f>
        <v>0.2</v>
      </c>
      <c r="AX18" s="53">
        <f>'Captura Mayo'!X20</f>
        <v>0.2</v>
      </c>
      <c r="AY18" s="53">
        <f>'Captura Mayo'!AC20</f>
        <v>0</v>
      </c>
      <c r="AZ18" s="54">
        <f>-'Captura Mayo'!AN20</f>
        <v>0</v>
      </c>
      <c r="BA18" s="55">
        <f>'Captura Mayo'!AQ20</f>
        <v>0.95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1</v>
      </c>
      <c r="F19" s="11">
        <f t="shared" si="0"/>
        <v>1</v>
      </c>
      <c r="G19" s="66">
        <f>F19*Parametros!$E$6</f>
        <v>0.2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0</v>
      </c>
      <c r="X19" s="66">
        <f>MAX(0,Parametros!$E$12-Parametros!$E$18*W19)</f>
        <v>0.25</v>
      </c>
      <c r="Y19" s="67">
        <v>1</v>
      </c>
      <c r="Z19" s="67">
        <v>1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70">
        <f>MAX(0,MIN(1,MAX(0,AP19-IF(S19="NO",Parametros!$E$17,0))+AC19)-AN19-IF(AO19="SI",Parametros!$E$33,0))</f>
        <v>0.84000000000000008</v>
      </c>
      <c r="AR19" s="42"/>
      <c r="AS19" s="90" t="s">
        <v>219</v>
      </c>
      <c r="AT19" s="90"/>
      <c r="AU19" s="90"/>
      <c r="AV19" s="90"/>
      <c r="AW19" s="90"/>
      <c r="AX19" s="90"/>
      <c r="AY19" s="90"/>
      <c r="AZ19" s="90"/>
      <c r="BA19" s="71">
        <f>AVERAGE(BA4:BA18)</f>
        <v>0.87666666666666671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5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70">
        <f>MAX(0,MIN(1,MAX(0,AP20-IF(S20="NO",Parametros!$E$17,0))+AC20)-AN20-IF(AO20="SI",Parametros!$E$33,0))</f>
        <v>0.95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0.87666666666666671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X6:X20 AP6:AP20 AR6:AR20 J6:J20 M6:M20 P6:P20 S6:T20 AE6:AE20 AG6:AG20 AI6:AN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83" zoomScaleNormal="83" workbookViewId="0">
      <pane xSplit="3" ySplit="5" topLeftCell="AP6" activePane="bottomRight" state="frozen"/>
      <selection pane="topRight" activeCell="D1" sqref="D1"/>
      <selection pane="bottomLeft" activeCell="A6" sqref="A6"/>
      <selection pane="bottomRight" activeCell="AW12" sqref="AW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221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222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Junio'!B6</f>
        <v>Almacen de Repuestos</v>
      </c>
      <c r="AT4" s="53">
        <f>'Captura Junio'!K6+'Captura Junio'!N6+'Captura Junio'!Q6</f>
        <v>0.24</v>
      </c>
      <c r="AU4" s="53">
        <f>'Captura Junio'!T6</f>
        <v>0</v>
      </c>
      <c r="AV4" s="53">
        <f>'Captura Junio'!V6</f>
        <v>0.25</v>
      </c>
      <c r="AW4" s="53">
        <f>'Captura Junio'!G6</f>
        <v>0.2</v>
      </c>
      <c r="AX4" s="53">
        <f>'Captura Junio'!X6</f>
        <v>0.25</v>
      </c>
      <c r="AY4" s="53">
        <f>'Captura Junio'!AC6</f>
        <v>0</v>
      </c>
      <c r="AZ4" s="54">
        <f>-'Captura Junio'!AN6</f>
        <v>0</v>
      </c>
      <c r="BA4" s="55">
        <f>'Captura Junio'!AQ6</f>
        <v>0.84000000000000008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Junio'!B7</f>
        <v>Alrededores</v>
      </c>
      <c r="AT5" s="60">
        <f>'Captura Junio'!K7+'Captura Junio'!N7+'Captura Junio'!Q7</f>
        <v>0.16</v>
      </c>
      <c r="AU5" s="60">
        <f>'Captura Junio'!T7</f>
        <v>0.06</v>
      </c>
      <c r="AV5" s="60">
        <f>'Captura Junio'!V7</f>
        <v>0.25</v>
      </c>
      <c r="AW5" s="60">
        <f>'Captura Junio'!G7</f>
        <v>0.17000000000000004</v>
      </c>
      <c r="AX5" s="60">
        <f>'Captura Junio'!X7</f>
        <v>0</v>
      </c>
      <c r="AY5" s="60">
        <f>'Captura Junio'!AC7</f>
        <v>0</v>
      </c>
      <c r="AZ5" s="61">
        <f>-'Captura Junio'!AN7</f>
        <v>0</v>
      </c>
      <c r="BA5" s="62">
        <f>'Captura Junio'!AQ7</f>
        <v>0.64000000000000012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0</v>
      </c>
      <c r="S6" s="68" t="s">
        <v>201</v>
      </c>
      <c r="T6" s="66">
        <f>IF(S6="NO",0,R6*Parametros!$E$10)</f>
        <v>0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4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70">
        <f>MAX(0,MIN(1,MAX(0,AP6-IF(S6="NO",Parametros!$E$17,0))+AC6)-AN6-IF(AO6="SI",Parametros!$E$33,0))</f>
        <v>0.84000000000000008</v>
      </c>
      <c r="AR6" s="42"/>
      <c r="AS6" s="52" t="str">
        <f>'Captura Junio'!B8</f>
        <v>Calidad</v>
      </c>
      <c r="AT6" s="53">
        <f>'Captura Junio'!K8+'Captura Junio'!N8+'Captura Junio'!Q8</f>
        <v>0.24</v>
      </c>
      <c r="AU6" s="53">
        <f>'Captura Junio'!T8</f>
        <v>0.06</v>
      </c>
      <c r="AV6" s="53">
        <f>'Captura Junio'!V8</f>
        <v>0.25</v>
      </c>
      <c r="AW6" s="53">
        <f>'Captura Junio'!G8</f>
        <v>0.2</v>
      </c>
      <c r="AX6" s="53">
        <f>'Captura Junio'!X8</f>
        <v>0.2</v>
      </c>
      <c r="AY6" s="53">
        <f>'Captura Junio'!AC8</f>
        <v>0.08</v>
      </c>
      <c r="AZ6" s="54">
        <f>-'Captura Junio'!AN8</f>
        <v>0</v>
      </c>
      <c r="BA6" s="55">
        <f>'Captura Junio'!AQ8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0.8</v>
      </c>
      <c r="E7" s="65">
        <v>0.9</v>
      </c>
      <c r="F7" s="11">
        <f t="shared" si="0"/>
        <v>0.85000000000000009</v>
      </c>
      <c r="G7" s="66">
        <f>F7*Parametros!$E$6</f>
        <v>0.17000000000000004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0</v>
      </c>
      <c r="M7" s="68" t="s">
        <v>201</v>
      </c>
      <c r="N7" s="66">
        <f>IF(M7="NO",0,L7*Parametros!$E$8)</f>
        <v>0</v>
      </c>
      <c r="O7" s="65">
        <v>1</v>
      </c>
      <c r="P7" s="68" t="s">
        <v>200</v>
      </c>
      <c r="Q7" s="66">
        <f>IF(P7="NO",0,O7*Parametros!$E$9)</f>
        <v>0.08</v>
      </c>
      <c r="R7" s="65">
        <v>1</v>
      </c>
      <c r="S7" s="68" t="s">
        <v>200</v>
      </c>
      <c r="T7" s="66">
        <f>IF(S7="NO",0,R7*Parametros!$E$10)</f>
        <v>0.06</v>
      </c>
      <c r="U7" s="65">
        <v>1</v>
      </c>
      <c r="V7" s="66">
        <f>U7*Parametros!$E$11</f>
        <v>0.25</v>
      </c>
      <c r="W7" s="67">
        <v>5</v>
      </c>
      <c r="X7" s="66">
        <f>MAX(0,Parametros!$E$12-Parametros!$E$18*W7)</f>
        <v>0</v>
      </c>
      <c r="Y7" s="67">
        <v>0</v>
      </c>
      <c r="Z7" s="67">
        <v>9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70">
        <f>MAX(0,MIN(1,MAX(0,AP7-IF(S7="NO",Parametros!$E$17,0))+AC7)-AN7-IF(AO7="SI",Parametros!$E$33,0))</f>
        <v>0.64000000000000012</v>
      </c>
      <c r="AR7" s="42"/>
      <c r="AS7" s="59" t="str">
        <f>'Captura Junio'!B9</f>
        <v>Centro de Distribucion</v>
      </c>
      <c r="AT7" s="60">
        <f>'Captura Junio'!K9+'Captura Junio'!N9+'Captura Junio'!Q9</f>
        <v>0.24</v>
      </c>
      <c r="AU7" s="60">
        <f>'Captura Junio'!T9</f>
        <v>0.06</v>
      </c>
      <c r="AV7" s="60">
        <f>'Captura Junio'!V9</f>
        <v>0.25</v>
      </c>
      <c r="AW7" s="60">
        <f>'Captura Junio'!G9</f>
        <v>0.2</v>
      </c>
      <c r="AX7" s="60">
        <f>'Captura Junio'!X9</f>
        <v>0.25</v>
      </c>
      <c r="AY7" s="60">
        <f>'Captura Junio'!AC9</f>
        <v>0.04</v>
      </c>
      <c r="AZ7" s="61">
        <f>-'Captura Junio'!AN9</f>
        <v>0</v>
      </c>
      <c r="BA7" s="62">
        <f>'Captura Junio'!AQ9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1</v>
      </c>
      <c r="F8" s="11">
        <f t="shared" si="0"/>
        <v>1</v>
      </c>
      <c r="G8" s="66">
        <f>F8*Parametros!$E$6</f>
        <v>0.2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1</v>
      </c>
      <c r="X8" s="66">
        <f>MAX(0,Parametros!$E$12-Parametros!$E$18*W8)</f>
        <v>0.2</v>
      </c>
      <c r="Y8" s="67">
        <v>11</v>
      </c>
      <c r="Z8" s="67">
        <v>35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70">
        <f>MAX(0,MIN(1,MAX(0,AP8-IF(S8="NO",Parametros!$E$17,0))+AC8)-AN8-IF(AO8="SI",Parametros!$E$33,0))</f>
        <v>1</v>
      </c>
      <c r="AR8" s="42"/>
      <c r="AS8" s="52" t="str">
        <f>'Captura Junio'!B10</f>
        <v>ETEI</v>
      </c>
      <c r="AT8" s="53">
        <f>'Captura Junio'!K10+'Captura Junio'!N10+'Captura Junio'!Q10</f>
        <v>0.16</v>
      </c>
      <c r="AU8" s="53">
        <f>'Captura Junio'!T10</f>
        <v>0.06</v>
      </c>
      <c r="AV8" s="53">
        <f>'Captura Junio'!V10</f>
        <v>0.25</v>
      </c>
      <c r="AW8" s="53">
        <f>'Captura Junio'!G10</f>
        <v>0.2</v>
      </c>
      <c r="AX8" s="53">
        <f>'Captura Junio'!X10</f>
        <v>0.2</v>
      </c>
      <c r="AY8" s="53">
        <f>'Captura Junio'!AC10</f>
        <v>0</v>
      </c>
      <c r="AZ8" s="54">
        <f>-'Captura Junio'!AN10</f>
        <v>0</v>
      </c>
      <c r="BA8" s="55">
        <f>'Captura Junio'!AQ10</f>
        <v>0.87000000000000011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6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Junio'!B11</f>
        <v>Equipos Auxiliares</v>
      </c>
      <c r="AT9" s="60">
        <f>'Captura Junio'!K11+'Captura Junio'!N11+'Captura Junio'!Q11</f>
        <v>0.24</v>
      </c>
      <c r="AU9" s="60">
        <f>'Captura Junio'!T11</f>
        <v>0.06</v>
      </c>
      <c r="AV9" s="60">
        <f>'Captura Junio'!V11</f>
        <v>0.25</v>
      </c>
      <c r="AW9" s="60">
        <f>'Captura Junio'!G11</f>
        <v>0.2</v>
      </c>
      <c r="AX9" s="60">
        <f>'Captura Junio'!X11</f>
        <v>9.9999999999999978E-2</v>
      </c>
      <c r="AY9" s="60">
        <f>'Captura Junio'!AC11</f>
        <v>0</v>
      </c>
      <c r="AZ9" s="61">
        <f>-'Captura Junio'!AN11</f>
        <v>0</v>
      </c>
      <c r="BA9" s="62">
        <f>'Captura Junio'!AQ11</f>
        <v>0.85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201</v>
      </c>
      <c r="K10" s="66">
        <f>IF(J10="NO",0,IFERROR(H10/I10,0)*Parametros!$E$7)</f>
        <v>0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1</v>
      </c>
      <c r="X10" s="66">
        <f>MAX(0,Parametros!$E$12-Parametros!$E$18*W10)</f>
        <v>0.2</v>
      </c>
      <c r="Y10" s="67">
        <v>1</v>
      </c>
      <c r="Z10" s="67">
        <v>4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70">
        <f>MAX(0,MIN(1,MAX(0,AP10-IF(S10="NO",Parametros!$E$17,0))+AC10)-AN10-IF(AO10="SI",Parametros!$E$33,0))</f>
        <v>0.87000000000000011</v>
      </c>
      <c r="AR10" s="42"/>
      <c r="AS10" s="52" t="str">
        <f>'Captura Junio'!B12</f>
        <v>Jarabes</v>
      </c>
      <c r="AT10" s="53">
        <f>'Captura Junio'!K12+'Captura Junio'!N12+'Captura Junio'!Q12</f>
        <v>0.16</v>
      </c>
      <c r="AU10" s="53">
        <f>'Captura Junio'!T12</f>
        <v>0</v>
      </c>
      <c r="AV10" s="53">
        <f>'Captura Junio'!V12</f>
        <v>0.25</v>
      </c>
      <c r="AW10" s="53">
        <f>'Captura Junio'!G12</f>
        <v>0.19130434782608702</v>
      </c>
      <c r="AX10" s="53">
        <f>'Captura Junio'!X12</f>
        <v>0.2</v>
      </c>
      <c r="AY10" s="53">
        <f>'Captura Junio'!AC12</f>
        <v>0</v>
      </c>
      <c r="AZ10" s="54">
        <f>-'Captura Junio'!AN12</f>
        <v>0</v>
      </c>
      <c r="BA10" s="55">
        <f>'Captura Junio'!AQ12</f>
        <v>0.70130434782608708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3</v>
      </c>
      <c r="X11" s="66">
        <f>MAX(0,Parametros!$E$12-Parametros!$E$18*W11)</f>
        <v>9.9999999999999978E-2</v>
      </c>
      <c r="Y11" s="67">
        <v>3</v>
      </c>
      <c r="Z11" s="67">
        <v>5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70">
        <f>MAX(0,MIN(1,MAX(0,AP11-IF(S11="NO",Parametros!$E$17,0))+AC11)-AN11-IF(AO11="SI",Parametros!$E$33,0))</f>
        <v>0.85</v>
      </c>
      <c r="AR11" s="42"/>
      <c r="AS11" s="59" t="str">
        <f>'Captura Junio'!B13</f>
        <v>Linea 1</v>
      </c>
      <c r="AT11" s="60">
        <f>'Captura Junio'!K13+'Captura Junio'!N13+'Captura Junio'!Q13</f>
        <v>0.24</v>
      </c>
      <c r="AU11" s="60">
        <f>'Captura Junio'!T13</f>
        <v>0.06</v>
      </c>
      <c r="AV11" s="60">
        <f>'Captura Junio'!V13</f>
        <v>0.25</v>
      </c>
      <c r="AW11" s="60">
        <f>'Captura Junio'!G13</f>
        <v>0.2</v>
      </c>
      <c r="AX11" s="60">
        <f>'Captura Junio'!X13</f>
        <v>4.9999999999999989E-2</v>
      </c>
      <c r="AY11" s="60">
        <f>'Captura Junio'!AC13</f>
        <v>0.04</v>
      </c>
      <c r="AZ11" s="61">
        <f>-'Captura Junio'!AN13</f>
        <v>-0.05</v>
      </c>
      <c r="BA11" s="62">
        <f>'Captura Junio'!AQ13</f>
        <v>0.79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0.95652173913043503</v>
      </c>
      <c r="E12" s="65">
        <v>0.95652173913043503</v>
      </c>
      <c r="F12" s="11">
        <f t="shared" si="0"/>
        <v>0.95652173913043503</v>
      </c>
      <c r="G12" s="66">
        <f>F12*Parametros!$E$6</f>
        <v>0.19130434782608702</v>
      </c>
      <c r="H12" s="67">
        <v>10</v>
      </c>
      <c r="I12" s="67">
        <v>10</v>
      </c>
      <c r="J12" s="68" t="s">
        <v>201</v>
      </c>
      <c r="K12" s="66">
        <f>IF(J12="NO",0,IFERROR(H12/I12,0)*Parametros!$E$7)</f>
        <v>0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0</v>
      </c>
      <c r="S12" s="68" t="s">
        <v>201</v>
      </c>
      <c r="T12" s="66">
        <f>IF(S12="NO",0,R12*Parametros!$E$10)</f>
        <v>0</v>
      </c>
      <c r="U12" s="65">
        <v>1</v>
      </c>
      <c r="V12" s="66">
        <f>U12*Parametros!$E$11</f>
        <v>0.25</v>
      </c>
      <c r="W12" s="67">
        <v>1</v>
      </c>
      <c r="X12" s="66">
        <f>MAX(0,Parametros!$E$12-Parametros!$E$18*W12)</f>
        <v>0.2</v>
      </c>
      <c r="Y12" s="67">
        <v>4</v>
      </c>
      <c r="Z12" s="67">
        <v>4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70">
        <f>MAX(0,MIN(1,MAX(0,AP12-IF(S12="NO",Parametros!$E$17,0))+AC12)-AN12-IF(AO12="SI",Parametros!$E$33,0))</f>
        <v>0.70130434782608708</v>
      </c>
      <c r="AR12" s="42"/>
      <c r="AS12" s="52" t="str">
        <f>'Captura Junio'!B14</f>
        <v>Linea 2</v>
      </c>
      <c r="AT12" s="53">
        <f>'Captura Junio'!K14+'Captura Junio'!N14+'Captura Junio'!Q14</f>
        <v>0.24</v>
      </c>
      <c r="AU12" s="53">
        <f>'Captura Junio'!T14</f>
        <v>0.06</v>
      </c>
      <c r="AV12" s="53">
        <f>'Captura Junio'!V14</f>
        <v>0.25</v>
      </c>
      <c r="AW12" s="53">
        <f>'Captura Junio'!G14</f>
        <v>0.2</v>
      </c>
      <c r="AX12" s="53">
        <f>'Captura Junio'!X14</f>
        <v>0.15</v>
      </c>
      <c r="AY12" s="53">
        <f>'Captura Junio'!AC14</f>
        <v>0.04</v>
      </c>
      <c r="AZ12" s="54">
        <f>-'Captura Junio'!AN14</f>
        <v>0</v>
      </c>
      <c r="BA12" s="55">
        <f>'Captura Junio'!AQ14</f>
        <v>0.94000000000000006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4</v>
      </c>
      <c r="X13" s="66">
        <f>MAX(0,Parametros!$E$12-Parametros!$E$18*W13)</f>
        <v>4.9999999999999989E-2</v>
      </c>
      <c r="Y13" s="67">
        <v>5</v>
      </c>
      <c r="Z13" s="67">
        <v>15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1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70">
        <f>MAX(0,MIN(1,MAX(0,AP13-IF(S13="NO",Parametros!$E$17,0))+AC13)-AN13-IF(AO13="SI",Parametros!$E$33,0))</f>
        <v>0.79</v>
      </c>
      <c r="AR13" s="42"/>
      <c r="AS13" s="59" t="str">
        <f>'Captura Junio'!B15</f>
        <v>Linea 3</v>
      </c>
      <c r="AT13" s="60">
        <f>'Captura Junio'!K15+'Captura Junio'!N15+'Captura Junio'!Q15</f>
        <v>0.24</v>
      </c>
      <c r="AU13" s="60">
        <f>'Captura Junio'!T15</f>
        <v>0.06</v>
      </c>
      <c r="AV13" s="60">
        <f>'Captura Junio'!V15</f>
        <v>0.25</v>
      </c>
      <c r="AW13" s="60">
        <f>'Captura Junio'!G15</f>
        <v>0.19444444444444442</v>
      </c>
      <c r="AX13" s="60">
        <f>'Captura Junio'!X15</f>
        <v>0</v>
      </c>
      <c r="AY13" s="60">
        <f>'Captura Junio'!AC15</f>
        <v>0</v>
      </c>
      <c r="AZ13" s="61">
        <f>-'Captura Junio'!AN15</f>
        <v>0</v>
      </c>
      <c r="BA13" s="62">
        <f>'Captura Junio'!AQ15</f>
        <v>0.74444444444444446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2</v>
      </c>
      <c r="X14" s="66">
        <f>MAX(0,Parametros!$E$12-Parametros!$E$18*W14)</f>
        <v>0.15</v>
      </c>
      <c r="Y14" s="67">
        <v>4</v>
      </c>
      <c r="Z14" s="67">
        <v>13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70">
        <f>MAX(0,MIN(1,MAX(0,AP14-IF(S14="NO",Parametros!$E$17,0))+AC14)-AN14-IF(AO14="SI",Parametros!$E$33,0))</f>
        <v>0.94000000000000006</v>
      </c>
      <c r="AR14" s="42"/>
      <c r="AS14" s="52" t="str">
        <f>'Captura Junio'!B16</f>
        <v>Linea 4</v>
      </c>
      <c r="AT14" s="53">
        <f>'Captura Junio'!K16+'Captura Junio'!N16+'Captura Junio'!Q16</f>
        <v>0.24</v>
      </c>
      <c r="AU14" s="53">
        <f>'Captura Junio'!T16</f>
        <v>0.06</v>
      </c>
      <c r="AV14" s="53">
        <f>'Captura Junio'!V16</f>
        <v>0.25</v>
      </c>
      <c r="AW14" s="53">
        <f>'Captura Junio'!G16</f>
        <v>0.2</v>
      </c>
      <c r="AX14" s="53">
        <f>'Captura Junio'!X16</f>
        <v>0.25</v>
      </c>
      <c r="AY14" s="53">
        <f>'Captura Junio'!AC16</f>
        <v>0.04</v>
      </c>
      <c r="AZ14" s="54">
        <f>-'Captura Junio'!AN16</f>
        <v>0</v>
      </c>
      <c r="BA14" s="55">
        <f>'Captura Junio'!AQ16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0.94444444444444398</v>
      </c>
      <c r="F15" s="11">
        <f t="shared" si="0"/>
        <v>0.97222222222222199</v>
      </c>
      <c r="G15" s="66">
        <f>F15*Parametros!$E$6</f>
        <v>0.19444444444444442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8</v>
      </c>
      <c r="X15" s="66">
        <f>MAX(0,Parametros!$E$12-Parametros!$E$18*W15)</f>
        <v>0</v>
      </c>
      <c r="Y15" s="67">
        <v>4</v>
      </c>
      <c r="Z15" s="67">
        <v>6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70">
        <f>MAX(0,MIN(1,MAX(0,AP15-IF(S15="NO",Parametros!$E$17,0))+AC15)-AN15-IF(AO15="SI",Parametros!$E$33,0))</f>
        <v>0.74444444444444446</v>
      </c>
      <c r="AR15" s="42"/>
      <c r="AS15" s="59" t="str">
        <f>'Captura Junio'!B17</f>
        <v>Linea 5</v>
      </c>
      <c r="AT15" s="60">
        <f>'Captura Junio'!K17+'Captura Junio'!N17+'Captura Junio'!Q17</f>
        <v>0.24</v>
      </c>
      <c r="AU15" s="60">
        <f>'Captura Junio'!T17</f>
        <v>0.06</v>
      </c>
      <c r="AV15" s="60">
        <f>'Captura Junio'!V17</f>
        <v>0.25</v>
      </c>
      <c r="AW15" s="60">
        <f>'Captura Junio'!G17</f>
        <v>0.19285714285714292</v>
      </c>
      <c r="AX15" s="60">
        <f>'Captura Junio'!X17</f>
        <v>4.9999999999999989E-2</v>
      </c>
      <c r="AY15" s="60">
        <f>'Captura Junio'!AC17</f>
        <v>0</v>
      </c>
      <c r="AZ15" s="61">
        <f>-'Captura Junio'!AN17</f>
        <v>0</v>
      </c>
      <c r="BA15" s="62">
        <f>'Captura Junio'!AQ17</f>
        <v>0.79285714285714293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4</v>
      </c>
      <c r="Z16" s="67">
        <v>11</v>
      </c>
      <c r="AA16" s="69">
        <f>IF(Y16&gt;=Parametros!$E$22,Parametros!$E$24,0)</f>
        <v>0</v>
      </c>
      <c r="AB16" s="69">
        <f>IF(Z16&gt;=Parametros!$E$23,Parametros!$E$25,0)</f>
        <v>0.04</v>
      </c>
      <c r="AC16" s="69">
        <f t="shared" si="1"/>
        <v>0.04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Junio'!B18</f>
        <v>Mantenimiento</v>
      </c>
      <c r="AT16" s="53">
        <f>'Captura Junio'!K18+'Captura Junio'!N18+'Captura Junio'!Q18</f>
        <v>0.16</v>
      </c>
      <c r="AU16" s="53">
        <f>'Captura Junio'!T18</f>
        <v>0.06</v>
      </c>
      <c r="AV16" s="53">
        <f>'Captura Junio'!V18</f>
        <v>0.25</v>
      </c>
      <c r="AW16" s="53">
        <f>'Captura Junio'!G18</f>
        <v>0.2</v>
      </c>
      <c r="AX16" s="53">
        <f>'Captura Junio'!X18</f>
        <v>0.2</v>
      </c>
      <c r="AY16" s="53">
        <f>'Captura Junio'!AC18</f>
        <v>0.04</v>
      </c>
      <c r="AZ16" s="54">
        <f>-'Captura Junio'!AN18</f>
        <v>0</v>
      </c>
      <c r="BA16" s="55">
        <f>'Captura Junio'!AQ18</f>
        <v>0.91000000000000014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0.92857142857142905</v>
      </c>
      <c r="F17" s="11">
        <f t="shared" si="0"/>
        <v>0.96428571428571452</v>
      </c>
      <c r="G17" s="66">
        <f>F17*Parametros!$E$6</f>
        <v>0.19285714285714292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4</v>
      </c>
      <c r="X17" s="66">
        <f>MAX(0,Parametros!$E$12-Parametros!$E$18*W17)</f>
        <v>4.9999999999999989E-2</v>
      </c>
      <c r="Y17" s="67">
        <v>4</v>
      </c>
      <c r="Z17" s="67">
        <v>8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70">
        <f>MAX(0,MIN(1,MAX(0,AP17-IF(S17="NO",Parametros!$E$17,0))+AC17)-AN17-IF(AO17="SI",Parametros!$E$33,0))</f>
        <v>0.79285714285714293</v>
      </c>
      <c r="AR17" s="42"/>
      <c r="AS17" s="59" t="str">
        <f>'Captura Junio'!B19</f>
        <v>Materias Primas</v>
      </c>
      <c r="AT17" s="60">
        <f>'Captura Junio'!K19+'Captura Junio'!N19+'Captura Junio'!Q19</f>
        <v>0.24</v>
      </c>
      <c r="AU17" s="60">
        <f>'Captura Junio'!T19</f>
        <v>0</v>
      </c>
      <c r="AV17" s="60">
        <f>'Captura Junio'!V19</f>
        <v>0.25</v>
      </c>
      <c r="AW17" s="60">
        <f>'Captura Junio'!G19</f>
        <v>0.17500000000000002</v>
      </c>
      <c r="AX17" s="60">
        <f>'Captura Junio'!X19</f>
        <v>0.15</v>
      </c>
      <c r="AY17" s="60">
        <f>'Captura Junio'!AC19</f>
        <v>0</v>
      </c>
      <c r="AZ17" s="61">
        <f>-'Captura Junio'!AN19</f>
        <v>0</v>
      </c>
      <c r="BA17" s="62">
        <f>'Captura Junio'!AQ19</f>
        <v>0.71500000000000008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1</v>
      </c>
      <c r="E18" s="65">
        <v>1</v>
      </c>
      <c r="F18" s="11">
        <f t="shared" si="0"/>
        <v>1</v>
      </c>
      <c r="G18" s="66">
        <f>F18*Parametros!$E$6</f>
        <v>0.2</v>
      </c>
      <c r="H18" s="67">
        <v>10</v>
      </c>
      <c r="I18" s="67">
        <v>10</v>
      </c>
      <c r="J18" s="68" t="s">
        <v>201</v>
      </c>
      <c r="K18" s="66">
        <f>IF(J18="NO",0,IFERROR(H18/I18,0)*Parametros!$E$7)</f>
        <v>0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1</v>
      </c>
      <c r="Z18" s="67">
        <v>20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70">
        <f>MAX(0,MIN(1,MAX(0,AP18-IF(S18="NO",Parametros!$E$17,0))+AC18)-AN18-IF(AO18="SI",Parametros!$E$33,0))</f>
        <v>0.91000000000000014</v>
      </c>
      <c r="AR18" s="42"/>
      <c r="AS18" s="52" t="str">
        <f>'Captura Junio'!B20</f>
        <v>Tratamiento de Aguas</v>
      </c>
      <c r="AT18" s="53">
        <f>'Captura Junio'!K20+'Captura Junio'!N20+'Captura Junio'!Q20</f>
        <v>0.16</v>
      </c>
      <c r="AU18" s="53">
        <f>'Captura Junio'!T20</f>
        <v>0</v>
      </c>
      <c r="AV18" s="53">
        <f>'Captura Junio'!V20</f>
        <v>0.25</v>
      </c>
      <c r="AW18" s="53">
        <f>'Captura Junio'!G20</f>
        <v>0.2</v>
      </c>
      <c r="AX18" s="53">
        <f>'Captura Junio'!X20</f>
        <v>0.2</v>
      </c>
      <c r="AY18" s="53">
        <f>'Captura Junio'!AC20</f>
        <v>0</v>
      </c>
      <c r="AZ18" s="54">
        <f>-'Captura Junio'!AN20</f>
        <v>0</v>
      </c>
      <c r="BA18" s="55">
        <f>'Captura Junio'!AQ20</f>
        <v>0.71000000000000008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0.875</v>
      </c>
      <c r="F19" s="11">
        <f t="shared" si="0"/>
        <v>0.875</v>
      </c>
      <c r="G19" s="66">
        <f>F19*Parametros!$E$6</f>
        <v>0.17500000000000002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0</v>
      </c>
      <c r="S19" s="68" t="s">
        <v>201</v>
      </c>
      <c r="T19" s="66">
        <f>IF(S19="NO",0,R19*Parametros!$E$10)</f>
        <v>0</v>
      </c>
      <c r="U19" s="65">
        <v>1</v>
      </c>
      <c r="V19" s="66">
        <f>U19*Parametros!$E$11</f>
        <v>0.25</v>
      </c>
      <c r="W19" s="67">
        <v>2</v>
      </c>
      <c r="X19" s="66">
        <f>MAX(0,Parametros!$E$12-Parametros!$E$18*W19)</f>
        <v>0.15</v>
      </c>
      <c r="Y19" s="67">
        <v>1</v>
      </c>
      <c r="Z19" s="67">
        <v>6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70">
        <f>MAX(0,MIN(1,MAX(0,AP19-IF(S19="NO",Parametros!$E$17,0))+AC19)-AN19-IF(AO19="SI",Parametros!$E$33,0))</f>
        <v>0.71500000000000008</v>
      </c>
      <c r="AR19" s="42"/>
      <c r="AS19" s="90" t="s">
        <v>223</v>
      </c>
      <c r="AT19" s="90"/>
      <c r="AU19" s="90"/>
      <c r="AV19" s="90"/>
      <c r="AW19" s="90"/>
      <c r="AX19" s="90"/>
      <c r="AY19" s="90"/>
      <c r="AZ19" s="90"/>
      <c r="BA19" s="71">
        <f>AVERAGE(BA4:BA18)</f>
        <v>0.83357372900851168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201</v>
      </c>
      <c r="K20" s="66">
        <f>IF(J20="NO",0,IFERROR(H20/I20,0)*Parametros!$E$7)</f>
        <v>0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0</v>
      </c>
      <c r="S20" s="68" t="s">
        <v>201</v>
      </c>
      <c r="T20" s="66">
        <f>IF(S20="NO",0,R20*Parametros!$E$10)</f>
        <v>0</v>
      </c>
      <c r="U20" s="65">
        <v>1</v>
      </c>
      <c r="V20" s="66">
        <f>U20*Parametros!$E$11</f>
        <v>0.25</v>
      </c>
      <c r="W20" s="67">
        <v>1</v>
      </c>
      <c r="X20" s="66">
        <f>MAX(0,Parametros!$E$12-Parametros!$E$18*W20)</f>
        <v>0.2</v>
      </c>
      <c r="Y20" s="67">
        <v>4</v>
      </c>
      <c r="Z20" s="67">
        <v>5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70">
        <f>MAX(0,MIN(1,MAX(0,AP20-IF(S20="NO",Parametros!$E$17,0))+AC20)-AN20-IF(AO20="SI",Parametros!$E$33,0))</f>
        <v>0.71000000000000008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0.83357372900851168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X6:X20 AP6:AP20 AR6:AR20 J6:J20 M6:M20 P6:P20 S6:T20 AE6:AE20 AG6:AG20 AI6:AN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R6" activePane="bottomRight" state="frozen"/>
      <selection pane="topRight" activeCell="D1" sqref="D1"/>
      <selection pane="bottomLeft" activeCell="A6" sqref="A6"/>
      <selection pane="bottomRight" activeCell="AX12" sqref="AX12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226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Julio'!B6</f>
        <v>Almacen de Repuestos</v>
      </c>
      <c r="AT4" s="53">
        <f>'Captura Julio'!K6+'Captura Julio'!N6+'Captura Julio'!Q6</f>
        <v>0.24</v>
      </c>
      <c r="AU4" s="53">
        <f>'Captura Julio'!T6</f>
        <v>0.06</v>
      </c>
      <c r="AV4" s="53">
        <f>'Captura Julio'!V6</f>
        <v>0.25</v>
      </c>
      <c r="AW4" s="53">
        <f>'Captura Julio'!G6</f>
        <v>0.2</v>
      </c>
      <c r="AX4" s="53">
        <f>'Captura Julio'!X6</f>
        <v>0.25</v>
      </c>
      <c r="AY4" s="53">
        <f>'Captura Julio'!AC6</f>
        <v>0</v>
      </c>
      <c r="AZ4" s="54">
        <f>-'Captura Julio'!AN6</f>
        <v>0</v>
      </c>
      <c r="BA4" s="55">
        <f>'Captura Julio'!AQ6</f>
        <v>1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Julio'!B7</f>
        <v>Alrededores</v>
      </c>
      <c r="AT5" s="60">
        <f>'Captura Julio'!K7+'Captura Julio'!N7+'Captura Julio'!Q7</f>
        <v>0.24</v>
      </c>
      <c r="AU5" s="60">
        <f>'Captura Julio'!T7</f>
        <v>0</v>
      </c>
      <c r="AV5" s="60">
        <f>'Captura Julio'!V7</f>
        <v>0.25</v>
      </c>
      <c r="AW5" s="60">
        <f>'Captura Julio'!G7</f>
        <v>0.2</v>
      </c>
      <c r="AX5" s="60">
        <f>'Captura Julio'!X7</f>
        <v>4.9999999999999989E-2</v>
      </c>
      <c r="AY5" s="60">
        <f>'Captura Julio'!AC7</f>
        <v>0</v>
      </c>
      <c r="AZ5" s="61">
        <f>-'Captura Julio'!AN7</f>
        <v>0</v>
      </c>
      <c r="BA5" s="62">
        <f>'Captura Julio'!AQ7</f>
        <v>0.64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1</v>
      </c>
      <c r="F6" s="11">
        <f t="shared" ref="F6:F20" si="0">AVERAGE(D6,E6)</f>
        <v>1</v>
      </c>
      <c r="G6" s="66">
        <f>F6*Parametros!$E$6</f>
        <v>0.2</v>
      </c>
      <c r="H6" s="67">
        <v>10</v>
      </c>
      <c r="I6" s="67">
        <v>10</v>
      </c>
      <c r="J6" s="68" t="s">
        <v>200</v>
      </c>
      <c r="K6" s="66">
        <f>IF(J6="NO",0,IFERROR(H6/I6,0)*Parametros!$E$7)</f>
        <v>0.08</v>
      </c>
      <c r="L6" s="65">
        <v>1</v>
      </c>
      <c r="M6" s="68" t="s">
        <v>200</v>
      </c>
      <c r="N6" s="66">
        <f>IF(M6="NO",0,L6*Parametros!$E$8)</f>
        <v>0.08</v>
      </c>
      <c r="O6" s="65">
        <v>1</v>
      </c>
      <c r="P6" s="68" t="s">
        <v>200</v>
      </c>
      <c r="Q6" s="66">
        <f>IF(P6="NO",0,O6*Parametros!$E$9)</f>
        <v>0.08</v>
      </c>
      <c r="R6" s="65">
        <v>1</v>
      </c>
      <c r="S6" s="68" t="s">
        <v>200</v>
      </c>
      <c r="T6" s="66">
        <f>IF(S6="NO",0,R6*Parametros!$E$10)</f>
        <v>0.06</v>
      </c>
      <c r="U6" s="65">
        <v>1</v>
      </c>
      <c r="V6" s="66">
        <f>U6*Parametros!$E$11</f>
        <v>0.25</v>
      </c>
      <c r="W6" s="67">
        <v>0</v>
      </c>
      <c r="X6" s="66">
        <f>MAX(0,Parametros!$E$12-Parametros!$E$18*W6)</f>
        <v>0.25</v>
      </c>
      <c r="Y6" s="67">
        <v>4</v>
      </c>
      <c r="Z6" s="67">
        <v>3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70">
        <f>MAX(0,MIN(1,MAX(0,AP6-IF(S6="NO",Parametros!$E$17,0))+AC6)-AN6-IF(AO6="SI",Parametros!$E$33,0))</f>
        <v>1</v>
      </c>
      <c r="AR6" s="42"/>
      <c r="AS6" s="52" t="str">
        <f>'Captura Julio'!B8</f>
        <v>Calidad</v>
      </c>
      <c r="AT6" s="53">
        <f>'Captura Julio'!K8+'Captura Julio'!N8+'Captura Julio'!Q8</f>
        <v>0.24</v>
      </c>
      <c r="AU6" s="53">
        <f>'Captura Julio'!T8</f>
        <v>0.06</v>
      </c>
      <c r="AV6" s="53">
        <f>'Captura Julio'!V8</f>
        <v>0.25</v>
      </c>
      <c r="AW6" s="53">
        <f>'Captura Julio'!G8</f>
        <v>0.1875</v>
      </c>
      <c r="AX6" s="53">
        <f>'Captura Julio'!X8</f>
        <v>0.25</v>
      </c>
      <c r="AY6" s="53">
        <f>'Captura Julio'!AC8</f>
        <v>0.08</v>
      </c>
      <c r="AZ6" s="54">
        <f>-'Captura Julio'!AN8</f>
        <v>0</v>
      </c>
      <c r="BA6" s="55">
        <f>'Captura Julio'!AQ8</f>
        <v>1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1</v>
      </c>
      <c r="F7" s="11">
        <f t="shared" si="0"/>
        <v>1</v>
      </c>
      <c r="G7" s="66">
        <f>F7*Parametros!$E$6</f>
        <v>0.2</v>
      </c>
      <c r="H7" s="67">
        <v>10</v>
      </c>
      <c r="I7" s="67">
        <v>10</v>
      </c>
      <c r="J7" s="68" t="s">
        <v>200</v>
      </c>
      <c r="K7" s="66">
        <f>IF(J7="NO",0,IFERROR(H7/I7,0)*Parametros!$E$7)</f>
        <v>0.08</v>
      </c>
      <c r="L7" s="65">
        <v>1</v>
      </c>
      <c r="M7" s="68" t="s">
        <v>200</v>
      </c>
      <c r="N7" s="66">
        <f>IF(M7="NO",0,L7*Parametros!$E$8)</f>
        <v>0.08</v>
      </c>
      <c r="O7" s="65">
        <v>1</v>
      </c>
      <c r="P7" s="68" t="s">
        <v>200</v>
      </c>
      <c r="Q7" s="66">
        <f>IF(P7="NO",0,O7*Parametros!$E$9)</f>
        <v>0.08</v>
      </c>
      <c r="R7" s="65">
        <v>0</v>
      </c>
      <c r="S7" s="68" t="s">
        <v>201</v>
      </c>
      <c r="T7" s="66">
        <f>IF(S7="NO",0,R7*Parametros!$E$10)</f>
        <v>0</v>
      </c>
      <c r="U7" s="65">
        <v>1</v>
      </c>
      <c r="V7" s="66">
        <f>U7*Parametros!$E$11</f>
        <v>0.25</v>
      </c>
      <c r="W7" s="67">
        <v>4</v>
      </c>
      <c r="X7" s="66">
        <f>MAX(0,Parametros!$E$12-Parametros!$E$18*W7)</f>
        <v>4.9999999999999989E-2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70">
        <f>MAX(0,MIN(1,MAX(0,AP7-IF(S7="NO",Parametros!$E$17,0))+AC7)-AN7-IF(AO7="SI",Parametros!$E$33,0))</f>
        <v>0.64</v>
      </c>
      <c r="AR7" s="42"/>
      <c r="AS7" s="59" t="str">
        <f>'Captura Julio'!B9</f>
        <v>Centro de Distribucion</v>
      </c>
      <c r="AT7" s="60">
        <f>'Captura Julio'!K9+'Captura Julio'!N9+'Captura Julio'!Q9</f>
        <v>0.24</v>
      </c>
      <c r="AU7" s="60">
        <f>'Captura Julio'!T9</f>
        <v>0.06</v>
      </c>
      <c r="AV7" s="60">
        <f>'Captura Julio'!V9</f>
        <v>0.25</v>
      </c>
      <c r="AW7" s="60">
        <f>'Captura Julio'!G9</f>
        <v>0.2</v>
      </c>
      <c r="AX7" s="60">
        <f>'Captura Julio'!X9</f>
        <v>0.25</v>
      </c>
      <c r="AY7" s="60">
        <f>'Captura Julio'!AC9</f>
        <v>0.04</v>
      </c>
      <c r="AZ7" s="61">
        <f>-'Captura Julio'!AN9</f>
        <v>0</v>
      </c>
      <c r="BA7" s="62">
        <f>'Captura Julio'!AQ9</f>
        <v>1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0.875</v>
      </c>
      <c r="E8" s="65">
        <v>1</v>
      </c>
      <c r="F8" s="11">
        <f t="shared" si="0"/>
        <v>0.9375</v>
      </c>
      <c r="G8" s="66">
        <f>F8*Parametros!$E$6</f>
        <v>0.1875</v>
      </c>
      <c r="H8" s="67">
        <v>10</v>
      </c>
      <c r="I8" s="67">
        <v>10</v>
      </c>
      <c r="J8" s="68" t="s">
        <v>200</v>
      </c>
      <c r="K8" s="66">
        <f>IF(J8="NO",0,IFERROR(H8/I8,0)*Parametros!$E$7)</f>
        <v>0.08</v>
      </c>
      <c r="L8" s="65">
        <v>1</v>
      </c>
      <c r="M8" s="68" t="s">
        <v>200</v>
      </c>
      <c r="N8" s="66">
        <f>IF(M8="NO",0,L8*Parametros!$E$8)</f>
        <v>0.08</v>
      </c>
      <c r="O8" s="65">
        <v>1</v>
      </c>
      <c r="P8" s="68" t="s">
        <v>200</v>
      </c>
      <c r="Q8" s="66">
        <f>IF(P8="NO",0,O8*Parametros!$E$9)</f>
        <v>0.08</v>
      </c>
      <c r="R8" s="65">
        <v>1</v>
      </c>
      <c r="S8" s="68" t="s">
        <v>200</v>
      </c>
      <c r="T8" s="66">
        <f>IF(S8="NO",0,R8*Parametros!$E$10)</f>
        <v>0.06</v>
      </c>
      <c r="U8" s="65">
        <v>1</v>
      </c>
      <c r="V8" s="66">
        <f>U8*Parametros!$E$11</f>
        <v>0.25</v>
      </c>
      <c r="W8" s="67">
        <v>0</v>
      </c>
      <c r="X8" s="66">
        <f>MAX(0,Parametros!$E$12-Parametros!$E$18*W8)</f>
        <v>0.25</v>
      </c>
      <c r="Y8" s="67">
        <v>12</v>
      </c>
      <c r="Z8" s="67">
        <v>23</v>
      </c>
      <c r="AA8" s="69">
        <f>IF(Y8&gt;=Parametros!$E$22,Parametros!$E$24,0)</f>
        <v>0.04</v>
      </c>
      <c r="AB8" s="69">
        <f>IF(Z8&gt;=Parametros!$E$23,Parametros!$E$25,0)</f>
        <v>0.04</v>
      </c>
      <c r="AC8" s="69">
        <f t="shared" si="1"/>
        <v>0.08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70">
        <f>MAX(0,MIN(1,MAX(0,AP8-IF(S8="NO",Parametros!$E$17,0))+AC8)-AN8-IF(AO8="SI",Parametros!$E$33,0))</f>
        <v>1</v>
      </c>
      <c r="AR8" s="42"/>
      <c r="AS8" s="52" t="str">
        <f>'Captura Julio'!B10</f>
        <v>ETEI</v>
      </c>
      <c r="AT8" s="53">
        <f>'Captura Julio'!K10+'Captura Julio'!N10+'Captura Julio'!Q10</f>
        <v>0.24</v>
      </c>
      <c r="AU8" s="53">
        <f>'Captura Julio'!T10</f>
        <v>0.06</v>
      </c>
      <c r="AV8" s="53">
        <f>'Captura Julio'!V10</f>
        <v>0.25</v>
      </c>
      <c r="AW8" s="53">
        <f>'Captura Julio'!G10</f>
        <v>0.2</v>
      </c>
      <c r="AX8" s="53">
        <f>'Captura Julio'!X10</f>
        <v>0.25</v>
      </c>
      <c r="AY8" s="53">
        <f>'Captura Julio'!AC10</f>
        <v>0</v>
      </c>
      <c r="AZ8" s="54">
        <f>-'Captura Julio'!AN10</f>
        <v>0</v>
      </c>
      <c r="BA8" s="55">
        <f>'Captura Julio'!AQ10</f>
        <v>1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1</v>
      </c>
      <c r="F9" s="11">
        <f t="shared" si="0"/>
        <v>1</v>
      </c>
      <c r="G9" s="66">
        <f>F9*Parametros!$E$6</f>
        <v>0.2</v>
      </c>
      <c r="H9" s="67">
        <v>10</v>
      </c>
      <c r="I9" s="67">
        <v>10</v>
      </c>
      <c r="J9" s="68" t="s">
        <v>200</v>
      </c>
      <c r="K9" s="66">
        <f>IF(J9="NO",0,IFERROR(H9/I9,0)*Parametros!$E$7)</f>
        <v>0.08</v>
      </c>
      <c r="L9" s="65">
        <v>1</v>
      </c>
      <c r="M9" s="68" t="s">
        <v>200</v>
      </c>
      <c r="N9" s="66">
        <f>IF(M9="NO",0,L9*Parametros!$E$8)</f>
        <v>0.08</v>
      </c>
      <c r="O9" s="65">
        <v>1</v>
      </c>
      <c r="P9" s="68" t="s">
        <v>200</v>
      </c>
      <c r="Q9" s="66">
        <f>IF(P9="NO",0,O9*Parametros!$E$9)</f>
        <v>0.08</v>
      </c>
      <c r="R9" s="65">
        <v>1</v>
      </c>
      <c r="S9" s="68" t="s">
        <v>200</v>
      </c>
      <c r="T9" s="66">
        <f>IF(S9="NO",0,R9*Parametros!$E$10)</f>
        <v>0.06</v>
      </c>
      <c r="U9" s="65">
        <v>1</v>
      </c>
      <c r="V9" s="66">
        <f>U9*Parametros!$E$11</f>
        <v>0.25</v>
      </c>
      <c r="W9" s="67">
        <v>0</v>
      </c>
      <c r="X9" s="66">
        <f>MAX(0,Parametros!$E$12-Parametros!$E$18*W9)</f>
        <v>0.25</v>
      </c>
      <c r="Y9" s="67">
        <v>3</v>
      </c>
      <c r="Z9" s="67">
        <v>12</v>
      </c>
      <c r="AA9" s="69">
        <f>IF(Y9&gt;=Parametros!$E$22,Parametros!$E$24,0)</f>
        <v>0</v>
      </c>
      <c r="AB9" s="69">
        <f>IF(Z9&gt;=Parametros!$E$23,Parametros!$E$25,0)</f>
        <v>0.04</v>
      </c>
      <c r="AC9" s="69">
        <f t="shared" si="1"/>
        <v>0.04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70">
        <f>MAX(0,MIN(1,MAX(0,AP9-IF(S9="NO",Parametros!$E$17,0))+AC9)-AN9-IF(AO9="SI",Parametros!$E$33,0))</f>
        <v>1</v>
      </c>
      <c r="AR9" s="42"/>
      <c r="AS9" s="59" t="str">
        <f>'Captura Julio'!B11</f>
        <v>Equipos Auxiliares</v>
      </c>
      <c r="AT9" s="60">
        <f>'Captura Julio'!K11+'Captura Julio'!N11+'Captura Julio'!Q11</f>
        <v>0.24</v>
      </c>
      <c r="AU9" s="60">
        <f>'Captura Julio'!T11</f>
        <v>0.06</v>
      </c>
      <c r="AV9" s="60">
        <f>'Captura Julio'!V11</f>
        <v>0.25</v>
      </c>
      <c r="AW9" s="60">
        <f>'Captura Julio'!G11</f>
        <v>0.2</v>
      </c>
      <c r="AX9" s="60">
        <f>'Captura Julio'!X11</f>
        <v>0.15</v>
      </c>
      <c r="AY9" s="60">
        <f>'Captura Julio'!AC11</f>
        <v>0.04</v>
      </c>
      <c r="AZ9" s="61">
        <f>-'Captura Julio'!AN11</f>
        <v>0</v>
      </c>
      <c r="BA9" s="62">
        <f>'Captura Julio'!AQ11</f>
        <v>0.94000000000000006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1</v>
      </c>
      <c r="E10" s="65">
        <v>1</v>
      </c>
      <c r="F10" s="11">
        <f t="shared" si="0"/>
        <v>1</v>
      </c>
      <c r="G10" s="66">
        <f>F10*Parametros!$E$6</f>
        <v>0.2</v>
      </c>
      <c r="H10" s="67">
        <v>10</v>
      </c>
      <c r="I10" s="67">
        <v>10</v>
      </c>
      <c r="J10" s="68" t="s">
        <v>200</v>
      </c>
      <c r="K10" s="66">
        <f>IF(J10="NO",0,IFERROR(H10/I10,0)*Parametros!$E$7)</f>
        <v>0.08</v>
      </c>
      <c r="L10" s="65">
        <v>1</v>
      </c>
      <c r="M10" s="68" t="s">
        <v>200</v>
      </c>
      <c r="N10" s="66">
        <f>IF(M10="NO",0,L10*Parametros!$E$8)</f>
        <v>0.08</v>
      </c>
      <c r="O10" s="65">
        <v>1</v>
      </c>
      <c r="P10" s="68" t="s">
        <v>200</v>
      </c>
      <c r="Q10" s="66">
        <f>IF(P10="NO",0,O10*Parametros!$E$9)</f>
        <v>0.08</v>
      </c>
      <c r="R10" s="65">
        <v>1</v>
      </c>
      <c r="S10" s="68" t="s">
        <v>200</v>
      </c>
      <c r="T10" s="66">
        <f>IF(S10="NO",0,R10*Parametros!$E$10)</f>
        <v>0.06</v>
      </c>
      <c r="U10" s="65">
        <v>1</v>
      </c>
      <c r="V10" s="66">
        <f>U10*Parametros!$E$11</f>
        <v>0.25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70">
        <f>MAX(0,MIN(1,MAX(0,AP10-IF(S10="NO",Parametros!$E$17,0))+AC10)-AN10-IF(AO10="SI",Parametros!$E$33,0))</f>
        <v>1</v>
      </c>
      <c r="AR10" s="42"/>
      <c r="AS10" s="52" t="str">
        <f>'Captura Julio'!B12</f>
        <v>Jarabes</v>
      </c>
      <c r="AT10" s="53">
        <f>'Captura Julio'!K12+'Captura Julio'!N12+'Captura Julio'!Q12</f>
        <v>0.24</v>
      </c>
      <c r="AU10" s="53">
        <f>'Captura Julio'!T12</f>
        <v>0.06</v>
      </c>
      <c r="AV10" s="53">
        <f>'Captura Julio'!V12</f>
        <v>0.25</v>
      </c>
      <c r="AW10" s="53">
        <f>'Captura Julio'!G12</f>
        <v>0.2</v>
      </c>
      <c r="AX10" s="53">
        <f>'Captura Julio'!X12</f>
        <v>0.25</v>
      </c>
      <c r="AY10" s="53">
        <f>'Captura Julio'!AC12</f>
        <v>0</v>
      </c>
      <c r="AZ10" s="54">
        <f>-'Captura Julio'!AN12</f>
        <v>-0.1</v>
      </c>
      <c r="BA10" s="55">
        <f>'Captura Julio'!AQ12</f>
        <v>0.9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1</v>
      </c>
      <c r="F11" s="11">
        <f t="shared" si="0"/>
        <v>1</v>
      </c>
      <c r="G11" s="66">
        <f>F11*Parametros!$E$6</f>
        <v>0.2</v>
      </c>
      <c r="H11" s="67">
        <v>10</v>
      </c>
      <c r="I11" s="67">
        <v>10</v>
      </c>
      <c r="J11" s="68" t="s">
        <v>200</v>
      </c>
      <c r="K11" s="66">
        <f>IF(J11="NO",0,IFERROR(H11/I11,0)*Parametros!$E$7)</f>
        <v>0.08</v>
      </c>
      <c r="L11" s="65">
        <v>1</v>
      </c>
      <c r="M11" s="68" t="s">
        <v>200</v>
      </c>
      <c r="N11" s="66">
        <f>IF(M11="NO",0,L11*Parametros!$E$8)</f>
        <v>0.08</v>
      </c>
      <c r="O11" s="65">
        <v>1</v>
      </c>
      <c r="P11" s="68" t="s">
        <v>200</v>
      </c>
      <c r="Q11" s="66">
        <f>IF(P11="NO",0,O11*Parametros!$E$9)</f>
        <v>0.08</v>
      </c>
      <c r="R11" s="65">
        <v>1</v>
      </c>
      <c r="S11" s="68" t="s">
        <v>200</v>
      </c>
      <c r="T11" s="66">
        <f>IF(S11="NO",0,R11*Parametros!$E$10)</f>
        <v>0.06</v>
      </c>
      <c r="U11" s="65">
        <v>1</v>
      </c>
      <c r="V11" s="66">
        <f>U11*Parametros!$E$11</f>
        <v>0.25</v>
      </c>
      <c r="W11" s="67">
        <v>2</v>
      </c>
      <c r="X11" s="66">
        <f>MAX(0,Parametros!$E$12-Parametros!$E$18*W11)</f>
        <v>0.15</v>
      </c>
      <c r="Y11" s="67">
        <v>4</v>
      </c>
      <c r="Z11" s="67">
        <v>13</v>
      </c>
      <c r="AA11" s="69">
        <f>IF(Y11&gt;=Parametros!$E$22,Parametros!$E$24,0)</f>
        <v>0</v>
      </c>
      <c r="AB11" s="69">
        <f>IF(Z11&gt;=Parametros!$E$23,Parametros!$E$25,0)</f>
        <v>0.04</v>
      </c>
      <c r="AC11" s="69">
        <f t="shared" si="1"/>
        <v>0.04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70">
        <f>MAX(0,MIN(1,MAX(0,AP11-IF(S11="NO",Parametros!$E$17,0))+AC11)-AN11-IF(AO11="SI",Parametros!$E$33,0))</f>
        <v>0.94000000000000006</v>
      </c>
      <c r="AR11" s="42"/>
      <c r="AS11" s="59" t="str">
        <f>'Captura Julio'!B13</f>
        <v>Linea 1</v>
      </c>
      <c r="AT11" s="60">
        <f>'Captura Julio'!K13+'Captura Julio'!N13+'Captura Julio'!Q13</f>
        <v>0.24</v>
      </c>
      <c r="AU11" s="60">
        <f>'Captura Julio'!T13</f>
        <v>0.06</v>
      </c>
      <c r="AV11" s="60">
        <f>'Captura Julio'!V13</f>
        <v>0.25</v>
      </c>
      <c r="AW11" s="60">
        <f>'Captura Julio'!G13</f>
        <v>0.2</v>
      </c>
      <c r="AX11" s="60">
        <f>'Captura Julio'!X13</f>
        <v>0</v>
      </c>
      <c r="AY11" s="60">
        <f>'Captura Julio'!AC13</f>
        <v>0.04</v>
      </c>
      <c r="AZ11" s="61">
        <f>-'Captura Julio'!AN13</f>
        <v>-0.15</v>
      </c>
      <c r="BA11" s="62">
        <f>'Captura Julio'!AQ13</f>
        <v>0.64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1</v>
      </c>
      <c r="E12" s="65">
        <v>1</v>
      </c>
      <c r="F12" s="11">
        <f t="shared" si="0"/>
        <v>1</v>
      </c>
      <c r="G12" s="66">
        <f>F12*Parametros!$E$6</f>
        <v>0.2</v>
      </c>
      <c r="H12" s="67">
        <v>10</v>
      </c>
      <c r="I12" s="67">
        <v>10</v>
      </c>
      <c r="J12" s="68" t="s">
        <v>200</v>
      </c>
      <c r="K12" s="66">
        <f>IF(J12="NO",0,IFERROR(H12/I12,0)*Parametros!$E$7)</f>
        <v>0.08</v>
      </c>
      <c r="L12" s="65">
        <v>1</v>
      </c>
      <c r="M12" s="68" t="s">
        <v>200</v>
      </c>
      <c r="N12" s="66">
        <f>IF(M12="NO",0,L12*Parametros!$E$8)</f>
        <v>0.08</v>
      </c>
      <c r="O12" s="65">
        <v>1</v>
      </c>
      <c r="P12" s="68" t="s">
        <v>200</v>
      </c>
      <c r="Q12" s="66">
        <f>IF(P12="NO",0,O12*Parametros!$E$9)</f>
        <v>0.08</v>
      </c>
      <c r="R12" s="65">
        <v>1</v>
      </c>
      <c r="S12" s="68" t="s">
        <v>200</v>
      </c>
      <c r="T12" s="66">
        <f>IF(S12="NO",0,R12*Parametros!$E$10)</f>
        <v>0.06</v>
      </c>
      <c r="U12" s="65">
        <v>1</v>
      </c>
      <c r="V12" s="66">
        <f>U12*Parametros!$E$11</f>
        <v>0.25</v>
      </c>
      <c r="W12" s="67">
        <v>0</v>
      </c>
      <c r="X12" s="66">
        <f>MAX(0,Parametros!$E$12-Parametros!$E$18*W12)</f>
        <v>0.25</v>
      </c>
      <c r="Y12" s="67">
        <v>7</v>
      </c>
      <c r="Z12" s="67">
        <v>7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1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70">
        <f>MAX(0,MIN(1,MAX(0,AP12-IF(S12="NO",Parametros!$E$17,0))+AC12)-AN12-IF(AO12="SI",Parametros!$E$33,0))</f>
        <v>0.9</v>
      </c>
      <c r="AR12" s="42"/>
      <c r="AS12" s="52" t="str">
        <f>'Captura Julio'!B14</f>
        <v>Linea 2</v>
      </c>
      <c r="AT12" s="53">
        <f>'Captura Julio'!K14+'Captura Julio'!N14+'Captura Julio'!Q14</f>
        <v>0.24</v>
      </c>
      <c r="AU12" s="53">
        <f>'Captura Julio'!T14</f>
        <v>0.06</v>
      </c>
      <c r="AV12" s="53">
        <f>'Captura Julio'!V14</f>
        <v>0.25</v>
      </c>
      <c r="AW12" s="53">
        <f>'Captura Julio'!G14</f>
        <v>0.2</v>
      </c>
      <c r="AX12" s="53">
        <f>'Captura Julio'!X14</f>
        <v>0</v>
      </c>
      <c r="AY12" s="53">
        <f>'Captura Julio'!AC14</f>
        <v>0.04</v>
      </c>
      <c r="AZ12" s="54">
        <f>-'Captura Julio'!AN14</f>
        <v>0</v>
      </c>
      <c r="BA12" s="55">
        <f>'Captura Julio'!AQ14</f>
        <v>0.79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1</v>
      </c>
      <c r="E13" s="65">
        <v>1</v>
      </c>
      <c r="F13" s="11">
        <f t="shared" si="0"/>
        <v>1</v>
      </c>
      <c r="G13" s="66">
        <f>F13*Parametros!$E$6</f>
        <v>0.2</v>
      </c>
      <c r="H13" s="67">
        <v>10</v>
      </c>
      <c r="I13" s="67">
        <v>10</v>
      </c>
      <c r="J13" s="68" t="s">
        <v>200</v>
      </c>
      <c r="K13" s="66">
        <f>IF(J13="NO",0,IFERROR(H13/I13,0)*Parametros!$E$7)</f>
        <v>0.08</v>
      </c>
      <c r="L13" s="65">
        <v>1</v>
      </c>
      <c r="M13" s="68" t="s">
        <v>200</v>
      </c>
      <c r="N13" s="66">
        <f>IF(M13="NO",0,L13*Parametros!$E$8)</f>
        <v>0.08</v>
      </c>
      <c r="O13" s="65">
        <v>1</v>
      </c>
      <c r="P13" s="68" t="s">
        <v>200</v>
      </c>
      <c r="Q13" s="66">
        <f>IF(P13="NO",0,O13*Parametros!$E$9)</f>
        <v>0.08</v>
      </c>
      <c r="R13" s="65">
        <v>1</v>
      </c>
      <c r="S13" s="68" t="s">
        <v>200</v>
      </c>
      <c r="T13" s="66">
        <f>IF(S13="NO",0,R13*Parametros!$E$10)</f>
        <v>0.06</v>
      </c>
      <c r="U13" s="65">
        <v>1</v>
      </c>
      <c r="V13" s="66">
        <f>U13*Parametros!$E$11</f>
        <v>0.25</v>
      </c>
      <c r="W13" s="67">
        <v>8</v>
      </c>
      <c r="X13" s="66">
        <f>MAX(0,Parametros!$E$12-Parametros!$E$18*W13)</f>
        <v>0</v>
      </c>
      <c r="Y13" s="67">
        <v>5</v>
      </c>
      <c r="Z13" s="67">
        <v>18</v>
      </c>
      <c r="AA13" s="69">
        <f>IF(Y13&gt;=Parametros!$E$22,Parametros!$E$24,0)</f>
        <v>0</v>
      </c>
      <c r="AB13" s="69">
        <f>IF(Z13&gt;=Parametros!$E$23,Parametros!$E$25,0)</f>
        <v>0.04</v>
      </c>
      <c r="AC13" s="69">
        <f t="shared" si="1"/>
        <v>0.04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1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70">
        <f>MAX(0,MIN(1,MAX(0,AP13-IF(S13="NO",Parametros!$E$17,0))+AC13)-AN13-IF(AO13="SI",Parametros!$E$33,0))</f>
        <v>0.64</v>
      </c>
      <c r="AR13" s="42"/>
      <c r="AS13" s="59" t="str">
        <f>'Captura Julio'!B15</f>
        <v>Linea 3</v>
      </c>
      <c r="AT13" s="60">
        <f>'Captura Julio'!K15+'Captura Julio'!N15+'Captura Julio'!Q15</f>
        <v>0.24</v>
      </c>
      <c r="AU13" s="60">
        <f>'Captura Julio'!T15</f>
        <v>0.06</v>
      </c>
      <c r="AV13" s="60">
        <f>'Captura Julio'!V15</f>
        <v>0.25</v>
      </c>
      <c r="AW13" s="60">
        <f>'Captura Julio'!G15</f>
        <v>0.2</v>
      </c>
      <c r="AX13" s="60">
        <f>'Captura Julio'!X15</f>
        <v>0</v>
      </c>
      <c r="AY13" s="60">
        <f>'Captura Julio'!AC15</f>
        <v>0</v>
      </c>
      <c r="AZ13" s="61">
        <f>-'Captura Julio'!AN15</f>
        <v>0</v>
      </c>
      <c r="BA13" s="62">
        <f>'Captura Julio'!AQ15</f>
        <v>0.75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1</v>
      </c>
      <c r="F14" s="11">
        <f t="shared" si="0"/>
        <v>1</v>
      </c>
      <c r="G14" s="66">
        <f>F14*Parametros!$E$6</f>
        <v>0.2</v>
      </c>
      <c r="H14" s="67">
        <v>10</v>
      </c>
      <c r="I14" s="67">
        <v>10</v>
      </c>
      <c r="J14" s="68" t="s">
        <v>200</v>
      </c>
      <c r="K14" s="66">
        <f>IF(J14="NO",0,IFERROR(H14/I14,0)*Parametros!$E$7)</f>
        <v>0.08</v>
      </c>
      <c r="L14" s="65">
        <v>1</v>
      </c>
      <c r="M14" s="68" t="s">
        <v>200</v>
      </c>
      <c r="N14" s="66">
        <f>IF(M14="NO",0,L14*Parametros!$E$8)</f>
        <v>0.08</v>
      </c>
      <c r="O14" s="65">
        <v>1</v>
      </c>
      <c r="P14" s="68" t="s">
        <v>200</v>
      </c>
      <c r="Q14" s="66">
        <f>IF(P14="NO",0,O14*Parametros!$E$9)</f>
        <v>0.08</v>
      </c>
      <c r="R14" s="65">
        <v>1</v>
      </c>
      <c r="S14" s="68" t="s">
        <v>200</v>
      </c>
      <c r="T14" s="66">
        <f>IF(S14="NO",0,R14*Parametros!$E$10)</f>
        <v>0.06</v>
      </c>
      <c r="U14" s="65">
        <v>1</v>
      </c>
      <c r="V14" s="66">
        <f>U14*Parametros!$E$11</f>
        <v>0.25</v>
      </c>
      <c r="W14" s="67">
        <v>5</v>
      </c>
      <c r="X14" s="66">
        <f>MAX(0,Parametros!$E$12-Parametros!$E$18*W14)</f>
        <v>0</v>
      </c>
      <c r="Y14" s="67">
        <v>5</v>
      </c>
      <c r="Z14" s="67">
        <v>18</v>
      </c>
      <c r="AA14" s="69">
        <f>IF(Y14&gt;=Parametros!$E$22,Parametros!$E$24,0)</f>
        <v>0</v>
      </c>
      <c r="AB14" s="69">
        <f>IF(Z14&gt;=Parametros!$E$23,Parametros!$E$25,0)</f>
        <v>0.04</v>
      </c>
      <c r="AC14" s="69">
        <f t="shared" si="1"/>
        <v>0.04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70">
        <f>MAX(0,MIN(1,MAX(0,AP14-IF(S14="NO",Parametros!$E$17,0))+AC14)-AN14-IF(AO14="SI",Parametros!$E$33,0))</f>
        <v>0.79</v>
      </c>
      <c r="AR14" s="42"/>
      <c r="AS14" s="52" t="str">
        <f>'Captura Julio'!B16</f>
        <v>Linea 4</v>
      </c>
      <c r="AT14" s="53">
        <f>'Captura Julio'!K16+'Captura Julio'!N16+'Captura Julio'!Q16</f>
        <v>0.24</v>
      </c>
      <c r="AU14" s="53">
        <f>'Captura Julio'!T16</f>
        <v>0.06</v>
      </c>
      <c r="AV14" s="53">
        <f>'Captura Julio'!V16</f>
        <v>0.25</v>
      </c>
      <c r="AW14" s="53">
        <f>'Captura Julio'!G16</f>
        <v>0.2</v>
      </c>
      <c r="AX14" s="53">
        <f>'Captura Julio'!X16</f>
        <v>0.25</v>
      </c>
      <c r="AY14" s="53">
        <f>'Captura Julio'!AC16</f>
        <v>0</v>
      </c>
      <c r="AZ14" s="54">
        <f>-'Captura Julio'!AN16</f>
        <v>0</v>
      </c>
      <c r="BA14" s="55">
        <f>'Captura Julio'!AQ16</f>
        <v>1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1</v>
      </c>
      <c r="E15" s="65">
        <v>1</v>
      </c>
      <c r="F15" s="11">
        <f t="shared" si="0"/>
        <v>1</v>
      </c>
      <c r="G15" s="66">
        <f>F15*Parametros!$E$6</f>
        <v>0.2</v>
      </c>
      <c r="H15" s="67">
        <v>10</v>
      </c>
      <c r="I15" s="67">
        <v>10</v>
      </c>
      <c r="J15" s="68" t="s">
        <v>200</v>
      </c>
      <c r="K15" s="66">
        <f>IF(J15="NO",0,IFERROR(H15/I15,0)*Parametros!$E$7)</f>
        <v>0.08</v>
      </c>
      <c r="L15" s="65">
        <v>1</v>
      </c>
      <c r="M15" s="68" t="s">
        <v>200</v>
      </c>
      <c r="N15" s="66">
        <f>IF(M15="NO",0,L15*Parametros!$E$8)</f>
        <v>0.08</v>
      </c>
      <c r="O15" s="65">
        <v>1</v>
      </c>
      <c r="P15" s="68" t="s">
        <v>200</v>
      </c>
      <c r="Q15" s="66">
        <f>IF(P15="NO",0,O15*Parametros!$E$9)</f>
        <v>0.08</v>
      </c>
      <c r="R15" s="65">
        <v>1</v>
      </c>
      <c r="S15" s="68" t="s">
        <v>200</v>
      </c>
      <c r="T15" s="66">
        <f>IF(S15="NO",0,R15*Parametros!$E$10)</f>
        <v>0.06</v>
      </c>
      <c r="U15" s="65">
        <v>1</v>
      </c>
      <c r="V15" s="66">
        <f>U15*Parametros!$E$11</f>
        <v>0.25</v>
      </c>
      <c r="W15" s="67">
        <v>10</v>
      </c>
      <c r="X15" s="66">
        <f>MAX(0,Parametros!$E$12-Parametros!$E$18*W15)</f>
        <v>0</v>
      </c>
      <c r="Y15" s="67">
        <v>4</v>
      </c>
      <c r="Z15" s="67">
        <v>5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70">
        <f>MAX(0,MIN(1,MAX(0,AP15-IF(S15="NO",Parametros!$E$17,0))+AC15)-AN15-IF(AO15="SI",Parametros!$E$33,0))</f>
        <v>0.75</v>
      </c>
      <c r="AR15" s="42"/>
      <c r="AS15" s="59" t="str">
        <f>'Captura Julio'!B17</f>
        <v>Linea 5</v>
      </c>
      <c r="AT15" s="60">
        <f>'Captura Julio'!K17+'Captura Julio'!N17+'Captura Julio'!Q17</f>
        <v>0.24</v>
      </c>
      <c r="AU15" s="60">
        <f>'Captura Julio'!T17</f>
        <v>0.06</v>
      </c>
      <c r="AV15" s="60">
        <f>'Captura Julio'!V17</f>
        <v>0.25</v>
      </c>
      <c r="AW15" s="60">
        <f>'Captura Julio'!G17</f>
        <v>0.2</v>
      </c>
      <c r="AX15" s="60">
        <f>'Captura Julio'!X17</f>
        <v>0</v>
      </c>
      <c r="AY15" s="60">
        <f>'Captura Julio'!AC17</f>
        <v>0.08</v>
      </c>
      <c r="AZ15" s="61">
        <f>-'Captura Julio'!AN17</f>
        <v>0</v>
      </c>
      <c r="BA15" s="62">
        <f>'Captura Julio'!AQ17</f>
        <v>0.83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1</v>
      </c>
      <c r="F16" s="11">
        <f t="shared" si="0"/>
        <v>1</v>
      </c>
      <c r="G16" s="66">
        <f>F16*Parametros!$E$6</f>
        <v>0.2</v>
      </c>
      <c r="H16" s="67">
        <v>10</v>
      </c>
      <c r="I16" s="67">
        <v>10</v>
      </c>
      <c r="J16" s="68" t="s">
        <v>200</v>
      </c>
      <c r="K16" s="66">
        <f>IF(J16="NO",0,IFERROR(H16/I16,0)*Parametros!$E$7)</f>
        <v>0.08</v>
      </c>
      <c r="L16" s="65">
        <v>1</v>
      </c>
      <c r="M16" s="68" t="s">
        <v>200</v>
      </c>
      <c r="N16" s="66">
        <f>IF(M16="NO",0,L16*Parametros!$E$8)</f>
        <v>0.08</v>
      </c>
      <c r="O16" s="65">
        <v>1</v>
      </c>
      <c r="P16" s="68" t="s">
        <v>200</v>
      </c>
      <c r="Q16" s="66">
        <f>IF(P16="NO",0,O16*Parametros!$E$9)</f>
        <v>0.08</v>
      </c>
      <c r="R16" s="65">
        <v>1</v>
      </c>
      <c r="S16" s="68" t="s">
        <v>200</v>
      </c>
      <c r="T16" s="66">
        <f>IF(S16="NO",0,R16*Parametros!$E$10)</f>
        <v>0.06</v>
      </c>
      <c r="U16" s="65">
        <v>1</v>
      </c>
      <c r="V16" s="66">
        <f>U16*Parametros!$E$11</f>
        <v>0.25</v>
      </c>
      <c r="W16" s="67">
        <v>0</v>
      </c>
      <c r="X16" s="66">
        <f>MAX(0,Parametros!$E$12-Parametros!$E$18*W16)</f>
        <v>0.25</v>
      </c>
      <c r="Y16" s="67">
        <v>0</v>
      </c>
      <c r="Z16" s="67">
        <v>9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70">
        <f>MAX(0,MIN(1,MAX(0,AP16-IF(S16="NO",Parametros!$E$17,0))+AC16)-AN16-IF(AO16="SI",Parametros!$E$33,0))</f>
        <v>1</v>
      </c>
      <c r="AR16" s="42"/>
      <c r="AS16" s="52" t="str">
        <f>'Captura Julio'!B18</f>
        <v>Mantenimiento</v>
      </c>
      <c r="AT16" s="53">
        <f>'Captura Julio'!K18+'Captura Julio'!N18+'Captura Julio'!Q18</f>
        <v>0.24</v>
      </c>
      <c r="AU16" s="53">
        <f>'Captura Julio'!T18</f>
        <v>0.06</v>
      </c>
      <c r="AV16" s="53">
        <f>'Captura Julio'!V18</f>
        <v>0.25</v>
      </c>
      <c r="AW16" s="53">
        <f>'Captura Julio'!G18</f>
        <v>0.18666666666666673</v>
      </c>
      <c r="AX16" s="53">
        <f>'Captura Julio'!X18</f>
        <v>0.2</v>
      </c>
      <c r="AY16" s="53">
        <f>'Captura Julio'!AC18</f>
        <v>0.04</v>
      </c>
      <c r="AZ16" s="54">
        <f>-'Captura Julio'!AN18</f>
        <v>0</v>
      </c>
      <c r="BA16" s="55">
        <f>'Captura Julio'!AQ18</f>
        <v>0.97666666666666679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1</v>
      </c>
      <c r="E17" s="65">
        <v>1</v>
      </c>
      <c r="F17" s="11">
        <f t="shared" si="0"/>
        <v>1</v>
      </c>
      <c r="G17" s="66">
        <f>F17*Parametros!$E$6</f>
        <v>0.2</v>
      </c>
      <c r="H17" s="67">
        <v>10</v>
      </c>
      <c r="I17" s="67">
        <v>10</v>
      </c>
      <c r="J17" s="68" t="s">
        <v>200</v>
      </c>
      <c r="K17" s="66">
        <f>IF(J17="NO",0,IFERROR(H17/I17,0)*Parametros!$E$7)</f>
        <v>0.08</v>
      </c>
      <c r="L17" s="65">
        <v>1</v>
      </c>
      <c r="M17" s="68" t="s">
        <v>200</v>
      </c>
      <c r="N17" s="66">
        <f>IF(M17="NO",0,L17*Parametros!$E$8)</f>
        <v>0.08</v>
      </c>
      <c r="O17" s="65">
        <v>1</v>
      </c>
      <c r="P17" s="68" t="s">
        <v>200</v>
      </c>
      <c r="Q17" s="66">
        <f>IF(P17="NO",0,O17*Parametros!$E$9)</f>
        <v>0.08</v>
      </c>
      <c r="R17" s="65">
        <v>1</v>
      </c>
      <c r="S17" s="68" t="s">
        <v>200</v>
      </c>
      <c r="T17" s="66">
        <f>IF(S17="NO",0,R17*Parametros!$E$10)</f>
        <v>0.06</v>
      </c>
      <c r="U17" s="65">
        <v>1</v>
      </c>
      <c r="V17" s="66">
        <f>U17*Parametros!$E$11</f>
        <v>0.25</v>
      </c>
      <c r="W17" s="67">
        <v>5</v>
      </c>
      <c r="X17" s="66">
        <f>MAX(0,Parametros!$E$12-Parametros!$E$18*W17)</f>
        <v>0</v>
      </c>
      <c r="Y17" s="67">
        <v>9</v>
      </c>
      <c r="Z17" s="67">
        <v>12</v>
      </c>
      <c r="AA17" s="69">
        <f>IF(Y17&gt;=Parametros!$E$22,Parametros!$E$24,0)</f>
        <v>0.04</v>
      </c>
      <c r="AB17" s="69">
        <f>IF(Z17&gt;=Parametros!$E$23,Parametros!$E$25,0)</f>
        <v>0.04</v>
      </c>
      <c r="AC17" s="69">
        <f t="shared" si="1"/>
        <v>0.08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70">
        <f>MAX(0,MIN(1,MAX(0,AP17-IF(S17="NO",Parametros!$E$17,0))+AC17)-AN17-IF(AO17="SI",Parametros!$E$33,0))</f>
        <v>0.83</v>
      </c>
      <c r="AR17" s="42"/>
      <c r="AS17" s="59" t="str">
        <f>'Captura Julio'!B19</f>
        <v>Materias Primas</v>
      </c>
      <c r="AT17" s="60">
        <f>'Captura Julio'!K19+'Captura Julio'!N19+'Captura Julio'!Q19</f>
        <v>0.24</v>
      </c>
      <c r="AU17" s="60">
        <f>'Captura Julio'!T19</f>
        <v>0.06</v>
      </c>
      <c r="AV17" s="60">
        <f>'Captura Julio'!V19</f>
        <v>0.25</v>
      </c>
      <c r="AW17" s="60">
        <f>'Captura Julio'!G19</f>
        <v>0.1875</v>
      </c>
      <c r="AX17" s="60">
        <f>'Captura Julio'!X19</f>
        <v>0</v>
      </c>
      <c r="AY17" s="60">
        <f>'Captura Julio'!AC19</f>
        <v>0</v>
      </c>
      <c r="AZ17" s="61">
        <f>-'Captura Julio'!AN19</f>
        <v>0</v>
      </c>
      <c r="BA17" s="62">
        <f>'Captura Julio'!AQ19</f>
        <v>0.73750000000000004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0.86666666666666703</v>
      </c>
      <c r="E18" s="65">
        <v>1</v>
      </c>
      <c r="F18" s="11">
        <f t="shared" si="0"/>
        <v>0.93333333333333357</v>
      </c>
      <c r="G18" s="66">
        <f>F18*Parametros!$E$6</f>
        <v>0.18666666666666673</v>
      </c>
      <c r="H18" s="67">
        <v>10</v>
      </c>
      <c r="I18" s="67">
        <v>10</v>
      </c>
      <c r="J18" s="68" t="s">
        <v>200</v>
      </c>
      <c r="K18" s="66">
        <f>IF(J18="NO",0,IFERROR(H18/I18,0)*Parametros!$E$7)</f>
        <v>0.08</v>
      </c>
      <c r="L18" s="65">
        <v>1</v>
      </c>
      <c r="M18" s="68" t="s">
        <v>200</v>
      </c>
      <c r="N18" s="66">
        <f>IF(M18="NO",0,L18*Parametros!$E$8)</f>
        <v>0.08</v>
      </c>
      <c r="O18" s="65">
        <v>1</v>
      </c>
      <c r="P18" s="68" t="s">
        <v>200</v>
      </c>
      <c r="Q18" s="66">
        <f>IF(P18="NO",0,O18*Parametros!$E$9)</f>
        <v>0.08</v>
      </c>
      <c r="R18" s="65">
        <v>1</v>
      </c>
      <c r="S18" s="68" t="s">
        <v>200</v>
      </c>
      <c r="T18" s="66">
        <f>IF(S18="NO",0,R18*Parametros!$E$10)</f>
        <v>0.06</v>
      </c>
      <c r="U18" s="65">
        <v>1</v>
      </c>
      <c r="V18" s="66">
        <f>U18*Parametros!$E$11</f>
        <v>0.25</v>
      </c>
      <c r="W18" s="67">
        <v>1</v>
      </c>
      <c r="X18" s="66">
        <f>MAX(0,Parametros!$E$12-Parametros!$E$18*W18)</f>
        <v>0.2</v>
      </c>
      <c r="Y18" s="67">
        <v>4</v>
      </c>
      <c r="Z18" s="67">
        <v>21</v>
      </c>
      <c r="AA18" s="69">
        <f>IF(Y18&gt;=Parametros!$E$22,Parametros!$E$24,0)</f>
        <v>0</v>
      </c>
      <c r="AB18" s="69">
        <f>IF(Z18&gt;=Parametros!$E$23,Parametros!$E$25,0)</f>
        <v>0.04</v>
      </c>
      <c r="AC18" s="69">
        <f t="shared" si="1"/>
        <v>0.04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70">
        <f>MAX(0,MIN(1,MAX(0,AP18-IF(S18="NO",Parametros!$E$17,0))+AC18)-AN18-IF(AO18="SI",Parametros!$E$33,0))</f>
        <v>0.97666666666666679</v>
      </c>
      <c r="AR18" s="42"/>
      <c r="AS18" s="52" t="str">
        <f>'Captura Julio'!B20</f>
        <v>Tratamiento de Aguas</v>
      </c>
      <c r="AT18" s="53">
        <f>'Captura Julio'!K20+'Captura Julio'!N20+'Captura Julio'!Q20</f>
        <v>0.24</v>
      </c>
      <c r="AU18" s="53">
        <f>'Captura Julio'!T20</f>
        <v>0.06</v>
      </c>
      <c r="AV18" s="53">
        <f>'Captura Julio'!V20</f>
        <v>0.25</v>
      </c>
      <c r="AW18" s="53">
        <f>'Captura Julio'!G20</f>
        <v>0.2</v>
      </c>
      <c r="AX18" s="53">
        <f>'Captura Julio'!X20</f>
        <v>0.25</v>
      </c>
      <c r="AY18" s="53">
        <f>'Captura Julio'!AC20</f>
        <v>0</v>
      </c>
      <c r="AZ18" s="54">
        <f>-'Captura Julio'!AN20</f>
        <v>0</v>
      </c>
      <c r="BA18" s="55">
        <f>'Captura Julio'!AQ20</f>
        <v>1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0.875</v>
      </c>
      <c r="E19" s="65">
        <v>1</v>
      </c>
      <c r="F19" s="11">
        <f t="shared" si="0"/>
        <v>0.9375</v>
      </c>
      <c r="G19" s="66">
        <f>F19*Parametros!$E$6</f>
        <v>0.1875</v>
      </c>
      <c r="H19" s="67">
        <v>10</v>
      </c>
      <c r="I19" s="67">
        <v>10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1</v>
      </c>
      <c r="P19" s="68" t="s">
        <v>200</v>
      </c>
      <c r="Q19" s="66">
        <f>IF(P19="NO",0,O19*Parametros!$E$9)</f>
        <v>0.08</v>
      </c>
      <c r="R19" s="65">
        <v>1</v>
      </c>
      <c r="S19" s="68" t="s">
        <v>200</v>
      </c>
      <c r="T19" s="66">
        <f>IF(S19="NO",0,R19*Parametros!$E$10)</f>
        <v>0.06</v>
      </c>
      <c r="U19" s="65">
        <v>1</v>
      </c>
      <c r="V19" s="66">
        <f>U19*Parametros!$E$11</f>
        <v>0.25</v>
      </c>
      <c r="W19" s="67">
        <v>5</v>
      </c>
      <c r="X19" s="66">
        <f>MAX(0,Parametros!$E$12-Parametros!$E$18*W19)</f>
        <v>0</v>
      </c>
      <c r="Y19" s="67">
        <v>4</v>
      </c>
      <c r="Z19" s="67">
        <v>5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70">
        <f>MAX(0,MIN(1,MAX(0,AP19-IF(S19="NO",Parametros!$E$17,0))+AC19)-AN19-IF(AO19="SI",Parametros!$E$33,0))</f>
        <v>0.73750000000000004</v>
      </c>
      <c r="AR19" s="42"/>
      <c r="AS19" s="90" t="s">
        <v>227</v>
      </c>
      <c r="AT19" s="90"/>
      <c r="AU19" s="90"/>
      <c r="AV19" s="90"/>
      <c r="AW19" s="90"/>
      <c r="AX19" s="90"/>
      <c r="AY19" s="90"/>
      <c r="AZ19" s="90"/>
      <c r="BA19" s="71">
        <f>AVERAGE(BA4:BA18)</f>
        <v>0.88027777777777783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1</v>
      </c>
      <c r="F20" s="11">
        <f t="shared" si="0"/>
        <v>1</v>
      </c>
      <c r="G20" s="66">
        <f>F20*Parametros!$E$6</f>
        <v>0.2</v>
      </c>
      <c r="H20" s="67">
        <v>10</v>
      </c>
      <c r="I20" s="67">
        <v>10</v>
      </c>
      <c r="J20" s="68" t="s">
        <v>200</v>
      </c>
      <c r="K20" s="66">
        <f>IF(J20="NO",0,IFERROR(H20/I20,0)*Parametros!$E$7)</f>
        <v>0.08</v>
      </c>
      <c r="L20" s="65">
        <v>1</v>
      </c>
      <c r="M20" s="68" t="s">
        <v>200</v>
      </c>
      <c r="N20" s="66">
        <f>IF(M20="NO",0,L20*Parametros!$E$8)</f>
        <v>0.08</v>
      </c>
      <c r="O20" s="65">
        <v>1</v>
      </c>
      <c r="P20" s="68" t="s">
        <v>200</v>
      </c>
      <c r="Q20" s="66">
        <f>IF(P20="NO",0,O20*Parametros!$E$9)</f>
        <v>0.08</v>
      </c>
      <c r="R20" s="65">
        <v>1</v>
      </c>
      <c r="S20" s="68" t="s">
        <v>200</v>
      </c>
      <c r="T20" s="66">
        <f>IF(S20="NO",0,R20*Parametros!$E$10)</f>
        <v>0.06</v>
      </c>
      <c r="U20" s="65">
        <v>1</v>
      </c>
      <c r="V20" s="66">
        <f>U20*Parametros!$E$11</f>
        <v>0.25</v>
      </c>
      <c r="W20" s="67">
        <v>0</v>
      </c>
      <c r="X20" s="66">
        <f>MAX(0,Parametros!$E$12-Parametros!$E$18*W20)</f>
        <v>0.25</v>
      </c>
      <c r="Y20" s="67">
        <v>1</v>
      </c>
      <c r="Z20" s="67">
        <v>4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70">
        <f>MAX(0,MIN(1,MAX(0,AP20-IF(S20="NO",Parametros!$E$17,0))+AC20)-AN20-IF(AO20="SI",Parametros!$E$33,0))</f>
        <v>1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5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0.88027777777777783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X6:X20 AP6:AP20 AR6:AR20 J6:J20 M6:M20 P6:P20 S6:T20 AE6:AE20 AG6:AG20 AI6:AN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10" sqref="F10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229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230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Agosto'!B6</f>
        <v>Almacen de Repuestos</v>
      </c>
      <c r="AT4" s="53">
        <f>'Captura Agosto'!K6+'Captura Agosto'!N6+'Captura Agosto'!Q6</f>
        <v>0.08</v>
      </c>
      <c r="AU4" s="53">
        <f>'Captura Agosto'!T6</f>
        <v>0</v>
      </c>
      <c r="AV4" s="53">
        <f>'Captura Agosto'!V6</f>
        <v>0</v>
      </c>
      <c r="AW4" s="53">
        <f>'Captura Agosto'!G6</f>
        <v>0.1</v>
      </c>
      <c r="AX4" s="53">
        <f>'Captura Agosto'!X6</f>
        <v>0.25</v>
      </c>
      <c r="AY4" s="53">
        <f>'Captura Agosto'!AC6</f>
        <v>0</v>
      </c>
      <c r="AZ4" s="54">
        <f>-'Captura Agosto'!AN6</f>
        <v>0</v>
      </c>
      <c r="BA4" s="55">
        <f>'Captura Agosto'!AQ6</f>
        <v>0.43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Agosto'!B7</f>
        <v>Alrededores</v>
      </c>
      <c r="AT5" s="60">
        <f>'Captura Agosto'!K7+'Captura Agosto'!N7+'Captura Agosto'!Q7</f>
        <v>0</v>
      </c>
      <c r="AU5" s="60">
        <f>'Captura Agosto'!T7</f>
        <v>0</v>
      </c>
      <c r="AV5" s="60">
        <f>'Captura Agosto'!V7</f>
        <v>0</v>
      </c>
      <c r="AW5" s="60">
        <f>'Captura Agosto'!G7</f>
        <v>0.1</v>
      </c>
      <c r="AX5" s="60">
        <f>'Captura Agosto'!X7</f>
        <v>0.25</v>
      </c>
      <c r="AY5" s="60">
        <f>'Captura Agosto'!AC7</f>
        <v>0</v>
      </c>
      <c r="AZ5" s="61">
        <f>-'Captura Agosto'!AN7</f>
        <v>0</v>
      </c>
      <c r="BA5" s="62">
        <f>'Captura Agosto'!AQ7</f>
        <v>0.35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1</v>
      </c>
      <c r="E6" s="65">
        <v>0</v>
      </c>
      <c r="F6" s="11">
        <f t="shared" ref="F6:F20" si="0">AVERAGE(D6,E6)</f>
        <v>0.5</v>
      </c>
      <c r="G6" s="66">
        <f>F6*Parametros!$E$6</f>
        <v>0.1</v>
      </c>
      <c r="H6" s="67">
        <v>38</v>
      </c>
      <c r="I6" s="67">
        <v>38</v>
      </c>
      <c r="J6" s="68" t="s">
        <v>200</v>
      </c>
      <c r="K6" s="66">
        <f>IF(J6="NO",0,IFERROR(H6/I6,0)*Parametros!$E$7)</f>
        <v>0.08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0.43</v>
      </c>
      <c r="AQ6" s="70">
        <f>MAX(0,MIN(1,MAX(0,AP6-IF(S6="NO",Parametros!$E$17,0))+AC6)-AN6-IF(AO6="SI",Parametros!$E$33,0))</f>
        <v>0.43</v>
      </c>
      <c r="AR6" s="42"/>
      <c r="AS6" s="52" t="str">
        <f>'Captura Agosto'!B8</f>
        <v>Calidad</v>
      </c>
      <c r="AT6" s="53">
        <f>'Captura Agosto'!K8+'Captura Agosto'!N8+'Captura Agosto'!Q8</f>
        <v>0.08</v>
      </c>
      <c r="AU6" s="53">
        <f>'Captura Agosto'!T8</f>
        <v>0</v>
      </c>
      <c r="AV6" s="53">
        <f>'Captura Agosto'!V8</f>
        <v>0</v>
      </c>
      <c r="AW6" s="53">
        <f>'Captura Agosto'!G8</f>
        <v>0.1</v>
      </c>
      <c r="AX6" s="53">
        <f>'Captura Agosto'!X8</f>
        <v>0.25</v>
      </c>
      <c r="AY6" s="53">
        <f>'Captura Agosto'!AC8</f>
        <v>0</v>
      </c>
      <c r="AZ6" s="54">
        <f>-'Captura Agosto'!AN8</f>
        <v>0</v>
      </c>
      <c r="BA6" s="55">
        <f>'Captura Agosto'!AQ8</f>
        <v>0.43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1</v>
      </c>
      <c r="E7" s="65">
        <v>0</v>
      </c>
      <c r="F7" s="11">
        <f t="shared" si="0"/>
        <v>0.5</v>
      </c>
      <c r="G7" s="66">
        <f>F7*Parametros!$E$6</f>
        <v>0.1</v>
      </c>
      <c r="H7" s="67"/>
      <c r="I7" s="67"/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0.35</v>
      </c>
      <c r="AQ7" s="70">
        <f>MAX(0,MIN(1,MAX(0,AP7-IF(S7="NO",Parametros!$E$17,0))+AC7)-AN7-IF(AO7="SI",Parametros!$E$33,0))</f>
        <v>0.35</v>
      </c>
      <c r="AR7" s="42"/>
      <c r="AS7" s="59" t="str">
        <f>'Captura Agosto'!B9</f>
        <v>Centro de Distribucion</v>
      </c>
      <c r="AT7" s="60">
        <f>'Captura Agosto'!K9+'Captura Agosto'!N9+'Captura Agosto'!Q9</f>
        <v>7.5200000000000003E-2</v>
      </c>
      <c r="AU7" s="60">
        <f>'Captura Agosto'!T9</f>
        <v>0</v>
      </c>
      <c r="AV7" s="60">
        <f>'Captura Agosto'!V9</f>
        <v>0</v>
      </c>
      <c r="AW7" s="60">
        <f>'Captura Agosto'!G9</f>
        <v>0.1</v>
      </c>
      <c r="AX7" s="60">
        <f>'Captura Agosto'!X9</f>
        <v>0.25</v>
      </c>
      <c r="AY7" s="60">
        <f>'Captura Agosto'!AC9</f>
        <v>0</v>
      </c>
      <c r="AZ7" s="61">
        <f>-'Captura Agosto'!AN9</f>
        <v>0</v>
      </c>
      <c r="BA7" s="62">
        <f>'Captura Agosto'!AQ9</f>
        <v>0.42520000000000002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1</v>
      </c>
      <c r="E8" s="65">
        <v>0</v>
      </c>
      <c r="F8" s="11">
        <f t="shared" si="0"/>
        <v>0.5</v>
      </c>
      <c r="G8" s="66">
        <f>F8*Parametros!$E$6</f>
        <v>0.1</v>
      </c>
      <c r="H8" s="67">
        <v>38</v>
      </c>
      <c r="I8" s="67">
        <v>38</v>
      </c>
      <c r="J8" s="68" t="s">
        <v>200</v>
      </c>
      <c r="K8" s="66">
        <f>IF(J8="NO",0,IFERROR(H8/I8,0)*Parametros!$E$7)</f>
        <v>0.08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0.43</v>
      </c>
      <c r="AQ8" s="70">
        <f>MAX(0,MIN(1,MAX(0,AP8-IF(S8="NO",Parametros!$E$17,0))+AC8)-AN8-IF(AO8="SI",Parametros!$E$33,0))</f>
        <v>0.43</v>
      </c>
      <c r="AR8" s="42"/>
      <c r="AS8" s="52" t="str">
        <f>'Captura Agosto'!B10</f>
        <v>ETEI</v>
      </c>
      <c r="AT8" s="53">
        <f>'Captura Agosto'!K10+'Captura Agosto'!N10+'Captura Agosto'!Q10</f>
        <v>0.08</v>
      </c>
      <c r="AU8" s="53">
        <f>'Captura Agosto'!T10</f>
        <v>0</v>
      </c>
      <c r="AV8" s="53">
        <f>'Captura Agosto'!V10</f>
        <v>0</v>
      </c>
      <c r="AW8" s="53">
        <f>'Captura Agosto'!G10</f>
        <v>8.0000000000000016E-2</v>
      </c>
      <c r="AX8" s="53">
        <f>'Captura Agosto'!X10</f>
        <v>0.25</v>
      </c>
      <c r="AY8" s="53">
        <f>'Captura Agosto'!AC10</f>
        <v>0</v>
      </c>
      <c r="AZ8" s="54">
        <f>-'Captura Agosto'!AN10</f>
        <v>0</v>
      </c>
      <c r="BA8" s="55">
        <f>'Captura Agosto'!AQ10</f>
        <v>0.41000000000000003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1</v>
      </c>
      <c r="E9" s="65">
        <v>0</v>
      </c>
      <c r="F9" s="11">
        <f t="shared" si="0"/>
        <v>0.5</v>
      </c>
      <c r="G9" s="66">
        <f>F9*Parametros!$E$6</f>
        <v>0.1</v>
      </c>
      <c r="H9" s="67"/>
      <c r="I9" s="67"/>
      <c r="J9" s="68" t="s">
        <v>200</v>
      </c>
      <c r="K9" s="66">
        <f>IF(J9="NO",0,IFERROR(H9/I9,0)*Parametros!$E$7)</f>
        <v>0</v>
      </c>
      <c r="L9" s="65">
        <v>0.94</v>
      </c>
      <c r="M9" s="68" t="s">
        <v>200</v>
      </c>
      <c r="N9" s="66">
        <f>IF(M9="NO",0,L9*Parametros!$E$8)</f>
        <v>7.5200000000000003E-2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0.42520000000000002</v>
      </c>
      <c r="AQ9" s="70">
        <f>MAX(0,MIN(1,MAX(0,AP9-IF(S9="NO",Parametros!$E$17,0))+AC9)-AN9-IF(AO9="SI",Parametros!$E$33,0))</f>
        <v>0.42520000000000002</v>
      </c>
      <c r="AR9" s="42"/>
      <c r="AS9" s="59" t="str">
        <f>'Captura Agosto'!B11</f>
        <v>Equipos Auxiliares</v>
      </c>
      <c r="AT9" s="60">
        <f>'Captura Agosto'!K11+'Captura Agosto'!N11+'Captura Agosto'!Q11</f>
        <v>0.08</v>
      </c>
      <c r="AU9" s="60">
        <f>'Captura Agosto'!T11</f>
        <v>0</v>
      </c>
      <c r="AV9" s="60">
        <f>'Captura Agosto'!V11</f>
        <v>0</v>
      </c>
      <c r="AW9" s="60">
        <f>'Captura Agosto'!G11</f>
        <v>0.1</v>
      </c>
      <c r="AX9" s="60">
        <f>'Captura Agosto'!X11</f>
        <v>0.25</v>
      </c>
      <c r="AY9" s="60">
        <f>'Captura Agosto'!AC11</f>
        <v>0</v>
      </c>
      <c r="AZ9" s="61">
        <f>-'Captura Agosto'!AN11</f>
        <v>0</v>
      </c>
      <c r="BA9" s="62">
        <f>'Captura Agosto'!AQ11</f>
        <v>0.43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0.8</v>
      </c>
      <c r="E10" s="65">
        <v>0</v>
      </c>
      <c r="F10" s="11">
        <f t="shared" si="0"/>
        <v>0.4</v>
      </c>
      <c r="G10" s="66">
        <f>F10*Parametros!$E$6</f>
        <v>8.0000000000000016E-2</v>
      </c>
      <c r="H10" s="67">
        <v>38</v>
      </c>
      <c r="I10" s="67">
        <v>38</v>
      </c>
      <c r="J10" s="68" t="s">
        <v>200</v>
      </c>
      <c r="K10" s="66">
        <f>IF(J10="NO",0,IFERROR(H10/I10,0)*Parametros!$E$7)</f>
        <v>0.08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0.41000000000000003</v>
      </c>
      <c r="AQ10" s="70">
        <f>MAX(0,MIN(1,MAX(0,AP10-IF(S10="NO",Parametros!$E$17,0))+AC10)-AN10-IF(AO10="SI",Parametros!$E$33,0))</f>
        <v>0.41000000000000003</v>
      </c>
      <c r="AR10" s="42"/>
      <c r="AS10" s="52" t="str">
        <f>'Captura Agosto'!B12</f>
        <v>Jarabes</v>
      </c>
      <c r="AT10" s="53">
        <f>'Captura Agosto'!K12+'Captura Agosto'!N12+'Captura Agosto'!Q12</f>
        <v>0.08</v>
      </c>
      <c r="AU10" s="53">
        <f>'Captura Agosto'!T12</f>
        <v>0</v>
      </c>
      <c r="AV10" s="53">
        <f>'Captura Agosto'!V12</f>
        <v>0</v>
      </c>
      <c r="AW10" s="53">
        <f>'Captura Agosto'!G12</f>
        <v>9.0000000000000011E-2</v>
      </c>
      <c r="AX10" s="53">
        <f>'Captura Agosto'!X12</f>
        <v>0.25</v>
      </c>
      <c r="AY10" s="53">
        <f>'Captura Agosto'!AC12</f>
        <v>0</v>
      </c>
      <c r="AZ10" s="54">
        <f>-'Captura Agosto'!AN12</f>
        <v>0</v>
      </c>
      <c r="BA10" s="55">
        <f>'Captura Agosto'!AQ12</f>
        <v>0.42000000000000004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1</v>
      </c>
      <c r="E11" s="65">
        <v>0</v>
      </c>
      <c r="F11" s="11">
        <f t="shared" si="0"/>
        <v>0.5</v>
      </c>
      <c r="G11" s="66">
        <f>F11*Parametros!$E$6</f>
        <v>0.1</v>
      </c>
      <c r="H11" s="67">
        <v>38</v>
      </c>
      <c r="I11" s="67">
        <v>38</v>
      </c>
      <c r="J11" s="68" t="s">
        <v>200</v>
      </c>
      <c r="K11" s="66">
        <f>IF(J11="NO",0,IFERROR(H11/I11,0)*Parametros!$E$7)</f>
        <v>0.08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0.43</v>
      </c>
      <c r="AQ11" s="70">
        <f>MAX(0,MIN(1,MAX(0,AP11-IF(S11="NO",Parametros!$E$17,0))+AC11)-AN11-IF(AO11="SI",Parametros!$E$33,0))</f>
        <v>0.43</v>
      </c>
      <c r="AR11" s="42"/>
      <c r="AS11" s="59" t="str">
        <f>'Captura Agosto'!B13</f>
        <v>Linea 1</v>
      </c>
      <c r="AT11" s="60">
        <f>'Captura Agosto'!K13+'Captura Agosto'!N13+'Captura Agosto'!Q13</f>
        <v>0.1472</v>
      </c>
      <c r="AU11" s="60">
        <f>'Captura Agosto'!T13</f>
        <v>0</v>
      </c>
      <c r="AV11" s="60">
        <f>'Captura Agosto'!V13</f>
        <v>0</v>
      </c>
      <c r="AW11" s="60">
        <f>'Captura Agosto'!G13</f>
        <v>9.7000000000000003E-2</v>
      </c>
      <c r="AX11" s="60">
        <f>'Captura Agosto'!X13</f>
        <v>0.25</v>
      </c>
      <c r="AY11" s="60">
        <f>'Captura Agosto'!AC13</f>
        <v>0</v>
      </c>
      <c r="AZ11" s="61">
        <f>-'Captura Agosto'!AN13</f>
        <v>0</v>
      </c>
      <c r="BA11" s="62">
        <f>'Captura Agosto'!AQ13</f>
        <v>0.49419999999999997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0.9</v>
      </c>
      <c r="E12" s="65">
        <v>0</v>
      </c>
      <c r="F12" s="11">
        <f t="shared" si="0"/>
        <v>0.45</v>
      </c>
      <c r="G12" s="66">
        <f>F12*Parametros!$E$6</f>
        <v>9.0000000000000011E-2</v>
      </c>
      <c r="H12" s="67">
        <v>38</v>
      </c>
      <c r="I12" s="67">
        <v>38</v>
      </c>
      <c r="J12" s="68" t="s">
        <v>200</v>
      </c>
      <c r="K12" s="66">
        <f>IF(J12="NO",0,IFERROR(H12/I12,0)*Parametros!$E$7)</f>
        <v>0.08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0.42000000000000004</v>
      </c>
      <c r="AQ12" s="70">
        <f>MAX(0,MIN(1,MAX(0,AP12-IF(S12="NO",Parametros!$E$17,0))+AC12)-AN12-IF(AO12="SI",Parametros!$E$33,0))</f>
        <v>0.42000000000000004</v>
      </c>
      <c r="AR12" s="42"/>
      <c r="AS12" s="52" t="str">
        <f>'Captura Agosto'!B14</f>
        <v>Linea 2</v>
      </c>
      <c r="AT12" s="53">
        <f>'Captura Agosto'!K14+'Captura Agosto'!N14+'Captura Agosto'!Q14</f>
        <v>0.15040000000000001</v>
      </c>
      <c r="AU12" s="53">
        <f>'Captura Agosto'!T14</f>
        <v>0</v>
      </c>
      <c r="AV12" s="53">
        <f>'Captura Agosto'!V14</f>
        <v>0</v>
      </c>
      <c r="AW12" s="53">
        <f>'Captura Agosto'!G14</f>
        <v>0.1</v>
      </c>
      <c r="AX12" s="53">
        <f>'Captura Agosto'!X14</f>
        <v>0.25</v>
      </c>
      <c r="AY12" s="53">
        <f>'Captura Agosto'!AC14</f>
        <v>0</v>
      </c>
      <c r="AZ12" s="54">
        <f>-'Captura Agosto'!AN14</f>
        <v>0</v>
      </c>
      <c r="BA12" s="55">
        <f>'Captura Agosto'!AQ14</f>
        <v>0.50039999999999996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0.97</v>
      </c>
      <c r="E13" s="65">
        <v>0</v>
      </c>
      <c r="F13" s="11">
        <f t="shared" si="0"/>
        <v>0.48499999999999999</v>
      </c>
      <c r="G13" s="66">
        <f>F13*Parametros!$E$6</f>
        <v>9.7000000000000003E-2</v>
      </c>
      <c r="H13" s="67">
        <v>38</v>
      </c>
      <c r="I13" s="67">
        <v>38</v>
      </c>
      <c r="J13" s="68" t="s">
        <v>200</v>
      </c>
      <c r="K13" s="66">
        <f>IF(J13="NO",0,IFERROR(H13/I13,0)*Parametros!$E$7)</f>
        <v>0.08</v>
      </c>
      <c r="L13" s="65">
        <v>0.84</v>
      </c>
      <c r="M13" s="68" t="s">
        <v>200</v>
      </c>
      <c r="N13" s="66">
        <f>IF(M13="NO",0,L13*Parametros!$E$8)</f>
        <v>6.7199999999999996E-2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0.49419999999999997</v>
      </c>
      <c r="AQ13" s="70">
        <f>MAX(0,MIN(1,MAX(0,AP13-IF(S13="NO",Parametros!$E$17,0))+AC13)-AN13-IF(AO13="SI",Parametros!$E$33,0))</f>
        <v>0.49419999999999997</v>
      </c>
      <c r="AR13" s="42"/>
      <c r="AS13" s="59" t="str">
        <f>'Captura Agosto'!B15</f>
        <v>Linea 3</v>
      </c>
      <c r="AT13" s="60">
        <f>'Captura Agosto'!K15+'Captura Agosto'!N15+'Captura Agosto'!Q15</f>
        <v>0.08</v>
      </c>
      <c r="AU13" s="60">
        <f>'Captura Agosto'!T15</f>
        <v>0</v>
      </c>
      <c r="AV13" s="60">
        <f>'Captura Agosto'!V15</f>
        <v>0</v>
      </c>
      <c r="AW13" s="60">
        <f>'Captura Agosto'!G15</f>
        <v>5.2000000000000005E-2</v>
      </c>
      <c r="AX13" s="60">
        <f>'Captura Agosto'!X15</f>
        <v>0.25</v>
      </c>
      <c r="AY13" s="60">
        <f>'Captura Agosto'!AC15</f>
        <v>0</v>
      </c>
      <c r="AZ13" s="61">
        <f>-'Captura Agosto'!AN15</f>
        <v>0</v>
      </c>
      <c r="BA13" s="62">
        <f>'Captura Agosto'!AQ15</f>
        <v>0.38200000000000001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1</v>
      </c>
      <c r="E14" s="65">
        <v>0</v>
      </c>
      <c r="F14" s="11">
        <f t="shared" si="0"/>
        <v>0.5</v>
      </c>
      <c r="G14" s="66">
        <f>F14*Parametros!$E$6</f>
        <v>0.1</v>
      </c>
      <c r="H14" s="67">
        <v>38</v>
      </c>
      <c r="I14" s="67">
        <v>38</v>
      </c>
      <c r="J14" s="68" t="s">
        <v>200</v>
      </c>
      <c r="K14" s="66">
        <f>IF(J14="NO",0,IFERROR(H14/I14,0)*Parametros!$E$7)</f>
        <v>0.08</v>
      </c>
      <c r="L14" s="65">
        <v>0.88</v>
      </c>
      <c r="M14" s="68" t="s">
        <v>200</v>
      </c>
      <c r="N14" s="66">
        <f>IF(M14="NO",0,L14*Parametros!$E$8)</f>
        <v>7.0400000000000004E-2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0.50039999999999996</v>
      </c>
      <c r="AQ14" s="70">
        <f>MAX(0,MIN(1,MAX(0,AP14-IF(S14="NO",Parametros!$E$17,0))+AC14)-AN14-IF(AO14="SI",Parametros!$E$33,0))</f>
        <v>0.50039999999999996</v>
      </c>
      <c r="AR14" s="42"/>
      <c r="AS14" s="52" t="str">
        <f>'Captura Agosto'!B16</f>
        <v>Linea 4</v>
      </c>
      <c r="AT14" s="53">
        <f>'Captura Agosto'!K16+'Captura Agosto'!N16+'Captura Agosto'!Q16</f>
        <v>0.08</v>
      </c>
      <c r="AU14" s="53">
        <f>'Captura Agosto'!T16</f>
        <v>0</v>
      </c>
      <c r="AV14" s="53">
        <f>'Captura Agosto'!V16</f>
        <v>0</v>
      </c>
      <c r="AW14" s="53">
        <f>'Captura Agosto'!G16</f>
        <v>0.1</v>
      </c>
      <c r="AX14" s="53">
        <f>'Captura Agosto'!X16</f>
        <v>0.25</v>
      </c>
      <c r="AY14" s="53">
        <f>'Captura Agosto'!AC16</f>
        <v>0</v>
      </c>
      <c r="AZ14" s="54">
        <f>-'Captura Agosto'!AN16</f>
        <v>0</v>
      </c>
      <c r="BA14" s="55">
        <f>'Captura Agosto'!AQ16</f>
        <v>0.43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0.52</v>
      </c>
      <c r="E15" s="65">
        <v>0</v>
      </c>
      <c r="F15" s="11">
        <f t="shared" si="0"/>
        <v>0.26</v>
      </c>
      <c r="G15" s="66">
        <f>F15*Parametros!$E$6</f>
        <v>5.2000000000000005E-2</v>
      </c>
      <c r="H15" s="67">
        <v>38</v>
      </c>
      <c r="I15" s="67">
        <v>38</v>
      </c>
      <c r="J15" s="68" t="s">
        <v>200</v>
      </c>
      <c r="K15" s="66">
        <f>IF(J15="NO",0,IFERROR(H15/I15,0)*Parametros!$E$7)</f>
        <v>0.08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0.38200000000000001</v>
      </c>
      <c r="AQ15" s="70">
        <f>MAX(0,MIN(1,MAX(0,AP15-IF(S15="NO",Parametros!$E$17,0))+AC15)-AN15-IF(AO15="SI",Parametros!$E$33,0))</f>
        <v>0.38200000000000001</v>
      </c>
      <c r="AR15" s="42"/>
      <c r="AS15" s="59" t="str">
        <f>'Captura Agosto'!B17</f>
        <v>Linea 5</v>
      </c>
      <c r="AT15" s="60">
        <f>'Captura Agosto'!K17+'Captura Agosto'!N17+'Captura Agosto'!Q17</f>
        <v>0.08</v>
      </c>
      <c r="AU15" s="60">
        <f>'Captura Agosto'!T17</f>
        <v>0</v>
      </c>
      <c r="AV15" s="60">
        <f>'Captura Agosto'!V17</f>
        <v>0</v>
      </c>
      <c r="AW15" s="60">
        <f>'Captura Agosto'!G17</f>
        <v>9.2000000000000012E-2</v>
      </c>
      <c r="AX15" s="60">
        <f>'Captura Agosto'!X17</f>
        <v>0.25</v>
      </c>
      <c r="AY15" s="60">
        <f>'Captura Agosto'!AC17</f>
        <v>0</v>
      </c>
      <c r="AZ15" s="61">
        <f>-'Captura Agosto'!AN17</f>
        <v>0</v>
      </c>
      <c r="BA15" s="62">
        <f>'Captura Agosto'!AQ17</f>
        <v>0.42200000000000004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1</v>
      </c>
      <c r="E16" s="65">
        <v>0</v>
      </c>
      <c r="F16" s="11">
        <f t="shared" si="0"/>
        <v>0.5</v>
      </c>
      <c r="G16" s="66">
        <f>F16*Parametros!$E$6</f>
        <v>0.1</v>
      </c>
      <c r="H16" s="67">
        <v>38</v>
      </c>
      <c r="I16" s="67">
        <v>38</v>
      </c>
      <c r="J16" s="68" t="s">
        <v>200</v>
      </c>
      <c r="K16" s="66">
        <f>IF(J16="NO",0,IFERROR(H16/I16,0)*Parametros!$E$7)</f>
        <v>0.08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0.43</v>
      </c>
      <c r="AQ16" s="70">
        <f>MAX(0,MIN(1,MAX(0,AP16-IF(S16="NO",Parametros!$E$17,0))+AC16)-AN16-IF(AO16="SI",Parametros!$E$33,0))</f>
        <v>0.43</v>
      </c>
      <c r="AR16" s="42"/>
      <c r="AS16" s="52" t="str">
        <f>'Captura Agosto'!B18</f>
        <v>Mantenimiento</v>
      </c>
      <c r="AT16" s="53">
        <f>'Captura Agosto'!K18+'Captura Agosto'!N18+'Captura Agosto'!Q18</f>
        <v>0.08</v>
      </c>
      <c r="AU16" s="53">
        <f>'Captura Agosto'!T18</f>
        <v>0</v>
      </c>
      <c r="AV16" s="53">
        <f>'Captura Agosto'!V18</f>
        <v>0</v>
      </c>
      <c r="AW16" s="53">
        <f>'Captura Agosto'!G18</f>
        <v>8.7000000000000008E-2</v>
      </c>
      <c r="AX16" s="53">
        <f>'Captura Agosto'!X18</f>
        <v>0.25</v>
      </c>
      <c r="AY16" s="53">
        <f>'Captura Agosto'!AC18</f>
        <v>0</v>
      </c>
      <c r="AZ16" s="54">
        <f>-'Captura Agosto'!AN18</f>
        <v>0</v>
      </c>
      <c r="BA16" s="55">
        <f>'Captura Agosto'!AQ18</f>
        <v>0.41700000000000004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0.92</v>
      </c>
      <c r="E17" s="65">
        <v>0</v>
      </c>
      <c r="F17" s="11">
        <f t="shared" si="0"/>
        <v>0.46</v>
      </c>
      <c r="G17" s="66">
        <f>F17*Parametros!$E$6</f>
        <v>9.2000000000000012E-2</v>
      </c>
      <c r="H17" s="67">
        <v>38</v>
      </c>
      <c r="I17" s="67">
        <v>38</v>
      </c>
      <c r="J17" s="68" t="s">
        <v>200</v>
      </c>
      <c r="K17" s="66">
        <f>IF(J17="NO",0,IFERROR(H17/I17,0)*Parametros!$E$7)</f>
        <v>0.08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0.42200000000000004</v>
      </c>
      <c r="AQ17" s="70">
        <f>MAX(0,MIN(1,MAX(0,AP17-IF(S17="NO",Parametros!$E$17,0))+AC17)-AN17-IF(AO17="SI",Parametros!$E$33,0))</f>
        <v>0.42200000000000004</v>
      </c>
      <c r="AR17" s="42"/>
      <c r="AS17" s="59" t="str">
        <f>'Captura Agosto'!B19</f>
        <v>Materias Primas</v>
      </c>
      <c r="AT17" s="60">
        <f>'Captura Agosto'!K19+'Captura Agosto'!N19+'Captura Agosto'!Q19</f>
        <v>0.16</v>
      </c>
      <c r="AU17" s="60">
        <f>'Captura Agosto'!T19</f>
        <v>0</v>
      </c>
      <c r="AV17" s="60">
        <f>'Captura Agosto'!V19</f>
        <v>0</v>
      </c>
      <c r="AW17" s="60">
        <f>'Captura Agosto'!G19</f>
        <v>0.1</v>
      </c>
      <c r="AX17" s="60">
        <f>'Captura Agosto'!X19</f>
        <v>0.25</v>
      </c>
      <c r="AY17" s="60">
        <f>'Captura Agosto'!AC19</f>
        <v>0</v>
      </c>
      <c r="AZ17" s="61">
        <f>-'Captura Agosto'!AN19</f>
        <v>0</v>
      </c>
      <c r="BA17" s="62">
        <f>'Captura Agosto'!AQ19</f>
        <v>0.51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0.87</v>
      </c>
      <c r="E18" s="65">
        <v>0</v>
      </c>
      <c r="F18" s="11">
        <f t="shared" si="0"/>
        <v>0.435</v>
      </c>
      <c r="G18" s="66">
        <f>F18*Parametros!$E$6</f>
        <v>8.7000000000000008E-2</v>
      </c>
      <c r="H18" s="67">
        <v>38</v>
      </c>
      <c r="I18" s="67">
        <v>38</v>
      </c>
      <c r="J18" s="68" t="s">
        <v>200</v>
      </c>
      <c r="K18" s="66">
        <f>IF(J18="NO",0,IFERROR(H18/I18,0)*Parametros!$E$7)</f>
        <v>0.08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0.41700000000000004</v>
      </c>
      <c r="AQ18" s="70">
        <f>MAX(0,MIN(1,MAX(0,AP18-IF(S18="NO",Parametros!$E$17,0))+AC18)-AN18-IF(AO18="SI",Parametros!$E$33,0))</f>
        <v>0.41700000000000004</v>
      </c>
      <c r="AR18" s="42"/>
      <c r="AS18" s="52" t="str">
        <f>'Captura Agosto'!B20</f>
        <v>Tratamiento de Aguas</v>
      </c>
      <c r="AT18" s="53">
        <f>'Captura Agosto'!K20+'Captura Agosto'!N20+'Captura Agosto'!Q20</f>
        <v>0.08</v>
      </c>
      <c r="AU18" s="53">
        <f>'Captura Agosto'!T20</f>
        <v>0</v>
      </c>
      <c r="AV18" s="53">
        <f>'Captura Agosto'!V20</f>
        <v>0</v>
      </c>
      <c r="AW18" s="53">
        <f>'Captura Agosto'!G20</f>
        <v>0.1</v>
      </c>
      <c r="AX18" s="53">
        <f>'Captura Agosto'!X20</f>
        <v>0.25</v>
      </c>
      <c r="AY18" s="53">
        <f>'Captura Agosto'!AC20</f>
        <v>0</v>
      </c>
      <c r="AZ18" s="54">
        <f>-'Captura Agosto'!AN20</f>
        <v>0</v>
      </c>
      <c r="BA18" s="55">
        <f>'Captura Agosto'!AQ20</f>
        <v>0.43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1</v>
      </c>
      <c r="E19" s="65">
        <v>0</v>
      </c>
      <c r="F19" s="11">
        <f t="shared" si="0"/>
        <v>0.5</v>
      </c>
      <c r="G19" s="66">
        <f>F19*Parametros!$E$6</f>
        <v>0.1</v>
      </c>
      <c r="H19" s="67">
        <v>38</v>
      </c>
      <c r="I19" s="67">
        <v>38</v>
      </c>
      <c r="J19" s="68" t="s">
        <v>200</v>
      </c>
      <c r="K19" s="66">
        <f>IF(J19="NO",0,IFERROR(H19/I19,0)*Parametros!$E$7)</f>
        <v>0.08</v>
      </c>
      <c r="L19" s="65">
        <v>1</v>
      </c>
      <c r="M19" s="68" t="s">
        <v>200</v>
      </c>
      <c r="N19" s="66">
        <f>IF(M19="NO",0,L19*Parametros!$E$8)</f>
        <v>0.08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0.51</v>
      </c>
      <c r="AQ19" s="70">
        <f>MAX(0,MIN(1,MAX(0,AP19-IF(S19="NO",Parametros!$E$17,0))+AC19)-AN19-IF(AO19="SI",Parametros!$E$33,0))</f>
        <v>0.51</v>
      </c>
      <c r="AR19" s="42"/>
      <c r="AS19" s="90" t="s">
        <v>231</v>
      </c>
      <c r="AT19" s="90"/>
      <c r="AU19" s="90"/>
      <c r="AV19" s="90"/>
      <c r="AW19" s="90"/>
      <c r="AX19" s="90"/>
      <c r="AY19" s="90"/>
      <c r="AZ19" s="90"/>
      <c r="BA19" s="71">
        <f>AVERAGE(BA4:BA18)</f>
        <v>0.43205333333333323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1</v>
      </c>
      <c r="E20" s="65">
        <v>0</v>
      </c>
      <c r="F20" s="11">
        <f t="shared" si="0"/>
        <v>0.5</v>
      </c>
      <c r="G20" s="66">
        <f>F20*Parametros!$E$6</f>
        <v>0.1</v>
      </c>
      <c r="H20" s="67">
        <v>38</v>
      </c>
      <c r="I20" s="67">
        <v>38</v>
      </c>
      <c r="J20" s="68" t="s">
        <v>200</v>
      </c>
      <c r="K20" s="66">
        <f>IF(J20="NO",0,IFERROR(H20/I20,0)*Parametros!$E$7)</f>
        <v>0.08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0.43</v>
      </c>
      <c r="AQ20" s="70">
        <f>MAX(0,MIN(1,MAX(0,AP20-IF(S20="NO",Parametros!$E$17,0))+AC20)-AN20-IF(AO20="SI",Parametros!$E$33,0))</f>
        <v>0.43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0.43205333333333323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6:AV20">
    <cfRule type="cellIs" dxfId="44" priority="2" operator="greaterThanOrEqual">
      <formula>0.9</formula>
    </cfRule>
    <cfRule type="expression" dxfId="43" priority="3">
      <formula>AND(AV6&gt;=0.7,AV6&lt;0.9)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B00-000002000000}">
      <formula1>0</formula1>
      <formula2>1</formula2>
    </dataValidation>
    <dataValidation type="list" sqref="X6:X20 AP6:AP20 AR6:AR20 J6:J20 M6:M20 P6:P20 S6:T20 AE6:AE20 AG6:AG20 AI6:AN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233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234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Septiembre'!B6</f>
        <v>Almacen de Repuestos</v>
      </c>
      <c r="AT4" s="53">
        <f>'Captura Septiembre'!K6+'Captura Septiembre'!N6+'Captura Septiembre'!Q6</f>
        <v>0</v>
      </c>
      <c r="AU4" s="53">
        <f>'Captura Septiembre'!T6</f>
        <v>0</v>
      </c>
      <c r="AV4" s="53">
        <f>'Captura Septiembre'!V6</f>
        <v>0</v>
      </c>
      <c r="AW4" s="53">
        <f>'Captura Septiembre'!G6</f>
        <v>0</v>
      </c>
      <c r="AX4" s="53">
        <f>'Captura Septiembre'!X6</f>
        <v>0.25</v>
      </c>
      <c r="AY4" s="53">
        <f>'Captura Septiembre'!AC6</f>
        <v>0</v>
      </c>
      <c r="AZ4" s="54">
        <f>-'Captura Septiembre'!AN6</f>
        <v>0</v>
      </c>
      <c r="BA4" s="55">
        <f>'Captura Septiembre'!AQ6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Septiembre'!B7</f>
        <v>Alrededores</v>
      </c>
      <c r="AT5" s="60">
        <f>'Captura Septiembre'!K7+'Captura Septiembre'!N7+'Captura Septiembre'!Q7</f>
        <v>0</v>
      </c>
      <c r="AU5" s="60">
        <f>'Captura Septiembre'!T7</f>
        <v>0</v>
      </c>
      <c r="AV5" s="60">
        <f>'Captura Septiembre'!V7</f>
        <v>0</v>
      </c>
      <c r="AW5" s="60">
        <f>'Captura Septiembre'!G7</f>
        <v>0</v>
      </c>
      <c r="AX5" s="60">
        <f>'Captura Septiembre'!X7</f>
        <v>0.25</v>
      </c>
      <c r="AY5" s="60">
        <f>'Captura Septiembre'!AC7</f>
        <v>0</v>
      </c>
      <c r="AZ5" s="61">
        <f>-'Captura Septiembre'!AN7</f>
        <v>0</v>
      </c>
      <c r="BA5" s="62">
        <f>'Captura Septiembre'!AQ7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Septiembre'!B8</f>
        <v>Calidad</v>
      </c>
      <c r="AT6" s="53">
        <f>'Captura Septiembre'!K8+'Captura Septiembre'!N8+'Captura Septiembre'!Q8</f>
        <v>0</v>
      </c>
      <c r="AU6" s="53">
        <f>'Captura Septiembre'!T8</f>
        <v>0</v>
      </c>
      <c r="AV6" s="53">
        <f>'Captura Septiembre'!V8</f>
        <v>0</v>
      </c>
      <c r="AW6" s="53">
        <f>'Captura Septiembre'!G8</f>
        <v>0</v>
      </c>
      <c r="AX6" s="53">
        <f>'Captura Septiembre'!X8</f>
        <v>0.25</v>
      </c>
      <c r="AY6" s="53">
        <f>'Captura Septiembre'!AC8</f>
        <v>0</v>
      </c>
      <c r="AZ6" s="54">
        <f>-'Captura Septiembre'!AN8</f>
        <v>0</v>
      </c>
      <c r="BA6" s="55">
        <f>'Captura Septiembre'!AQ8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Septiembre'!B9</f>
        <v>Centro de Distribucion</v>
      </c>
      <c r="AT7" s="60">
        <f>'Captura Septiembre'!K9+'Captura Septiembre'!N9+'Captura Septiembre'!Q9</f>
        <v>0</v>
      </c>
      <c r="AU7" s="60">
        <f>'Captura Septiembre'!T9</f>
        <v>0</v>
      </c>
      <c r="AV7" s="60">
        <f>'Captura Septiembre'!V9</f>
        <v>0</v>
      </c>
      <c r="AW7" s="60">
        <f>'Captura Septiembre'!G9</f>
        <v>0</v>
      </c>
      <c r="AX7" s="60">
        <f>'Captura Septiembre'!X9</f>
        <v>0.25</v>
      </c>
      <c r="AY7" s="60">
        <f>'Captura Septiembre'!AC9</f>
        <v>0</v>
      </c>
      <c r="AZ7" s="61">
        <f>-'Captura Septiembre'!AN9</f>
        <v>0</v>
      </c>
      <c r="BA7" s="62">
        <f>'Captura Septiembre'!AQ9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Septiembre'!B10</f>
        <v>ETEI</v>
      </c>
      <c r="AT8" s="53">
        <f>'Captura Septiembre'!K10+'Captura Septiembre'!N10+'Captura Septiembre'!Q10</f>
        <v>0</v>
      </c>
      <c r="AU8" s="53">
        <f>'Captura Septiembre'!T10</f>
        <v>0</v>
      </c>
      <c r="AV8" s="53">
        <f>'Captura Septiembre'!V10</f>
        <v>0</v>
      </c>
      <c r="AW8" s="53">
        <f>'Captura Septiembre'!G10</f>
        <v>0</v>
      </c>
      <c r="AX8" s="53">
        <f>'Captura Septiembre'!X10</f>
        <v>0.25</v>
      </c>
      <c r="AY8" s="53">
        <f>'Captura Septiembre'!AC10</f>
        <v>0</v>
      </c>
      <c r="AZ8" s="54">
        <f>-'Captura Septiembre'!AN10</f>
        <v>0</v>
      </c>
      <c r="BA8" s="55">
        <f>'Captura Septiembre'!AQ10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Septiembre'!B11</f>
        <v>Equipos Auxiliares</v>
      </c>
      <c r="AT9" s="60">
        <f>'Captura Septiembre'!K11+'Captura Septiembre'!N11+'Captura Septiembre'!Q11</f>
        <v>0</v>
      </c>
      <c r="AU9" s="60">
        <f>'Captura Septiembre'!T11</f>
        <v>0</v>
      </c>
      <c r="AV9" s="60">
        <f>'Captura Septiembre'!V11</f>
        <v>0</v>
      </c>
      <c r="AW9" s="60">
        <f>'Captura Septiembre'!G11</f>
        <v>0</v>
      </c>
      <c r="AX9" s="60">
        <f>'Captura Septiembre'!X11</f>
        <v>0.25</v>
      </c>
      <c r="AY9" s="60">
        <f>'Captura Septiembre'!AC11</f>
        <v>0</v>
      </c>
      <c r="AZ9" s="61">
        <f>-'Captura Septiembre'!AN11</f>
        <v>0</v>
      </c>
      <c r="BA9" s="62">
        <f>'Captura Septiembre'!AQ11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Septiembre'!B12</f>
        <v>Jarabes</v>
      </c>
      <c r="AT10" s="53">
        <f>'Captura Septiembre'!K12+'Captura Septiembre'!N12+'Captura Septiembre'!Q12</f>
        <v>0</v>
      </c>
      <c r="AU10" s="53">
        <f>'Captura Septiembre'!T12</f>
        <v>0</v>
      </c>
      <c r="AV10" s="53">
        <f>'Captura Septiembre'!V12</f>
        <v>0</v>
      </c>
      <c r="AW10" s="53">
        <f>'Captura Septiembre'!G12</f>
        <v>0</v>
      </c>
      <c r="AX10" s="53">
        <f>'Captura Septiembre'!X12</f>
        <v>0.25</v>
      </c>
      <c r="AY10" s="53">
        <f>'Captura Septiembre'!AC12</f>
        <v>0</v>
      </c>
      <c r="AZ10" s="54">
        <f>-'Captura Septiembre'!AN12</f>
        <v>0</v>
      </c>
      <c r="BA10" s="55">
        <f>'Captura Septiembre'!AQ12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Septiembre'!B13</f>
        <v>Linea 1</v>
      </c>
      <c r="AT11" s="60">
        <f>'Captura Septiembre'!K13+'Captura Septiembre'!N13+'Captura Septiembre'!Q13</f>
        <v>0</v>
      </c>
      <c r="AU11" s="60">
        <f>'Captura Septiembre'!T13</f>
        <v>0</v>
      </c>
      <c r="AV11" s="60">
        <f>'Captura Septiembre'!V13</f>
        <v>0</v>
      </c>
      <c r="AW11" s="60">
        <f>'Captura Septiembre'!G13</f>
        <v>0</v>
      </c>
      <c r="AX11" s="60">
        <f>'Captura Septiembre'!X13</f>
        <v>0.25</v>
      </c>
      <c r="AY11" s="60">
        <f>'Captura Septiembre'!AC13</f>
        <v>0</v>
      </c>
      <c r="AZ11" s="61">
        <f>-'Captura Septiembre'!AN13</f>
        <v>0</v>
      </c>
      <c r="BA11" s="62">
        <f>'Captura Septiembre'!AQ13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Septiembre'!B14</f>
        <v>Linea 2</v>
      </c>
      <c r="AT12" s="53">
        <f>'Captura Septiembre'!K14+'Captura Septiembre'!N14+'Captura Septiembre'!Q14</f>
        <v>0</v>
      </c>
      <c r="AU12" s="53">
        <f>'Captura Septiembre'!T14</f>
        <v>0</v>
      </c>
      <c r="AV12" s="53">
        <f>'Captura Septiembre'!V14</f>
        <v>0</v>
      </c>
      <c r="AW12" s="53">
        <f>'Captura Septiembre'!G14</f>
        <v>0</v>
      </c>
      <c r="AX12" s="53">
        <f>'Captura Septiembre'!X14</f>
        <v>0.25</v>
      </c>
      <c r="AY12" s="53">
        <f>'Captura Septiembre'!AC14</f>
        <v>0</v>
      </c>
      <c r="AZ12" s="54">
        <f>-'Captura Septiembre'!AN14</f>
        <v>0</v>
      </c>
      <c r="BA12" s="55">
        <f>'Captura Septiembre'!AQ14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Septiembre'!B15</f>
        <v>Linea 3</v>
      </c>
      <c r="AT13" s="60">
        <f>'Captura Septiembre'!K15+'Captura Septiembre'!N15+'Captura Septiembre'!Q15</f>
        <v>0</v>
      </c>
      <c r="AU13" s="60">
        <f>'Captura Septiembre'!T15</f>
        <v>0</v>
      </c>
      <c r="AV13" s="60">
        <f>'Captura Septiembre'!V15</f>
        <v>0</v>
      </c>
      <c r="AW13" s="60">
        <f>'Captura Septiembre'!G15</f>
        <v>0</v>
      </c>
      <c r="AX13" s="60">
        <f>'Captura Septiembre'!X15</f>
        <v>0.25</v>
      </c>
      <c r="AY13" s="60">
        <f>'Captura Septiembre'!AC15</f>
        <v>0</v>
      </c>
      <c r="AZ13" s="61">
        <f>-'Captura Septiembre'!AN15</f>
        <v>0</v>
      </c>
      <c r="BA13" s="62">
        <f>'Captura Septiembre'!AQ15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Septiembre'!B16</f>
        <v>Linea 4</v>
      </c>
      <c r="AT14" s="53">
        <f>'Captura Septiembre'!K16+'Captura Septiembre'!N16+'Captura Septiembre'!Q16</f>
        <v>0</v>
      </c>
      <c r="AU14" s="53">
        <f>'Captura Septiembre'!T16</f>
        <v>0</v>
      </c>
      <c r="AV14" s="53">
        <f>'Captura Septiembre'!V16</f>
        <v>0</v>
      </c>
      <c r="AW14" s="53">
        <f>'Captura Septiembre'!G16</f>
        <v>0</v>
      </c>
      <c r="AX14" s="53">
        <f>'Captura Septiembre'!X16</f>
        <v>0.25</v>
      </c>
      <c r="AY14" s="53">
        <f>'Captura Septiembre'!AC16</f>
        <v>0</v>
      </c>
      <c r="AZ14" s="54">
        <f>-'Captura Septiembre'!AN16</f>
        <v>0</v>
      </c>
      <c r="BA14" s="55">
        <f>'Captura Septiembre'!AQ16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Septiembre'!B17</f>
        <v>Linea 5</v>
      </c>
      <c r="AT15" s="60">
        <f>'Captura Septiembre'!K17+'Captura Septiembre'!N17+'Captura Septiembre'!Q17</f>
        <v>0</v>
      </c>
      <c r="AU15" s="60">
        <f>'Captura Septiembre'!T17</f>
        <v>0</v>
      </c>
      <c r="AV15" s="60">
        <f>'Captura Septiembre'!V17</f>
        <v>0</v>
      </c>
      <c r="AW15" s="60">
        <f>'Captura Septiembre'!G17</f>
        <v>0</v>
      </c>
      <c r="AX15" s="60">
        <f>'Captura Septiembre'!X17</f>
        <v>0.25</v>
      </c>
      <c r="AY15" s="60">
        <f>'Captura Septiembre'!AC17</f>
        <v>0</v>
      </c>
      <c r="AZ15" s="61">
        <f>-'Captura Septiembre'!AN17</f>
        <v>0</v>
      </c>
      <c r="BA15" s="62">
        <f>'Captura Septiembre'!AQ17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Septiembre'!B18</f>
        <v>Mantenimiento</v>
      </c>
      <c r="AT16" s="53">
        <f>'Captura Septiembre'!K18+'Captura Septiembre'!N18+'Captura Septiembre'!Q18</f>
        <v>0</v>
      </c>
      <c r="AU16" s="53">
        <f>'Captura Septiembre'!T18</f>
        <v>0</v>
      </c>
      <c r="AV16" s="53">
        <f>'Captura Septiembre'!V18</f>
        <v>0</v>
      </c>
      <c r="AW16" s="53">
        <f>'Captura Septiembre'!G18</f>
        <v>0</v>
      </c>
      <c r="AX16" s="53">
        <f>'Captura Septiembre'!X18</f>
        <v>0.25</v>
      </c>
      <c r="AY16" s="53">
        <f>'Captura Septiembre'!AC18</f>
        <v>0</v>
      </c>
      <c r="AZ16" s="54">
        <f>-'Captura Septiembre'!AN18</f>
        <v>0</v>
      </c>
      <c r="BA16" s="55">
        <f>'Captura Septiembre'!AQ18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Septiembre'!B19</f>
        <v>Materias Primas</v>
      </c>
      <c r="AT17" s="60">
        <f>'Captura Septiembre'!K19+'Captura Septiembre'!N19+'Captura Septiembre'!Q19</f>
        <v>0</v>
      </c>
      <c r="AU17" s="60">
        <f>'Captura Septiembre'!T19</f>
        <v>0</v>
      </c>
      <c r="AV17" s="60">
        <f>'Captura Septiembre'!V19</f>
        <v>0</v>
      </c>
      <c r="AW17" s="60">
        <f>'Captura Septiembre'!G19</f>
        <v>0</v>
      </c>
      <c r="AX17" s="60">
        <f>'Captura Septiembre'!X19</f>
        <v>0.25</v>
      </c>
      <c r="AY17" s="60">
        <f>'Captura Septiembre'!AC19</f>
        <v>0</v>
      </c>
      <c r="AZ17" s="61">
        <f>-'Captura Septiembre'!AN19</f>
        <v>0</v>
      </c>
      <c r="BA17" s="62">
        <f>'Captura Septiembre'!AQ19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Septiembre'!B20</f>
        <v>Tratamiento de Aguas</v>
      </c>
      <c r="AT18" s="53">
        <f>'Captura Septiembre'!K20+'Captura Septiembre'!N20+'Captura Septiembre'!Q20</f>
        <v>0</v>
      </c>
      <c r="AU18" s="53">
        <f>'Captura Septiembre'!T20</f>
        <v>0</v>
      </c>
      <c r="AV18" s="53">
        <f>'Captura Septiembre'!V20</f>
        <v>0</v>
      </c>
      <c r="AW18" s="53">
        <f>'Captura Septiembre'!G20</f>
        <v>0</v>
      </c>
      <c r="AX18" s="53">
        <f>'Captura Septiembre'!X20</f>
        <v>0.25</v>
      </c>
      <c r="AY18" s="53">
        <f>'Captura Septiembre'!AC20</f>
        <v>0</v>
      </c>
      <c r="AZ18" s="54">
        <f>-'Captura Septiembre'!AN20</f>
        <v>0</v>
      </c>
      <c r="BA18" s="55">
        <f>'Captura Septiembre'!AQ20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235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X6:X20 AP6:AP20 AR6:AR20 J6:J20 M6:M20 P6:P20 S6:T20 AE6:AE20 AG6:AG20 AI6:AN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236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237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238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Octubre'!B6</f>
        <v>Almacen de Repuestos</v>
      </c>
      <c r="AT4" s="53">
        <f>'Captura Octubre'!K6+'Captura Octubre'!N6+'Captura Octubre'!Q6</f>
        <v>0</v>
      </c>
      <c r="AU4" s="53">
        <f>'Captura Octubre'!T6</f>
        <v>0</v>
      </c>
      <c r="AV4" s="53">
        <f>'Captura Octubre'!V6</f>
        <v>0</v>
      </c>
      <c r="AW4" s="53">
        <f>'Captura Octubre'!G6</f>
        <v>0</v>
      </c>
      <c r="AX4" s="53">
        <f>'Captura Octubre'!X6</f>
        <v>0.25</v>
      </c>
      <c r="AY4" s="53">
        <f>'Captura Octubre'!AC6</f>
        <v>0</v>
      </c>
      <c r="AZ4" s="54">
        <f>-'Captura Octubre'!AN6</f>
        <v>0</v>
      </c>
      <c r="BA4" s="55">
        <f>'Captura Octubre'!AQ6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Octubre'!B7</f>
        <v>Alrededores</v>
      </c>
      <c r="AT5" s="60">
        <f>'Captura Octubre'!K7+'Captura Octubre'!N7+'Captura Octubre'!Q7</f>
        <v>0</v>
      </c>
      <c r="AU5" s="60">
        <f>'Captura Octubre'!T7</f>
        <v>0</v>
      </c>
      <c r="AV5" s="60">
        <f>'Captura Octubre'!V7</f>
        <v>0</v>
      </c>
      <c r="AW5" s="60">
        <f>'Captura Octubre'!G7</f>
        <v>0</v>
      </c>
      <c r="AX5" s="60">
        <f>'Captura Octubre'!X7</f>
        <v>0.25</v>
      </c>
      <c r="AY5" s="60">
        <f>'Captura Octubre'!AC7</f>
        <v>0</v>
      </c>
      <c r="AZ5" s="61">
        <f>-'Captura Octubre'!AN7</f>
        <v>0</v>
      </c>
      <c r="BA5" s="62">
        <f>'Captura Octubre'!AQ7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Octubre'!B8</f>
        <v>Calidad</v>
      </c>
      <c r="AT6" s="53">
        <f>'Captura Octubre'!K8+'Captura Octubre'!N8+'Captura Octubre'!Q8</f>
        <v>0</v>
      </c>
      <c r="AU6" s="53">
        <f>'Captura Octubre'!T8</f>
        <v>0</v>
      </c>
      <c r="AV6" s="53">
        <f>'Captura Octubre'!V8</f>
        <v>0</v>
      </c>
      <c r="AW6" s="53">
        <f>'Captura Octubre'!G8</f>
        <v>0</v>
      </c>
      <c r="AX6" s="53">
        <f>'Captura Octubre'!X8</f>
        <v>0.25</v>
      </c>
      <c r="AY6" s="53">
        <f>'Captura Octubre'!AC8</f>
        <v>0</v>
      </c>
      <c r="AZ6" s="54">
        <f>-'Captura Octubre'!AN8</f>
        <v>0</v>
      </c>
      <c r="BA6" s="55">
        <f>'Captura Octubre'!AQ8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Octubre'!B9</f>
        <v>Centro de Distribucion</v>
      </c>
      <c r="AT7" s="60">
        <f>'Captura Octubre'!K9+'Captura Octubre'!N9+'Captura Octubre'!Q9</f>
        <v>0</v>
      </c>
      <c r="AU7" s="60">
        <f>'Captura Octubre'!T9</f>
        <v>0</v>
      </c>
      <c r="AV7" s="60">
        <f>'Captura Octubre'!V9</f>
        <v>0</v>
      </c>
      <c r="AW7" s="60">
        <f>'Captura Octubre'!G9</f>
        <v>0</v>
      </c>
      <c r="AX7" s="60">
        <f>'Captura Octubre'!X9</f>
        <v>0.25</v>
      </c>
      <c r="AY7" s="60">
        <f>'Captura Octubre'!AC9</f>
        <v>0</v>
      </c>
      <c r="AZ7" s="61">
        <f>-'Captura Octubre'!AN9</f>
        <v>0</v>
      </c>
      <c r="BA7" s="62">
        <f>'Captura Octubre'!AQ9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Octubre'!B10</f>
        <v>ETEI</v>
      </c>
      <c r="AT8" s="53">
        <f>'Captura Octubre'!K10+'Captura Octubre'!N10+'Captura Octubre'!Q10</f>
        <v>0</v>
      </c>
      <c r="AU8" s="53">
        <f>'Captura Octubre'!T10</f>
        <v>0</v>
      </c>
      <c r="AV8" s="53">
        <f>'Captura Octubre'!V10</f>
        <v>0</v>
      </c>
      <c r="AW8" s="53">
        <f>'Captura Octubre'!G10</f>
        <v>0</v>
      </c>
      <c r="AX8" s="53">
        <f>'Captura Octubre'!X10</f>
        <v>0.25</v>
      </c>
      <c r="AY8" s="53">
        <f>'Captura Octubre'!AC10</f>
        <v>0</v>
      </c>
      <c r="AZ8" s="54">
        <f>-'Captura Octubre'!AN10</f>
        <v>0</v>
      </c>
      <c r="BA8" s="55">
        <f>'Captura Octubre'!AQ10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Octubre'!B11</f>
        <v>Equipos Auxiliares</v>
      </c>
      <c r="AT9" s="60">
        <f>'Captura Octubre'!K11+'Captura Octubre'!N11+'Captura Octubre'!Q11</f>
        <v>0</v>
      </c>
      <c r="AU9" s="60">
        <f>'Captura Octubre'!T11</f>
        <v>0</v>
      </c>
      <c r="AV9" s="60">
        <f>'Captura Octubre'!V11</f>
        <v>0</v>
      </c>
      <c r="AW9" s="60">
        <f>'Captura Octubre'!G11</f>
        <v>0</v>
      </c>
      <c r="AX9" s="60">
        <f>'Captura Octubre'!X11</f>
        <v>0.25</v>
      </c>
      <c r="AY9" s="60">
        <f>'Captura Octubre'!AC11</f>
        <v>0</v>
      </c>
      <c r="AZ9" s="61">
        <f>-'Captura Octubre'!AN11</f>
        <v>0</v>
      </c>
      <c r="BA9" s="62">
        <f>'Captura Octubre'!AQ11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Octubre'!B12</f>
        <v>Jarabes</v>
      </c>
      <c r="AT10" s="53">
        <f>'Captura Octubre'!K12+'Captura Octubre'!N12+'Captura Octubre'!Q12</f>
        <v>0</v>
      </c>
      <c r="AU10" s="53">
        <f>'Captura Octubre'!T12</f>
        <v>0</v>
      </c>
      <c r="AV10" s="53">
        <f>'Captura Octubre'!V12</f>
        <v>0</v>
      </c>
      <c r="AW10" s="53">
        <f>'Captura Octubre'!G12</f>
        <v>0</v>
      </c>
      <c r="AX10" s="53">
        <f>'Captura Octubre'!X12</f>
        <v>0.25</v>
      </c>
      <c r="AY10" s="53">
        <f>'Captura Octubre'!AC12</f>
        <v>0</v>
      </c>
      <c r="AZ10" s="54">
        <f>-'Captura Octubre'!AN12</f>
        <v>0</v>
      </c>
      <c r="BA10" s="55">
        <f>'Captura Octubre'!AQ12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Octubre'!B13</f>
        <v>Linea 1</v>
      </c>
      <c r="AT11" s="60">
        <f>'Captura Octubre'!K13+'Captura Octubre'!N13+'Captura Octubre'!Q13</f>
        <v>0</v>
      </c>
      <c r="AU11" s="60">
        <f>'Captura Octubre'!T13</f>
        <v>0</v>
      </c>
      <c r="AV11" s="60">
        <f>'Captura Octubre'!V13</f>
        <v>0</v>
      </c>
      <c r="AW11" s="60">
        <f>'Captura Octubre'!G13</f>
        <v>0</v>
      </c>
      <c r="AX11" s="60">
        <f>'Captura Octubre'!X13</f>
        <v>0.25</v>
      </c>
      <c r="AY11" s="60">
        <f>'Captura Octubre'!AC13</f>
        <v>0</v>
      </c>
      <c r="AZ11" s="61">
        <f>-'Captura Octubre'!AN13</f>
        <v>0</v>
      </c>
      <c r="BA11" s="62">
        <f>'Captura Octubre'!AQ13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Octubre'!B14</f>
        <v>Linea 2</v>
      </c>
      <c r="AT12" s="53">
        <f>'Captura Octubre'!K14+'Captura Octubre'!N14+'Captura Octubre'!Q14</f>
        <v>0</v>
      </c>
      <c r="AU12" s="53">
        <f>'Captura Octubre'!T14</f>
        <v>0</v>
      </c>
      <c r="AV12" s="53">
        <f>'Captura Octubre'!V14</f>
        <v>0</v>
      </c>
      <c r="AW12" s="53">
        <f>'Captura Octubre'!G14</f>
        <v>0</v>
      </c>
      <c r="AX12" s="53">
        <f>'Captura Octubre'!X14</f>
        <v>0.25</v>
      </c>
      <c r="AY12" s="53">
        <f>'Captura Octubre'!AC14</f>
        <v>0</v>
      </c>
      <c r="AZ12" s="54">
        <f>-'Captura Octubre'!AN14</f>
        <v>0</v>
      </c>
      <c r="BA12" s="55">
        <f>'Captura Octubre'!AQ14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Octubre'!B15</f>
        <v>Linea 3</v>
      </c>
      <c r="AT13" s="60">
        <f>'Captura Octubre'!K15+'Captura Octubre'!N15+'Captura Octubre'!Q15</f>
        <v>0</v>
      </c>
      <c r="AU13" s="60">
        <f>'Captura Octubre'!T15</f>
        <v>0</v>
      </c>
      <c r="AV13" s="60">
        <f>'Captura Octubre'!V15</f>
        <v>0</v>
      </c>
      <c r="AW13" s="60">
        <f>'Captura Octubre'!G15</f>
        <v>0</v>
      </c>
      <c r="AX13" s="60">
        <f>'Captura Octubre'!X15</f>
        <v>0.25</v>
      </c>
      <c r="AY13" s="60">
        <f>'Captura Octubre'!AC15</f>
        <v>0</v>
      </c>
      <c r="AZ13" s="61">
        <f>-'Captura Octubre'!AN15</f>
        <v>0</v>
      </c>
      <c r="BA13" s="62">
        <f>'Captura Octubre'!AQ15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Octubre'!B16</f>
        <v>Linea 4</v>
      </c>
      <c r="AT14" s="53">
        <f>'Captura Octubre'!K16+'Captura Octubre'!N16+'Captura Octubre'!Q16</f>
        <v>0</v>
      </c>
      <c r="AU14" s="53">
        <f>'Captura Octubre'!T16</f>
        <v>0</v>
      </c>
      <c r="AV14" s="53">
        <f>'Captura Octubre'!V16</f>
        <v>0</v>
      </c>
      <c r="AW14" s="53">
        <f>'Captura Octubre'!G16</f>
        <v>0</v>
      </c>
      <c r="AX14" s="53">
        <f>'Captura Octubre'!X16</f>
        <v>0.25</v>
      </c>
      <c r="AY14" s="53">
        <f>'Captura Octubre'!AC16</f>
        <v>0</v>
      </c>
      <c r="AZ14" s="54">
        <f>-'Captura Octubre'!AN16</f>
        <v>0</v>
      </c>
      <c r="BA14" s="55">
        <f>'Captura Octubre'!AQ16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Octubre'!B17</f>
        <v>Linea 5</v>
      </c>
      <c r="AT15" s="60">
        <f>'Captura Octubre'!K17+'Captura Octubre'!N17+'Captura Octubre'!Q17</f>
        <v>0</v>
      </c>
      <c r="AU15" s="60">
        <f>'Captura Octubre'!T17</f>
        <v>0</v>
      </c>
      <c r="AV15" s="60">
        <f>'Captura Octubre'!V17</f>
        <v>0</v>
      </c>
      <c r="AW15" s="60">
        <f>'Captura Octubre'!G17</f>
        <v>0</v>
      </c>
      <c r="AX15" s="60">
        <f>'Captura Octubre'!X17</f>
        <v>0.25</v>
      </c>
      <c r="AY15" s="60">
        <f>'Captura Octubre'!AC17</f>
        <v>0</v>
      </c>
      <c r="AZ15" s="61">
        <f>-'Captura Octubre'!AN17</f>
        <v>0</v>
      </c>
      <c r="BA15" s="62">
        <f>'Captura Octubre'!AQ17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Octubre'!B18</f>
        <v>Mantenimiento</v>
      </c>
      <c r="AT16" s="53">
        <f>'Captura Octubre'!K18+'Captura Octubre'!N18+'Captura Octubre'!Q18</f>
        <v>0</v>
      </c>
      <c r="AU16" s="53">
        <f>'Captura Octubre'!T18</f>
        <v>0</v>
      </c>
      <c r="AV16" s="53">
        <f>'Captura Octubre'!V18</f>
        <v>0</v>
      </c>
      <c r="AW16" s="53">
        <f>'Captura Octubre'!G18</f>
        <v>0</v>
      </c>
      <c r="AX16" s="53">
        <f>'Captura Octubre'!X18</f>
        <v>0.25</v>
      </c>
      <c r="AY16" s="53">
        <f>'Captura Octubre'!AC18</f>
        <v>0</v>
      </c>
      <c r="AZ16" s="54">
        <f>-'Captura Octubre'!AN18</f>
        <v>0</v>
      </c>
      <c r="BA16" s="55">
        <f>'Captura Octubre'!AQ18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Octubre'!B19</f>
        <v>Materias Primas</v>
      </c>
      <c r="AT17" s="60">
        <f>'Captura Octubre'!K19+'Captura Octubre'!N19+'Captura Octubre'!Q19</f>
        <v>0</v>
      </c>
      <c r="AU17" s="60">
        <f>'Captura Octubre'!T19</f>
        <v>0</v>
      </c>
      <c r="AV17" s="60">
        <f>'Captura Octubre'!V19</f>
        <v>0</v>
      </c>
      <c r="AW17" s="60">
        <f>'Captura Octubre'!G19</f>
        <v>0</v>
      </c>
      <c r="AX17" s="60">
        <f>'Captura Octubre'!X19</f>
        <v>0.25</v>
      </c>
      <c r="AY17" s="60">
        <f>'Captura Octubre'!AC19</f>
        <v>0</v>
      </c>
      <c r="AZ17" s="61">
        <f>-'Captura Octubre'!AN19</f>
        <v>0</v>
      </c>
      <c r="BA17" s="62">
        <f>'Captura Octubre'!AQ19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Octubre'!B20</f>
        <v>Tratamiento de Aguas</v>
      </c>
      <c r="AT18" s="53">
        <f>'Captura Octubre'!K20+'Captura Octubre'!N20+'Captura Octubre'!Q20</f>
        <v>0</v>
      </c>
      <c r="AU18" s="53">
        <f>'Captura Octubre'!T20</f>
        <v>0</v>
      </c>
      <c r="AV18" s="53">
        <f>'Captura Octubre'!V20</f>
        <v>0</v>
      </c>
      <c r="AW18" s="53">
        <f>'Captura Octubre'!G20</f>
        <v>0</v>
      </c>
      <c r="AX18" s="53">
        <f>'Captura Octubre'!X20</f>
        <v>0.25</v>
      </c>
      <c r="AY18" s="53">
        <f>'Captura Octubre'!AC20</f>
        <v>0</v>
      </c>
      <c r="AZ18" s="54">
        <f>-'Captura Octubre'!AN20</f>
        <v>0</v>
      </c>
      <c r="BA18" s="55">
        <f>'Captura Octubre'!AQ20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239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X6:X20 AP6:AP20 AR6:AR20 J6:J20 M6:M20 P6:P20 S6:T20 AE6:AE20 AG6:AG20 AI6:AN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240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241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242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Noviembre'!B6</f>
        <v>Almacen de Repuestos</v>
      </c>
      <c r="AT4" s="53">
        <f>'Captura Noviembre'!K6+'Captura Noviembre'!N6+'Captura Noviembre'!Q6</f>
        <v>0</v>
      </c>
      <c r="AU4" s="53">
        <f>'Captura Noviembre'!T6</f>
        <v>0</v>
      </c>
      <c r="AV4" s="53">
        <f>'Captura Noviembre'!V6</f>
        <v>0</v>
      </c>
      <c r="AW4" s="53">
        <f>'Captura Noviembre'!G6</f>
        <v>0</v>
      </c>
      <c r="AX4" s="53">
        <f>'Captura Noviembre'!X6</f>
        <v>0.25</v>
      </c>
      <c r="AY4" s="53">
        <f>'Captura Noviembre'!AC6</f>
        <v>0</v>
      </c>
      <c r="AZ4" s="54">
        <f>-'Captura Noviembre'!AN6</f>
        <v>0</v>
      </c>
      <c r="BA4" s="55">
        <f>'Captura Noviembre'!AQ6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Noviembre'!B7</f>
        <v>Alrededores</v>
      </c>
      <c r="AT5" s="60">
        <f>'Captura Noviembre'!K7+'Captura Noviembre'!N7+'Captura Noviembre'!Q7</f>
        <v>0</v>
      </c>
      <c r="AU5" s="60">
        <f>'Captura Noviembre'!T7</f>
        <v>0</v>
      </c>
      <c r="AV5" s="60">
        <f>'Captura Noviembre'!V7</f>
        <v>0</v>
      </c>
      <c r="AW5" s="60">
        <f>'Captura Noviembre'!G7</f>
        <v>0</v>
      </c>
      <c r="AX5" s="60">
        <f>'Captura Noviembre'!X7</f>
        <v>0.25</v>
      </c>
      <c r="AY5" s="60">
        <f>'Captura Noviembre'!AC7</f>
        <v>0</v>
      </c>
      <c r="AZ5" s="61">
        <f>-'Captura Noviembre'!AN7</f>
        <v>0</v>
      </c>
      <c r="BA5" s="62">
        <f>'Captura Noviembre'!AQ7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Noviembre'!B8</f>
        <v>Calidad</v>
      </c>
      <c r="AT6" s="53">
        <f>'Captura Noviembre'!K8+'Captura Noviembre'!N8+'Captura Noviembre'!Q8</f>
        <v>0</v>
      </c>
      <c r="AU6" s="53">
        <f>'Captura Noviembre'!T8</f>
        <v>0</v>
      </c>
      <c r="AV6" s="53">
        <f>'Captura Noviembre'!V8</f>
        <v>0</v>
      </c>
      <c r="AW6" s="53">
        <f>'Captura Noviembre'!G8</f>
        <v>0</v>
      </c>
      <c r="AX6" s="53">
        <f>'Captura Noviembre'!X8</f>
        <v>0.25</v>
      </c>
      <c r="AY6" s="53">
        <f>'Captura Noviembre'!AC8</f>
        <v>0</v>
      </c>
      <c r="AZ6" s="54">
        <f>-'Captura Noviembre'!AN8</f>
        <v>0</v>
      </c>
      <c r="BA6" s="55">
        <f>'Captura Noviembre'!AQ8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Noviembre'!B9</f>
        <v>Centro de Distribucion</v>
      </c>
      <c r="AT7" s="60">
        <f>'Captura Noviembre'!K9+'Captura Noviembre'!N9+'Captura Noviembre'!Q9</f>
        <v>0</v>
      </c>
      <c r="AU7" s="60">
        <f>'Captura Noviembre'!T9</f>
        <v>0</v>
      </c>
      <c r="AV7" s="60">
        <f>'Captura Noviembre'!V9</f>
        <v>0</v>
      </c>
      <c r="AW7" s="60">
        <f>'Captura Noviembre'!G9</f>
        <v>0</v>
      </c>
      <c r="AX7" s="60">
        <f>'Captura Noviembre'!X9</f>
        <v>0.25</v>
      </c>
      <c r="AY7" s="60">
        <f>'Captura Noviembre'!AC9</f>
        <v>0</v>
      </c>
      <c r="AZ7" s="61">
        <f>-'Captura Noviembre'!AN9</f>
        <v>0</v>
      </c>
      <c r="BA7" s="62">
        <f>'Captura Noviembre'!AQ9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Noviembre'!B10</f>
        <v>ETEI</v>
      </c>
      <c r="AT8" s="53">
        <f>'Captura Noviembre'!K10+'Captura Noviembre'!N10+'Captura Noviembre'!Q10</f>
        <v>0</v>
      </c>
      <c r="AU8" s="53">
        <f>'Captura Noviembre'!T10</f>
        <v>0</v>
      </c>
      <c r="AV8" s="53">
        <f>'Captura Noviembre'!V10</f>
        <v>0</v>
      </c>
      <c r="AW8" s="53">
        <f>'Captura Noviembre'!G10</f>
        <v>0</v>
      </c>
      <c r="AX8" s="53">
        <f>'Captura Noviembre'!X10</f>
        <v>0.25</v>
      </c>
      <c r="AY8" s="53">
        <f>'Captura Noviembre'!AC10</f>
        <v>0</v>
      </c>
      <c r="AZ8" s="54">
        <f>-'Captura Noviembre'!AN10</f>
        <v>0</v>
      </c>
      <c r="BA8" s="55">
        <f>'Captura Noviembre'!AQ10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Noviembre'!B11</f>
        <v>Equipos Auxiliares</v>
      </c>
      <c r="AT9" s="60">
        <f>'Captura Noviembre'!K11+'Captura Noviembre'!N11+'Captura Noviembre'!Q11</f>
        <v>0</v>
      </c>
      <c r="AU9" s="60">
        <f>'Captura Noviembre'!T11</f>
        <v>0</v>
      </c>
      <c r="AV9" s="60">
        <f>'Captura Noviembre'!V11</f>
        <v>0</v>
      </c>
      <c r="AW9" s="60">
        <f>'Captura Noviembre'!G11</f>
        <v>0</v>
      </c>
      <c r="AX9" s="60">
        <f>'Captura Noviembre'!X11</f>
        <v>0.25</v>
      </c>
      <c r="AY9" s="60">
        <f>'Captura Noviembre'!AC11</f>
        <v>0</v>
      </c>
      <c r="AZ9" s="61">
        <f>-'Captura Noviembre'!AN11</f>
        <v>0</v>
      </c>
      <c r="BA9" s="62">
        <f>'Captura Noviembre'!AQ11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Noviembre'!B12</f>
        <v>Jarabes</v>
      </c>
      <c r="AT10" s="53">
        <f>'Captura Noviembre'!K12+'Captura Noviembre'!N12+'Captura Noviembre'!Q12</f>
        <v>0</v>
      </c>
      <c r="AU10" s="53">
        <f>'Captura Noviembre'!T12</f>
        <v>0</v>
      </c>
      <c r="AV10" s="53">
        <f>'Captura Noviembre'!V12</f>
        <v>0</v>
      </c>
      <c r="AW10" s="53">
        <f>'Captura Noviembre'!G12</f>
        <v>0</v>
      </c>
      <c r="AX10" s="53">
        <f>'Captura Noviembre'!X12</f>
        <v>0.25</v>
      </c>
      <c r="AY10" s="53">
        <f>'Captura Noviembre'!AC12</f>
        <v>0</v>
      </c>
      <c r="AZ10" s="54">
        <f>-'Captura Noviembre'!AN12</f>
        <v>0</v>
      </c>
      <c r="BA10" s="55">
        <f>'Captura Noviembre'!AQ12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Noviembre'!B13</f>
        <v>Linea 1</v>
      </c>
      <c r="AT11" s="60">
        <f>'Captura Noviembre'!K13+'Captura Noviembre'!N13+'Captura Noviembre'!Q13</f>
        <v>0</v>
      </c>
      <c r="AU11" s="60">
        <f>'Captura Noviembre'!T13</f>
        <v>0</v>
      </c>
      <c r="AV11" s="60">
        <f>'Captura Noviembre'!V13</f>
        <v>0</v>
      </c>
      <c r="AW11" s="60">
        <f>'Captura Noviembre'!G13</f>
        <v>0</v>
      </c>
      <c r="AX11" s="60">
        <f>'Captura Noviembre'!X13</f>
        <v>0.25</v>
      </c>
      <c r="AY11" s="60">
        <f>'Captura Noviembre'!AC13</f>
        <v>0</v>
      </c>
      <c r="AZ11" s="61">
        <f>-'Captura Noviembre'!AN13</f>
        <v>0</v>
      </c>
      <c r="BA11" s="62">
        <f>'Captura Noviembre'!AQ13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Noviembre'!B14</f>
        <v>Linea 2</v>
      </c>
      <c r="AT12" s="53">
        <f>'Captura Noviembre'!K14+'Captura Noviembre'!N14+'Captura Noviembre'!Q14</f>
        <v>0</v>
      </c>
      <c r="AU12" s="53">
        <f>'Captura Noviembre'!T14</f>
        <v>0</v>
      </c>
      <c r="AV12" s="53">
        <f>'Captura Noviembre'!V14</f>
        <v>0</v>
      </c>
      <c r="AW12" s="53">
        <f>'Captura Noviembre'!G14</f>
        <v>0</v>
      </c>
      <c r="AX12" s="53">
        <f>'Captura Noviembre'!X14</f>
        <v>0.25</v>
      </c>
      <c r="AY12" s="53">
        <f>'Captura Noviembre'!AC14</f>
        <v>0</v>
      </c>
      <c r="AZ12" s="54">
        <f>-'Captura Noviembre'!AN14</f>
        <v>0</v>
      </c>
      <c r="BA12" s="55">
        <f>'Captura Noviembre'!AQ14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Noviembre'!B15</f>
        <v>Linea 3</v>
      </c>
      <c r="AT13" s="60">
        <f>'Captura Noviembre'!K15+'Captura Noviembre'!N15+'Captura Noviembre'!Q15</f>
        <v>0</v>
      </c>
      <c r="AU13" s="60">
        <f>'Captura Noviembre'!T15</f>
        <v>0</v>
      </c>
      <c r="AV13" s="60">
        <f>'Captura Noviembre'!V15</f>
        <v>0</v>
      </c>
      <c r="AW13" s="60">
        <f>'Captura Noviembre'!G15</f>
        <v>0</v>
      </c>
      <c r="AX13" s="60">
        <f>'Captura Noviembre'!X15</f>
        <v>0.25</v>
      </c>
      <c r="AY13" s="60">
        <f>'Captura Noviembre'!AC15</f>
        <v>0</v>
      </c>
      <c r="AZ13" s="61">
        <f>-'Captura Noviembre'!AN15</f>
        <v>0</v>
      </c>
      <c r="BA13" s="62">
        <f>'Captura Noviembre'!AQ15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Noviembre'!B16</f>
        <v>Linea 4</v>
      </c>
      <c r="AT14" s="53">
        <f>'Captura Noviembre'!K16+'Captura Noviembre'!N16+'Captura Noviembre'!Q16</f>
        <v>0</v>
      </c>
      <c r="AU14" s="53">
        <f>'Captura Noviembre'!T16</f>
        <v>0</v>
      </c>
      <c r="AV14" s="53">
        <f>'Captura Noviembre'!V16</f>
        <v>0</v>
      </c>
      <c r="AW14" s="53">
        <f>'Captura Noviembre'!G16</f>
        <v>0</v>
      </c>
      <c r="AX14" s="53">
        <f>'Captura Noviembre'!X16</f>
        <v>0.25</v>
      </c>
      <c r="AY14" s="53">
        <f>'Captura Noviembre'!AC16</f>
        <v>0</v>
      </c>
      <c r="AZ14" s="54">
        <f>-'Captura Noviembre'!AN16</f>
        <v>0</v>
      </c>
      <c r="BA14" s="55">
        <f>'Captura Noviembre'!AQ16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Noviembre'!B17</f>
        <v>Linea 5</v>
      </c>
      <c r="AT15" s="60">
        <f>'Captura Noviembre'!K17+'Captura Noviembre'!N17+'Captura Noviembre'!Q17</f>
        <v>0</v>
      </c>
      <c r="AU15" s="60">
        <f>'Captura Noviembre'!T17</f>
        <v>0</v>
      </c>
      <c r="AV15" s="60">
        <f>'Captura Noviembre'!V17</f>
        <v>0</v>
      </c>
      <c r="AW15" s="60">
        <f>'Captura Noviembre'!G17</f>
        <v>0</v>
      </c>
      <c r="AX15" s="60">
        <f>'Captura Noviembre'!X17</f>
        <v>0.25</v>
      </c>
      <c r="AY15" s="60">
        <f>'Captura Noviembre'!AC17</f>
        <v>0</v>
      </c>
      <c r="AZ15" s="61">
        <f>-'Captura Noviembre'!AN17</f>
        <v>0</v>
      </c>
      <c r="BA15" s="62">
        <f>'Captura Noviembre'!AQ17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Noviembre'!B18</f>
        <v>Mantenimiento</v>
      </c>
      <c r="AT16" s="53">
        <f>'Captura Noviembre'!K18+'Captura Noviembre'!N18+'Captura Noviembre'!Q18</f>
        <v>0</v>
      </c>
      <c r="AU16" s="53">
        <f>'Captura Noviembre'!T18</f>
        <v>0</v>
      </c>
      <c r="AV16" s="53">
        <f>'Captura Noviembre'!V18</f>
        <v>0</v>
      </c>
      <c r="AW16" s="53">
        <f>'Captura Noviembre'!G18</f>
        <v>0</v>
      </c>
      <c r="AX16" s="53">
        <f>'Captura Noviembre'!X18</f>
        <v>0.25</v>
      </c>
      <c r="AY16" s="53">
        <f>'Captura Noviembre'!AC18</f>
        <v>0</v>
      </c>
      <c r="AZ16" s="54">
        <f>-'Captura Noviembre'!AN18</f>
        <v>0</v>
      </c>
      <c r="BA16" s="55">
        <f>'Captura Noviembre'!AQ18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Noviembre'!B19</f>
        <v>Materias Primas</v>
      </c>
      <c r="AT17" s="60">
        <f>'Captura Noviembre'!K19+'Captura Noviembre'!N19+'Captura Noviembre'!Q19</f>
        <v>0</v>
      </c>
      <c r="AU17" s="60">
        <f>'Captura Noviembre'!T19</f>
        <v>0</v>
      </c>
      <c r="AV17" s="60">
        <f>'Captura Noviembre'!V19</f>
        <v>0</v>
      </c>
      <c r="AW17" s="60">
        <f>'Captura Noviembre'!G19</f>
        <v>0</v>
      </c>
      <c r="AX17" s="60">
        <f>'Captura Noviembre'!X19</f>
        <v>0.25</v>
      </c>
      <c r="AY17" s="60">
        <f>'Captura Noviembre'!AC19</f>
        <v>0</v>
      </c>
      <c r="AZ17" s="61">
        <f>-'Captura Noviembre'!AN19</f>
        <v>0</v>
      </c>
      <c r="BA17" s="62">
        <f>'Captura Noviembre'!AQ19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Noviembre'!B20</f>
        <v>Tratamiento de Aguas</v>
      </c>
      <c r="AT18" s="53">
        <f>'Captura Noviembre'!K20+'Captura Noviembre'!N20+'Captura Noviembre'!Q20</f>
        <v>0</v>
      </c>
      <c r="AU18" s="53">
        <f>'Captura Noviembre'!T20</f>
        <v>0</v>
      </c>
      <c r="AV18" s="53">
        <f>'Captura Noviembre'!V20</f>
        <v>0</v>
      </c>
      <c r="AW18" s="53">
        <f>'Captura Noviembre'!G20</f>
        <v>0</v>
      </c>
      <c r="AX18" s="53">
        <f>'Captura Noviembre'!X20</f>
        <v>0.25</v>
      </c>
      <c r="AY18" s="53">
        <f>'Captura Noviembre'!AC20</f>
        <v>0</v>
      </c>
      <c r="AZ18" s="54">
        <f>-'Captura Noviembre'!AN20</f>
        <v>0</v>
      </c>
      <c r="BA18" s="55">
        <f>'Captura Noviembre'!AQ20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243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X6:X20 AP6:AP20 AR6:AR20 J6:J20 M6:M20 P6:P20 S6:T20 AE6:AE20 AG6:AG20 AI6:AN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</cols>
  <sheetData>
    <row r="1" spans="1:55" ht="25.5" customHeight="1" x14ac:dyDescent="0.35">
      <c r="A1" s="85" t="s">
        <v>244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R1" s="42"/>
      <c r="AS1" s="86" t="s">
        <v>245</v>
      </c>
      <c r="AT1" s="86"/>
      <c r="AU1" s="86"/>
      <c r="AV1" s="86"/>
      <c r="AW1" s="86"/>
      <c r="AX1" s="86"/>
      <c r="AY1" s="86"/>
      <c r="AZ1" s="86"/>
      <c r="BA1" s="86"/>
      <c r="BB1" s="42"/>
      <c r="BC1" s="42"/>
    </row>
    <row r="2" spans="1:55" ht="21.75" customHeight="1" x14ac:dyDescent="0.35">
      <c r="A2" s="5" t="s">
        <v>146</v>
      </c>
      <c r="B2" s="87" t="s">
        <v>246</v>
      </c>
      <c r="C2" s="87"/>
      <c r="D2" s="87"/>
      <c r="F2" s="5" t="s">
        <v>148</v>
      </c>
      <c r="G2" s="43" t="s">
        <v>149</v>
      </c>
      <c r="AR2" s="42"/>
      <c r="AS2" s="44"/>
      <c r="AT2" s="88" t="s">
        <v>150</v>
      </c>
      <c r="AU2" s="88"/>
      <c r="AV2" s="88"/>
      <c r="AW2" s="45" t="s">
        <v>80</v>
      </c>
      <c r="AX2" s="89" t="s">
        <v>151</v>
      </c>
      <c r="AY2" s="89"/>
      <c r="AZ2" s="89"/>
      <c r="BA2" s="89"/>
      <c r="BB2" s="42"/>
      <c r="BC2" s="42"/>
    </row>
    <row r="3" spans="1:55" ht="43.5" customHeight="1" x14ac:dyDescent="0.35">
      <c r="AR3" s="42"/>
      <c r="AS3" s="46" t="s">
        <v>152</v>
      </c>
      <c r="AT3" s="47" t="s">
        <v>153</v>
      </c>
      <c r="AU3" s="47" t="s">
        <v>154</v>
      </c>
      <c r="AV3" s="47" t="s">
        <v>155</v>
      </c>
      <c r="AW3" s="48" t="s">
        <v>156</v>
      </c>
      <c r="AX3" s="49" t="s">
        <v>157</v>
      </c>
      <c r="AY3" s="49" t="s">
        <v>158</v>
      </c>
      <c r="AZ3" s="49" t="s">
        <v>159</v>
      </c>
      <c r="BA3" s="50" t="s">
        <v>160</v>
      </c>
      <c r="BB3" s="42"/>
      <c r="BC3" s="42"/>
    </row>
    <row r="4" spans="1:55" ht="16.5" customHeight="1" x14ac:dyDescent="0.35">
      <c r="A4" s="51"/>
      <c r="B4" s="51"/>
      <c r="C4" s="51"/>
      <c r="D4" s="93" t="s">
        <v>161</v>
      </c>
      <c r="E4" s="93"/>
      <c r="F4" s="93"/>
      <c r="G4" s="93"/>
      <c r="H4" s="93" t="s">
        <v>162</v>
      </c>
      <c r="I4" s="93"/>
      <c r="J4" s="93"/>
      <c r="K4" s="93"/>
      <c r="L4" s="93" t="s">
        <v>163</v>
      </c>
      <c r="M4" s="93"/>
      <c r="N4" s="93"/>
      <c r="O4" s="93" t="s">
        <v>164</v>
      </c>
      <c r="P4" s="93"/>
      <c r="Q4" s="93"/>
      <c r="R4" s="93" t="s">
        <v>165</v>
      </c>
      <c r="S4" s="93"/>
      <c r="T4" s="93"/>
      <c r="U4" s="93" t="s">
        <v>166</v>
      </c>
      <c r="V4" s="93"/>
      <c r="W4" s="94" t="s">
        <v>167</v>
      </c>
      <c r="X4" s="94"/>
      <c r="Y4" s="93" t="s">
        <v>168</v>
      </c>
      <c r="Z4" s="93"/>
      <c r="AA4" s="93"/>
      <c r="AB4" s="93"/>
      <c r="AC4" s="93"/>
      <c r="AD4" s="94" t="s">
        <v>169</v>
      </c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5" t="s">
        <v>170</v>
      </c>
      <c r="AQ4" s="95"/>
      <c r="AR4" s="42"/>
      <c r="AS4" s="52" t="str">
        <f>'Captura Diciembre'!B6</f>
        <v>Almacen de Repuestos</v>
      </c>
      <c r="AT4" s="53">
        <f>'Captura Diciembre'!K6+'Captura Diciembre'!N6+'Captura Diciembre'!Q6</f>
        <v>0</v>
      </c>
      <c r="AU4" s="53">
        <f>'Captura Diciembre'!T6</f>
        <v>0</v>
      </c>
      <c r="AV4" s="53">
        <f>'Captura Diciembre'!V6</f>
        <v>0</v>
      </c>
      <c r="AW4" s="53">
        <f>'Captura Diciembre'!G6</f>
        <v>0</v>
      </c>
      <c r="AX4" s="53">
        <f>'Captura Diciembre'!X6</f>
        <v>0.25</v>
      </c>
      <c r="AY4" s="53">
        <f>'Captura Diciembre'!AC6</f>
        <v>0</v>
      </c>
      <c r="AZ4" s="54">
        <f>-'Captura Diciembre'!AN6</f>
        <v>0</v>
      </c>
      <c r="BA4" s="55">
        <f>'Captura Diciembre'!AQ6</f>
        <v>0.25</v>
      </c>
      <c r="BB4" s="42"/>
      <c r="BC4" s="42"/>
    </row>
    <row r="5" spans="1:55" ht="16.5" customHeight="1" x14ac:dyDescent="0.35">
      <c r="A5" s="56" t="s">
        <v>77</v>
      </c>
      <c r="B5" s="56" t="s">
        <v>48</v>
      </c>
      <c r="C5" s="56" t="s">
        <v>78</v>
      </c>
      <c r="D5" s="57" t="s">
        <v>171</v>
      </c>
      <c r="E5" s="57" t="s">
        <v>172</v>
      </c>
      <c r="F5" s="57" t="s">
        <v>173</v>
      </c>
      <c r="G5" s="57" t="s">
        <v>174</v>
      </c>
      <c r="H5" s="57" t="s">
        <v>175</v>
      </c>
      <c r="I5" s="57" t="s">
        <v>176</v>
      </c>
      <c r="J5" s="57" t="s">
        <v>177</v>
      </c>
      <c r="K5" s="57" t="s">
        <v>174</v>
      </c>
      <c r="L5" s="57" t="s">
        <v>178</v>
      </c>
      <c r="M5" s="57" t="s">
        <v>177</v>
      </c>
      <c r="N5" s="57" t="s">
        <v>174</v>
      </c>
      <c r="O5" s="57" t="s">
        <v>178</v>
      </c>
      <c r="P5" s="57" t="s">
        <v>177</v>
      </c>
      <c r="Q5" s="57" t="s">
        <v>174</v>
      </c>
      <c r="R5" s="57" t="s">
        <v>178</v>
      </c>
      <c r="S5" s="57" t="s">
        <v>177</v>
      </c>
      <c r="T5" s="57" t="s">
        <v>174</v>
      </c>
      <c r="U5" s="57" t="s">
        <v>179</v>
      </c>
      <c r="V5" s="57" t="s">
        <v>174</v>
      </c>
      <c r="W5" s="58" t="s">
        <v>180</v>
      </c>
      <c r="X5" s="58" t="s">
        <v>174</v>
      </c>
      <c r="Y5" s="57" t="s">
        <v>181</v>
      </c>
      <c r="Z5" s="57" t="s">
        <v>182</v>
      </c>
      <c r="AA5" s="57" t="s">
        <v>183</v>
      </c>
      <c r="AB5" s="57" t="s">
        <v>184</v>
      </c>
      <c r="AC5" s="57" t="s">
        <v>185</v>
      </c>
      <c r="AD5" s="58" t="s">
        <v>186</v>
      </c>
      <c r="AE5" s="58" t="s">
        <v>187</v>
      </c>
      <c r="AF5" s="58" t="s">
        <v>188</v>
      </c>
      <c r="AG5" s="58" t="s">
        <v>189</v>
      </c>
      <c r="AH5" s="58" t="s">
        <v>190</v>
      </c>
      <c r="AI5" s="58" t="s">
        <v>191</v>
      </c>
      <c r="AJ5" s="58" t="s">
        <v>192</v>
      </c>
      <c r="AK5" s="58" t="s">
        <v>193</v>
      </c>
      <c r="AL5" s="58" t="s">
        <v>194</v>
      </c>
      <c r="AM5" s="58" t="s">
        <v>195</v>
      </c>
      <c r="AN5" s="58" t="s">
        <v>196</v>
      </c>
      <c r="AO5" s="58" t="s">
        <v>197</v>
      </c>
      <c r="AP5" s="56" t="s">
        <v>198</v>
      </c>
      <c r="AQ5" s="56" t="s">
        <v>199</v>
      </c>
      <c r="AR5" s="42"/>
      <c r="AS5" s="59" t="str">
        <f>'Captura Diciembre'!B7</f>
        <v>Alrededores</v>
      </c>
      <c r="AT5" s="60">
        <f>'Captura Diciembre'!K7+'Captura Diciembre'!N7+'Captura Diciembre'!Q7</f>
        <v>0</v>
      </c>
      <c r="AU5" s="60">
        <f>'Captura Diciembre'!T7</f>
        <v>0</v>
      </c>
      <c r="AV5" s="60">
        <f>'Captura Diciembre'!V7</f>
        <v>0</v>
      </c>
      <c r="AW5" s="60">
        <f>'Captura Diciembre'!G7</f>
        <v>0</v>
      </c>
      <c r="AX5" s="60">
        <f>'Captura Diciembre'!X7</f>
        <v>0.25</v>
      </c>
      <c r="AY5" s="60">
        <f>'Captura Diciembre'!AC7</f>
        <v>0</v>
      </c>
      <c r="AZ5" s="61">
        <f>-'Captura Diciembre'!AN7</f>
        <v>0</v>
      </c>
      <c r="BA5" s="62">
        <f>'Captura Diciembre'!AQ7</f>
        <v>0.25</v>
      </c>
      <c r="BB5" s="42"/>
      <c r="BC5" s="42"/>
    </row>
    <row r="6" spans="1:55" ht="16.5" customHeight="1" x14ac:dyDescent="0.35">
      <c r="A6" s="12">
        <v>1</v>
      </c>
      <c r="B6" s="63" t="s">
        <v>87</v>
      </c>
      <c r="C6" s="64" t="str">
        <f>VLOOKUP(B6,Parametros!$I$6:$J$20,2,FALSE())</f>
        <v>Fredy Fuentes</v>
      </c>
      <c r="D6" s="65">
        <v>0</v>
      </c>
      <c r="E6" s="65">
        <v>0</v>
      </c>
      <c r="F6" s="11">
        <f t="shared" ref="F6:F20" si="0">AVERAGE(D6,E6)</f>
        <v>0</v>
      </c>
      <c r="G6" s="66">
        <f>F6*Parametros!$E$6</f>
        <v>0</v>
      </c>
      <c r="H6" s="67">
        <v>0</v>
      </c>
      <c r="I6" s="67">
        <v>0</v>
      </c>
      <c r="J6" s="68" t="s">
        <v>200</v>
      </c>
      <c r="K6" s="66">
        <f>IF(J6="NO",0,IFERROR(H6/I6,0)*Parametros!$E$7)</f>
        <v>0</v>
      </c>
      <c r="L6" s="65">
        <v>0</v>
      </c>
      <c r="M6" s="68" t="s">
        <v>200</v>
      </c>
      <c r="N6" s="66">
        <f>IF(M6="NO",0,L6*Parametros!$E$8)</f>
        <v>0</v>
      </c>
      <c r="O6" s="65">
        <v>0</v>
      </c>
      <c r="P6" s="68" t="s">
        <v>200</v>
      </c>
      <c r="Q6" s="66">
        <f>IF(P6="NO",0,O6*Parametros!$E$9)</f>
        <v>0</v>
      </c>
      <c r="R6" s="65">
        <v>0</v>
      </c>
      <c r="S6" s="68" t="s">
        <v>200</v>
      </c>
      <c r="T6" s="66">
        <f>IF(S6="NO",0,R6*Parametros!$E$10)</f>
        <v>0</v>
      </c>
      <c r="U6" s="65">
        <v>0</v>
      </c>
      <c r="V6" s="66">
        <f>U6*Parametros!$E$11</f>
        <v>0</v>
      </c>
      <c r="W6" s="67">
        <v>0</v>
      </c>
      <c r="X6" s="66">
        <f>MAX(0,Parametros!$E$12-Parametros!$E$18*W6)</f>
        <v>0.25</v>
      </c>
      <c r="Y6" s="67">
        <v>0</v>
      </c>
      <c r="Z6" s="67">
        <v>0</v>
      </c>
      <c r="AA6" s="69">
        <f>IF(Y6&gt;=Parametros!$E$22,Parametros!$E$24,0)</f>
        <v>0</v>
      </c>
      <c r="AB6" s="69">
        <f>IF(Z6&gt;=Parametros!$E$23,Parametros!$E$25,0)</f>
        <v>0</v>
      </c>
      <c r="AC6" s="69">
        <f t="shared" ref="AC6:AC20" si="1">AA6+AB6</f>
        <v>0</v>
      </c>
      <c r="AD6" s="67">
        <v>0</v>
      </c>
      <c r="AE6" s="68" t="s">
        <v>200</v>
      </c>
      <c r="AF6" s="67">
        <v>0</v>
      </c>
      <c r="AG6" s="68" t="s">
        <v>200</v>
      </c>
      <c r="AH6" s="67">
        <v>0</v>
      </c>
      <c r="AI6" s="68" t="s">
        <v>200</v>
      </c>
      <c r="AJ6" s="67">
        <v>0</v>
      </c>
      <c r="AK6" s="68" t="s">
        <v>200</v>
      </c>
      <c r="AL6" s="67">
        <v>0</v>
      </c>
      <c r="AM6" s="68" t="s">
        <v>200</v>
      </c>
      <c r="AN6" s="6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70">
        <f>MAX(0,MIN(1,MAX(0,AP6-IF(S6="NO",Parametros!$E$17,0))+AC6)-AN6-IF(AO6="SI",Parametros!$E$33,0))</f>
        <v>0.25</v>
      </c>
      <c r="AR6" s="42"/>
      <c r="AS6" s="52" t="str">
        <f>'Captura Diciembre'!B8</f>
        <v>Calidad</v>
      </c>
      <c r="AT6" s="53">
        <f>'Captura Diciembre'!K8+'Captura Diciembre'!N8+'Captura Diciembre'!Q8</f>
        <v>0</v>
      </c>
      <c r="AU6" s="53">
        <f>'Captura Diciembre'!T8</f>
        <v>0</v>
      </c>
      <c r="AV6" s="53">
        <f>'Captura Diciembre'!V8</f>
        <v>0</v>
      </c>
      <c r="AW6" s="53">
        <f>'Captura Diciembre'!G8</f>
        <v>0</v>
      </c>
      <c r="AX6" s="53">
        <f>'Captura Diciembre'!X8</f>
        <v>0.25</v>
      </c>
      <c r="AY6" s="53">
        <f>'Captura Diciembre'!AC8</f>
        <v>0</v>
      </c>
      <c r="AZ6" s="54">
        <f>-'Captura Diciembre'!AN8</f>
        <v>0</v>
      </c>
      <c r="BA6" s="55">
        <f>'Captura Diciembre'!AQ8</f>
        <v>0.25</v>
      </c>
      <c r="BB6" s="42"/>
      <c r="BC6" s="42"/>
    </row>
    <row r="7" spans="1:55" ht="16.5" customHeight="1" x14ac:dyDescent="0.35">
      <c r="A7" s="12">
        <v>2</v>
      </c>
      <c r="B7" s="63" t="s">
        <v>119</v>
      </c>
      <c r="C7" s="64" t="str">
        <f>VLOOKUP(B7,Parametros!$I$6:$J$20,2,FALSE())</f>
        <v>Carlos Chavez</v>
      </c>
      <c r="D7" s="65">
        <v>0</v>
      </c>
      <c r="E7" s="65">
        <v>0</v>
      </c>
      <c r="F7" s="11">
        <f t="shared" si="0"/>
        <v>0</v>
      </c>
      <c r="G7" s="66">
        <f>F7*Parametros!$E$6</f>
        <v>0</v>
      </c>
      <c r="H7" s="67">
        <v>0</v>
      </c>
      <c r="I7" s="67">
        <v>0</v>
      </c>
      <c r="J7" s="68" t="s">
        <v>200</v>
      </c>
      <c r="K7" s="66">
        <f>IF(J7="NO",0,IFERROR(H7/I7,0)*Parametros!$E$7)</f>
        <v>0</v>
      </c>
      <c r="L7" s="65">
        <v>0</v>
      </c>
      <c r="M7" s="68" t="s">
        <v>200</v>
      </c>
      <c r="N7" s="66">
        <f>IF(M7="NO",0,L7*Parametros!$E$8)</f>
        <v>0</v>
      </c>
      <c r="O7" s="65">
        <v>0</v>
      </c>
      <c r="P7" s="68" t="s">
        <v>200</v>
      </c>
      <c r="Q7" s="66">
        <f>IF(P7="NO",0,O7*Parametros!$E$9)</f>
        <v>0</v>
      </c>
      <c r="R7" s="65">
        <v>0</v>
      </c>
      <c r="S7" s="68" t="s">
        <v>200</v>
      </c>
      <c r="T7" s="66">
        <f>IF(S7="NO",0,R7*Parametros!$E$10)</f>
        <v>0</v>
      </c>
      <c r="U7" s="65">
        <v>0</v>
      </c>
      <c r="V7" s="66">
        <f>U7*Parametros!$E$11</f>
        <v>0</v>
      </c>
      <c r="W7" s="67">
        <v>0</v>
      </c>
      <c r="X7" s="66">
        <f>MAX(0,Parametros!$E$12-Parametros!$E$18*W7)</f>
        <v>0.25</v>
      </c>
      <c r="Y7" s="67">
        <v>0</v>
      </c>
      <c r="Z7" s="67">
        <v>0</v>
      </c>
      <c r="AA7" s="69">
        <f>IF(Y7&gt;=Parametros!$E$22,Parametros!$E$24,0)</f>
        <v>0</v>
      </c>
      <c r="AB7" s="69">
        <f>IF(Z7&gt;=Parametros!$E$23,Parametros!$E$25,0)</f>
        <v>0</v>
      </c>
      <c r="AC7" s="69">
        <f t="shared" si="1"/>
        <v>0</v>
      </c>
      <c r="AD7" s="67">
        <v>0</v>
      </c>
      <c r="AE7" s="68" t="s">
        <v>200</v>
      </c>
      <c r="AF7" s="67">
        <v>0</v>
      </c>
      <c r="AG7" s="68" t="s">
        <v>200</v>
      </c>
      <c r="AH7" s="67">
        <v>0</v>
      </c>
      <c r="AI7" s="68" t="s">
        <v>200</v>
      </c>
      <c r="AJ7" s="67">
        <v>0</v>
      </c>
      <c r="AK7" s="68" t="s">
        <v>200</v>
      </c>
      <c r="AL7" s="67">
        <v>0</v>
      </c>
      <c r="AM7" s="68" t="s">
        <v>200</v>
      </c>
      <c r="AN7" s="6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70">
        <f>MAX(0,MIN(1,MAX(0,AP7-IF(S7="NO",Parametros!$E$17,0))+AC7)-AN7-IF(AO7="SI",Parametros!$E$33,0))</f>
        <v>0.25</v>
      </c>
      <c r="AR7" s="42"/>
      <c r="AS7" s="59" t="str">
        <f>'Captura Diciembre'!B9</f>
        <v>Centro de Distribucion</v>
      </c>
      <c r="AT7" s="60">
        <f>'Captura Diciembre'!K9+'Captura Diciembre'!N9+'Captura Diciembre'!Q9</f>
        <v>0</v>
      </c>
      <c r="AU7" s="60">
        <f>'Captura Diciembre'!T9</f>
        <v>0</v>
      </c>
      <c r="AV7" s="60">
        <f>'Captura Diciembre'!V9</f>
        <v>0</v>
      </c>
      <c r="AW7" s="60">
        <f>'Captura Diciembre'!G9</f>
        <v>0</v>
      </c>
      <c r="AX7" s="60">
        <f>'Captura Diciembre'!X9</f>
        <v>0.25</v>
      </c>
      <c r="AY7" s="60">
        <f>'Captura Diciembre'!AC9</f>
        <v>0</v>
      </c>
      <c r="AZ7" s="61">
        <f>-'Captura Diciembre'!AN9</f>
        <v>0</v>
      </c>
      <c r="BA7" s="62">
        <f>'Captura Diciembre'!AQ9</f>
        <v>0.25</v>
      </c>
      <c r="BB7" s="42"/>
      <c r="BC7" s="42"/>
    </row>
    <row r="8" spans="1:55" ht="16.5" customHeight="1" x14ac:dyDescent="0.35">
      <c r="A8" s="12">
        <v>3</v>
      </c>
      <c r="B8" s="63" t="s">
        <v>82</v>
      </c>
      <c r="C8" s="64" t="str">
        <f>VLOOKUP(B8,Parametros!$I$6:$J$20,2,FALSE())</f>
        <v>Alejandro Martinez</v>
      </c>
      <c r="D8" s="65">
        <v>0</v>
      </c>
      <c r="E8" s="65">
        <v>0</v>
      </c>
      <c r="F8" s="11">
        <f t="shared" si="0"/>
        <v>0</v>
      </c>
      <c r="G8" s="66">
        <f>F8*Parametros!$E$6</f>
        <v>0</v>
      </c>
      <c r="H8" s="67">
        <v>0</v>
      </c>
      <c r="I8" s="67">
        <v>0</v>
      </c>
      <c r="J8" s="68" t="s">
        <v>200</v>
      </c>
      <c r="K8" s="66">
        <f>IF(J8="NO",0,IFERROR(H8/I8,0)*Parametros!$E$7)</f>
        <v>0</v>
      </c>
      <c r="L8" s="65">
        <v>0</v>
      </c>
      <c r="M8" s="68" t="s">
        <v>200</v>
      </c>
      <c r="N8" s="66">
        <f>IF(M8="NO",0,L8*Parametros!$E$8)</f>
        <v>0</v>
      </c>
      <c r="O8" s="65">
        <v>0</v>
      </c>
      <c r="P8" s="68" t="s">
        <v>200</v>
      </c>
      <c r="Q8" s="66">
        <f>IF(P8="NO",0,O8*Parametros!$E$9)</f>
        <v>0</v>
      </c>
      <c r="R8" s="65">
        <v>0</v>
      </c>
      <c r="S8" s="68" t="s">
        <v>200</v>
      </c>
      <c r="T8" s="66">
        <f>IF(S8="NO",0,R8*Parametros!$E$10)</f>
        <v>0</v>
      </c>
      <c r="U8" s="65">
        <v>0</v>
      </c>
      <c r="V8" s="66">
        <f>U8*Parametros!$E$11</f>
        <v>0</v>
      </c>
      <c r="W8" s="67">
        <v>0</v>
      </c>
      <c r="X8" s="66">
        <f>MAX(0,Parametros!$E$12-Parametros!$E$18*W8)</f>
        <v>0.25</v>
      </c>
      <c r="Y8" s="67">
        <v>0</v>
      </c>
      <c r="Z8" s="67">
        <v>0</v>
      </c>
      <c r="AA8" s="69">
        <f>IF(Y8&gt;=Parametros!$E$22,Parametros!$E$24,0)</f>
        <v>0</v>
      </c>
      <c r="AB8" s="69">
        <f>IF(Z8&gt;=Parametros!$E$23,Parametros!$E$25,0)</f>
        <v>0</v>
      </c>
      <c r="AC8" s="69">
        <f t="shared" si="1"/>
        <v>0</v>
      </c>
      <c r="AD8" s="67">
        <v>0</v>
      </c>
      <c r="AE8" s="68" t="s">
        <v>200</v>
      </c>
      <c r="AF8" s="67">
        <v>0</v>
      </c>
      <c r="AG8" s="68" t="s">
        <v>200</v>
      </c>
      <c r="AH8" s="67">
        <v>0</v>
      </c>
      <c r="AI8" s="68" t="s">
        <v>200</v>
      </c>
      <c r="AJ8" s="67">
        <v>0</v>
      </c>
      <c r="AK8" s="68" t="s">
        <v>200</v>
      </c>
      <c r="AL8" s="67">
        <v>0</v>
      </c>
      <c r="AM8" s="68" t="s">
        <v>200</v>
      </c>
      <c r="AN8" s="6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70">
        <f>MAX(0,MIN(1,MAX(0,AP8-IF(S8="NO",Parametros!$E$17,0))+AC8)-AN8-IF(AO8="SI",Parametros!$E$33,0))</f>
        <v>0.25</v>
      </c>
      <c r="AR8" s="42"/>
      <c r="AS8" s="52" t="str">
        <f>'Captura Diciembre'!B10</f>
        <v>ETEI</v>
      </c>
      <c r="AT8" s="53">
        <f>'Captura Diciembre'!K10+'Captura Diciembre'!N10+'Captura Diciembre'!Q10</f>
        <v>0</v>
      </c>
      <c r="AU8" s="53">
        <f>'Captura Diciembre'!T10</f>
        <v>0</v>
      </c>
      <c r="AV8" s="53">
        <f>'Captura Diciembre'!V10</f>
        <v>0</v>
      </c>
      <c r="AW8" s="53">
        <f>'Captura Diciembre'!G10</f>
        <v>0</v>
      </c>
      <c r="AX8" s="53">
        <f>'Captura Diciembre'!X10</f>
        <v>0.25</v>
      </c>
      <c r="AY8" s="53">
        <f>'Captura Diciembre'!AC10</f>
        <v>0</v>
      </c>
      <c r="AZ8" s="54">
        <f>-'Captura Diciembre'!AN10</f>
        <v>0</v>
      </c>
      <c r="BA8" s="55">
        <f>'Captura Diciembre'!AQ10</f>
        <v>0.25</v>
      </c>
      <c r="BB8" s="42"/>
      <c r="BC8" s="42"/>
    </row>
    <row r="9" spans="1:55" ht="16.5" customHeight="1" x14ac:dyDescent="0.35">
      <c r="A9" s="12">
        <v>4</v>
      </c>
      <c r="B9" s="63" t="s">
        <v>112</v>
      </c>
      <c r="C9" s="64" t="str">
        <f>VLOOKUP(B9,Parametros!$I$6:$J$20,2,FALSE())</f>
        <v>Jimmy Velasquez</v>
      </c>
      <c r="D9" s="65">
        <v>0</v>
      </c>
      <c r="E9" s="65">
        <v>0</v>
      </c>
      <c r="F9" s="11">
        <f t="shared" si="0"/>
        <v>0</v>
      </c>
      <c r="G9" s="66">
        <f>F9*Parametros!$E$6</f>
        <v>0</v>
      </c>
      <c r="H9" s="67">
        <v>0</v>
      </c>
      <c r="I9" s="67">
        <v>0</v>
      </c>
      <c r="J9" s="68" t="s">
        <v>200</v>
      </c>
      <c r="K9" s="66">
        <f>IF(J9="NO",0,IFERROR(H9/I9,0)*Parametros!$E$7)</f>
        <v>0</v>
      </c>
      <c r="L9" s="65">
        <v>0</v>
      </c>
      <c r="M9" s="68" t="s">
        <v>200</v>
      </c>
      <c r="N9" s="66">
        <f>IF(M9="NO",0,L9*Parametros!$E$8)</f>
        <v>0</v>
      </c>
      <c r="O9" s="65">
        <v>0</v>
      </c>
      <c r="P9" s="68" t="s">
        <v>200</v>
      </c>
      <c r="Q9" s="66">
        <f>IF(P9="NO",0,O9*Parametros!$E$9)</f>
        <v>0</v>
      </c>
      <c r="R9" s="65">
        <v>0</v>
      </c>
      <c r="S9" s="68" t="s">
        <v>200</v>
      </c>
      <c r="T9" s="66">
        <f>IF(S9="NO",0,R9*Parametros!$E$10)</f>
        <v>0</v>
      </c>
      <c r="U9" s="65">
        <v>0</v>
      </c>
      <c r="V9" s="66">
        <f>U9*Parametros!$E$11</f>
        <v>0</v>
      </c>
      <c r="W9" s="67">
        <v>0</v>
      </c>
      <c r="X9" s="66">
        <f>MAX(0,Parametros!$E$12-Parametros!$E$18*W9)</f>
        <v>0.25</v>
      </c>
      <c r="Y9" s="67">
        <v>0</v>
      </c>
      <c r="Z9" s="67">
        <v>0</v>
      </c>
      <c r="AA9" s="69">
        <f>IF(Y9&gt;=Parametros!$E$22,Parametros!$E$24,0)</f>
        <v>0</v>
      </c>
      <c r="AB9" s="69">
        <f>IF(Z9&gt;=Parametros!$E$23,Parametros!$E$25,0)</f>
        <v>0</v>
      </c>
      <c r="AC9" s="69">
        <f t="shared" si="1"/>
        <v>0</v>
      </c>
      <c r="AD9" s="67">
        <v>0</v>
      </c>
      <c r="AE9" s="68" t="s">
        <v>200</v>
      </c>
      <c r="AF9" s="67">
        <v>0</v>
      </c>
      <c r="AG9" s="68" t="s">
        <v>200</v>
      </c>
      <c r="AH9" s="67">
        <v>0</v>
      </c>
      <c r="AI9" s="68" t="s">
        <v>200</v>
      </c>
      <c r="AJ9" s="67">
        <v>0</v>
      </c>
      <c r="AK9" s="68" t="s">
        <v>200</v>
      </c>
      <c r="AL9" s="67">
        <v>0</v>
      </c>
      <c r="AM9" s="68" t="s">
        <v>200</v>
      </c>
      <c r="AN9" s="6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70">
        <f>MAX(0,MIN(1,MAX(0,AP9-IF(S9="NO",Parametros!$E$17,0))+AC9)-AN9-IF(AO9="SI",Parametros!$E$33,0))</f>
        <v>0.25</v>
      </c>
      <c r="AR9" s="42"/>
      <c r="AS9" s="59" t="str">
        <f>'Captura Diciembre'!B11</f>
        <v>Equipos Auxiliares</v>
      </c>
      <c r="AT9" s="60">
        <f>'Captura Diciembre'!K11+'Captura Diciembre'!N11+'Captura Diciembre'!Q11</f>
        <v>0</v>
      </c>
      <c r="AU9" s="60">
        <f>'Captura Diciembre'!T11</f>
        <v>0</v>
      </c>
      <c r="AV9" s="60">
        <f>'Captura Diciembre'!V11</f>
        <v>0</v>
      </c>
      <c r="AW9" s="60">
        <f>'Captura Diciembre'!G11</f>
        <v>0</v>
      </c>
      <c r="AX9" s="60">
        <f>'Captura Diciembre'!X11</f>
        <v>0.25</v>
      </c>
      <c r="AY9" s="60">
        <f>'Captura Diciembre'!AC11</f>
        <v>0</v>
      </c>
      <c r="AZ9" s="61">
        <f>-'Captura Diciembre'!AN11</f>
        <v>0</v>
      </c>
      <c r="BA9" s="62">
        <f>'Captura Diciembre'!AQ11</f>
        <v>0.25</v>
      </c>
      <c r="BB9" s="42"/>
      <c r="BC9" s="42"/>
    </row>
    <row r="10" spans="1:55" ht="16.5" customHeight="1" x14ac:dyDescent="0.35">
      <c r="A10" s="12">
        <v>5</v>
      </c>
      <c r="B10" s="63" t="s">
        <v>109</v>
      </c>
      <c r="C10" s="64" t="str">
        <f>VLOOKUP(B10,Parametros!$I$6:$J$20,2,FALSE())</f>
        <v>Jessica Loarca</v>
      </c>
      <c r="D10" s="65">
        <v>0</v>
      </c>
      <c r="E10" s="65">
        <v>0</v>
      </c>
      <c r="F10" s="11">
        <f t="shared" si="0"/>
        <v>0</v>
      </c>
      <c r="G10" s="66">
        <f>F10*Parametros!$E$6</f>
        <v>0</v>
      </c>
      <c r="H10" s="67">
        <v>0</v>
      </c>
      <c r="I10" s="67">
        <v>0</v>
      </c>
      <c r="J10" s="68" t="s">
        <v>200</v>
      </c>
      <c r="K10" s="66">
        <f>IF(J10="NO",0,IFERROR(H10/I10,0)*Parametros!$E$7)</f>
        <v>0</v>
      </c>
      <c r="L10" s="65">
        <v>0</v>
      </c>
      <c r="M10" s="68" t="s">
        <v>200</v>
      </c>
      <c r="N10" s="66">
        <f>IF(M10="NO",0,L10*Parametros!$E$8)</f>
        <v>0</v>
      </c>
      <c r="O10" s="65">
        <v>0</v>
      </c>
      <c r="P10" s="68" t="s">
        <v>200</v>
      </c>
      <c r="Q10" s="66">
        <f>IF(P10="NO",0,O10*Parametros!$E$9)</f>
        <v>0</v>
      </c>
      <c r="R10" s="65">
        <v>0</v>
      </c>
      <c r="S10" s="68" t="s">
        <v>200</v>
      </c>
      <c r="T10" s="66">
        <f>IF(S10="NO",0,R10*Parametros!$E$10)</f>
        <v>0</v>
      </c>
      <c r="U10" s="65">
        <v>0</v>
      </c>
      <c r="V10" s="66">
        <f>U10*Parametros!$E$11</f>
        <v>0</v>
      </c>
      <c r="W10" s="67">
        <v>0</v>
      </c>
      <c r="X10" s="66">
        <f>MAX(0,Parametros!$E$12-Parametros!$E$18*W10)</f>
        <v>0.25</v>
      </c>
      <c r="Y10" s="67">
        <v>0</v>
      </c>
      <c r="Z10" s="67">
        <v>0</v>
      </c>
      <c r="AA10" s="69">
        <f>IF(Y10&gt;=Parametros!$E$22,Parametros!$E$24,0)</f>
        <v>0</v>
      </c>
      <c r="AB10" s="69">
        <f>IF(Z10&gt;=Parametros!$E$23,Parametros!$E$25,0)</f>
        <v>0</v>
      </c>
      <c r="AC10" s="69">
        <f t="shared" si="1"/>
        <v>0</v>
      </c>
      <c r="AD10" s="67">
        <v>0</v>
      </c>
      <c r="AE10" s="68" t="s">
        <v>200</v>
      </c>
      <c r="AF10" s="67">
        <v>0</v>
      </c>
      <c r="AG10" s="68" t="s">
        <v>200</v>
      </c>
      <c r="AH10" s="67">
        <v>0</v>
      </c>
      <c r="AI10" s="68" t="s">
        <v>200</v>
      </c>
      <c r="AJ10" s="67">
        <v>0</v>
      </c>
      <c r="AK10" s="68" t="s">
        <v>200</v>
      </c>
      <c r="AL10" s="67">
        <v>0</v>
      </c>
      <c r="AM10" s="68" t="s">
        <v>200</v>
      </c>
      <c r="AN10" s="6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70">
        <f>MAX(0,MIN(1,MAX(0,AP10-IF(S10="NO",Parametros!$E$17,0))+AC10)-AN10-IF(AO10="SI",Parametros!$E$33,0))</f>
        <v>0.25</v>
      </c>
      <c r="AR10" s="42"/>
      <c r="AS10" s="52" t="str">
        <f>'Captura Diciembre'!B12</f>
        <v>Jarabes</v>
      </c>
      <c r="AT10" s="53">
        <f>'Captura Diciembre'!K12+'Captura Diciembre'!N12+'Captura Diciembre'!Q12</f>
        <v>0</v>
      </c>
      <c r="AU10" s="53">
        <f>'Captura Diciembre'!T12</f>
        <v>0</v>
      </c>
      <c r="AV10" s="53">
        <f>'Captura Diciembre'!V12</f>
        <v>0</v>
      </c>
      <c r="AW10" s="53">
        <f>'Captura Diciembre'!G12</f>
        <v>0</v>
      </c>
      <c r="AX10" s="53">
        <f>'Captura Diciembre'!X12</f>
        <v>0.25</v>
      </c>
      <c r="AY10" s="53">
        <f>'Captura Diciembre'!AC12</f>
        <v>0</v>
      </c>
      <c r="AZ10" s="54">
        <f>-'Captura Diciembre'!AN12</f>
        <v>0</v>
      </c>
      <c r="BA10" s="55">
        <f>'Captura Diciembre'!AQ12</f>
        <v>0.25</v>
      </c>
      <c r="BB10" s="42"/>
      <c r="BC10" s="42"/>
    </row>
    <row r="11" spans="1:55" ht="16.5" customHeight="1" x14ac:dyDescent="0.35">
      <c r="A11" s="12">
        <v>6</v>
      </c>
      <c r="B11" s="63" t="s">
        <v>101</v>
      </c>
      <c r="C11" s="64" t="str">
        <f>VLOOKUP(B11,Parametros!$I$6:$J$20,2,FALSE())</f>
        <v>Edson Bonifacio</v>
      </c>
      <c r="D11" s="65">
        <v>0</v>
      </c>
      <c r="E11" s="65">
        <v>0</v>
      </c>
      <c r="F11" s="11">
        <f t="shared" si="0"/>
        <v>0</v>
      </c>
      <c r="G11" s="66">
        <f>F11*Parametros!$E$6</f>
        <v>0</v>
      </c>
      <c r="H11" s="67">
        <v>0</v>
      </c>
      <c r="I11" s="67">
        <v>0</v>
      </c>
      <c r="J11" s="68" t="s">
        <v>200</v>
      </c>
      <c r="K11" s="66">
        <f>IF(J11="NO",0,IFERROR(H11/I11,0)*Parametros!$E$7)</f>
        <v>0</v>
      </c>
      <c r="L11" s="65">
        <v>0</v>
      </c>
      <c r="M11" s="68" t="s">
        <v>200</v>
      </c>
      <c r="N11" s="66">
        <f>IF(M11="NO",0,L11*Parametros!$E$8)</f>
        <v>0</v>
      </c>
      <c r="O11" s="65">
        <v>0</v>
      </c>
      <c r="P11" s="68" t="s">
        <v>200</v>
      </c>
      <c r="Q11" s="66">
        <f>IF(P11="NO",0,O11*Parametros!$E$9)</f>
        <v>0</v>
      </c>
      <c r="R11" s="65">
        <v>0</v>
      </c>
      <c r="S11" s="68" t="s">
        <v>200</v>
      </c>
      <c r="T11" s="66">
        <f>IF(S11="NO",0,R11*Parametros!$E$10)</f>
        <v>0</v>
      </c>
      <c r="U11" s="65">
        <v>0</v>
      </c>
      <c r="V11" s="66">
        <f>U11*Parametros!$E$11</f>
        <v>0</v>
      </c>
      <c r="W11" s="67">
        <v>0</v>
      </c>
      <c r="X11" s="66">
        <f>MAX(0,Parametros!$E$12-Parametros!$E$18*W11)</f>
        <v>0.25</v>
      </c>
      <c r="Y11" s="67">
        <v>0</v>
      </c>
      <c r="Z11" s="67">
        <v>0</v>
      </c>
      <c r="AA11" s="69">
        <f>IF(Y11&gt;=Parametros!$E$22,Parametros!$E$24,0)</f>
        <v>0</v>
      </c>
      <c r="AB11" s="69">
        <f>IF(Z11&gt;=Parametros!$E$23,Parametros!$E$25,0)</f>
        <v>0</v>
      </c>
      <c r="AC11" s="69">
        <f t="shared" si="1"/>
        <v>0</v>
      </c>
      <c r="AD11" s="67">
        <v>0</v>
      </c>
      <c r="AE11" s="68" t="s">
        <v>200</v>
      </c>
      <c r="AF11" s="67">
        <v>0</v>
      </c>
      <c r="AG11" s="68" t="s">
        <v>200</v>
      </c>
      <c r="AH11" s="67">
        <v>0</v>
      </c>
      <c r="AI11" s="68" t="s">
        <v>200</v>
      </c>
      <c r="AJ11" s="67">
        <v>0</v>
      </c>
      <c r="AK11" s="68" t="s">
        <v>200</v>
      </c>
      <c r="AL11" s="67">
        <v>0</v>
      </c>
      <c r="AM11" s="68" t="s">
        <v>200</v>
      </c>
      <c r="AN11" s="6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70">
        <f>MAX(0,MIN(1,MAX(0,AP11-IF(S11="NO",Parametros!$E$17,0))+AC11)-AN11-IF(AO11="SI",Parametros!$E$33,0))</f>
        <v>0.25</v>
      </c>
      <c r="AR11" s="42"/>
      <c r="AS11" s="59" t="str">
        <f>'Captura Diciembre'!B13</f>
        <v>Linea 1</v>
      </c>
      <c r="AT11" s="60">
        <f>'Captura Diciembre'!K13+'Captura Diciembre'!N13+'Captura Diciembre'!Q13</f>
        <v>0</v>
      </c>
      <c r="AU11" s="60">
        <f>'Captura Diciembre'!T13</f>
        <v>0</v>
      </c>
      <c r="AV11" s="60">
        <f>'Captura Diciembre'!V13</f>
        <v>0</v>
      </c>
      <c r="AW11" s="60">
        <f>'Captura Diciembre'!G13</f>
        <v>0</v>
      </c>
      <c r="AX11" s="60">
        <f>'Captura Diciembre'!X13</f>
        <v>0.25</v>
      </c>
      <c r="AY11" s="60">
        <f>'Captura Diciembre'!AC13</f>
        <v>0</v>
      </c>
      <c r="AZ11" s="61">
        <f>-'Captura Diciembre'!AN13</f>
        <v>0</v>
      </c>
      <c r="BA11" s="62">
        <f>'Captura Diciembre'!AQ13</f>
        <v>0.25</v>
      </c>
      <c r="BB11" s="42"/>
      <c r="BC11" s="42"/>
    </row>
    <row r="12" spans="1:55" ht="16.5" customHeight="1" x14ac:dyDescent="0.35">
      <c r="A12" s="12">
        <v>7</v>
      </c>
      <c r="B12" s="63" t="s">
        <v>114</v>
      </c>
      <c r="C12" s="64" t="str">
        <f>VLOOKUP(B12,Parametros!$I$6:$J$20,2,FALSE())</f>
        <v>Adrian Santisteban</v>
      </c>
      <c r="D12" s="65">
        <v>0</v>
      </c>
      <c r="E12" s="65">
        <v>0</v>
      </c>
      <c r="F12" s="11">
        <f t="shared" si="0"/>
        <v>0</v>
      </c>
      <c r="G12" s="66">
        <f>F12*Parametros!$E$6</f>
        <v>0</v>
      </c>
      <c r="H12" s="67">
        <v>0</v>
      </c>
      <c r="I12" s="67">
        <v>0</v>
      </c>
      <c r="J12" s="68" t="s">
        <v>200</v>
      </c>
      <c r="K12" s="66">
        <f>IF(J12="NO",0,IFERROR(H12/I12,0)*Parametros!$E$7)</f>
        <v>0</v>
      </c>
      <c r="L12" s="65">
        <v>0</v>
      </c>
      <c r="M12" s="68" t="s">
        <v>200</v>
      </c>
      <c r="N12" s="66">
        <f>IF(M12="NO",0,L12*Parametros!$E$8)</f>
        <v>0</v>
      </c>
      <c r="O12" s="65">
        <v>0</v>
      </c>
      <c r="P12" s="68" t="s">
        <v>200</v>
      </c>
      <c r="Q12" s="66">
        <f>IF(P12="NO",0,O12*Parametros!$E$9)</f>
        <v>0</v>
      </c>
      <c r="R12" s="65">
        <v>0</v>
      </c>
      <c r="S12" s="68" t="s">
        <v>200</v>
      </c>
      <c r="T12" s="66">
        <f>IF(S12="NO",0,R12*Parametros!$E$10)</f>
        <v>0</v>
      </c>
      <c r="U12" s="65">
        <v>0</v>
      </c>
      <c r="V12" s="66">
        <f>U12*Parametros!$E$11</f>
        <v>0</v>
      </c>
      <c r="W12" s="67">
        <v>0</v>
      </c>
      <c r="X12" s="66">
        <f>MAX(0,Parametros!$E$12-Parametros!$E$18*W12)</f>
        <v>0.25</v>
      </c>
      <c r="Y12" s="67">
        <v>0</v>
      </c>
      <c r="Z12" s="67">
        <v>0</v>
      </c>
      <c r="AA12" s="69">
        <f>IF(Y12&gt;=Parametros!$E$22,Parametros!$E$24,0)</f>
        <v>0</v>
      </c>
      <c r="AB12" s="69">
        <f>IF(Z12&gt;=Parametros!$E$23,Parametros!$E$25,0)</f>
        <v>0</v>
      </c>
      <c r="AC12" s="69">
        <f t="shared" si="1"/>
        <v>0</v>
      </c>
      <c r="AD12" s="67">
        <v>0</v>
      </c>
      <c r="AE12" s="68" t="s">
        <v>200</v>
      </c>
      <c r="AF12" s="67">
        <v>0</v>
      </c>
      <c r="AG12" s="68" t="s">
        <v>200</v>
      </c>
      <c r="AH12" s="67">
        <v>0</v>
      </c>
      <c r="AI12" s="68" t="s">
        <v>200</v>
      </c>
      <c r="AJ12" s="67">
        <v>0</v>
      </c>
      <c r="AK12" s="68" t="s">
        <v>200</v>
      </c>
      <c r="AL12" s="67">
        <v>0</v>
      </c>
      <c r="AM12" s="68" t="s">
        <v>200</v>
      </c>
      <c r="AN12" s="6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70">
        <f>MAX(0,MIN(1,MAX(0,AP12-IF(S12="NO",Parametros!$E$17,0))+AC12)-AN12-IF(AO12="SI",Parametros!$E$33,0))</f>
        <v>0.25</v>
      </c>
      <c r="AR12" s="42"/>
      <c r="AS12" s="52" t="str">
        <f>'Captura Diciembre'!B14</f>
        <v>Linea 2</v>
      </c>
      <c r="AT12" s="53">
        <f>'Captura Diciembre'!K14+'Captura Diciembre'!N14+'Captura Diciembre'!Q14</f>
        <v>0</v>
      </c>
      <c r="AU12" s="53">
        <f>'Captura Diciembre'!T14</f>
        <v>0</v>
      </c>
      <c r="AV12" s="53">
        <f>'Captura Diciembre'!V14</f>
        <v>0</v>
      </c>
      <c r="AW12" s="53">
        <f>'Captura Diciembre'!G14</f>
        <v>0</v>
      </c>
      <c r="AX12" s="53">
        <f>'Captura Diciembre'!X14</f>
        <v>0.25</v>
      </c>
      <c r="AY12" s="53">
        <f>'Captura Diciembre'!AC14</f>
        <v>0</v>
      </c>
      <c r="AZ12" s="54">
        <f>-'Captura Diciembre'!AN14</f>
        <v>0</v>
      </c>
      <c r="BA12" s="55">
        <f>'Captura Diciembre'!AQ14</f>
        <v>0.25</v>
      </c>
      <c r="BB12" s="42"/>
      <c r="BC12" s="42"/>
    </row>
    <row r="13" spans="1:55" ht="16.5" customHeight="1" x14ac:dyDescent="0.35">
      <c r="A13" s="12">
        <v>8</v>
      </c>
      <c r="B13" s="63" t="s">
        <v>107</v>
      </c>
      <c r="C13" s="64" t="str">
        <f>VLOOKUP(B13,Parametros!$I$6:$J$20,2,FALSE())</f>
        <v>Amilcar Ralda</v>
      </c>
      <c r="D13" s="65">
        <v>0</v>
      </c>
      <c r="E13" s="65">
        <v>0</v>
      </c>
      <c r="F13" s="11">
        <f t="shared" si="0"/>
        <v>0</v>
      </c>
      <c r="G13" s="66">
        <f>F13*Parametros!$E$6</f>
        <v>0</v>
      </c>
      <c r="H13" s="67">
        <v>0</v>
      </c>
      <c r="I13" s="67">
        <v>0</v>
      </c>
      <c r="J13" s="68" t="s">
        <v>200</v>
      </c>
      <c r="K13" s="66">
        <f>IF(J13="NO",0,IFERROR(H13/I13,0)*Parametros!$E$7)</f>
        <v>0</v>
      </c>
      <c r="L13" s="65">
        <v>0</v>
      </c>
      <c r="M13" s="68" t="s">
        <v>200</v>
      </c>
      <c r="N13" s="66">
        <f>IF(M13="NO",0,L13*Parametros!$E$8)</f>
        <v>0</v>
      </c>
      <c r="O13" s="65">
        <v>0</v>
      </c>
      <c r="P13" s="68" t="s">
        <v>200</v>
      </c>
      <c r="Q13" s="66">
        <f>IF(P13="NO",0,O13*Parametros!$E$9)</f>
        <v>0</v>
      </c>
      <c r="R13" s="65">
        <v>0</v>
      </c>
      <c r="S13" s="68" t="s">
        <v>200</v>
      </c>
      <c r="T13" s="66">
        <f>IF(S13="NO",0,R13*Parametros!$E$10)</f>
        <v>0</v>
      </c>
      <c r="U13" s="65">
        <v>0</v>
      </c>
      <c r="V13" s="66">
        <f>U13*Parametros!$E$11</f>
        <v>0</v>
      </c>
      <c r="W13" s="67">
        <v>0</v>
      </c>
      <c r="X13" s="66">
        <f>MAX(0,Parametros!$E$12-Parametros!$E$18*W13)</f>
        <v>0.25</v>
      </c>
      <c r="Y13" s="67">
        <v>0</v>
      </c>
      <c r="Z13" s="67">
        <v>0</v>
      </c>
      <c r="AA13" s="69">
        <f>IF(Y13&gt;=Parametros!$E$22,Parametros!$E$24,0)</f>
        <v>0</v>
      </c>
      <c r="AB13" s="69">
        <f>IF(Z13&gt;=Parametros!$E$23,Parametros!$E$25,0)</f>
        <v>0</v>
      </c>
      <c r="AC13" s="69">
        <f t="shared" si="1"/>
        <v>0</v>
      </c>
      <c r="AD13" s="67">
        <v>0</v>
      </c>
      <c r="AE13" s="68" t="s">
        <v>200</v>
      </c>
      <c r="AF13" s="67">
        <v>0</v>
      </c>
      <c r="AG13" s="68" t="s">
        <v>200</v>
      </c>
      <c r="AH13" s="67">
        <v>0</v>
      </c>
      <c r="AI13" s="68" t="s">
        <v>200</v>
      </c>
      <c r="AJ13" s="67">
        <v>0</v>
      </c>
      <c r="AK13" s="68" t="s">
        <v>200</v>
      </c>
      <c r="AL13" s="67">
        <v>0</v>
      </c>
      <c r="AM13" s="68" t="s">
        <v>200</v>
      </c>
      <c r="AN13" s="6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70">
        <f>MAX(0,MIN(1,MAX(0,AP13-IF(S13="NO",Parametros!$E$17,0))+AC13)-AN13-IF(AO13="SI",Parametros!$E$33,0))</f>
        <v>0.25</v>
      </c>
      <c r="AR13" s="42"/>
      <c r="AS13" s="59" t="str">
        <f>'Captura Diciembre'!B15</f>
        <v>Linea 3</v>
      </c>
      <c r="AT13" s="60">
        <f>'Captura Diciembre'!K15+'Captura Diciembre'!N15+'Captura Diciembre'!Q15</f>
        <v>0</v>
      </c>
      <c r="AU13" s="60">
        <f>'Captura Diciembre'!T15</f>
        <v>0</v>
      </c>
      <c r="AV13" s="60">
        <f>'Captura Diciembre'!V15</f>
        <v>0</v>
      </c>
      <c r="AW13" s="60">
        <f>'Captura Diciembre'!G15</f>
        <v>0</v>
      </c>
      <c r="AX13" s="60">
        <f>'Captura Diciembre'!X15</f>
        <v>0.25</v>
      </c>
      <c r="AY13" s="60">
        <f>'Captura Diciembre'!AC15</f>
        <v>0</v>
      </c>
      <c r="AZ13" s="61">
        <f>-'Captura Diciembre'!AN15</f>
        <v>0</v>
      </c>
      <c r="BA13" s="62">
        <f>'Captura Diciembre'!AQ15</f>
        <v>0.25</v>
      </c>
      <c r="BB13" s="42"/>
      <c r="BC13" s="42"/>
    </row>
    <row r="14" spans="1:55" ht="16.5" customHeight="1" x14ac:dyDescent="0.35">
      <c r="A14" s="12">
        <v>9</v>
      </c>
      <c r="B14" s="63" t="s">
        <v>97</v>
      </c>
      <c r="C14" s="64" t="str">
        <f>VLOOKUP(B14,Parametros!$I$6:$J$20,2,FALSE())</f>
        <v>Amilcar Ralda</v>
      </c>
      <c r="D14" s="65">
        <v>0</v>
      </c>
      <c r="E14" s="65">
        <v>0</v>
      </c>
      <c r="F14" s="11">
        <f t="shared" si="0"/>
        <v>0</v>
      </c>
      <c r="G14" s="66">
        <f>F14*Parametros!$E$6</f>
        <v>0</v>
      </c>
      <c r="H14" s="67">
        <v>0</v>
      </c>
      <c r="I14" s="67">
        <v>0</v>
      </c>
      <c r="J14" s="68" t="s">
        <v>200</v>
      </c>
      <c r="K14" s="66">
        <f>IF(J14="NO",0,IFERROR(H14/I14,0)*Parametros!$E$7)</f>
        <v>0</v>
      </c>
      <c r="L14" s="65">
        <v>0</v>
      </c>
      <c r="M14" s="68" t="s">
        <v>200</v>
      </c>
      <c r="N14" s="66">
        <f>IF(M14="NO",0,L14*Parametros!$E$8)</f>
        <v>0</v>
      </c>
      <c r="O14" s="65">
        <v>0</v>
      </c>
      <c r="P14" s="68" t="s">
        <v>200</v>
      </c>
      <c r="Q14" s="66">
        <f>IF(P14="NO",0,O14*Parametros!$E$9)</f>
        <v>0</v>
      </c>
      <c r="R14" s="65">
        <v>0</v>
      </c>
      <c r="S14" s="68" t="s">
        <v>200</v>
      </c>
      <c r="T14" s="66">
        <f>IF(S14="NO",0,R14*Parametros!$E$10)</f>
        <v>0</v>
      </c>
      <c r="U14" s="65">
        <v>0</v>
      </c>
      <c r="V14" s="66">
        <f>U14*Parametros!$E$11</f>
        <v>0</v>
      </c>
      <c r="W14" s="67">
        <v>0</v>
      </c>
      <c r="X14" s="66">
        <f>MAX(0,Parametros!$E$12-Parametros!$E$18*W14)</f>
        <v>0.25</v>
      </c>
      <c r="Y14" s="67">
        <v>0</v>
      </c>
      <c r="Z14" s="67">
        <v>0</v>
      </c>
      <c r="AA14" s="69">
        <f>IF(Y14&gt;=Parametros!$E$22,Parametros!$E$24,0)</f>
        <v>0</v>
      </c>
      <c r="AB14" s="69">
        <f>IF(Z14&gt;=Parametros!$E$23,Parametros!$E$25,0)</f>
        <v>0</v>
      </c>
      <c r="AC14" s="69">
        <f t="shared" si="1"/>
        <v>0</v>
      </c>
      <c r="AD14" s="67">
        <v>0</v>
      </c>
      <c r="AE14" s="68" t="s">
        <v>200</v>
      </c>
      <c r="AF14" s="67">
        <v>0</v>
      </c>
      <c r="AG14" s="68" t="s">
        <v>200</v>
      </c>
      <c r="AH14" s="67">
        <v>0</v>
      </c>
      <c r="AI14" s="68" t="s">
        <v>200</v>
      </c>
      <c r="AJ14" s="67">
        <v>0</v>
      </c>
      <c r="AK14" s="68" t="s">
        <v>200</v>
      </c>
      <c r="AL14" s="67">
        <v>0</v>
      </c>
      <c r="AM14" s="68" t="s">
        <v>200</v>
      </c>
      <c r="AN14" s="6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70">
        <f>MAX(0,MIN(1,MAX(0,AP14-IF(S14="NO",Parametros!$E$17,0))+AC14)-AN14-IF(AO14="SI",Parametros!$E$33,0))</f>
        <v>0.25</v>
      </c>
      <c r="AR14" s="42"/>
      <c r="AS14" s="52" t="str">
        <f>'Captura Diciembre'!B16</f>
        <v>Linea 4</v>
      </c>
      <c r="AT14" s="53">
        <f>'Captura Diciembre'!K16+'Captura Diciembre'!N16+'Captura Diciembre'!Q16</f>
        <v>0</v>
      </c>
      <c r="AU14" s="53">
        <f>'Captura Diciembre'!T16</f>
        <v>0</v>
      </c>
      <c r="AV14" s="53">
        <f>'Captura Diciembre'!V16</f>
        <v>0</v>
      </c>
      <c r="AW14" s="53">
        <f>'Captura Diciembre'!G16</f>
        <v>0</v>
      </c>
      <c r="AX14" s="53">
        <f>'Captura Diciembre'!X16</f>
        <v>0.25</v>
      </c>
      <c r="AY14" s="53">
        <f>'Captura Diciembre'!AC16</f>
        <v>0</v>
      </c>
      <c r="AZ14" s="54">
        <f>-'Captura Diciembre'!AN16</f>
        <v>0</v>
      </c>
      <c r="BA14" s="55">
        <f>'Captura Diciembre'!AQ16</f>
        <v>0.25</v>
      </c>
      <c r="BB14" s="42"/>
      <c r="BC14" s="42"/>
    </row>
    <row r="15" spans="1:55" ht="16.5" customHeight="1" x14ac:dyDescent="0.35">
      <c r="A15" s="12">
        <v>10</v>
      </c>
      <c r="B15" s="63" t="s">
        <v>117</v>
      </c>
      <c r="C15" s="64" t="str">
        <f>VLOOKUP(B15,Parametros!$I$6:$J$20,2,FALSE())</f>
        <v>Mario Ramos</v>
      </c>
      <c r="D15" s="65">
        <v>0</v>
      </c>
      <c r="E15" s="65">
        <v>0</v>
      </c>
      <c r="F15" s="11">
        <f t="shared" si="0"/>
        <v>0</v>
      </c>
      <c r="G15" s="66">
        <f>F15*Parametros!$E$6</f>
        <v>0</v>
      </c>
      <c r="H15" s="67">
        <v>0</v>
      </c>
      <c r="I15" s="67">
        <v>0</v>
      </c>
      <c r="J15" s="68" t="s">
        <v>200</v>
      </c>
      <c r="K15" s="66">
        <f>IF(J15="NO",0,IFERROR(H15/I15,0)*Parametros!$E$7)</f>
        <v>0</v>
      </c>
      <c r="L15" s="65">
        <v>0</v>
      </c>
      <c r="M15" s="68" t="s">
        <v>200</v>
      </c>
      <c r="N15" s="66">
        <f>IF(M15="NO",0,L15*Parametros!$E$8)</f>
        <v>0</v>
      </c>
      <c r="O15" s="65">
        <v>0</v>
      </c>
      <c r="P15" s="68" t="s">
        <v>200</v>
      </c>
      <c r="Q15" s="66">
        <f>IF(P15="NO",0,O15*Parametros!$E$9)</f>
        <v>0</v>
      </c>
      <c r="R15" s="65">
        <v>0</v>
      </c>
      <c r="S15" s="68" t="s">
        <v>200</v>
      </c>
      <c r="T15" s="66">
        <f>IF(S15="NO",0,R15*Parametros!$E$10)</f>
        <v>0</v>
      </c>
      <c r="U15" s="65">
        <v>0</v>
      </c>
      <c r="V15" s="66">
        <f>U15*Parametros!$E$11</f>
        <v>0</v>
      </c>
      <c r="W15" s="67">
        <v>0</v>
      </c>
      <c r="X15" s="66">
        <f>MAX(0,Parametros!$E$12-Parametros!$E$18*W15)</f>
        <v>0.25</v>
      </c>
      <c r="Y15" s="67">
        <v>0</v>
      </c>
      <c r="Z15" s="67">
        <v>0</v>
      </c>
      <c r="AA15" s="69">
        <f>IF(Y15&gt;=Parametros!$E$22,Parametros!$E$24,0)</f>
        <v>0</v>
      </c>
      <c r="AB15" s="69">
        <f>IF(Z15&gt;=Parametros!$E$23,Parametros!$E$25,0)</f>
        <v>0</v>
      </c>
      <c r="AC15" s="69">
        <f t="shared" si="1"/>
        <v>0</v>
      </c>
      <c r="AD15" s="67">
        <v>0</v>
      </c>
      <c r="AE15" s="68" t="s">
        <v>200</v>
      </c>
      <c r="AF15" s="67">
        <v>0</v>
      </c>
      <c r="AG15" s="68" t="s">
        <v>200</v>
      </c>
      <c r="AH15" s="67">
        <v>0</v>
      </c>
      <c r="AI15" s="68" t="s">
        <v>200</v>
      </c>
      <c r="AJ15" s="67">
        <v>0</v>
      </c>
      <c r="AK15" s="68" t="s">
        <v>200</v>
      </c>
      <c r="AL15" s="67">
        <v>0</v>
      </c>
      <c r="AM15" s="68" t="s">
        <v>200</v>
      </c>
      <c r="AN15" s="6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70">
        <f>MAX(0,MIN(1,MAX(0,AP15-IF(S15="NO",Parametros!$E$17,0))+AC15)-AN15-IF(AO15="SI",Parametros!$E$33,0))</f>
        <v>0.25</v>
      </c>
      <c r="AR15" s="42"/>
      <c r="AS15" s="59" t="str">
        <f>'Captura Diciembre'!B17</f>
        <v>Linea 5</v>
      </c>
      <c r="AT15" s="60">
        <f>'Captura Diciembre'!K17+'Captura Diciembre'!N17+'Captura Diciembre'!Q17</f>
        <v>0</v>
      </c>
      <c r="AU15" s="60">
        <f>'Captura Diciembre'!T17</f>
        <v>0</v>
      </c>
      <c r="AV15" s="60">
        <f>'Captura Diciembre'!V17</f>
        <v>0</v>
      </c>
      <c r="AW15" s="60">
        <f>'Captura Diciembre'!G17</f>
        <v>0</v>
      </c>
      <c r="AX15" s="60">
        <f>'Captura Diciembre'!X17</f>
        <v>0.25</v>
      </c>
      <c r="AY15" s="60">
        <f>'Captura Diciembre'!AC17</f>
        <v>0</v>
      </c>
      <c r="AZ15" s="61">
        <f>-'Captura Diciembre'!AN17</f>
        <v>0</v>
      </c>
      <c r="BA15" s="62">
        <f>'Captura Diciembre'!AQ17</f>
        <v>0.25</v>
      </c>
      <c r="BB15" s="42"/>
      <c r="BC15" s="42"/>
    </row>
    <row r="16" spans="1:55" ht="16.5" customHeight="1" x14ac:dyDescent="0.35">
      <c r="A16" s="12">
        <v>11</v>
      </c>
      <c r="B16" s="63" t="s">
        <v>90</v>
      </c>
      <c r="C16" s="64" t="str">
        <f>VLOOKUP(B16,Parametros!$I$6:$J$20,2,FALSE())</f>
        <v>Mario Ramos</v>
      </c>
      <c r="D16" s="65">
        <v>0</v>
      </c>
      <c r="E16" s="65">
        <v>0</v>
      </c>
      <c r="F16" s="11">
        <f t="shared" si="0"/>
        <v>0</v>
      </c>
      <c r="G16" s="66">
        <f>F16*Parametros!$E$6</f>
        <v>0</v>
      </c>
      <c r="H16" s="67">
        <v>0</v>
      </c>
      <c r="I16" s="67">
        <v>0</v>
      </c>
      <c r="J16" s="68" t="s">
        <v>200</v>
      </c>
      <c r="K16" s="66">
        <f>IF(J16="NO",0,IFERROR(H16/I16,0)*Parametros!$E$7)</f>
        <v>0</v>
      </c>
      <c r="L16" s="65">
        <v>0</v>
      </c>
      <c r="M16" s="68" t="s">
        <v>200</v>
      </c>
      <c r="N16" s="66">
        <f>IF(M16="NO",0,L16*Parametros!$E$8)</f>
        <v>0</v>
      </c>
      <c r="O16" s="65">
        <v>0</v>
      </c>
      <c r="P16" s="68" t="s">
        <v>200</v>
      </c>
      <c r="Q16" s="66">
        <f>IF(P16="NO",0,O16*Parametros!$E$9)</f>
        <v>0</v>
      </c>
      <c r="R16" s="65">
        <v>0</v>
      </c>
      <c r="S16" s="68" t="s">
        <v>200</v>
      </c>
      <c r="T16" s="66">
        <f>IF(S16="NO",0,R16*Parametros!$E$10)</f>
        <v>0</v>
      </c>
      <c r="U16" s="65">
        <v>0</v>
      </c>
      <c r="V16" s="66">
        <f>U16*Parametros!$E$11</f>
        <v>0</v>
      </c>
      <c r="W16" s="67">
        <v>0</v>
      </c>
      <c r="X16" s="66">
        <f>MAX(0,Parametros!$E$12-Parametros!$E$18*W16)</f>
        <v>0.25</v>
      </c>
      <c r="Y16" s="67">
        <v>0</v>
      </c>
      <c r="Z16" s="67">
        <v>0</v>
      </c>
      <c r="AA16" s="69">
        <f>IF(Y16&gt;=Parametros!$E$22,Parametros!$E$24,0)</f>
        <v>0</v>
      </c>
      <c r="AB16" s="69">
        <f>IF(Z16&gt;=Parametros!$E$23,Parametros!$E$25,0)</f>
        <v>0</v>
      </c>
      <c r="AC16" s="69">
        <f t="shared" si="1"/>
        <v>0</v>
      </c>
      <c r="AD16" s="67">
        <v>0</v>
      </c>
      <c r="AE16" s="68" t="s">
        <v>200</v>
      </c>
      <c r="AF16" s="67">
        <v>0</v>
      </c>
      <c r="AG16" s="68" t="s">
        <v>200</v>
      </c>
      <c r="AH16" s="67">
        <v>0</v>
      </c>
      <c r="AI16" s="68" t="s">
        <v>200</v>
      </c>
      <c r="AJ16" s="67">
        <v>0</v>
      </c>
      <c r="AK16" s="68" t="s">
        <v>200</v>
      </c>
      <c r="AL16" s="67">
        <v>0</v>
      </c>
      <c r="AM16" s="68" t="s">
        <v>200</v>
      </c>
      <c r="AN16" s="6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70">
        <f>MAX(0,MIN(1,MAX(0,AP16-IF(S16="NO",Parametros!$E$17,0))+AC16)-AN16-IF(AO16="SI",Parametros!$E$33,0))</f>
        <v>0.25</v>
      </c>
      <c r="AR16" s="42"/>
      <c r="AS16" s="52" t="str">
        <f>'Captura Diciembre'!B18</f>
        <v>Mantenimiento</v>
      </c>
      <c r="AT16" s="53">
        <f>'Captura Diciembre'!K18+'Captura Diciembre'!N18+'Captura Diciembre'!Q18</f>
        <v>0</v>
      </c>
      <c r="AU16" s="53">
        <f>'Captura Diciembre'!T18</f>
        <v>0</v>
      </c>
      <c r="AV16" s="53">
        <f>'Captura Diciembre'!V18</f>
        <v>0</v>
      </c>
      <c r="AW16" s="53">
        <f>'Captura Diciembre'!G18</f>
        <v>0</v>
      </c>
      <c r="AX16" s="53">
        <f>'Captura Diciembre'!X18</f>
        <v>0.25</v>
      </c>
      <c r="AY16" s="53">
        <f>'Captura Diciembre'!AC18</f>
        <v>0</v>
      </c>
      <c r="AZ16" s="54">
        <f>-'Captura Diciembre'!AN18</f>
        <v>0</v>
      </c>
      <c r="BA16" s="55">
        <f>'Captura Diciembre'!AQ18</f>
        <v>0.25</v>
      </c>
      <c r="BB16" s="42"/>
      <c r="BC16" s="42"/>
    </row>
    <row r="17" spans="1:55" ht="16.5" customHeight="1" x14ac:dyDescent="0.35">
      <c r="A17" s="12">
        <v>12</v>
      </c>
      <c r="B17" s="63" t="s">
        <v>93</v>
      </c>
      <c r="C17" s="64" t="str">
        <f>VLOOKUP(B17,Parametros!$I$6:$J$20,2,FALSE())</f>
        <v>Roy Luarca</v>
      </c>
      <c r="D17" s="65">
        <v>0</v>
      </c>
      <c r="E17" s="65">
        <v>0</v>
      </c>
      <c r="F17" s="11">
        <f t="shared" si="0"/>
        <v>0</v>
      </c>
      <c r="G17" s="66">
        <f>F17*Parametros!$E$6</f>
        <v>0</v>
      </c>
      <c r="H17" s="67">
        <v>0</v>
      </c>
      <c r="I17" s="67">
        <v>0</v>
      </c>
      <c r="J17" s="68" t="s">
        <v>200</v>
      </c>
      <c r="K17" s="66">
        <f>IF(J17="NO",0,IFERROR(H17/I17,0)*Parametros!$E$7)</f>
        <v>0</v>
      </c>
      <c r="L17" s="65">
        <v>0</v>
      </c>
      <c r="M17" s="68" t="s">
        <v>200</v>
      </c>
      <c r="N17" s="66">
        <f>IF(M17="NO",0,L17*Parametros!$E$8)</f>
        <v>0</v>
      </c>
      <c r="O17" s="65">
        <v>0</v>
      </c>
      <c r="P17" s="68" t="s">
        <v>200</v>
      </c>
      <c r="Q17" s="66">
        <f>IF(P17="NO",0,O17*Parametros!$E$9)</f>
        <v>0</v>
      </c>
      <c r="R17" s="65">
        <v>0</v>
      </c>
      <c r="S17" s="68" t="s">
        <v>200</v>
      </c>
      <c r="T17" s="66">
        <f>IF(S17="NO",0,R17*Parametros!$E$10)</f>
        <v>0</v>
      </c>
      <c r="U17" s="65">
        <v>0</v>
      </c>
      <c r="V17" s="66">
        <f>U17*Parametros!$E$11</f>
        <v>0</v>
      </c>
      <c r="W17" s="67">
        <v>0</v>
      </c>
      <c r="X17" s="66">
        <f>MAX(0,Parametros!$E$12-Parametros!$E$18*W17)</f>
        <v>0.25</v>
      </c>
      <c r="Y17" s="67">
        <v>0</v>
      </c>
      <c r="Z17" s="67">
        <v>0</v>
      </c>
      <c r="AA17" s="69">
        <f>IF(Y17&gt;=Parametros!$E$22,Parametros!$E$24,0)</f>
        <v>0</v>
      </c>
      <c r="AB17" s="69">
        <f>IF(Z17&gt;=Parametros!$E$23,Parametros!$E$25,0)</f>
        <v>0</v>
      </c>
      <c r="AC17" s="69">
        <f t="shared" si="1"/>
        <v>0</v>
      </c>
      <c r="AD17" s="67">
        <v>0</v>
      </c>
      <c r="AE17" s="68" t="s">
        <v>200</v>
      </c>
      <c r="AF17" s="67">
        <v>0</v>
      </c>
      <c r="AG17" s="68" t="s">
        <v>200</v>
      </c>
      <c r="AH17" s="67">
        <v>0</v>
      </c>
      <c r="AI17" s="68" t="s">
        <v>200</v>
      </c>
      <c r="AJ17" s="67">
        <v>0</v>
      </c>
      <c r="AK17" s="68" t="s">
        <v>200</v>
      </c>
      <c r="AL17" s="67">
        <v>0</v>
      </c>
      <c r="AM17" s="68" t="s">
        <v>200</v>
      </c>
      <c r="AN17" s="6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70">
        <f>MAX(0,MIN(1,MAX(0,AP17-IF(S17="NO",Parametros!$E$17,0))+AC17)-AN17-IF(AO17="SI",Parametros!$E$33,0))</f>
        <v>0.25</v>
      </c>
      <c r="AR17" s="42"/>
      <c r="AS17" s="59" t="str">
        <f>'Captura Diciembre'!B19</f>
        <v>Materias Primas</v>
      </c>
      <c r="AT17" s="60">
        <f>'Captura Diciembre'!K19+'Captura Diciembre'!N19+'Captura Diciembre'!Q19</f>
        <v>0</v>
      </c>
      <c r="AU17" s="60">
        <f>'Captura Diciembre'!T19</f>
        <v>0</v>
      </c>
      <c r="AV17" s="60">
        <f>'Captura Diciembre'!V19</f>
        <v>0</v>
      </c>
      <c r="AW17" s="60">
        <f>'Captura Diciembre'!G19</f>
        <v>0</v>
      </c>
      <c r="AX17" s="60">
        <f>'Captura Diciembre'!X19</f>
        <v>0.25</v>
      </c>
      <c r="AY17" s="60">
        <f>'Captura Diciembre'!AC19</f>
        <v>0</v>
      </c>
      <c r="AZ17" s="61">
        <f>-'Captura Diciembre'!AN19</f>
        <v>0</v>
      </c>
      <c r="BA17" s="62">
        <f>'Captura Diciembre'!AQ19</f>
        <v>0.25</v>
      </c>
      <c r="BB17" s="42"/>
      <c r="BC17" s="42"/>
    </row>
    <row r="18" spans="1:55" ht="16.5" customHeight="1" x14ac:dyDescent="0.35">
      <c r="A18" s="12">
        <v>13</v>
      </c>
      <c r="B18" s="63" t="s">
        <v>124</v>
      </c>
      <c r="C18" s="64" t="str">
        <f>VLOOKUP(B18,Parametros!$I$6:$J$20,2,FALSE())</f>
        <v>Eliu Tello</v>
      </c>
      <c r="D18" s="65">
        <v>0</v>
      </c>
      <c r="E18" s="65">
        <v>0</v>
      </c>
      <c r="F18" s="11">
        <f t="shared" si="0"/>
        <v>0</v>
      </c>
      <c r="G18" s="66">
        <f>F18*Parametros!$E$6</f>
        <v>0</v>
      </c>
      <c r="H18" s="67">
        <v>0</v>
      </c>
      <c r="I18" s="67">
        <v>0</v>
      </c>
      <c r="J18" s="68" t="s">
        <v>200</v>
      </c>
      <c r="K18" s="66">
        <f>IF(J18="NO",0,IFERROR(H18/I18,0)*Parametros!$E$7)</f>
        <v>0</v>
      </c>
      <c r="L18" s="65">
        <v>0</v>
      </c>
      <c r="M18" s="68" t="s">
        <v>200</v>
      </c>
      <c r="N18" s="66">
        <f>IF(M18="NO",0,L18*Parametros!$E$8)</f>
        <v>0</v>
      </c>
      <c r="O18" s="65">
        <v>0</v>
      </c>
      <c r="P18" s="68" t="s">
        <v>200</v>
      </c>
      <c r="Q18" s="66">
        <f>IF(P18="NO",0,O18*Parametros!$E$9)</f>
        <v>0</v>
      </c>
      <c r="R18" s="65">
        <v>0</v>
      </c>
      <c r="S18" s="68" t="s">
        <v>200</v>
      </c>
      <c r="T18" s="66">
        <f>IF(S18="NO",0,R18*Parametros!$E$10)</f>
        <v>0</v>
      </c>
      <c r="U18" s="65">
        <v>0</v>
      </c>
      <c r="V18" s="66">
        <f>U18*Parametros!$E$11</f>
        <v>0</v>
      </c>
      <c r="W18" s="67">
        <v>0</v>
      </c>
      <c r="X18" s="66">
        <f>MAX(0,Parametros!$E$12-Parametros!$E$18*W18)</f>
        <v>0.25</v>
      </c>
      <c r="Y18" s="67">
        <v>0</v>
      </c>
      <c r="Z18" s="67">
        <v>0</v>
      </c>
      <c r="AA18" s="69">
        <f>IF(Y18&gt;=Parametros!$E$22,Parametros!$E$24,0)</f>
        <v>0</v>
      </c>
      <c r="AB18" s="69">
        <f>IF(Z18&gt;=Parametros!$E$23,Parametros!$E$25,0)</f>
        <v>0</v>
      </c>
      <c r="AC18" s="69">
        <f t="shared" si="1"/>
        <v>0</v>
      </c>
      <c r="AD18" s="67">
        <v>0</v>
      </c>
      <c r="AE18" s="68" t="s">
        <v>200</v>
      </c>
      <c r="AF18" s="67">
        <v>0</v>
      </c>
      <c r="AG18" s="68" t="s">
        <v>200</v>
      </c>
      <c r="AH18" s="67">
        <v>0</v>
      </c>
      <c r="AI18" s="68" t="s">
        <v>200</v>
      </c>
      <c r="AJ18" s="67">
        <v>0</v>
      </c>
      <c r="AK18" s="68" t="s">
        <v>200</v>
      </c>
      <c r="AL18" s="67">
        <v>0</v>
      </c>
      <c r="AM18" s="68" t="s">
        <v>200</v>
      </c>
      <c r="AN18" s="6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70">
        <f>MAX(0,MIN(1,MAX(0,AP18-IF(S18="NO",Parametros!$E$17,0))+AC18)-AN18-IF(AO18="SI",Parametros!$E$33,0))</f>
        <v>0.25</v>
      </c>
      <c r="AR18" s="42"/>
      <c r="AS18" s="52" t="str">
        <f>'Captura Diciembre'!B20</f>
        <v>Tratamiento de Aguas</v>
      </c>
      <c r="AT18" s="53">
        <f>'Captura Diciembre'!K20+'Captura Diciembre'!N20+'Captura Diciembre'!Q20</f>
        <v>0</v>
      </c>
      <c r="AU18" s="53">
        <f>'Captura Diciembre'!T20</f>
        <v>0</v>
      </c>
      <c r="AV18" s="53">
        <f>'Captura Diciembre'!V20</f>
        <v>0</v>
      </c>
      <c r="AW18" s="53">
        <f>'Captura Diciembre'!G20</f>
        <v>0</v>
      </c>
      <c r="AX18" s="53">
        <f>'Captura Diciembre'!X20</f>
        <v>0.25</v>
      </c>
      <c r="AY18" s="53">
        <f>'Captura Diciembre'!AC20</f>
        <v>0</v>
      </c>
      <c r="AZ18" s="54">
        <f>-'Captura Diciembre'!AN20</f>
        <v>0</v>
      </c>
      <c r="BA18" s="55">
        <f>'Captura Diciembre'!AQ20</f>
        <v>0.25</v>
      </c>
      <c r="BB18" s="42"/>
      <c r="BC18" s="42"/>
    </row>
    <row r="19" spans="1:55" ht="25.5" customHeight="1" x14ac:dyDescent="0.35">
      <c r="A19" s="12">
        <v>14</v>
      </c>
      <c r="B19" s="63" t="s">
        <v>126</v>
      </c>
      <c r="C19" s="64" t="str">
        <f>VLOOKUP(B19,Parametros!$I$6:$J$20,2,FALSE())</f>
        <v>Miguel Godinez</v>
      </c>
      <c r="D19" s="65">
        <v>0</v>
      </c>
      <c r="E19" s="65">
        <v>0</v>
      </c>
      <c r="F19" s="11">
        <f t="shared" si="0"/>
        <v>0</v>
      </c>
      <c r="G19" s="66">
        <f>F19*Parametros!$E$6</f>
        <v>0</v>
      </c>
      <c r="H19" s="67">
        <v>0</v>
      </c>
      <c r="I19" s="67">
        <v>0</v>
      </c>
      <c r="J19" s="68" t="s">
        <v>200</v>
      </c>
      <c r="K19" s="66">
        <f>IF(J19="NO",0,IFERROR(H19/I19,0)*Parametros!$E$7)</f>
        <v>0</v>
      </c>
      <c r="L19" s="65">
        <v>0</v>
      </c>
      <c r="M19" s="68" t="s">
        <v>200</v>
      </c>
      <c r="N19" s="66">
        <f>IF(M19="NO",0,L19*Parametros!$E$8)</f>
        <v>0</v>
      </c>
      <c r="O19" s="65">
        <v>0</v>
      </c>
      <c r="P19" s="68" t="s">
        <v>200</v>
      </c>
      <c r="Q19" s="66">
        <f>IF(P19="NO",0,O19*Parametros!$E$9)</f>
        <v>0</v>
      </c>
      <c r="R19" s="65">
        <v>0</v>
      </c>
      <c r="S19" s="68" t="s">
        <v>200</v>
      </c>
      <c r="T19" s="66">
        <f>IF(S19="NO",0,R19*Parametros!$E$10)</f>
        <v>0</v>
      </c>
      <c r="U19" s="65">
        <v>0</v>
      </c>
      <c r="V19" s="66">
        <f>U19*Parametros!$E$11</f>
        <v>0</v>
      </c>
      <c r="W19" s="67">
        <v>0</v>
      </c>
      <c r="X19" s="66">
        <f>MAX(0,Parametros!$E$12-Parametros!$E$18*W19)</f>
        <v>0.25</v>
      </c>
      <c r="Y19" s="67">
        <v>0</v>
      </c>
      <c r="Z19" s="67">
        <v>0</v>
      </c>
      <c r="AA19" s="69">
        <f>IF(Y19&gt;=Parametros!$E$22,Parametros!$E$24,0)</f>
        <v>0</v>
      </c>
      <c r="AB19" s="69">
        <f>IF(Z19&gt;=Parametros!$E$23,Parametros!$E$25,0)</f>
        <v>0</v>
      </c>
      <c r="AC19" s="69">
        <f t="shared" si="1"/>
        <v>0</v>
      </c>
      <c r="AD19" s="67">
        <v>0</v>
      </c>
      <c r="AE19" s="68" t="s">
        <v>200</v>
      </c>
      <c r="AF19" s="67">
        <v>0</v>
      </c>
      <c r="AG19" s="68" t="s">
        <v>200</v>
      </c>
      <c r="AH19" s="67">
        <v>0</v>
      </c>
      <c r="AI19" s="68" t="s">
        <v>200</v>
      </c>
      <c r="AJ19" s="67">
        <v>0</v>
      </c>
      <c r="AK19" s="68" t="s">
        <v>200</v>
      </c>
      <c r="AL19" s="67">
        <v>0</v>
      </c>
      <c r="AM19" s="68" t="s">
        <v>200</v>
      </c>
      <c r="AN19" s="6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70">
        <f>MAX(0,MIN(1,MAX(0,AP19-IF(S19="NO",Parametros!$E$17,0))+AC19)-AN19-IF(AO19="SI",Parametros!$E$33,0))</f>
        <v>0.25</v>
      </c>
      <c r="AR19" s="42"/>
      <c r="AS19" s="90" t="s">
        <v>247</v>
      </c>
      <c r="AT19" s="90"/>
      <c r="AU19" s="90"/>
      <c r="AV19" s="90"/>
      <c r="AW19" s="90"/>
      <c r="AX19" s="90"/>
      <c r="AY19" s="90"/>
      <c r="AZ19" s="90"/>
      <c r="BA19" s="71">
        <f>AVERAGE(BA4:BA18)</f>
        <v>0.25</v>
      </c>
      <c r="BB19" s="42"/>
      <c r="BC19" s="42"/>
    </row>
    <row r="20" spans="1:55" ht="16.5" customHeight="1" x14ac:dyDescent="0.35">
      <c r="A20" s="12">
        <v>15</v>
      </c>
      <c r="B20" s="63" t="s">
        <v>122</v>
      </c>
      <c r="C20" s="64" t="str">
        <f>VLOOKUP(B20,Parametros!$I$6:$J$20,2,FALSE())</f>
        <v>Adrian Santisteban</v>
      </c>
      <c r="D20" s="65">
        <v>0</v>
      </c>
      <c r="E20" s="65">
        <v>0</v>
      </c>
      <c r="F20" s="11">
        <f t="shared" si="0"/>
        <v>0</v>
      </c>
      <c r="G20" s="66">
        <f>F20*Parametros!$E$6</f>
        <v>0</v>
      </c>
      <c r="H20" s="67">
        <v>0</v>
      </c>
      <c r="I20" s="67">
        <v>0</v>
      </c>
      <c r="J20" s="68" t="s">
        <v>200</v>
      </c>
      <c r="K20" s="66">
        <f>IF(J20="NO",0,IFERROR(H20/I20,0)*Parametros!$E$7)</f>
        <v>0</v>
      </c>
      <c r="L20" s="65">
        <v>0</v>
      </c>
      <c r="M20" s="68" t="s">
        <v>200</v>
      </c>
      <c r="N20" s="66">
        <f>IF(M20="NO",0,L20*Parametros!$E$8)</f>
        <v>0</v>
      </c>
      <c r="O20" s="65">
        <v>0</v>
      </c>
      <c r="P20" s="68" t="s">
        <v>200</v>
      </c>
      <c r="Q20" s="66">
        <f>IF(P20="NO",0,O20*Parametros!$E$9)</f>
        <v>0</v>
      </c>
      <c r="R20" s="65">
        <v>0</v>
      </c>
      <c r="S20" s="68" t="s">
        <v>200</v>
      </c>
      <c r="T20" s="66">
        <f>IF(S20="NO",0,R20*Parametros!$E$10)</f>
        <v>0</v>
      </c>
      <c r="U20" s="65">
        <v>0</v>
      </c>
      <c r="V20" s="66">
        <f>U20*Parametros!$E$11</f>
        <v>0</v>
      </c>
      <c r="W20" s="67">
        <v>0</v>
      </c>
      <c r="X20" s="66">
        <f>MAX(0,Parametros!$E$12-Parametros!$E$18*W20)</f>
        <v>0.25</v>
      </c>
      <c r="Y20" s="67">
        <v>0</v>
      </c>
      <c r="Z20" s="67">
        <v>0</v>
      </c>
      <c r="AA20" s="69">
        <f>IF(Y20&gt;=Parametros!$E$22,Parametros!$E$24,0)</f>
        <v>0</v>
      </c>
      <c r="AB20" s="69">
        <f>IF(Z20&gt;=Parametros!$E$23,Parametros!$E$25,0)</f>
        <v>0</v>
      </c>
      <c r="AC20" s="69">
        <f t="shared" si="1"/>
        <v>0</v>
      </c>
      <c r="AD20" s="67">
        <v>0</v>
      </c>
      <c r="AE20" s="68" t="s">
        <v>200</v>
      </c>
      <c r="AF20" s="67">
        <v>0</v>
      </c>
      <c r="AG20" s="68" t="s">
        <v>200</v>
      </c>
      <c r="AH20" s="67">
        <v>0</v>
      </c>
      <c r="AI20" s="68" t="s">
        <v>200</v>
      </c>
      <c r="AJ20" s="67">
        <v>0</v>
      </c>
      <c r="AK20" s="68" t="s">
        <v>200</v>
      </c>
      <c r="AL20" s="67">
        <v>0</v>
      </c>
      <c r="AM20" s="68" t="s">
        <v>200</v>
      </c>
      <c r="AN20" s="6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70">
        <f>MAX(0,MIN(1,MAX(0,AP20-IF(S20="NO",Parametros!$E$17,0))+AC20)-AN20-IF(AO20="SI",Parametros!$E$33,0))</f>
        <v>0.25</v>
      </c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</row>
    <row r="22" spans="1:55" ht="21.75" customHeight="1" x14ac:dyDescent="0.35">
      <c r="A22" s="91"/>
      <c r="B22" s="91"/>
      <c r="C22" s="9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V22" s="72"/>
    </row>
    <row r="23" spans="1:55" ht="21.75" customHeight="1" x14ac:dyDescent="0.35">
      <c r="A23" s="92" t="s">
        <v>203</v>
      </c>
      <c r="B23" s="92"/>
      <c r="C23" s="92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4">
        <f>AVERAGE(AQ6:AQ20)</f>
        <v>0.25</v>
      </c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</row>
  </sheetData>
  <mergeCells count="18"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X6:X20 AP6:AP20 AR6:AR20 J6:J20 M6:M20 P6:P20 S6:T20 AE6:AE20 AG6:AG20 AI6:AN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85" t="s">
        <v>248</v>
      </c>
      <c r="B1" s="85"/>
      <c r="C1" s="85"/>
    </row>
    <row r="3" spans="1:6" ht="30" customHeight="1" x14ac:dyDescent="0.35">
      <c r="A3" s="108" t="s">
        <v>249</v>
      </c>
      <c r="B3" s="108"/>
      <c r="C3" s="108"/>
      <c r="D3" s="108"/>
      <c r="E3" s="108"/>
      <c r="F3" s="108"/>
    </row>
    <row r="5" spans="1:6" ht="27.75" customHeight="1" x14ac:dyDescent="0.35">
      <c r="A5" s="7" t="s">
        <v>250</v>
      </c>
      <c r="B5" s="7" t="s">
        <v>251</v>
      </c>
      <c r="C5" s="7" t="s">
        <v>50</v>
      </c>
    </row>
    <row r="6" spans="1:6" ht="14.25" customHeight="1" x14ac:dyDescent="0.35">
      <c r="A6" s="12" t="s">
        <v>147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206</v>
      </c>
      <c r="B7" s="76">
        <f>IF(AVERAGE('Captura Febrero'!D6:D20)=0,"",'Captura Febrero'!AQ23)</f>
        <v>0.91092643373138726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210</v>
      </c>
      <c r="B8" s="76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214</v>
      </c>
      <c r="B9" s="76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218</v>
      </c>
      <c r="B10" s="76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222</v>
      </c>
      <c r="B11" s="76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226</v>
      </c>
      <c r="B12" s="76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230</v>
      </c>
      <c r="B13" s="76">
        <f>IF(AVERAGE('Captura Agosto'!D6:D20)=0,"",'Captura Agosto'!AQ23)</f>
        <v>0.43205333333333323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234</v>
      </c>
      <c r="B14" s="76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238</v>
      </c>
      <c r="B15" s="76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242</v>
      </c>
      <c r="B16" s="76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246</v>
      </c>
      <c r="B17" s="76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77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24" sqref="H24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0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82</v>
      </c>
      <c r="B4" s="10">
        <f>IFERROR(IF('Captura Enero'!D8=0,"",'Captura Enero'!AQ8),"")</f>
        <v>1</v>
      </c>
      <c r="C4" s="10">
        <f>IFERROR(IF('Captura Febrero'!D8=0,"",'Captura Febrero'!AQ8),"")</f>
        <v>0.83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0.43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81">
        <f t="shared" ref="N4:N18" si="0">IFERROR(AVERAGE(B4:M4),"")</f>
        <v>0.90749999999999997</v>
      </c>
    </row>
    <row r="5" spans="1:14" ht="14.25" customHeight="1" x14ac:dyDescent="0.35">
      <c r="A5" s="80" t="s">
        <v>87</v>
      </c>
      <c r="B5" s="10">
        <f>IFERROR(IF('Captura Enero'!D6=0,"",'Captura Enero'!AQ6),"")</f>
        <v>1</v>
      </c>
      <c r="C5" s="10">
        <f>IFERROR(IF('Captura Febrero'!D6=0,"",'Captura Febrero'!AQ6),"")</f>
        <v>0.75000000000000011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0.43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81">
        <f t="shared" si="0"/>
        <v>0.86749999999999994</v>
      </c>
    </row>
    <row r="6" spans="1:14" ht="14.25" customHeight="1" x14ac:dyDescent="0.35">
      <c r="A6" s="80" t="s">
        <v>90</v>
      </c>
      <c r="B6" s="10">
        <f>IFERROR(IF('Captura Enero'!D16=0,"",'Captura Enero'!AQ16),"")</f>
        <v>0.9</v>
      </c>
      <c r="C6" s="10">
        <f>IFERROR(IF('Captura Febrero'!D16=0,"",'Captura Febrero'!AQ16),"")</f>
        <v>0.66428571428571437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0.43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81">
        <f t="shared" si="0"/>
        <v>0.86928571428571422</v>
      </c>
    </row>
    <row r="7" spans="1:14" ht="14.25" customHeight="1" x14ac:dyDescent="0.35">
      <c r="A7" s="80" t="s">
        <v>93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0.42200000000000004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81">
        <f t="shared" si="0"/>
        <v>0.81296978021978017</v>
      </c>
    </row>
    <row r="8" spans="1:14" ht="14.25" customHeight="1" x14ac:dyDescent="0.35">
      <c r="A8" s="80" t="s">
        <v>97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0.50039999999999996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81">
        <f t="shared" si="0"/>
        <v>0.88255000000000006</v>
      </c>
    </row>
    <row r="9" spans="1:14" ht="14.25" customHeight="1" x14ac:dyDescent="0.35">
      <c r="A9" s="80" t="s">
        <v>101</v>
      </c>
      <c r="B9" s="10">
        <f>IFERROR(IF('Captura Enero'!D11=0,"",'Captura Enero'!AQ11),"")</f>
        <v>0.84000000000000008</v>
      </c>
      <c r="C9" s="10">
        <f>IFERROR(IF('Captura Febrero'!D11=0,"",'Captura Febrero'!AQ11),"")</f>
        <v>0.97500000000000009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0.43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81">
        <f t="shared" si="0"/>
        <v>0.87624999999999997</v>
      </c>
    </row>
    <row r="10" spans="1:14" ht="14.25" customHeight="1" x14ac:dyDescent="0.35">
      <c r="A10" s="80" t="s">
        <v>107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0.49419999999999997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81">
        <f t="shared" si="0"/>
        <v>0.78552499999999992</v>
      </c>
    </row>
    <row r="11" spans="1:14" ht="14.25" customHeight="1" x14ac:dyDescent="0.35">
      <c r="A11" s="80" t="s">
        <v>109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0.41000000000000003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81">
        <f t="shared" si="0"/>
        <v>0.88312500000000005</v>
      </c>
    </row>
    <row r="12" spans="1:14" ht="14.25" customHeight="1" x14ac:dyDescent="0.35">
      <c r="A12" s="80" t="s">
        <v>112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0.42520000000000002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81">
        <f t="shared" si="0"/>
        <v>0.91283750000000008</v>
      </c>
    </row>
    <row r="13" spans="1:14" ht="14.25" customHeight="1" x14ac:dyDescent="0.35">
      <c r="A13" s="80" t="s">
        <v>114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0.42000000000000004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81">
        <f t="shared" si="0"/>
        <v>0.79516304347826094</v>
      </c>
    </row>
    <row r="14" spans="1:14" ht="14.25" customHeight="1" x14ac:dyDescent="0.35">
      <c r="A14" s="80" t="s">
        <v>117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0.38200000000000001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81">
        <f t="shared" si="0"/>
        <v>0.79514766081871346</v>
      </c>
    </row>
    <row r="15" spans="1:14" ht="14.25" customHeight="1" x14ac:dyDescent="0.35">
      <c r="A15" s="80" t="s">
        <v>119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0.35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81">
        <f t="shared" si="0"/>
        <v>0.74624999999999997</v>
      </c>
    </row>
    <row r="16" spans="1:14" ht="14.25" customHeight="1" x14ac:dyDescent="0.35">
      <c r="A16" s="80" t="s">
        <v>122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0.43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81">
        <f t="shared" si="0"/>
        <v>0.88</v>
      </c>
    </row>
    <row r="17" spans="1:14" ht="14.25" customHeight="1" x14ac:dyDescent="0.35">
      <c r="A17" s="80" t="s">
        <v>124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0.41700000000000004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81">
        <f t="shared" si="0"/>
        <v>0.869281862745098</v>
      </c>
    </row>
    <row r="18" spans="1:14" ht="14.25" customHeight="1" x14ac:dyDescent="0.35">
      <c r="A18" s="80" t="s">
        <v>126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0.51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81">
        <f t="shared" si="0"/>
        <v>0.85031249999999992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0.93030769230769228</v>
      </c>
      <c r="C19" s="83">
        <f t="shared" si="1"/>
        <v>0.91092643373138726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0.87666666666666648</v>
      </c>
      <c r="G19" s="83">
        <f t="shared" si="1"/>
        <v>0.83357372900851179</v>
      </c>
      <c r="H19" s="83">
        <f t="shared" si="1"/>
        <v>0.88027777777777783</v>
      </c>
      <c r="I19" s="83">
        <f t="shared" si="1"/>
        <v>0.43205333333333329</v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0.90846461421314806</v>
      </c>
    </row>
    <row r="20" spans="1:14" ht="14.25" customHeight="1" x14ac:dyDescent="0.35">
      <c r="A20" s="110" t="s">
        <v>22</v>
      </c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N24"/>
  <sheetViews>
    <sheetView zoomScale="70" zoomScaleNormal="70" workbookViewId="0">
      <selection activeCell="P6" sqref="P6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09" t="s">
        <v>252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42" customHeight="1" x14ac:dyDescent="0.35">
      <c r="A3" s="78" t="s">
        <v>48</v>
      </c>
      <c r="B3" s="7" t="s">
        <v>26</v>
      </c>
      <c r="C3" s="7" t="s">
        <v>253</v>
      </c>
      <c r="D3" s="7" t="s">
        <v>254</v>
      </c>
      <c r="E3" s="7" t="s">
        <v>255</v>
      </c>
      <c r="F3" s="7" t="s">
        <v>256</v>
      </c>
      <c r="G3" s="7" t="s">
        <v>257</v>
      </c>
      <c r="H3" s="7" t="s">
        <v>258</v>
      </c>
      <c r="I3" s="7" t="s">
        <v>259</v>
      </c>
      <c r="J3" s="7" t="s">
        <v>260</v>
      </c>
      <c r="K3" s="7" t="s">
        <v>261</v>
      </c>
      <c r="L3" s="7" t="s">
        <v>262</v>
      </c>
      <c r="M3" s="7" t="s">
        <v>263</v>
      </c>
      <c r="N3" s="79" t="s">
        <v>264</v>
      </c>
    </row>
    <row r="4" spans="1:14" ht="14.25" customHeight="1" x14ac:dyDescent="0.35">
      <c r="A4" s="80" t="s">
        <v>112</v>
      </c>
      <c r="B4" s="10">
        <f>IFERROR(IF('Captura Enero'!D9=0,"",'Captura Enero'!AQ9),"")</f>
        <v>1</v>
      </c>
      <c r="C4" s="10">
        <f>IFERROR(IF('Captura Febrero'!D9=0,"",'Captura Febrero'!AQ9),"")</f>
        <v>1</v>
      </c>
      <c r="D4" s="10">
        <f>IFERROR(IF('Captura Marzo'!D9=0,"",'Captura Marzo'!AQ9),"")</f>
        <v>0.98750000000000004</v>
      </c>
      <c r="E4" s="10">
        <f>IFERROR(IF('Captura Abril'!D9=0,"",'Captura Abril'!AQ9),"")</f>
        <v>0.99</v>
      </c>
      <c r="F4" s="10">
        <f>IFERROR(IF('Captura Mayo'!D9=0,"",'Captura Mayo'!AQ9),"")</f>
        <v>0.9</v>
      </c>
      <c r="G4" s="10">
        <f>IFERROR(IF('Captura Junio'!D9=0,"",'Captura Junio'!AQ9),"")</f>
        <v>1</v>
      </c>
      <c r="H4" s="10">
        <f>IFERROR(IF('Captura Julio'!D9=0,"",'Captura Julio'!AQ9),"")</f>
        <v>1</v>
      </c>
      <c r="I4" s="10">
        <f>IFERROR(IF('Captura Agosto'!D9=0,"",'Captura Agosto'!AQ9),"")</f>
        <v>0.42520000000000002</v>
      </c>
      <c r="J4" s="10" t="str">
        <f>IFERROR(IF('Captura Septiembre'!D9=0,"",'Captura Septiembre'!AQ9),"")</f>
        <v/>
      </c>
      <c r="K4" s="10" t="str">
        <f>IFERROR(IF('Captura Octubre'!D9=0,"",'Captura Octubre'!AQ9),"")</f>
        <v/>
      </c>
      <c r="L4" s="10" t="str">
        <f>IFERROR(IF('Captura Noviembre'!D9=0,"",'Captura Noviembre'!AQ9),"")</f>
        <v/>
      </c>
      <c r="M4" s="10" t="str">
        <f>IFERROR(IF('Captura Diciembre'!D9=0,"",'Captura Diciembre'!AQ9),"")</f>
        <v/>
      </c>
      <c r="N4" s="81">
        <f t="shared" ref="N4:N18" si="0">IFERROR(AVERAGE(B4:M4),"")</f>
        <v>0.91283750000000008</v>
      </c>
    </row>
    <row r="5" spans="1:14" ht="14.25" customHeight="1" x14ac:dyDescent="0.35">
      <c r="A5" s="80" t="s">
        <v>82</v>
      </c>
      <c r="B5" s="10">
        <f>IFERROR(IF('Captura Enero'!D8=0,"",'Captura Enero'!AQ8),"")</f>
        <v>1</v>
      </c>
      <c r="C5" s="10">
        <f>IFERROR(IF('Captura Febrero'!D8=0,"",'Captura Febrero'!AQ8),"")</f>
        <v>0.83</v>
      </c>
      <c r="D5" s="10">
        <f>IFERROR(IF('Captura Marzo'!D8=0,"",'Captura Marzo'!AQ8),"")</f>
        <v>1</v>
      </c>
      <c r="E5" s="10">
        <f>IFERROR(IF('Captura Abril'!D8=0,"",'Captura Abril'!AQ8),"")</f>
        <v>1</v>
      </c>
      <c r="F5" s="10">
        <f>IFERROR(IF('Captura Mayo'!D8=0,"",'Captura Mayo'!AQ8),"")</f>
        <v>1</v>
      </c>
      <c r="G5" s="10">
        <f>IFERROR(IF('Captura Junio'!D8=0,"",'Captura Junio'!AQ8),"")</f>
        <v>1</v>
      </c>
      <c r="H5" s="10">
        <f>IFERROR(IF('Captura Julio'!D8=0,"",'Captura Julio'!AQ8),"")</f>
        <v>1</v>
      </c>
      <c r="I5" s="10">
        <f>IFERROR(IF('Captura Agosto'!D8=0,"",'Captura Agosto'!AQ8),"")</f>
        <v>0.43</v>
      </c>
      <c r="J5" s="10" t="str">
        <f>IFERROR(IF('Captura Septiembre'!D8=0,"",'Captura Septiembre'!AQ8),"")</f>
        <v/>
      </c>
      <c r="K5" s="10" t="str">
        <f>IFERROR(IF('Captura Octubre'!D8=0,"",'Captura Octubre'!AQ8),"")</f>
        <v/>
      </c>
      <c r="L5" s="10" t="str">
        <f>IFERROR(IF('Captura Noviembre'!D8=0,"",'Captura Noviembre'!AQ8),"")</f>
        <v/>
      </c>
      <c r="M5" s="10" t="str">
        <f>IFERROR(IF('Captura Diciembre'!D8=0,"",'Captura Diciembre'!AQ8),"")</f>
        <v/>
      </c>
      <c r="N5" s="81">
        <f t="shared" si="0"/>
        <v>0.90749999999999997</v>
      </c>
    </row>
    <row r="6" spans="1:14" ht="14.25" customHeight="1" x14ac:dyDescent="0.35">
      <c r="A6" s="80" t="s">
        <v>109</v>
      </c>
      <c r="B6" s="10">
        <f>IFERROR(IF('Captura Enero'!D10=0,"",'Captura Enero'!AQ10),"")</f>
        <v>0.95000000000000007</v>
      </c>
      <c r="C6" s="10">
        <f>IFERROR(IF('Captura Febrero'!D10=0,"",'Captura Febrero'!AQ10),"")</f>
        <v>0.84499999999999997</v>
      </c>
      <c r="D6" s="10">
        <f>IFERROR(IF('Captura Marzo'!D10=0,"",'Captura Marzo'!AQ10),"")</f>
        <v>1</v>
      </c>
      <c r="E6" s="10">
        <f>IFERROR(IF('Captura Abril'!D10=0,"",'Captura Abril'!AQ10),"")</f>
        <v>1</v>
      </c>
      <c r="F6" s="10">
        <f>IFERROR(IF('Captura Mayo'!D10=0,"",'Captura Mayo'!AQ10),"")</f>
        <v>0.99</v>
      </c>
      <c r="G6" s="10">
        <f>IFERROR(IF('Captura Junio'!D10=0,"",'Captura Junio'!AQ10),"")</f>
        <v>0.87000000000000011</v>
      </c>
      <c r="H6" s="10">
        <f>IFERROR(IF('Captura Julio'!D10=0,"",'Captura Julio'!AQ10),"")</f>
        <v>1</v>
      </c>
      <c r="I6" s="10">
        <f>IFERROR(IF('Captura Agosto'!D10=0,"",'Captura Agosto'!AQ10),"")</f>
        <v>0.41000000000000003</v>
      </c>
      <c r="J6" s="10" t="str">
        <f>IFERROR(IF('Captura Septiembre'!D10=0,"",'Captura Septiembre'!AQ10),"")</f>
        <v/>
      </c>
      <c r="K6" s="10" t="str">
        <f>IFERROR(IF('Captura Octubre'!D10=0,"",'Captura Octubre'!AQ10),"")</f>
        <v/>
      </c>
      <c r="L6" s="10" t="str">
        <f>IFERROR(IF('Captura Noviembre'!D10=0,"",'Captura Noviembre'!AQ10),"")</f>
        <v/>
      </c>
      <c r="M6" s="10" t="str">
        <f>IFERROR(IF('Captura Diciembre'!D10=0,"",'Captura Diciembre'!AQ10),"")</f>
        <v/>
      </c>
      <c r="N6" s="81">
        <f t="shared" si="0"/>
        <v>0.88312500000000005</v>
      </c>
    </row>
    <row r="7" spans="1:14" ht="14.25" customHeight="1" x14ac:dyDescent="0.35">
      <c r="A7" s="80" t="s">
        <v>122</v>
      </c>
      <c r="B7" s="10">
        <f>IFERROR(IF('Captura Enero'!D20=0,"",'Captura Enero'!AQ20),"")</f>
        <v>0.95</v>
      </c>
      <c r="C7" s="10">
        <f>IFERROR(IF('Captura Febrero'!D20=0,"",'Captura Febrero'!AQ20),"")</f>
        <v>1</v>
      </c>
      <c r="D7" s="10">
        <f>IFERROR(IF('Captura Marzo'!D20=0,"",'Captura Marzo'!AQ20),"")</f>
        <v>1</v>
      </c>
      <c r="E7" s="10">
        <f>IFERROR(IF('Captura Abril'!D20=0,"",'Captura Abril'!AQ20),"")</f>
        <v>1</v>
      </c>
      <c r="F7" s="10">
        <f>IFERROR(IF('Captura Mayo'!D20=0,"",'Captura Mayo'!AQ20),"")</f>
        <v>0.95</v>
      </c>
      <c r="G7" s="10">
        <f>IFERROR(IF('Captura Junio'!D20=0,"",'Captura Junio'!AQ20),"")</f>
        <v>0.71000000000000008</v>
      </c>
      <c r="H7" s="10">
        <f>IFERROR(IF('Captura Julio'!D20=0,"",'Captura Julio'!AQ20),"")</f>
        <v>1</v>
      </c>
      <c r="I7" s="10">
        <f>IFERROR(IF('Captura Agosto'!D20=0,"",'Captura Agosto'!AQ20),"")</f>
        <v>0.43</v>
      </c>
      <c r="J7" s="10" t="str">
        <f>IFERROR(IF('Captura Septiembre'!D20=0,"",'Captura Septiembre'!AQ20),"")</f>
        <v/>
      </c>
      <c r="K7" s="10" t="str">
        <f>IFERROR(IF('Captura Octubre'!D20=0,"",'Captura Octubre'!AQ20),"")</f>
        <v/>
      </c>
      <c r="L7" s="10" t="str">
        <f>IFERROR(IF('Captura Noviembre'!D20=0,"",'Captura Noviembre'!AQ20),"")</f>
        <v/>
      </c>
      <c r="M7" s="10" t="str">
        <f>IFERROR(IF('Captura Diciembre'!D20=0,"",'Captura Diciembre'!AQ20),"")</f>
        <v/>
      </c>
      <c r="N7" s="81">
        <f t="shared" si="0"/>
        <v>0.88</v>
      </c>
    </row>
    <row r="8" spans="1:14" ht="14.25" customHeight="1" x14ac:dyDescent="0.35">
      <c r="A8" s="80" t="s">
        <v>101</v>
      </c>
      <c r="B8" s="10">
        <f>IFERROR(IF('Captura Enero'!D11=0,"",'Captura Enero'!AQ11),"")</f>
        <v>0.84000000000000008</v>
      </c>
      <c r="C8" s="10">
        <f>IFERROR(IF('Captura Febrero'!D11=0,"",'Captura Febrero'!AQ11),"")</f>
        <v>0.97500000000000009</v>
      </c>
      <c r="D8" s="10">
        <f>IFERROR(IF('Captura Marzo'!D11=0,"",'Captura Marzo'!AQ11),"")</f>
        <v>0.97500000000000009</v>
      </c>
      <c r="E8" s="10">
        <f>IFERROR(IF('Captura Abril'!D11=0,"",'Captura Abril'!AQ11),"")</f>
        <v>1</v>
      </c>
      <c r="F8" s="10">
        <f>IFERROR(IF('Captura Mayo'!D11=0,"",'Captura Mayo'!AQ11),"")</f>
        <v>1</v>
      </c>
      <c r="G8" s="10">
        <f>IFERROR(IF('Captura Junio'!D11=0,"",'Captura Junio'!AQ11),"")</f>
        <v>0.85</v>
      </c>
      <c r="H8" s="10">
        <f>IFERROR(IF('Captura Julio'!D11=0,"",'Captura Julio'!AQ11),"")</f>
        <v>0.94000000000000006</v>
      </c>
      <c r="I8" s="10">
        <f>IFERROR(IF('Captura Agosto'!D11=0,"",'Captura Agosto'!AQ11),"")</f>
        <v>0.43</v>
      </c>
      <c r="J8" s="10" t="str">
        <f>IFERROR(IF('Captura Septiembre'!D11=0,"",'Captura Septiembre'!AQ11),"")</f>
        <v/>
      </c>
      <c r="K8" s="10" t="str">
        <f>IFERROR(IF('Captura Octubre'!D11=0,"",'Captura Octubre'!AQ11),"")</f>
        <v/>
      </c>
      <c r="L8" s="10" t="str">
        <f>IFERROR(IF('Captura Noviembre'!D11=0,"",'Captura Noviembre'!AQ11),"")</f>
        <v/>
      </c>
      <c r="M8" s="10" t="str">
        <f>IFERROR(IF('Captura Diciembre'!D11=0,"",'Captura Diciembre'!AQ11),"")</f>
        <v/>
      </c>
      <c r="N8" s="81">
        <f t="shared" si="0"/>
        <v>0.87624999999999997</v>
      </c>
    </row>
    <row r="9" spans="1:14" ht="14.25" customHeight="1" x14ac:dyDescent="0.35">
      <c r="A9" s="80" t="s">
        <v>97</v>
      </c>
      <c r="B9" s="10">
        <f>IFERROR(IF('Captura Enero'!D14=0,"",'Captura Enero'!AQ14),"")</f>
        <v>0.99</v>
      </c>
      <c r="C9" s="10">
        <f>IFERROR(IF('Captura Febrero'!D14=0,"",'Captura Febrero'!AQ14),"")</f>
        <v>0.95</v>
      </c>
      <c r="D9" s="10">
        <f>IFERROR(IF('Captura Marzo'!D14=0,"",'Captura Marzo'!AQ14),"")</f>
        <v>0.99</v>
      </c>
      <c r="E9" s="10">
        <f>IFERROR(IF('Captura Abril'!D14=0,"",'Captura Abril'!AQ14),"")</f>
        <v>1</v>
      </c>
      <c r="F9" s="10">
        <f>IFERROR(IF('Captura Mayo'!D14=0,"",'Captura Mayo'!AQ14),"")</f>
        <v>0.9</v>
      </c>
      <c r="G9" s="10">
        <f>IFERROR(IF('Captura Junio'!D14=0,"",'Captura Junio'!AQ14),"")</f>
        <v>0.94000000000000006</v>
      </c>
      <c r="H9" s="10">
        <f>IFERROR(IF('Captura Julio'!D14=0,"",'Captura Julio'!AQ14),"")</f>
        <v>0.79</v>
      </c>
      <c r="I9" s="10">
        <f>IFERROR(IF('Captura Agosto'!D14=0,"",'Captura Agosto'!AQ14),"")</f>
        <v>0.50039999999999996</v>
      </c>
      <c r="J9" s="10" t="str">
        <f>IFERROR(IF('Captura Septiembre'!D14=0,"",'Captura Septiembre'!AQ14),"")</f>
        <v/>
      </c>
      <c r="K9" s="10" t="str">
        <f>IFERROR(IF('Captura Octubre'!D14=0,"",'Captura Octubre'!AQ14),"")</f>
        <v/>
      </c>
      <c r="L9" s="10" t="str">
        <f>IFERROR(IF('Captura Noviembre'!D14=0,"",'Captura Noviembre'!AQ14),"")</f>
        <v/>
      </c>
      <c r="M9" s="10" t="str">
        <f>IFERROR(IF('Captura Diciembre'!D14=0,"",'Captura Diciembre'!AQ14),"")</f>
        <v/>
      </c>
      <c r="N9" s="81">
        <f t="shared" si="0"/>
        <v>0.88255000000000006</v>
      </c>
    </row>
    <row r="10" spans="1:14" ht="14.25" customHeight="1" x14ac:dyDescent="0.35">
      <c r="A10" s="80" t="s">
        <v>124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0.41700000000000004</v>
      </c>
      <c r="J10" s="10" t="str">
        <f>IFERROR(IF('Captura Septiembre'!D18=0,"",'Captura Septiembre'!AQ18),"")</f>
        <v/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81">
        <f t="shared" si="0"/>
        <v>0.869281862745098</v>
      </c>
    </row>
    <row r="11" spans="1:14" ht="14.25" customHeight="1" x14ac:dyDescent="0.35">
      <c r="A11" s="80" t="s">
        <v>90</v>
      </c>
      <c r="B11" s="10">
        <f>IFERROR(IF('Captura Enero'!D16=0,"",'Captura Enero'!AQ16),"")</f>
        <v>0.9</v>
      </c>
      <c r="C11" s="10">
        <f>IFERROR(IF('Captura Febrero'!D16=0,"",'Captura Febrero'!AQ16),"")</f>
        <v>0.66428571428571437</v>
      </c>
      <c r="D11" s="10">
        <f>IFERROR(IF('Captura Marzo'!D16=0,"",'Captura Marzo'!AQ16),"")</f>
        <v>1</v>
      </c>
      <c r="E11" s="10">
        <f>IFERROR(IF('Captura Abril'!D16=0,"",'Captura Abril'!AQ16),"")</f>
        <v>0.96000000000000008</v>
      </c>
      <c r="F11" s="10">
        <f>IFERROR(IF('Captura Mayo'!D16=0,"",'Captura Mayo'!AQ16),"")</f>
        <v>1</v>
      </c>
      <c r="G11" s="10">
        <f>IFERROR(IF('Captura Junio'!D16=0,"",'Captura Junio'!AQ16),"")</f>
        <v>1</v>
      </c>
      <c r="H11" s="10">
        <f>IFERROR(IF('Captura Julio'!D16=0,"",'Captura Julio'!AQ16),"")</f>
        <v>1</v>
      </c>
      <c r="I11" s="10">
        <f>IFERROR(IF('Captura Agosto'!D16=0,"",'Captura Agosto'!AQ16),"")</f>
        <v>0.43</v>
      </c>
      <c r="J11" s="10" t="str">
        <f>IFERROR(IF('Captura Septiembre'!D16=0,"",'Captura Septiembre'!AQ16),"")</f>
        <v/>
      </c>
      <c r="K11" s="10" t="str">
        <f>IFERROR(IF('Captura Octubre'!D16=0,"",'Captura Octubre'!AQ16),"")</f>
        <v/>
      </c>
      <c r="L11" s="10" t="str">
        <f>IFERROR(IF('Captura Noviembre'!D16=0,"",'Captura Noviembre'!AQ16),"")</f>
        <v/>
      </c>
      <c r="M11" s="10" t="str">
        <f>IFERROR(IF('Captura Diciembre'!D16=0,"",'Captura Diciembre'!AQ16),"")</f>
        <v/>
      </c>
      <c r="N11" s="81">
        <f t="shared" si="0"/>
        <v>0.86928571428571422</v>
      </c>
    </row>
    <row r="12" spans="1:14" ht="14.25" customHeight="1" x14ac:dyDescent="0.35">
      <c r="A12" s="80" t="s">
        <v>87</v>
      </c>
      <c r="B12" s="10">
        <f>IFERROR(IF('Captura Enero'!D6=0,"",'Captura Enero'!AQ6),"")</f>
        <v>1</v>
      </c>
      <c r="C12" s="10">
        <f>IFERROR(IF('Captura Febrero'!D6=0,"",'Captura Febrero'!AQ6),"")</f>
        <v>0.75000000000000011</v>
      </c>
      <c r="D12" s="10">
        <f>IFERROR(IF('Captura Marzo'!D6=0,"",'Captura Marzo'!AQ6),"")</f>
        <v>1</v>
      </c>
      <c r="E12" s="10">
        <f>IFERROR(IF('Captura Abril'!D6=0,"",'Captura Abril'!AQ6),"")</f>
        <v>0.96000000000000008</v>
      </c>
      <c r="F12" s="10">
        <f>IFERROR(IF('Captura Mayo'!D6=0,"",'Captura Mayo'!AQ6),"")</f>
        <v>0.96000000000000008</v>
      </c>
      <c r="G12" s="10">
        <f>IFERROR(IF('Captura Junio'!D6=0,"",'Captura Junio'!AQ6),"")</f>
        <v>0.84000000000000008</v>
      </c>
      <c r="H12" s="10">
        <f>IFERROR(IF('Captura Julio'!D6=0,"",'Captura Julio'!AQ6),"")</f>
        <v>1</v>
      </c>
      <c r="I12" s="10">
        <f>IFERROR(IF('Captura Agosto'!D6=0,"",'Captura Agosto'!AQ6),"")</f>
        <v>0.43</v>
      </c>
      <c r="J12" s="10" t="str">
        <f>IFERROR(IF('Captura Septiembre'!D6=0,"",'Captura Septiembre'!AQ6),"")</f>
        <v/>
      </c>
      <c r="K12" s="10" t="str">
        <f>IFERROR(IF('Captura Octubre'!D6=0,"",'Captura Octubre'!AQ6),"")</f>
        <v/>
      </c>
      <c r="L12" s="10" t="str">
        <f>IFERROR(IF('Captura Noviembre'!D6=0,"",'Captura Noviembre'!AQ6),"")</f>
        <v/>
      </c>
      <c r="M12" s="10" t="str">
        <f>IFERROR(IF('Captura Diciembre'!D6=0,"",'Captura Diciembre'!AQ6),"")</f>
        <v/>
      </c>
      <c r="N12" s="81">
        <f t="shared" si="0"/>
        <v>0.86749999999999994</v>
      </c>
    </row>
    <row r="13" spans="1:14" ht="14.25" customHeight="1" x14ac:dyDescent="0.35">
      <c r="A13" s="80" t="s">
        <v>126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0.51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81">
        <f t="shared" si="0"/>
        <v>0.85031249999999992</v>
      </c>
    </row>
    <row r="14" spans="1:14" ht="14.25" customHeight="1" x14ac:dyDescent="0.35">
      <c r="A14" s="80" t="s">
        <v>93</v>
      </c>
      <c r="B14" s="10">
        <f>IFERROR(IF('Captura Enero'!D17=0,"",'Captura Enero'!AQ17),"")</f>
        <v>0.86461538461538467</v>
      </c>
      <c r="C14" s="10">
        <f>IFERROR(IF('Captura Febrero'!D17=0,"",'Captura Febrero'!AQ17),"")</f>
        <v>0.96428571428571441</v>
      </c>
      <c r="D14" s="10">
        <f>IFERROR(IF('Captura Marzo'!D17=0,"",'Captura Marzo'!AQ17),"")</f>
        <v>1</v>
      </c>
      <c r="E14" s="10">
        <f>IFERROR(IF('Captura Abril'!D17=0,"",'Captura Abril'!AQ17),"")</f>
        <v>0.74</v>
      </c>
      <c r="F14" s="10">
        <f>IFERROR(IF('Captura Mayo'!D17=0,"",'Captura Mayo'!AQ17),"")</f>
        <v>0.89</v>
      </c>
      <c r="G14" s="10">
        <f>IFERROR(IF('Captura Junio'!D17=0,"",'Captura Junio'!AQ17),"")</f>
        <v>0.79285714285714293</v>
      </c>
      <c r="H14" s="10">
        <f>IFERROR(IF('Captura Julio'!D17=0,"",'Captura Julio'!AQ17),"")</f>
        <v>0.83</v>
      </c>
      <c r="I14" s="10">
        <f>IFERROR(IF('Captura Agosto'!D17=0,"",'Captura Agosto'!AQ17),"")</f>
        <v>0.42200000000000004</v>
      </c>
      <c r="J14" s="10" t="str">
        <f>IFERROR(IF('Captura Septiembre'!D17=0,"",'Captura Septiembre'!AQ17),"")</f>
        <v/>
      </c>
      <c r="K14" s="10" t="str">
        <f>IFERROR(IF('Captura Octubre'!D17=0,"",'Captura Octubre'!AQ17),"")</f>
        <v/>
      </c>
      <c r="L14" s="10" t="str">
        <f>IFERROR(IF('Captura Noviembre'!D17=0,"",'Captura Noviembre'!AQ17),"")</f>
        <v/>
      </c>
      <c r="M14" s="10" t="str">
        <f>IFERROR(IF('Captura Diciembre'!D17=0,"",'Captura Diciembre'!AQ17),"")</f>
        <v/>
      </c>
      <c r="N14" s="81">
        <f t="shared" si="0"/>
        <v>0.81296978021978017</v>
      </c>
    </row>
    <row r="15" spans="1:14" ht="14.25" customHeight="1" x14ac:dyDescent="0.35">
      <c r="A15" s="80" t="s">
        <v>117</v>
      </c>
      <c r="B15" s="10">
        <f>IFERROR(IF('Captura Enero'!D15=0,"",'Captura Enero'!AQ15),"")</f>
        <v>0.94000000000000006</v>
      </c>
      <c r="C15" s="10">
        <f>IFERROR(IF('Captura Febrero'!D15=0,"",'Captura Febrero'!AQ15),"")</f>
        <v>0.98473684210526335</v>
      </c>
      <c r="D15" s="10">
        <f>IFERROR(IF('Captura Marzo'!D15=0,"",'Captura Marzo'!AQ15),"")</f>
        <v>1</v>
      </c>
      <c r="E15" s="10">
        <f>IFERROR(IF('Captura Abril'!D15=0,"",'Captura Abril'!AQ15),"")</f>
        <v>0.87000000000000011</v>
      </c>
      <c r="F15" s="10">
        <f>IFERROR(IF('Captura Mayo'!D15=0,"",'Captura Mayo'!AQ15),"")</f>
        <v>0.69000000000000006</v>
      </c>
      <c r="G15" s="10">
        <f>IFERROR(IF('Captura Junio'!D15=0,"",'Captura Junio'!AQ15),"")</f>
        <v>0.74444444444444446</v>
      </c>
      <c r="H15" s="10">
        <f>IFERROR(IF('Captura Julio'!D15=0,"",'Captura Julio'!AQ15),"")</f>
        <v>0.75</v>
      </c>
      <c r="I15" s="10">
        <f>IFERROR(IF('Captura Agosto'!D15=0,"",'Captura Agosto'!AQ15),"")</f>
        <v>0.38200000000000001</v>
      </c>
      <c r="J15" s="10" t="str">
        <f>IFERROR(IF('Captura Septiembre'!D15=0,"",'Captura Septiembre'!AQ15),"")</f>
        <v/>
      </c>
      <c r="K15" s="10" t="str">
        <f>IFERROR(IF('Captura Octubre'!D15=0,"",'Captura Octubre'!AQ15),"")</f>
        <v/>
      </c>
      <c r="L15" s="10" t="str">
        <f>IFERROR(IF('Captura Noviembre'!D15=0,"",'Captura Noviembre'!AQ15),"")</f>
        <v/>
      </c>
      <c r="M15" s="10" t="str">
        <f>IFERROR(IF('Captura Diciembre'!D15=0,"",'Captura Diciembre'!AQ15),"")</f>
        <v/>
      </c>
      <c r="N15" s="81">
        <f t="shared" si="0"/>
        <v>0.79514766081871346</v>
      </c>
    </row>
    <row r="16" spans="1:14" ht="14.25" customHeight="1" x14ac:dyDescent="0.35">
      <c r="A16" s="80" t="s">
        <v>114</v>
      </c>
      <c r="B16" s="10">
        <f>IFERROR(IF('Captura Enero'!D12=0,"",'Captura Enero'!AQ12),"")</f>
        <v>0.79</v>
      </c>
      <c r="C16" s="10">
        <f>IFERROR(IF('Captura Febrero'!D12=0,"",'Captura Febrero'!AQ12),"")</f>
        <v>0.9</v>
      </c>
      <c r="D16" s="10">
        <f>IFERROR(IF('Captura Marzo'!D12=0,"",'Captura Marzo'!AQ12),"")</f>
        <v>0.95</v>
      </c>
      <c r="E16" s="10">
        <f>IFERROR(IF('Captura Abril'!D12=0,"",'Captura Abril'!AQ12),"")</f>
        <v>1</v>
      </c>
      <c r="F16" s="10">
        <f>IFERROR(IF('Captura Mayo'!D12=0,"",'Captura Mayo'!AQ12),"")</f>
        <v>0.7</v>
      </c>
      <c r="G16" s="10">
        <f>IFERROR(IF('Captura Junio'!D12=0,"",'Captura Junio'!AQ12),"")</f>
        <v>0.70130434782608708</v>
      </c>
      <c r="H16" s="10">
        <f>IFERROR(IF('Captura Julio'!D12=0,"",'Captura Julio'!AQ12),"")</f>
        <v>0.9</v>
      </c>
      <c r="I16" s="10">
        <f>IFERROR(IF('Captura Agosto'!D12=0,"",'Captura Agosto'!AQ12),"")</f>
        <v>0.42000000000000004</v>
      </c>
      <c r="J16" s="10" t="str">
        <f>IFERROR(IF('Captura Septiembre'!D12=0,"",'Captura Septiembre'!AQ12),"")</f>
        <v/>
      </c>
      <c r="K16" s="10" t="str">
        <f>IFERROR(IF('Captura Octubre'!D12=0,"",'Captura Octubre'!AQ12),"")</f>
        <v/>
      </c>
      <c r="L16" s="10" t="str">
        <f>IFERROR(IF('Captura Noviembre'!D12=0,"",'Captura Noviembre'!AQ12),"")</f>
        <v/>
      </c>
      <c r="M16" s="10" t="str">
        <f>IFERROR(IF('Captura Diciembre'!D12=0,"",'Captura Diciembre'!AQ12),"")</f>
        <v/>
      </c>
      <c r="N16" s="81">
        <f t="shared" si="0"/>
        <v>0.79516304347826094</v>
      </c>
    </row>
    <row r="17" spans="1:14" ht="14.25" customHeight="1" x14ac:dyDescent="0.35">
      <c r="A17" s="80" t="s">
        <v>107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0.49419999999999997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81">
        <f t="shared" si="0"/>
        <v>0.78552499999999992</v>
      </c>
    </row>
    <row r="18" spans="1:14" ht="14.25" customHeight="1" x14ac:dyDescent="0.35">
      <c r="A18" s="80" t="s">
        <v>119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0.35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81">
        <f t="shared" si="0"/>
        <v>0.74624999999999997</v>
      </c>
    </row>
    <row r="19" spans="1:14" ht="18" customHeight="1" x14ac:dyDescent="0.35">
      <c r="A19" s="82" t="s">
        <v>265</v>
      </c>
      <c r="B19" s="83">
        <f t="shared" ref="B19:M19" si="1">IFERROR(AVERAGE(B4:B18),"")</f>
        <v>0.93030769230769239</v>
      </c>
      <c r="C19" s="83">
        <f t="shared" si="1"/>
        <v>0.91092643373138737</v>
      </c>
      <c r="D19" s="83">
        <f t="shared" si="1"/>
        <v>0.99283333333333335</v>
      </c>
      <c r="E19" s="83">
        <f t="shared" si="1"/>
        <v>0.93466666666666665</v>
      </c>
      <c r="F19" s="83">
        <f t="shared" si="1"/>
        <v>0.87666666666666671</v>
      </c>
      <c r="G19" s="83">
        <f t="shared" si="1"/>
        <v>0.83357372900851179</v>
      </c>
      <c r="H19" s="83">
        <f t="shared" si="1"/>
        <v>0.88027777777777794</v>
      </c>
      <c r="I19" s="83">
        <f t="shared" si="1"/>
        <v>0.43205333333333329</v>
      </c>
      <c r="J19" s="83" t="str">
        <f t="shared" si="1"/>
        <v/>
      </c>
      <c r="K19" s="83" t="str">
        <f t="shared" si="1"/>
        <v/>
      </c>
      <c r="L19" s="83" t="str">
        <f t="shared" si="1"/>
        <v/>
      </c>
      <c r="M19" s="83" t="str">
        <f t="shared" si="1"/>
        <v/>
      </c>
      <c r="N19" s="84">
        <f>AVERAGE(B19:H19)</f>
        <v>0.90846461421314806</v>
      </c>
    </row>
    <row r="24" spans="1:14" ht="14.25" customHeight="1" x14ac:dyDescent="0.35">
      <c r="M24" s="77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F98439B8-0535-46FB-9AA1-827C12A2EA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19E0A5-F92D-4CF5-9144-F5DB77EEAA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74165-F1C6-4E67-B303-57398CFB5869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1</vt:i4>
      </vt:variant>
    </vt:vector>
  </HeadingPairs>
  <TitlesOfParts>
    <vt:vector size="20" baseType="lpstr">
      <vt:lpstr>Portada</vt:lpstr>
      <vt:lpstr>Calculos</vt:lpstr>
      <vt:lpstr>Dashboard Ejecutivo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9</cp:revision>
  <dcterms:created xsi:type="dcterms:W3CDTF">2026-06-26T21:12:07Z</dcterms:created>
  <dcterms:modified xsi:type="dcterms:W3CDTF">2026-08-13T23:15:24Z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