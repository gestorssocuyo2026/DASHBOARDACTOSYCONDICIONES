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mariposacbc.sharepoint.com/sites/ParamdicosPlantaCuyo/Shared Documents/General/Dashboard Resultados SSO/"/>
    </mc:Choice>
  </mc:AlternateContent>
  <xr:revisionPtr revIDLastSave="8154" documentId="13_ncr:1_{99ECC97C-D9AD-41BB-A6C8-3EB700DD64D0}" xr6:coauthVersionLast="47" xr6:coauthVersionMax="47" xr10:uidLastSave="{3FAEC252-06AE-4F87-9EBF-A70E58B69B8B}"/>
  <bookViews>
    <workbookView xWindow="-110" yWindow="-110" windowWidth="19420" windowHeight="11500" tabRatio="798" activeTab="1" xr2:uid="{AAF910ED-4187-424D-92E8-072102732B01}"/>
  </bookViews>
  <sheets>
    <sheet name="Actos Acumulados" sheetId="1" r:id="rId1"/>
    <sheet name="Condiciones Acumuladas" sheetId="2" r:id="rId2"/>
    <sheet name="Hoja1" sheetId="5" state="hidden" r:id="rId3"/>
    <sheet name="Incidentes-Accidentes" sheetId="3" state="hidden" r:id="rId4"/>
    <sheet name="Fechas Inc-Acci" sheetId="4" state="hidden" r:id="rId5"/>
  </sheets>
  <definedNames>
    <definedName name="_xlnm._FilterDatabase" localSheetId="0" hidden="1">'Actos Acumulados'!$K$1414:$K$1414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24" i="2" l="1"/>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23" i="2"/>
  <c r="E4719" i="2"/>
  <c r="E4720" i="2"/>
  <c r="E4721" i="2"/>
  <c r="E4722" i="2"/>
  <c r="E4623" i="2"/>
  <c r="E4570" i="2"/>
  <c r="E4569" i="2"/>
  <c r="E4538" i="2"/>
  <c r="E4537" i="2"/>
  <c r="E4493" i="2"/>
  <c r="E4494" i="2"/>
  <c r="E4622" i="2"/>
  <c r="E4615" i="2"/>
  <c r="E4690" i="2"/>
  <c r="E4501" i="2"/>
  <c r="E4484" i="2"/>
  <c r="E4525" i="2"/>
  <c r="E4707" i="2"/>
  <c r="E4573" i="2"/>
  <c r="E4524" i="2"/>
  <c r="E4609" i="2"/>
  <c r="E4658" i="2"/>
  <c r="E4575" i="2"/>
  <c r="E4679" i="2"/>
  <c r="E4610" i="2"/>
  <c r="E4482" i="2"/>
  <c r="E4712" i="2"/>
  <c r="E4592" i="2"/>
  <c r="E4593" i="2"/>
  <c r="E4558" i="2"/>
  <c r="E4559" i="2"/>
  <c r="E4706" i="2"/>
  <c r="E4536" i="2"/>
  <c r="E4523" i="2"/>
  <c r="E4680" i="2"/>
  <c r="E4681" i="2"/>
  <c r="E4682" i="2"/>
  <c r="E4683" i="2"/>
  <c r="E4588" i="2"/>
  <c r="E4483" i="2"/>
  <c r="E4551" i="2"/>
  <c r="E4552" i="2"/>
  <c r="E4553" i="2"/>
  <c r="E4539" i="2"/>
  <c r="E4540" i="2"/>
  <c r="E4498" i="2"/>
  <c r="E4499" i="2"/>
  <c r="E4500" i="2"/>
  <c r="E4644" i="2"/>
  <c r="E4657" i="2"/>
  <c r="E4490" i="2"/>
  <c r="E4491" i="2"/>
  <c r="E4492" i="2"/>
  <c r="E4497" i="2"/>
  <c r="E4481" i="2"/>
  <c r="E4614" i="2"/>
  <c r="E4517" i="2"/>
  <c r="E4518" i="2"/>
  <c r="E4519" i="2"/>
  <c r="E4520" i="2"/>
  <c r="E4521" i="2"/>
  <c r="E4522" i="2"/>
  <c r="E4530" i="2"/>
  <c r="E4531" i="2"/>
  <c r="E4532" i="2"/>
  <c r="E4533" i="2"/>
  <c r="E4574" i="2"/>
  <c r="E4652" i="2"/>
  <c r="E4716" i="2"/>
  <c r="E4550" i="2"/>
  <c r="E4705" i="2"/>
  <c r="E4587" i="2"/>
  <c r="E4534" i="2"/>
  <c r="E4535" i="2"/>
  <c r="E4563" i="2"/>
  <c r="E4564" i="2"/>
  <c r="E4565" i="2"/>
  <c r="E4566" i="2"/>
  <c r="E4567" i="2"/>
  <c r="E4568" i="2"/>
  <c r="E4640" i="2"/>
  <c r="E4641" i="2"/>
  <c r="E4650" i="2"/>
  <c r="E4677" i="2"/>
  <c r="E4577" i="2"/>
  <c r="E4578" i="2"/>
  <c r="E4616" i="2"/>
  <c r="E4617" i="2"/>
  <c r="E4618" i="2"/>
  <c r="E4619" i="2"/>
  <c r="E4579" i="2"/>
  <c r="E4620" i="2"/>
  <c r="E4561" i="2"/>
  <c r="E4621" i="2"/>
  <c r="E4580" i="2"/>
  <c r="E4642" i="2"/>
  <c r="E4643" i="2"/>
  <c r="E4678" i="2"/>
  <c r="E4639" i="2"/>
  <c r="E4665" i="2"/>
  <c r="E4666" i="2"/>
  <c r="E4667" i="2"/>
  <c r="E4651" i="2"/>
  <c r="E4502" i="2"/>
  <c r="E4688" i="2"/>
  <c r="E4488" i="2"/>
  <c r="E4715" i="2"/>
  <c r="E4549" i="2"/>
  <c r="E4711" i="2"/>
  <c r="E4503" i="2"/>
  <c r="E4504" i="2"/>
  <c r="E4489" i="2"/>
  <c r="E4689" i="2"/>
  <c r="E4663" i="2"/>
  <c r="E4664" i="2"/>
  <c r="E4635" i="2"/>
  <c r="E4636" i="2"/>
  <c r="E4637" i="2"/>
  <c r="E4638" i="2"/>
  <c r="E4708" i="2"/>
  <c r="E4709" i="2"/>
  <c r="E4710" i="2"/>
  <c r="E4547" i="2"/>
  <c r="E4548" i="2"/>
  <c r="E4662" i="2"/>
  <c r="E4633" i="2"/>
  <c r="E4634" i="2"/>
  <c r="E4700" i="2"/>
  <c r="E4701" i="2"/>
  <c r="E4661" i="2"/>
  <c r="E4516" i="2"/>
  <c r="E4557" i="2"/>
  <c r="E4632" i="2"/>
  <c r="E4473" i="2"/>
  <c r="E4691" i="2"/>
  <c r="E4645" i="2"/>
  <c r="E4646" i="2"/>
  <c r="E4583" i="2"/>
  <c r="E4474" i="2"/>
  <c r="E4584" i="2"/>
  <c r="E4687" i="2"/>
  <c r="E4585" i="2"/>
  <c r="E4647" i="2"/>
  <c r="E4648" i="2"/>
  <c r="E4591" i="2"/>
  <c r="E4586" i="2"/>
  <c r="E4649" i="2"/>
  <c r="E4546" i="2"/>
  <c r="E4529" i="2"/>
  <c r="E4479" i="2"/>
  <c r="E4613" i="2"/>
  <c r="E4480" i="2"/>
  <c r="E4571" i="2"/>
  <c r="E4608" i="2"/>
  <c r="E4692" i="2"/>
  <c r="E4693" i="2"/>
  <c r="E4694" i="2"/>
  <c r="E4695" i="2"/>
  <c r="E4696" i="2"/>
  <c r="E4697" i="2"/>
  <c r="E4698" i="2"/>
  <c r="E4699" i="2"/>
  <c r="E4631" i="2"/>
  <c r="E4485" i="2"/>
  <c r="E4486" i="2"/>
  <c r="E4487" i="2"/>
  <c r="E4562" i="2"/>
  <c r="E4630" i="2"/>
  <c r="E4659" i="2"/>
  <c r="E4660" i="2"/>
  <c r="E4612" i="2"/>
  <c r="E4628" i="2"/>
  <c r="E4629" i="2"/>
  <c r="E4505" i="2"/>
  <c r="E4506" i="2"/>
  <c r="E4507" i="2"/>
  <c r="E4717" i="2"/>
  <c r="E4514" i="2"/>
  <c r="E4526" i="2"/>
  <c r="E4527" i="2"/>
  <c r="E4713" i="2"/>
  <c r="E4686" i="2"/>
  <c r="E4589" i="2"/>
  <c r="E4515" i="2"/>
  <c r="E4582" i="2"/>
  <c r="E4714" i="2"/>
  <c r="E4653" i="2"/>
  <c r="E4545" i="2"/>
  <c r="E4590" i="2"/>
  <c r="E4555" i="2"/>
  <c r="E4556" i="2"/>
  <c r="E4654" i="2"/>
  <c r="E4675" i="2"/>
  <c r="E4655" i="2"/>
  <c r="E4656" i="2"/>
  <c r="E4718" i="2"/>
  <c r="E4676" i="2"/>
  <c r="E4478" i="2"/>
  <c r="E4528" i="2"/>
  <c r="E4703" i="2"/>
  <c r="E4704" i="2"/>
  <c r="E4627" i="2"/>
  <c r="E4601" i="2"/>
  <c r="E4602" i="2"/>
  <c r="E4603" i="2"/>
  <c r="E4604" i="2"/>
  <c r="E4605" i="2"/>
  <c r="E4606" i="2"/>
  <c r="E4607" i="2"/>
  <c r="E4599" i="2"/>
  <c r="E4495" i="2"/>
  <c r="E4496" i="2"/>
  <c r="E4684" i="2"/>
  <c r="E4685" i="2"/>
  <c r="E4510" i="2"/>
  <c r="E4472" i="2"/>
  <c r="E4511" i="2"/>
  <c r="E4702" i="2"/>
  <c r="E4594" i="2"/>
  <c r="E4595" i="2"/>
  <c r="E4596" i="2"/>
  <c r="E4597" i="2"/>
  <c r="E4598" i="2"/>
  <c r="E4576" i="2"/>
  <c r="E4512" i="2"/>
  <c r="E4673" i="2"/>
  <c r="E4674" i="2"/>
  <c r="E4544" i="2"/>
  <c r="E4600" i="2"/>
  <c r="E4513" i="2"/>
  <c r="E4572" i="2"/>
  <c r="E4509" i="2"/>
  <c r="E4541" i="2"/>
  <c r="E4581" i="2"/>
  <c r="E4542" i="2"/>
  <c r="E4611" i="2"/>
  <c r="E4543" i="2"/>
  <c r="E4624" i="2"/>
  <c r="E4625" i="2"/>
  <c r="E4475" i="2"/>
  <c r="E4560" i="2"/>
  <c r="E4476" i="2"/>
  <c r="E4477" i="2"/>
  <c r="E4668" i="2"/>
  <c r="E4669" i="2"/>
  <c r="E4670" i="2"/>
  <c r="E4671" i="2"/>
  <c r="E4672" i="2"/>
  <c r="E4626" i="2"/>
  <c r="E4554" i="2"/>
  <c r="E4508" i="2"/>
  <c r="E4375" i="2"/>
  <c r="E4469" i="2"/>
  <c r="E4470" i="2"/>
  <c r="E4471" i="2"/>
  <c r="E4464" i="2"/>
  <c r="E4465" i="2"/>
  <c r="E4466" i="2"/>
  <c r="E4467" i="2"/>
  <c r="E4468" i="2"/>
  <c r="E4444" i="2"/>
  <c r="E4445" i="2"/>
  <c r="E4446" i="2"/>
  <c r="E4447" i="2"/>
  <c r="E4448" i="2"/>
  <c r="E4449" i="2"/>
  <c r="E4450" i="2"/>
  <c r="E4451" i="2"/>
  <c r="E4452" i="2"/>
  <c r="E4453" i="2"/>
  <c r="E4454" i="2"/>
  <c r="E4455" i="2"/>
  <c r="E4456" i="2"/>
  <c r="E4457" i="2"/>
  <c r="E4458" i="2"/>
  <c r="E4459" i="2"/>
  <c r="E4460" i="2"/>
  <c r="E4461" i="2"/>
  <c r="E4462" i="2"/>
  <c r="E4463" i="2"/>
  <c r="E4443" i="2"/>
  <c r="E4436" i="2"/>
  <c r="E4437" i="2"/>
  <c r="E4438" i="2"/>
  <c r="E4439" i="2"/>
  <c r="E4440" i="2"/>
  <c r="E4441" i="2"/>
  <c r="E4442" i="2"/>
  <c r="E4435" i="2"/>
  <c r="E4434" i="2"/>
  <c r="E4432" i="2"/>
  <c r="E4433"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366" i="2"/>
  <c r="E4367" i="2"/>
  <c r="E4368" i="2"/>
  <c r="E4369" i="2"/>
  <c r="E4370" i="2"/>
  <c r="E4371" i="2"/>
  <c r="E4372" i="2"/>
  <c r="E4373" i="2"/>
  <c r="E4374" i="2"/>
  <c r="E4376" i="2"/>
  <c r="E4377" i="2"/>
  <c r="E4378" i="2"/>
  <c r="E4379" i="2"/>
  <c r="E4380" i="2"/>
  <c r="E4381" i="2"/>
  <c r="E4382" i="2"/>
  <c r="E4383" i="2"/>
  <c r="E4384" i="2"/>
  <c r="E4385" i="2"/>
  <c r="E4386" i="2"/>
  <c r="E4387" i="2"/>
  <c r="E4388" i="2"/>
  <c r="E4389" i="2"/>
  <c r="E4390" i="2"/>
  <c r="E4391" i="2"/>
  <c r="E4392" i="2"/>
  <c r="E4393" i="2"/>
  <c r="E4394" i="2"/>
  <c r="E4395" i="2"/>
  <c r="E4396" i="2"/>
  <c r="E4397" i="2"/>
  <c r="E4365" i="2"/>
  <c r="E4364" i="2"/>
  <c r="E4352" i="2"/>
  <c r="E4353" i="2"/>
  <c r="E4354" i="2"/>
  <c r="E4355" i="2"/>
  <c r="E4356" i="2"/>
  <c r="E4357" i="2"/>
  <c r="E4358" i="2"/>
  <c r="E4359" i="2"/>
  <c r="E4360" i="2"/>
  <c r="E4361" i="2"/>
  <c r="E4362" i="2"/>
  <c r="E4363" i="2"/>
  <c r="E4246" i="2"/>
  <c r="E4307" i="2"/>
  <c r="E4291" i="2"/>
  <c r="E4292" i="2"/>
  <c r="E4240" i="2"/>
  <c r="E4306" i="2"/>
  <c r="E4248" i="2"/>
  <c r="E4249" i="2"/>
  <c r="E4250" i="2"/>
  <c r="E4294" i="2"/>
  <c r="E4261" i="2"/>
  <c r="E4255" i="2"/>
  <c r="E4256" i="2"/>
  <c r="E4257" i="2"/>
  <c r="E4258" i="2"/>
  <c r="E4259" i="2"/>
  <c r="E4260" i="2"/>
  <c r="E4247" i="2"/>
  <c r="E4288" i="2"/>
  <c r="E4297" i="2"/>
  <c r="E4296" i="2"/>
  <c r="E4336" i="2"/>
  <c r="E4337" i="2"/>
  <c r="E4338" i="2"/>
  <c r="E4339" i="2"/>
  <c r="E4340" i="2"/>
  <c r="E4341" i="2"/>
  <c r="E4342" i="2"/>
  <c r="E4343" i="2"/>
  <c r="E4344" i="2"/>
  <c r="E4345" i="2"/>
  <c r="E4346" i="2"/>
  <c r="E4347" i="2"/>
  <c r="E4268" i="2"/>
  <c r="E4269" i="2"/>
  <c r="E4270" i="2"/>
  <c r="E4334" i="2"/>
  <c r="E4271" i="2"/>
  <c r="E4024" i="2"/>
  <c r="E4083" i="2"/>
  <c r="E4146" i="2"/>
  <c r="E4304" i="2"/>
  <c r="E4321" i="2"/>
  <c r="E4285" i="2"/>
  <c r="E4286" i="2"/>
  <c r="E4305" i="2"/>
  <c r="E4287" i="2"/>
  <c r="E4245" i="2"/>
  <c r="E4284" i="2"/>
  <c r="E4319" i="2"/>
  <c r="E4320" i="2"/>
  <c r="E4318" i="2"/>
  <c r="E4327" i="2"/>
  <c r="E4328" i="2"/>
  <c r="E4329" i="2"/>
  <c r="E4317" i="2"/>
  <c r="E4326" i="2"/>
  <c r="E4254" i="2"/>
  <c r="E4293" i="2"/>
  <c r="E4290" i="2"/>
  <c r="E4332" i="2"/>
  <c r="E4333" i="2"/>
  <c r="E4282" i="2"/>
  <c r="E4283" i="2"/>
  <c r="E4300" i="2"/>
  <c r="E4301" i="2"/>
  <c r="E4277" i="2"/>
  <c r="E4348" i="2"/>
  <c r="E4278" i="2"/>
  <c r="E4266" i="2"/>
  <c r="E4267" i="2"/>
  <c r="E4316" i="2"/>
  <c r="E4265" i="2"/>
  <c r="E4252" i="2"/>
  <c r="E4251" i="2"/>
  <c r="E4276" i="2"/>
  <c r="E4331" i="2"/>
  <c r="E4330" i="2"/>
  <c r="E4303" i="2"/>
  <c r="E4264" i="2"/>
  <c r="E4263" i="2"/>
  <c r="E4262" i="2"/>
  <c r="E4295" i="2"/>
  <c r="E4351" i="2"/>
  <c r="E4281" i="2"/>
  <c r="E4280" i="2"/>
  <c r="E4302" i="2"/>
  <c r="E4279" i="2"/>
  <c r="E4299" i="2"/>
  <c r="E4298" i="2"/>
  <c r="E4244" i="2"/>
  <c r="E4243" i="2"/>
  <c r="E4242" i="2"/>
  <c r="E4335" i="2"/>
  <c r="E4311" i="2"/>
  <c r="E4310" i="2"/>
  <c r="E4309" i="2"/>
  <c r="E4308" i="2"/>
  <c r="E4350" i="2"/>
  <c r="E4349" i="2"/>
  <c r="E4275" i="2"/>
  <c r="E4325" i="2"/>
  <c r="E4324" i="2"/>
  <c r="E4323" i="2"/>
  <c r="E4274" i="2"/>
  <c r="E4315" i="2"/>
  <c r="E4273" i="2"/>
  <c r="E4272" i="2"/>
  <c r="E4314" i="2"/>
  <c r="E4313" i="2"/>
  <c r="E4322" i="2"/>
  <c r="E4312" i="2"/>
  <c r="E4134" i="2"/>
  <c r="E4135" i="2"/>
  <c r="E4014" i="2"/>
  <c r="E4015" i="2"/>
  <c r="E4016" i="2"/>
  <c r="E4017" i="2"/>
  <c r="E4018" i="2"/>
  <c r="E4019" i="2"/>
  <c r="E4020" i="2"/>
  <c r="E4021" i="2"/>
  <c r="E4133" i="2"/>
  <c r="E4253" i="2"/>
  <c r="E4289" i="2"/>
  <c r="E4241" i="2"/>
  <c r="E4060" i="2"/>
  <c r="E4061" i="2"/>
  <c r="E4161" i="2"/>
  <c r="E4162" i="2"/>
  <c r="E4132" i="2"/>
  <c r="E4180" i="2"/>
  <c r="E4108" i="2"/>
  <c r="E4109" i="2"/>
  <c r="E4239" i="2"/>
  <c r="E4025" i="2"/>
  <c r="E4144" i="2"/>
  <c r="E4198" i="2"/>
  <c r="E4110" i="2"/>
  <c r="E4165" i="2"/>
  <c r="E4111" i="2"/>
  <c r="E4114" i="2"/>
  <c r="E4062" i="2"/>
  <c r="E4112" i="2"/>
  <c r="E4099" i="2"/>
  <c r="E4063" i="2"/>
  <c r="E4039" i="2"/>
  <c r="E4147" i="2"/>
  <c r="E4095" i="2"/>
  <c r="E4040" i="2"/>
  <c r="E4191" i="2"/>
  <c r="E4029" i="2"/>
  <c r="E4028" i="2"/>
  <c r="E4027" i="2"/>
  <c r="E4036" i="2"/>
  <c r="E4037" i="2"/>
  <c r="E4038" i="2"/>
  <c r="E4209" i="2"/>
  <c r="E4190" i="2"/>
  <c r="E4208" i="2"/>
  <c r="E4206" i="2"/>
  <c r="E4207" i="2"/>
  <c r="E4064" i="2"/>
  <c r="E4097" i="2"/>
  <c r="E4170" i="2"/>
  <c r="E4130" i="2"/>
  <c r="E4142" i="2"/>
  <c r="E4155" i="2"/>
  <c r="E4078" i="2"/>
  <c r="E4143" i="2"/>
  <c r="E4156" i="2"/>
  <c r="E4079" i="2"/>
  <c r="E4131" i="2"/>
  <c r="E4204" i="2"/>
  <c r="E4205" i="2"/>
  <c r="E4093" i="2"/>
  <c r="E4091" i="2"/>
  <c r="E4057" i="2"/>
  <c r="E4128" i="2"/>
  <c r="E4113" i="2"/>
  <c r="E4098" i="2"/>
  <c r="E4129" i="2"/>
  <c r="E4176" i="2"/>
  <c r="E4177" i="2"/>
  <c r="E4178" i="2"/>
  <c r="E4179" i="2"/>
  <c r="E4140" i="2"/>
  <c r="E4058" i="2"/>
  <c r="E4141" i="2"/>
  <c r="E4160" i="2"/>
  <c r="E4092" i="2"/>
  <c r="E4059" i="2"/>
  <c r="E4055" i="2"/>
  <c r="E4226" i="2"/>
  <c r="E4236" i="2"/>
  <c r="E4227" i="2"/>
  <c r="E4186" i="2"/>
  <c r="E4228" i="2"/>
  <c r="E4231" i="2"/>
  <c r="E4197" i="2"/>
  <c r="E4138" i="2"/>
  <c r="E4125" i="2"/>
  <c r="E4159" i="2"/>
  <c r="E4237" i="2"/>
  <c r="E4126" i="2"/>
  <c r="E4139" i="2"/>
  <c r="E4238" i="2"/>
  <c r="E4229" i="2"/>
  <c r="E4077" i="2"/>
  <c r="E4175" i="2"/>
  <c r="E4230" i="2"/>
  <c r="E4056" i="2"/>
  <c r="E4127" i="2"/>
  <c r="E4074" i="2"/>
  <c r="E4075" i="2"/>
  <c r="E4076" i="2"/>
  <c r="E4090" i="2"/>
  <c r="E4034" i="2"/>
  <c r="E4166" i="2"/>
  <c r="E4167" i="2"/>
  <c r="E4168" i="2"/>
  <c r="E4102" i="2"/>
  <c r="E4103" i="2"/>
  <c r="E4104" i="2"/>
  <c r="E4071" i="2"/>
  <c r="E4173" i="2"/>
  <c r="E4105" i="2"/>
  <c r="E4106" i="2"/>
  <c r="E4072" i="2"/>
  <c r="E4035" i="2"/>
  <c r="E4107" i="2"/>
  <c r="E4174" i="2"/>
  <c r="E4195" i="2"/>
  <c r="E4073" i="2"/>
  <c r="E4221" i="2"/>
  <c r="E4222" i="2"/>
  <c r="E4152" i="2"/>
  <c r="E4182" i="2"/>
  <c r="E4223" i="2"/>
  <c r="E4047" i="2"/>
  <c r="E4224" i="2"/>
  <c r="E4196" i="2"/>
  <c r="E4048" i="2"/>
  <c r="E4233" i="2"/>
  <c r="E4049" i="2"/>
  <c r="E4050" i="2"/>
  <c r="E4183" i="2"/>
  <c r="E4051" i="2"/>
  <c r="E4052" i="2"/>
  <c r="E4053" i="2"/>
  <c r="E4054" i="2"/>
  <c r="E4225" i="2"/>
  <c r="E4234" i="2"/>
  <c r="E4169" i="2"/>
  <c r="E4203" i="2"/>
  <c r="E4184" i="2"/>
  <c r="E4185" i="2"/>
  <c r="E4096" i="2"/>
  <c r="E4082" i="2"/>
  <c r="E4081" i="2"/>
  <c r="E4026" i="2"/>
  <c r="E4202" i="2"/>
  <c r="E4201" i="2"/>
  <c r="E4145" i="2"/>
  <c r="E4065" i="2"/>
  <c r="E4066" i="2"/>
  <c r="E4067" i="2"/>
  <c r="E4181" i="2"/>
  <c r="E4068" i="2"/>
  <c r="E4069" i="2"/>
  <c r="E4070" i="2"/>
  <c r="E4163" i="2"/>
  <c r="E4200" i="2"/>
  <c r="E4158" i="2"/>
  <c r="E4033" i="2"/>
  <c r="E4153" i="2"/>
  <c r="E4154" i="2"/>
  <c r="E4042" i="2"/>
  <c r="E4118" i="2"/>
  <c r="E4119" i="2"/>
  <c r="E4171" i="2"/>
  <c r="E4120" i="2"/>
  <c r="E4121" i="2"/>
  <c r="E4122" i="2"/>
  <c r="E4211" i="2"/>
  <c r="E4212" i="2"/>
  <c r="E4213" i="2"/>
  <c r="E4157" i="2"/>
  <c r="E4214" i="2"/>
  <c r="E4088" i="2"/>
  <c r="E4089" i="2"/>
  <c r="E4193" i="2"/>
  <c r="E4215" i="2"/>
  <c r="E4232" i="2"/>
  <c r="E4085" i="2"/>
  <c r="E4172" i="2"/>
  <c r="E4136" i="2"/>
  <c r="E4235" i="2"/>
  <c r="E4164" i="2"/>
  <c r="E4188" i="2"/>
  <c r="E4194" i="2"/>
  <c r="E4137" i="2"/>
  <c r="E4216" i="2"/>
  <c r="E4217" i="2"/>
  <c r="E4030" i="2"/>
  <c r="E4023" i="2"/>
  <c r="E4086" i="2"/>
  <c r="E4031" i="2"/>
  <c r="E4151" i="2"/>
  <c r="E4218" i="2"/>
  <c r="E4032" i="2"/>
  <c r="E4219" i="2"/>
  <c r="E4094" i="2"/>
  <c r="E4012" i="2"/>
  <c r="E4013" i="2"/>
  <c r="E4220" i="2"/>
  <c r="E4043" i="2"/>
  <c r="E4044" i="2"/>
  <c r="E4045" i="2"/>
  <c r="E4100" i="2"/>
  <c r="E4046" i="2"/>
  <c r="E4101" i="2"/>
  <c r="E4123" i="2"/>
  <c r="E4124" i="2"/>
  <c r="E4041" i="2"/>
  <c r="E4187" i="2"/>
  <c r="E4199" i="2"/>
  <c r="E4080" i="2"/>
  <c r="E4009" i="2"/>
  <c r="E4010" i="2"/>
  <c r="E4148" i="2"/>
  <c r="E4011" i="2"/>
  <c r="E4189" i="2"/>
  <c r="E4115" i="2"/>
  <c r="E4116" i="2"/>
  <c r="E4149" i="2"/>
  <c r="E4210" i="2"/>
  <c r="E4192" i="2"/>
  <c r="E4022" i="2"/>
  <c r="E4084" i="2"/>
  <c r="E4117" i="2"/>
  <c r="E4150" i="2"/>
  <c r="E4087" i="2"/>
  <c r="E4008" i="2"/>
  <c r="E4006" i="2"/>
  <c r="E4007" i="2"/>
  <c r="E4005" i="2"/>
  <c r="E4003" i="2"/>
  <c r="E4004" i="2"/>
  <c r="E4002" i="2"/>
  <c r="E4001" i="2"/>
  <c r="E4000" i="2"/>
  <c r="E3999" i="2"/>
  <c r="E3998" i="2"/>
  <c r="E3840" i="2"/>
  <c r="E3991" i="2"/>
  <c r="E3804" i="2"/>
  <c r="E3805" i="2"/>
  <c r="E3806" i="2"/>
  <c r="E3807" i="2"/>
  <c r="E3808" i="2"/>
  <c r="E3809" i="2"/>
  <c r="E3810" i="2"/>
  <c r="E3855" i="2"/>
  <c r="E3966" i="2"/>
  <c r="E3839" i="2"/>
  <c r="E3816" i="2"/>
  <c r="E3838" i="2"/>
  <c r="E3944" i="2"/>
  <c r="E3837" i="2"/>
  <c r="E3831" i="2"/>
  <c r="E3889" i="2"/>
  <c r="E3890" i="2"/>
  <c r="E3996" i="2"/>
  <c r="E3891" i="2"/>
  <c r="E3915" i="2"/>
  <c r="E3941" i="2"/>
  <c r="E3942" i="2"/>
  <c r="E3824" i="2"/>
  <c r="E3967" i="2"/>
  <c r="E3892" i="2"/>
  <c r="E3893" i="2"/>
  <c r="E3956" i="2"/>
  <c r="E3878" i="2"/>
  <c r="E3945" i="2"/>
  <c r="E3946" i="2"/>
  <c r="E3968" i="2"/>
  <c r="E3902" i="2"/>
  <c r="E3916" i="2"/>
  <c r="E3917" i="2"/>
  <c r="E3907" i="2"/>
  <c r="E3918" i="2"/>
  <c r="E3919" i="2"/>
  <c r="E3858" i="2"/>
  <c r="E3992" i="2"/>
  <c r="E3879" i="2"/>
  <c r="E3910" i="2"/>
  <c r="E3911" i="2"/>
  <c r="E3859" i="2"/>
  <c r="E3880" i="2"/>
  <c r="E3920" i="2"/>
  <c r="E3848" i="2"/>
  <c r="E3881" i="2"/>
  <c r="E3860" i="2"/>
  <c r="E3912" i="2"/>
  <c r="E3921" i="2"/>
  <c r="E3841" i="2"/>
  <c r="E3922" i="2"/>
  <c r="E3923" i="2"/>
  <c r="E3913" i="2"/>
  <c r="E3950" i="2"/>
  <c r="E3914" i="2"/>
  <c r="E3901" i="2"/>
  <c r="E3801" i="2"/>
  <c r="E3969" i="2"/>
  <c r="E3939" i="2"/>
  <c r="E3861" i="2"/>
  <c r="E3970" i="2"/>
  <c r="E3949" i="2"/>
  <c r="E3964" i="2"/>
  <c r="E3965" i="2"/>
  <c r="E3903" i="2"/>
  <c r="E3862" i="2"/>
  <c r="E3904" i="2"/>
  <c r="E3829" i="2"/>
  <c r="E3896" i="2"/>
  <c r="E3835" i="2"/>
  <c r="E3802" i="2"/>
  <c r="E3887" i="2"/>
  <c r="E3937" i="2"/>
  <c r="E3997" i="2"/>
  <c r="E3818" i="2"/>
  <c r="E3875" i="2"/>
  <c r="E3943" i="2"/>
  <c r="E3876" i="2"/>
  <c r="E3938" i="2"/>
  <c r="E3849" i="2"/>
  <c r="E3905" i="2"/>
  <c r="E3909" i="2"/>
  <c r="E3995" i="2"/>
  <c r="E3906" i="2"/>
  <c r="E3957" i="2"/>
  <c r="E3877" i="2"/>
  <c r="E3952" i="2"/>
  <c r="E3888" i="2"/>
  <c r="E3850" i="2"/>
  <c r="E3828" i="2"/>
  <c r="E3990" i="2"/>
  <c r="E3803" i="2"/>
  <c r="E3953" i="2"/>
  <c r="E3954" i="2"/>
  <c r="E3897" i="2"/>
  <c r="E3823" i="2"/>
  <c r="E3825" i="2"/>
  <c r="E3870" i="2"/>
  <c r="E3826" i="2"/>
  <c r="E3981" i="2"/>
  <c r="E3871" i="2"/>
  <c r="E3872" i="2"/>
  <c r="E3834" i="2"/>
  <c r="E3982" i="2"/>
  <c r="E3873" i="2"/>
  <c r="E3983" i="2"/>
  <c r="E3845" i="2"/>
  <c r="E3984" i="2"/>
  <c r="E3857" i="2"/>
  <c r="E3985" i="2"/>
  <c r="E3846" i="2"/>
  <c r="E3874" i="2"/>
  <c r="E3847" i="2"/>
  <c r="E3986" i="2"/>
  <c r="E3987" i="2"/>
  <c r="E3940" i="2"/>
  <c r="E3988" i="2"/>
  <c r="E3936" i="2"/>
  <c r="E3836" i="2"/>
  <c r="E3951" i="2"/>
  <c r="E3989" i="2"/>
  <c r="E3827" i="2"/>
  <c r="E3813" i="2"/>
  <c r="E3899" i="2"/>
  <c r="E3900" i="2"/>
  <c r="E3822" i="2"/>
  <c r="E3886" i="2"/>
  <c r="E3935" i="2"/>
  <c r="E3895" i="2"/>
  <c r="E3948" i="2"/>
  <c r="E3963" i="2"/>
  <c r="E3856" i="2"/>
  <c r="E3815" i="2"/>
  <c r="E3854" i="2"/>
  <c r="E3844" i="2"/>
  <c r="E3884" i="2"/>
  <c r="E3885" i="2"/>
  <c r="E3868" i="2"/>
  <c r="E3980" i="2"/>
  <c r="E3869" i="2"/>
  <c r="E3908" i="2"/>
  <c r="E3821" i="2"/>
  <c r="E3962" i="2"/>
  <c r="E3931" i="2"/>
  <c r="E3814" i="2"/>
  <c r="E3932" i="2"/>
  <c r="E3811" i="2"/>
  <c r="E3812" i="2"/>
  <c r="E3973" i="2"/>
  <c r="E3974" i="2"/>
  <c r="E3863" i="2"/>
  <c r="E3975" i="2"/>
  <c r="E3842" i="2"/>
  <c r="E3864" i="2"/>
  <c r="E3843" i="2"/>
  <c r="E3976" i="2"/>
  <c r="E3865" i="2"/>
  <c r="E3933" i="2"/>
  <c r="E3977" i="2"/>
  <c r="E3882" i="2"/>
  <c r="E3866" i="2"/>
  <c r="E3978" i="2"/>
  <c r="E3883" i="2"/>
  <c r="E3830" i="2"/>
  <c r="E3934" i="2"/>
  <c r="E3867" i="2"/>
  <c r="E3979" i="2"/>
  <c r="E3820" i="2"/>
  <c r="E3819" i="2"/>
  <c r="E3994" i="2"/>
  <c r="E3833" i="2"/>
  <c r="E3993" i="2"/>
  <c r="E3930" i="2"/>
  <c r="E3929" i="2"/>
  <c r="E3832" i="2"/>
  <c r="E3972" i="2"/>
  <c r="E3928" i="2"/>
  <c r="E3894" i="2"/>
  <c r="E3927" i="2"/>
  <c r="E3971" i="2"/>
  <c r="E3926" i="2"/>
  <c r="E3925" i="2"/>
  <c r="E3924" i="2"/>
  <c r="E3817" i="2"/>
  <c r="E3852" i="2"/>
  <c r="E3853" i="2"/>
  <c r="E3898" i="2"/>
  <c r="E3958" i="2"/>
  <c r="E3959" i="2"/>
  <c r="E3960" i="2"/>
  <c r="E3851" i="2"/>
  <c r="E3955" i="2"/>
  <c r="E3800" i="2"/>
  <c r="E3947" i="2"/>
  <c r="E3796" i="2"/>
  <c r="E3797" i="2"/>
  <c r="E3798" i="2"/>
  <c r="E3799" i="2"/>
  <c r="E3795" i="2"/>
  <c r="E3786" i="2"/>
  <c r="E3787" i="2"/>
  <c r="E3788" i="2"/>
  <c r="E3789" i="2"/>
  <c r="E3790" i="2"/>
  <c r="E3791" i="2"/>
  <c r="E3792" i="2"/>
  <c r="E3793" i="2"/>
  <c r="E3794" i="2"/>
  <c r="E3779" i="2"/>
  <c r="E3780" i="2"/>
  <c r="E3781" i="2"/>
  <c r="E3782" i="2"/>
  <c r="E3783" i="2"/>
  <c r="E3784" i="2"/>
  <c r="E3785" i="2"/>
  <c r="E3576" i="2"/>
  <c r="E3764" i="2"/>
  <c r="E3765" i="2"/>
  <c r="E3766" i="2"/>
  <c r="E3767" i="2"/>
  <c r="E3768" i="2"/>
  <c r="E3769" i="2"/>
  <c r="E3770" i="2"/>
  <c r="E3771" i="2"/>
  <c r="E3772" i="2"/>
  <c r="E3773" i="2"/>
  <c r="E3774" i="2"/>
  <c r="E3775" i="2"/>
  <c r="E3776" i="2"/>
  <c r="E3777" i="2"/>
  <c r="E3778" i="2"/>
  <c r="E3761" i="2"/>
  <c r="E3762" i="2"/>
  <c r="E3763" i="2"/>
  <c r="E3760" i="2"/>
  <c r="E3759"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22" i="2"/>
  <c r="E3723" i="2"/>
  <c r="E372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680" i="2"/>
  <c r="E3681" i="2"/>
  <c r="E3661" i="2"/>
  <c r="E3662" i="2"/>
  <c r="E3663" i="2"/>
  <c r="E3664" i="2"/>
  <c r="E3665" i="2"/>
  <c r="E3666" i="2"/>
  <c r="E3667" i="2"/>
  <c r="E3668" i="2"/>
  <c r="E3669" i="2"/>
  <c r="E3670" i="2"/>
  <c r="E3671" i="2"/>
  <c r="E3672" i="2"/>
  <c r="E3673" i="2"/>
  <c r="E3674" i="2"/>
  <c r="E3675" i="2"/>
  <c r="E3676" i="2"/>
  <c r="E3677" i="2"/>
  <c r="E3678" i="2"/>
  <c r="E3679" i="2"/>
  <c r="E3652" i="2" l="1"/>
  <c r="E3653" i="2"/>
  <c r="E3654" i="2"/>
  <c r="E3655" i="2"/>
  <c r="E3656" i="2"/>
  <c r="E3657" i="2"/>
  <c r="E3658" i="2"/>
  <c r="E3659" i="2"/>
  <c r="E3660"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03" i="2"/>
  <c r="E3604" i="2"/>
  <c r="E3605" i="2"/>
  <c r="E3602" i="2"/>
  <c r="E3600" i="2"/>
  <c r="E3601" i="2"/>
  <c r="E3596" i="2"/>
  <c r="E3597" i="2"/>
  <c r="E3598" i="2"/>
  <c r="E3599" i="2"/>
  <c r="E3595" i="2"/>
  <c r="E3594" i="2"/>
  <c r="E3593" i="2"/>
  <c r="E3592" i="2"/>
  <c r="E3589" i="2"/>
  <c r="E3590" i="2"/>
  <c r="E3591" i="2"/>
  <c r="E3588" i="2"/>
  <c r="E3587" i="2"/>
  <c r="E3586" i="2"/>
  <c r="E3585" i="2"/>
  <c r="E3584" i="2"/>
  <c r="E3583" i="2"/>
  <c r="E3582" i="2"/>
  <c r="E3581" i="2"/>
  <c r="E3580" i="2"/>
  <c r="E3579" i="2"/>
  <c r="E3578" i="2"/>
  <c r="E3577"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4" i="2"/>
  <c r="E3523" i="2"/>
  <c r="E3305" i="2"/>
  <c r="E3306" i="2"/>
  <c r="E3307" i="2"/>
  <c r="E3308" i="2"/>
  <c r="E3508" i="2"/>
  <c r="E3509" i="2"/>
  <c r="E3510" i="2"/>
  <c r="E3511" i="2"/>
  <c r="E3468" i="2"/>
  <c r="E3474" i="2"/>
  <c r="E3475" i="2"/>
  <c r="E3437" i="2"/>
  <c r="E3425" i="2"/>
  <c r="E3375" i="2"/>
  <c r="E3421" i="2"/>
  <c r="E3422" i="2"/>
  <c r="E3339" i="2"/>
  <c r="E3420" i="2"/>
  <c r="E3462" i="2"/>
  <c r="E3505" i="2"/>
  <c r="E3426" i="2"/>
  <c r="E3352" i="2"/>
  <c r="E3427" i="2"/>
  <c r="E3465" i="2"/>
  <c r="E3507" i="2"/>
  <c r="E3506" i="2"/>
  <c r="E3334" i="2"/>
  <c r="E3473" i="2"/>
  <c r="E3351" i="2"/>
  <c r="E3376" i="2"/>
  <c r="E3304" i="2"/>
  <c r="E3504" i="2"/>
  <c r="E3449" i="2"/>
  <c r="E3407" i="2"/>
  <c r="E3341" i="2" l="1"/>
  <c r="E3487" i="2" l="1"/>
  <c r="E3488" i="2"/>
  <c r="E3382" i="2"/>
  <c r="E3338" i="2"/>
  <c r="E3440" i="2"/>
  <c r="E3406" i="2"/>
  <c r="E3441" i="2"/>
  <c r="E3451" i="2"/>
  <c r="E3301" i="2"/>
  <c r="E3302" i="2"/>
  <c r="E3303" i="2"/>
  <c r="E3329" i="2"/>
  <c r="E3436" i="2"/>
  <c r="E3330" i="2"/>
  <c r="E3367" i="2"/>
  <c r="E3368" i="2"/>
  <c r="E3369" i="2"/>
  <c r="E3370" i="2"/>
  <c r="E3371" i="2"/>
  <c r="E3372" i="2"/>
  <c r="E3373" i="2"/>
  <c r="E3331" i="2"/>
  <c r="E3332" i="2"/>
  <c r="E3374" i="2"/>
  <c r="E3520" i="2"/>
  <c r="E3460" i="2"/>
  <c r="E3461" i="2"/>
  <c r="E3333" i="2"/>
  <c r="E3311" i="2"/>
  <c r="E3486" i="2"/>
  <c r="E3377" i="2"/>
  <c r="E3485" i="2"/>
  <c r="E3366" i="2"/>
  <c r="E3415" i="2"/>
  <c r="E3335" i="2"/>
  <c r="E3326" i="2"/>
  <c r="E3503" i="2"/>
  <c r="E3397" i="2"/>
  <c r="E3517" i="2"/>
  <c r="E3398" i="2"/>
  <c r="E3518" i="2"/>
  <c r="E3327" i="2"/>
  <c r="E3519" i="2"/>
  <c r="E3459" i="2"/>
  <c r="E3399" i="2"/>
  <c r="E3400" i="2"/>
  <c r="E3401" i="2"/>
  <c r="E3350" i="2"/>
  <c r="E3402" i="2"/>
  <c r="E3521" i="2"/>
  <c r="E3328" i="2"/>
  <c r="E3342" i="2"/>
  <c r="E3522" i="2"/>
  <c r="E3403" i="2"/>
  <c r="E3315" i="2"/>
  <c r="E3435" i="2"/>
  <c r="E3362" i="2"/>
  <c r="E3363" i="2"/>
  <c r="E3364" i="2"/>
  <c r="E3413" i="2"/>
  <c r="E3365" i="2"/>
  <c r="E3414" i="2"/>
  <c r="E3408" i="2"/>
  <c r="E3409" i="2"/>
  <c r="E3410" i="2"/>
  <c r="E3411" i="2"/>
  <c r="E3412" i="2"/>
  <c r="E3360" i="2"/>
  <c r="E3361" i="2"/>
  <c r="E3500" i="2"/>
  <c r="E3501" i="2"/>
  <c r="E3502" i="2"/>
  <c r="E3337" i="2"/>
  <c r="E3299" i="2"/>
  <c r="E3300" i="2"/>
  <c r="E3387" i="2"/>
  <c r="E3388" i="2"/>
  <c r="E3389" i="2"/>
  <c r="E3379" i="2"/>
  <c r="E3380" i="2"/>
  <c r="E3381" i="2"/>
  <c r="E3464" i="2"/>
  <c r="E3396" i="2"/>
  <c r="E3314" i="2"/>
  <c r="E3385" i="2"/>
  <c r="E3386" i="2"/>
  <c r="E3482" i="2"/>
  <c r="E3483" i="2"/>
  <c r="E3484" i="2"/>
  <c r="E3463" i="2"/>
  <c r="E3310" i="2"/>
  <c r="E3324" i="2"/>
  <c r="E3296" i="2"/>
  <c r="E3336" i="2"/>
  <c r="E3433" i="2"/>
  <c r="E3434" i="2"/>
  <c r="E3325" i="2"/>
  <c r="E3349" i="2"/>
  <c r="E3355" i="2"/>
  <c r="E3499" i="2"/>
  <c r="E3356" i="2"/>
  <c r="E3357" i="2"/>
  <c r="E3404" i="2"/>
  <c r="E3358" i="2"/>
  <c r="E3395" i="2"/>
  <c r="E3359" i="2"/>
  <c r="E3297" i="2"/>
  <c r="E3405" i="2"/>
  <c r="E3418" i="2"/>
  <c r="E3313" i="2"/>
  <c r="E3458" i="2"/>
  <c r="E3384" i="2"/>
  <c r="E3298" i="2"/>
  <c r="E3453" i="2"/>
  <c r="E3419" i="2"/>
  <c r="E3323" i="2"/>
  <c r="E3445" i="2"/>
  <c r="E3452" i="2"/>
  <c r="E3322" i="2"/>
  <c r="E3480" i="2"/>
  <c r="E3446" i="2"/>
  <c r="E3447" i="2"/>
  <c r="E3448" i="2"/>
  <c r="E3394" i="2"/>
  <c r="E3466" i="2"/>
  <c r="E3383" i="2"/>
  <c r="E3457" i="2"/>
  <c r="E3318" i="2"/>
  <c r="E3431" i="2"/>
  <c r="E3378" i="2"/>
  <c r="E3295" i="2"/>
  <c r="E3353" i="2"/>
  <c r="E3498" i="2"/>
  <c r="E3428" i="2"/>
  <c r="E3354" i="2"/>
  <c r="E3423" i="2"/>
  <c r="E3472" i="2"/>
  <c r="E3340" i="2"/>
  <c r="E3321" i="2"/>
  <c r="E3348" i="2"/>
  <c r="E3456" i="2"/>
  <c r="E3478" i="2"/>
  <c r="E3432" i="2"/>
  <c r="E3429" i="2"/>
  <c r="E3430" i="2"/>
  <c r="E3390" i="2"/>
  <c r="E3492" i="2"/>
  <c r="E3438" i="2"/>
  <c r="E3290" i="2"/>
  <c r="E3424" i="2"/>
  <c r="E3317" i="2"/>
  <c r="E3291" i="2"/>
  <c r="E3493" i="2"/>
  <c r="E3292" i="2"/>
  <c r="E3293" i="2"/>
  <c r="E3294" i="2"/>
  <c r="E3454" i="2"/>
  <c r="E3450" i="2"/>
  <c r="E3343" i="2"/>
  <c r="E3455" i="2"/>
  <c r="E3344" i="2"/>
  <c r="E3416" i="2"/>
  <c r="E3469" i="2"/>
  <c r="E3479" i="2"/>
  <c r="E3345" i="2"/>
  <c r="E3442" i="2"/>
  <c r="E3470" i="2"/>
  <c r="E3471" i="2"/>
  <c r="E3417" i="2"/>
  <c r="E3346" i="2"/>
  <c r="E3512" i="2"/>
  <c r="E3392" i="2"/>
  <c r="E3393" i="2"/>
  <c r="E3347" i="2"/>
  <c r="E3476" i="2"/>
  <c r="E3516" i="2"/>
  <c r="E3312" i="2"/>
  <c r="E3439" i="2"/>
  <c r="E3477" i="2"/>
  <c r="E3494" i="2"/>
  <c r="E3513" i="2"/>
  <c r="E3514" i="2"/>
  <c r="E3515" i="2"/>
  <c r="E3443" i="2"/>
  <c r="E3495" i="2"/>
  <c r="E3496" i="2"/>
  <c r="E3444" i="2"/>
  <c r="E3497" i="2"/>
  <c r="E3481" i="2"/>
  <c r="E3391" i="2"/>
  <c r="E3489" i="2"/>
  <c r="E3490" i="2"/>
  <c r="E3288" i="2"/>
  <c r="E3289" i="2"/>
  <c r="E3319" i="2"/>
  <c r="E3320" i="2"/>
  <c r="E3491" i="2"/>
  <c r="E3316" i="2"/>
  <c r="E3309" i="2"/>
  <c r="E3467" i="2"/>
  <c r="E3287" i="2"/>
  <c r="E3286" i="2"/>
  <c r="E3284" i="2"/>
  <c r="E3285" i="2"/>
  <c r="E3239" i="2"/>
  <c r="E3238" i="2"/>
  <c r="E3275" i="2"/>
  <c r="E3276" i="2"/>
  <c r="E3277" i="2"/>
  <c r="E3278" i="2"/>
  <c r="E3279" i="2"/>
  <c r="E3280" i="2"/>
  <c r="E3281" i="2"/>
  <c r="E3282" i="2"/>
  <c r="E3283" i="2"/>
  <c r="E3274" i="2"/>
  <c r="E3267" i="2"/>
  <c r="E3268" i="2"/>
  <c r="E3269" i="2"/>
  <c r="E3270" i="2"/>
  <c r="E3271" i="2"/>
  <c r="E3272" i="2"/>
  <c r="E3273" i="2"/>
  <c r="E3266" i="2"/>
  <c r="E3264" i="2"/>
  <c r="E3265" i="2"/>
  <c r="E3250" i="2"/>
  <c r="E3251" i="2"/>
  <c r="E3252" i="2"/>
  <c r="E3253" i="2"/>
  <c r="E3254" i="2"/>
  <c r="E3255" i="2"/>
  <c r="E3256" i="2"/>
  <c r="E3257" i="2"/>
  <c r="E3258" i="2"/>
  <c r="E3259" i="2"/>
  <c r="E3260" i="2"/>
  <c r="E3261" i="2"/>
  <c r="E3262" i="2"/>
  <c r="E3263" i="2"/>
  <c r="E3241" i="2"/>
  <c r="E3242" i="2"/>
  <c r="E3243" i="2"/>
  <c r="E3244" i="2"/>
  <c r="E3245" i="2"/>
  <c r="E3246" i="2"/>
  <c r="E3247" i="2"/>
  <c r="E3248" i="2"/>
  <c r="E3249" i="2"/>
  <c r="E3240" i="2" l="1"/>
  <c r="E3221" i="2"/>
  <c r="E3222" i="2"/>
  <c r="E3223" i="2"/>
  <c r="E3224" i="2"/>
  <c r="E3225" i="2"/>
  <c r="E3226" i="2"/>
  <c r="E3227" i="2"/>
  <c r="E3228" i="2"/>
  <c r="E3229" i="2"/>
  <c r="E3230" i="2"/>
  <c r="E3231" i="2"/>
  <c r="E3232" i="2"/>
  <c r="E3233" i="2"/>
  <c r="E3234" i="2"/>
  <c r="E3235" i="2"/>
  <c r="E3236" i="2"/>
  <c r="E3237" i="2"/>
  <c r="E3117" i="2"/>
  <c r="E3166" i="2"/>
  <c r="E3214" i="2" l="1"/>
  <c r="E3063" i="2"/>
  <c r="E3077" i="2"/>
  <c r="E3211" i="2"/>
  <c r="E3067" i="2"/>
  <c r="E3144" i="2"/>
  <c r="E3212" i="2"/>
  <c r="E3112" i="2"/>
  <c r="E3213" i="2"/>
  <c r="E3083" i="2"/>
  <c r="E3078" i="2"/>
  <c r="E3097" i="2"/>
  <c r="E3143" i="2"/>
  <c r="E3023" i="2"/>
  <c r="E3024" i="2"/>
  <c r="E3054" i="2"/>
  <c r="E3127" i="2"/>
  <c r="E3088" i="2"/>
  <c r="E3089" i="2"/>
  <c r="E3093" i="2"/>
  <c r="E3094" i="2"/>
  <c r="E3095" i="2"/>
  <c r="E3096" i="2"/>
  <c r="E3128" i="2"/>
  <c r="E3193" i="2"/>
  <c r="E3062" i="2"/>
  <c r="E3121" i="2"/>
  <c r="E3122" i="2"/>
  <c r="E3123" i="2"/>
  <c r="E3108" i="2"/>
  <c r="E3028" i="2"/>
  <c r="E3087" i="2"/>
  <c r="E3021" i="2"/>
  <c r="E3029" i="2"/>
  <c r="E3030" i="2"/>
  <c r="E3159" i="2"/>
  <c r="E3109" i="2"/>
  <c r="E3110" i="2"/>
  <c r="E3136" i="2"/>
  <c r="E3022" i="2"/>
  <c r="E3137" i="2"/>
  <c r="E3111" i="2"/>
  <c r="E3073" i="2"/>
  <c r="E3118" i="2"/>
  <c r="E3119" i="2"/>
  <c r="E3120" i="2"/>
  <c r="E3150" i="2" l="1"/>
  <c r="E3151" i="2"/>
  <c r="E3155" i="2"/>
  <c r="E3152" i="2"/>
  <c r="E3153" i="2"/>
  <c r="E3010" i="2"/>
  <c r="E3156" i="2"/>
  <c r="E3011" i="2"/>
  <c r="E3208" i="2"/>
  <c r="E3076" i="2"/>
  <c r="E3157" i="2"/>
  <c r="E3209" i="2"/>
  <c r="E3126" i="2"/>
  <c r="E3210" i="2"/>
  <c r="E3158" i="2"/>
  <c r="E3052" i="2"/>
  <c r="E3116" i="2"/>
  <c r="E3124" i="2"/>
  <c r="E3053" i="2"/>
  <c r="E3082" i="2"/>
  <c r="E3012" i="2"/>
  <c r="E3013" i="2"/>
  <c r="E3125" i="2"/>
  <c r="E3014" i="2"/>
  <c r="E3043" i="2"/>
  <c r="E3149" i="2"/>
  <c r="E3164" i="2"/>
  <c r="E3189" i="2"/>
  <c r="E3165" i="2"/>
  <c r="E3035" i="2"/>
  <c r="E3207" i="2"/>
  <c r="E3061" i="2"/>
  <c r="E3204" i="2"/>
  <c r="E3187" i="2"/>
  <c r="E3205" i="2"/>
  <c r="E3206" i="2"/>
  <c r="E3060" i="2"/>
  <c r="E3059" i="2"/>
  <c r="E3154" i="2"/>
  <c r="E3051" i="2"/>
  <c r="E3058" i="2"/>
  <c r="E3190" i="2"/>
  <c r="E3192" i="2"/>
  <c r="E3057" i="2"/>
  <c r="E3034" i="2"/>
  <c r="E3191" i="2"/>
  <c r="E3107" i="2"/>
  <c r="E3033" i="2"/>
  <c r="E3066" i="2"/>
  <c r="E3163" i="2"/>
  <c r="E3041" i="2"/>
  <c r="E3050" i="2"/>
  <c r="E3065" i="2"/>
  <c r="E3135" i="2"/>
  <c r="E3027" i="2"/>
  <c r="E3203" i="2"/>
  <c r="E3202" i="2"/>
  <c r="E3049" i="2"/>
  <c r="E3179" i="2"/>
  <c r="E3134" i="2"/>
  <c r="E3040" i="2"/>
  <c r="E3106" i="2"/>
  <c r="E3142" i="2"/>
  <c r="E3186" i="2"/>
  <c r="E3215" i="2"/>
  <c r="E3105" i="2"/>
  <c r="E3218" i="2"/>
  <c r="E3133" i="2"/>
  <c r="E3104" i="2"/>
  <c r="E3201" i="2"/>
  <c r="E3178" i="2"/>
  <c r="E3072" i="2"/>
  <c r="E3200" i="2"/>
  <c r="E3141" i="2"/>
  <c r="E3199" i="2"/>
  <c r="E3132" i="2"/>
  <c r="E3131" i="2"/>
  <c r="E3217" i="2"/>
  <c r="E3047" i="2"/>
  <c r="E3039" i="2"/>
  <c r="E3198" i="2"/>
  <c r="E3197" i="2"/>
  <c r="E3140" i="2"/>
  <c r="E3139" i="2"/>
  <c r="E3175" i="2"/>
  <c r="E3196" i="2"/>
  <c r="E3103" i="2"/>
  <c r="E3071" i="2" l="1"/>
  <c r="E3079" i="2"/>
  <c r="E3176" i="2"/>
  <c r="E3114" i="2"/>
  <c r="E3115" i="2"/>
  <c r="E3025" i="2"/>
  <c r="E3048" i="2"/>
  <c r="E3161" i="2"/>
  <c r="E3177" i="2"/>
  <c r="E3080" i="2"/>
  <c r="E3081" i="2"/>
  <c r="E3075" i="2"/>
  <c r="E3032" i="2"/>
  <c r="E3162" i="2"/>
  <c r="E3042" i="2"/>
  <c r="E3056" i="2"/>
  <c r="E3031" i="2"/>
  <c r="E3026" i="2"/>
  <c r="E3146" i="2"/>
  <c r="E3147" i="2"/>
  <c r="E3086" i="2"/>
  <c r="E3194" i="2"/>
  <c r="E3195" i="2"/>
  <c r="E3069" i="2"/>
  <c r="E3216" i="2"/>
  <c r="E3070" i="2"/>
  <c r="E3099" i="2"/>
  <c r="E3098" i="2"/>
  <c r="E3092" i="2"/>
  <c r="E3084" i="2"/>
  <c r="E3085" i="2"/>
  <c r="E3180" i="2"/>
  <c r="E3113" i="2"/>
  <c r="E3174" i="2"/>
  <c r="E3160" i="2"/>
  <c r="E3188" i="2"/>
  <c r="E3074" i="2"/>
  <c r="E3219" i="2"/>
  <c r="E3167" i="2"/>
  <c r="E3100" i="2"/>
  <c r="E3168" i="2"/>
  <c r="E3220" i="2"/>
  <c r="E3101" i="2"/>
  <c r="E3169" i="2"/>
  <c r="E3181" i="2"/>
  <c r="E3182" i="2"/>
  <c r="E3183" i="2"/>
  <c r="E3184" i="2"/>
  <c r="E3102" i="2"/>
  <c r="E3185" i="2"/>
  <c r="E3044" i="2"/>
  <c r="E3138" i="2"/>
  <c r="E3129" i="2"/>
  <c r="E3170" i="2"/>
  <c r="E3045" i="2"/>
  <c r="E3171" i="2"/>
  <c r="E3046" i="2"/>
  <c r="E3130" i="2"/>
  <c r="E3064" i="2"/>
  <c r="E3145" i="2"/>
  <c r="E3172" i="2"/>
  <c r="E3090" i="2"/>
  <c r="E3148" i="2"/>
  <c r="E3068" i="2"/>
  <c r="E3055" i="2"/>
  <c r="E2835" i="2"/>
  <c r="E2834" i="2"/>
  <c r="E2833" i="2"/>
  <c r="E2832" i="2"/>
  <c r="E2867" i="2"/>
  <c r="E2869" i="2"/>
  <c r="E2841" i="2"/>
  <c r="E2845" i="2"/>
  <c r="E2844" i="2"/>
  <c r="E2850" i="2"/>
  <c r="E2916" i="2"/>
  <c r="E2847" i="2"/>
  <c r="E2851" i="2"/>
  <c r="E2830" i="2"/>
  <c r="E2870" i="2"/>
  <c r="E2901" i="2"/>
  <c r="E2856" i="2"/>
  <c r="E2860" i="2"/>
  <c r="E2838" i="2"/>
  <c r="E2837" i="2"/>
  <c r="E2865" i="2"/>
  <c r="E3019" i="2"/>
  <c r="E3020" i="2"/>
  <c r="E3015" i="2"/>
  <c r="E3016" i="2"/>
  <c r="E3017" i="2"/>
  <c r="E3018" i="2"/>
  <c r="E3004" i="2" l="1"/>
  <c r="E3005" i="2"/>
  <c r="E3006" i="2"/>
  <c r="E3007" i="2"/>
  <c r="E3173" i="2"/>
  <c r="E3036" i="2"/>
  <c r="E3008" i="2"/>
  <c r="E3091" i="2"/>
  <c r="E3009" i="2"/>
  <c r="E3037" i="2"/>
  <c r="E3038" i="2"/>
  <c r="E3000" i="2"/>
  <c r="E2919"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2" i="2"/>
  <c r="E2903" i="2"/>
  <c r="E2904" i="2"/>
  <c r="E2905" i="2"/>
  <c r="E2906" i="2"/>
  <c r="E2907" i="2"/>
  <c r="E2908" i="2"/>
  <c r="E2909" i="2"/>
  <c r="E2910" i="2"/>
  <c r="E2911" i="2"/>
  <c r="E2912" i="2"/>
  <c r="E2913" i="2"/>
  <c r="E2914" i="2"/>
  <c r="E2915" i="2"/>
  <c r="E2917" i="2"/>
  <c r="E2918"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1" i="2"/>
  <c r="E3002" i="2"/>
  <c r="E3003" i="2"/>
  <c r="E2875" i="2"/>
  <c r="E2549" i="2"/>
  <c r="E2550" i="2"/>
  <c r="E2551" i="2"/>
  <c r="E2552" i="2"/>
  <c r="E2553" i="2"/>
  <c r="E2554" i="2"/>
  <c r="E2555" i="2"/>
  <c r="E2556" i="2"/>
  <c r="E2557" i="2"/>
  <c r="E2558" i="2"/>
  <c r="E2559" i="2"/>
  <c r="E2560" i="2"/>
  <c r="E2561" i="2"/>
  <c r="E2562" i="2"/>
  <c r="E2563" i="2"/>
  <c r="E2564" i="2"/>
  <c r="E2565" i="2"/>
  <c r="E2566" i="2"/>
  <c r="E2567" i="2"/>
  <c r="E2568" i="2"/>
  <c r="E2570" i="2"/>
  <c r="E2571" i="2"/>
  <c r="E2573" i="2"/>
  <c r="E2574" i="2"/>
  <c r="E2575" i="2"/>
  <c r="E2576" i="2"/>
  <c r="E2577" i="2"/>
  <c r="E2578" i="2"/>
  <c r="E2579" i="2"/>
  <c r="E2591" i="2" l="1"/>
  <c r="E2592" i="2"/>
  <c r="E2593" i="2"/>
  <c r="E2594" i="2"/>
  <c r="E2595" i="2"/>
  <c r="E2596" i="2"/>
  <c r="E2597" i="2"/>
  <c r="E2598" i="2"/>
  <c r="E2599" i="2"/>
  <c r="E2600" i="2"/>
  <c r="E2582" i="2"/>
  <c r="E2583" i="2"/>
  <c r="E2585" i="2"/>
  <c r="E2586" i="2"/>
  <c r="E2587" i="2"/>
  <c r="E2588" i="2"/>
  <c r="E2589" i="2"/>
  <c r="E2590" i="2"/>
  <c r="E2544" i="2"/>
  <c r="E2527" i="2"/>
  <c r="E2523" i="2"/>
  <c r="E2524" i="2"/>
  <c r="E2464" i="2"/>
  <c r="E2432" i="2"/>
  <c r="E2459" i="2"/>
  <c r="E2427" i="2"/>
  <c r="E2546" i="2"/>
  <c r="E2489" i="2"/>
  <c r="E2417" i="2"/>
  <c r="E2500" i="2"/>
  <c r="E2525" i="2"/>
  <c r="E2547" i="2"/>
  <c r="E2501" i="2"/>
  <c r="E2430" i="2"/>
  <c r="E2460" i="2"/>
  <c r="E2357" i="2"/>
  <c r="E2392" i="2"/>
  <c r="E2393" i="2"/>
  <c r="E2395" i="2"/>
  <c r="E2396" i="2"/>
  <c r="E2397" i="2"/>
  <c r="E2398" i="2"/>
  <c r="E2399" i="2"/>
  <c r="E2482" i="2"/>
  <c r="E2483" i="2"/>
  <c r="E2484" i="2"/>
  <c r="E2485" i="2"/>
  <c r="E2486" i="2"/>
  <c r="E2463" i="2"/>
  <c r="E2404" i="2"/>
  <c r="E2474" i="2"/>
  <c r="E2429" i="2"/>
  <c r="E2535" i="2"/>
  <c r="E2467" i="2"/>
  <c r="E2412" i="2"/>
  <c r="E2548" i="2"/>
  <c r="E2541" i="2"/>
  <c r="E2441" i="2"/>
  <c r="E2472" i="2"/>
  <c r="E2542" i="2"/>
  <c r="E2530" i="2"/>
  <c r="E2487" i="2"/>
  <c r="E2442" i="2"/>
  <c r="E2443" i="2"/>
  <c r="E2413" i="2"/>
  <c r="E2468" i="2"/>
  <c r="E2488" i="2"/>
  <c r="E2531" i="2"/>
  <c r="E2543" i="2"/>
  <c r="E2425" i="2"/>
  <c r="E2426" i="2"/>
  <c r="E2532" i="2"/>
  <c r="E2545" i="2"/>
  <c r="E2533" i="2"/>
  <c r="E2402" i="2"/>
  <c r="E2403" i="2"/>
  <c r="E2518" i="2"/>
  <c r="E2517" i="2"/>
  <c r="E2409" i="2"/>
  <c r="E2537" i="2"/>
  <c r="E2401" i="2"/>
  <c r="E2421" i="2"/>
  <c r="E2492" i="2"/>
  <c r="E2423" i="2"/>
  <c r="E2502" i="2"/>
  <c r="E2419" i="2"/>
  <c r="E2420" i="2"/>
  <c r="E2497" i="2"/>
  <c r="E2529" i="2"/>
  <c r="E2466" i="2"/>
  <c r="E2446" i="2"/>
  <c r="E2498" i="2"/>
  <c r="E2405" i="2"/>
  <c r="E2508" i="2"/>
  <c r="E2540" i="2"/>
  <c r="E2526" i="2"/>
  <c r="E2534" i="2"/>
  <c r="E2458" i="2"/>
  <c r="E2480" i="2"/>
  <c r="E2481" i="2"/>
  <c r="E2499" i="2"/>
  <c r="E2434" i="2"/>
  <c r="E2436" i="2"/>
  <c r="E2437" i="2"/>
  <c r="E2516" i="2"/>
  <c r="E2471" i="2"/>
  <c r="E2422" i="2"/>
  <c r="E2476" i="2"/>
  <c r="E2493" i="2"/>
  <c r="E2538" i="2"/>
  <c r="E2528" i="2"/>
  <c r="E2450" i="2"/>
  <c r="E2415" i="2"/>
  <c r="E2410" i="2"/>
  <c r="E2447" i="2"/>
  <c r="E2448" i="2"/>
  <c r="E2477" i="2"/>
  <c r="E2453" i="2"/>
  <c r="E2519" i="2"/>
  <c r="E2456" i="2"/>
  <c r="E2478" i="2"/>
  <c r="E2494" i="2"/>
  <c r="E2444" i="2"/>
  <c r="E2438" i="2"/>
  <c r="E2424" i="2"/>
  <c r="E2416" i="2"/>
  <c r="E2457" i="2"/>
  <c r="E2431" i="2"/>
  <c r="E2539" i="2"/>
  <c r="E2439" i="2"/>
  <c r="E2479" i="2"/>
  <c r="E2445" i="2"/>
  <c r="E2509" i="2"/>
  <c r="E2536" i="2"/>
  <c r="E2418" i="2"/>
  <c r="E2496" i="2"/>
  <c r="E2512" i="2" l="1"/>
  <c r="E2495" i="2"/>
  <c r="E2449" i="2"/>
  <c r="E2332" i="2"/>
  <c r="E2408" i="2"/>
  <c r="E2491" i="2"/>
  <c r="E2505" i="2"/>
  <c r="E2506" i="2"/>
  <c r="E2507" i="2"/>
  <c r="E2411" i="2"/>
  <c r="E2407" i="2"/>
  <c r="E2433" i="2"/>
  <c r="E2470" i="2"/>
  <c r="E2515" i="2"/>
  <c r="E2511" i="2"/>
  <c r="E2504" i="2"/>
  <c r="E2510" i="2"/>
  <c r="E2465" i="2"/>
  <c r="E2440" i="2"/>
  <c r="E2522" i="2"/>
  <c r="E2521" i="2"/>
  <c r="E2451" i="2"/>
  <c r="E2520" i="2"/>
  <c r="E2469" i="2"/>
  <c r="E2503" i="2"/>
  <c r="E2455" i="2"/>
  <c r="E2452" i="2"/>
  <c r="E2490" i="2"/>
  <c r="E2454" i="2"/>
  <c r="E2462" i="2"/>
  <c r="E2461" i="2"/>
  <c r="E2414" i="2"/>
  <c r="E2400" i="2"/>
  <c r="E2475" i="2"/>
  <c r="E2428" i="2"/>
  <c r="E2473" i="2"/>
  <c r="E2435" i="2"/>
  <c r="E2514" i="2"/>
  <c r="E2513" i="2"/>
  <c r="E2406" i="2"/>
  <c r="E2390" i="2"/>
  <c r="E2389" i="2"/>
  <c r="E2394" i="2"/>
  <c r="E2337" i="2"/>
  <c r="E2326" i="2"/>
  <c r="E2384" i="2"/>
  <c r="E2383" i="2"/>
  <c r="E2354" i="2"/>
  <c r="E2266" i="2" l="1"/>
  <c r="E2355" i="2"/>
  <c r="E2356" i="2"/>
  <c r="E2391"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256" i="2"/>
  <c r="E2257" i="2"/>
  <c r="E2258" i="2"/>
  <c r="E2259" i="2"/>
  <c r="E2260" i="2"/>
  <c r="E2261" i="2"/>
  <c r="E2262" i="2"/>
  <c r="E2263" i="2"/>
  <c r="E2264" i="2"/>
  <c r="E2265" i="2"/>
  <c r="E2382"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85" i="2"/>
  <c r="E2327" i="2"/>
  <c r="E2328" i="2"/>
  <c r="E2329" i="2"/>
  <c r="E2330" i="2"/>
  <c r="E2331" i="2"/>
  <c r="E2388" i="2"/>
  <c r="E2333" i="2"/>
  <c r="E2334" i="2"/>
  <c r="E2335" i="2"/>
  <c r="E2336" i="2"/>
  <c r="E2386" i="2"/>
  <c r="E2338" i="2"/>
  <c r="E2339" i="2"/>
  <c r="E2340" i="2"/>
  <c r="E2341" i="2"/>
  <c r="E2342" i="2"/>
  <c r="E2343" i="2"/>
  <c r="E2344" i="2"/>
  <c r="E2345" i="2"/>
  <c r="E2346" i="2"/>
  <c r="E2347" i="2"/>
  <c r="E2348" i="2"/>
  <c r="E2349" i="2"/>
  <c r="E2350" i="2"/>
  <c r="E2351" i="2"/>
  <c r="E2352" i="2"/>
  <c r="E2353" i="2"/>
  <c r="E2254" i="2"/>
  <c r="E2255" i="2"/>
  <c r="E2216" i="2" l="1"/>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13" i="2"/>
  <c r="E2214" i="2"/>
  <c r="E2215"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096" i="2"/>
  <c r="E2097" i="2"/>
  <c r="E2098" i="2"/>
  <c r="E2099" i="2"/>
  <c r="E2100" i="2"/>
  <c r="E2094" i="2"/>
  <c r="E2095" i="2"/>
  <c r="E2082" i="2"/>
  <c r="E2083" i="2"/>
  <c r="E2084" i="2"/>
  <c r="E2085" i="2"/>
  <c r="E2086" i="2"/>
  <c r="E2087" i="2"/>
  <c r="E2088" i="2"/>
  <c r="E2089" i="2"/>
  <c r="E2090" i="2"/>
  <c r="E2091" i="2"/>
  <c r="E2092" i="2"/>
  <c r="E2093" i="2"/>
  <c r="E2081" i="2"/>
  <c r="E2073" i="2"/>
  <c r="E2074" i="2"/>
  <c r="E2075" i="2"/>
  <c r="E2076" i="2"/>
  <c r="E2077" i="2"/>
  <c r="E2078" i="2"/>
  <c r="E2079" i="2"/>
  <c r="E2080" i="2"/>
  <c r="E2062"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3" i="2"/>
  <c r="E2064" i="2"/>
  <c r="E2065" i="2"/>
  <c r="E2066" i="2"/>
  <c r="E2067" i="2"/>
  <c r="E2068" i="2"/>
  <c r="E2069" i="2"/>
  <c r="E2070" i="2"/>
  <c r="E2071" i="2"/>
  <c r="E2072" i="2"/>
  <c r="E2031" i="2"/>
  <c r="E2025"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6" i="2"/>
  <c r="E2027" i="2"/>
  <c r="E2028" i="2"/>
  <c r="E2029" i="2"/>
  <c r="E2030" i="2"/>
  <c r="E1940" i="2"/>
  <c r="E1941" i="2"/>
  <c r="E1942" i="2"/>
  <c r="E1943" i="2"/>
  <c r="E1944" i="2"/>
  <c r="E1945" i="2"/>
  <c r="E1946" i="2"/>
  <c r="E1947" i="2"/>
  <c r="E1948" i="2"/>
  <c r="E1949" i="2"/>
  <c r="E1950" i="2"/>
  <c r="E1951" i="2"/>
  <c r="E1952" i="2"/>
  <c r="E1953" i="2"/>
  <c r="E1954" i="2"/>
  <c r="E1955" i="2"/>
  <c r="E1956" i="2"/>
  <c r="E1957" i="2"/>
  <c r="E1958" i="2"/>
  <c r="E1959" i="2"/>
  <c r="E1960" i="2"/>
  <c r="E1962" i="2"/>
  <c r="E1963" i="2"/>
  <c r="E1964" i="2"/>
  <c r="E1965" i="2"/>
  <c r="E1966" i="2"/>
  <c r="E1967" i="2"/>
  <c r="E1968" i="2"/>
  <c r="E1969" i="2"/>
  <c r="E1970" i="2"/>
  <c r="E1971" i="2"/>
  <c r="E1972" i="2"/>
  <c r="E1973" i="2"/>
  <c r="E1974" i="2"/>
  <c r="E1975" i="2"/>
  <c r="E1976" i="2"/>
  <c r="E1977" i="2"/>
  <c r="E1978" i="2"/>
  <c r="E1923" i="2"/>
  <c r="E1924" i="2"/>
  <c r="E1925" i="2"/>
  <c r="E1926" i="2"/>
  <c r="E1927" i="2"/>
  <c r="E1928" i="2"/>
  <c r="E1929" i="2"/>
  <c r="E1930" i="2"/>
  <c r="E1931" i="2"/>
  <c r="E1932" i="2"/>
  <c r="E1933" i="2"/>
  <c r="E1934" i="2"/>
  <c r="E1935" i="2"/>
  <c r="E1936" i="2"/>
  <c r="E1937" i="2"/>
  <c r="E1938" i="2"/>
  <c r="E1939" i="2"/>
  <c r="E1912" i="2" l="1"/>
  <c r="E1913" i="2"/>
  <c r="E1914" i="2"/>
  <c r="E1915" i="2"/>
  <c r="E1916" i="2"/>
  <c r="E1917" i="2"/>
  <c r="E1918" i="2"/>
  <c r="E1919" i="2"/>
  <c r="E1920" i="2"/>
  <c r="E1921" i="2"/>
  <c r="E1922" i="2"/>
  <c r="E1909" i="2"/>
  <c r="E1910" i="2"/>
  <c r="E1911" i="2"/>
  <c r="E1908" i="2" l="1"/>
  <c r="E1907" i="2"/>
  <c r="E1906" i="2"/>
  <c r="E1905" i="2"/>
  <c r="E1904" i="2"/>
  <c r="E1903" i="2"/>
  <c r="E1902" i="2"/>
  <c r="E1901" i="2"/>
  <c r="E1900" i="2"/>
  <c r="E1899" i="2"/>
  <c r="E1898" i="2"/>
  <c r="E1897" i="2"/>
  <c r="E1896" i="2"/>
  <c r="E1895" i="2"/>
  <c r="E188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7" i="2"/>
  <c r="E1888" i="2"/>
  <c r="E1889" i="2"/>
  <c r="E1890" i="2"/>
  <c r="E1891" i="2"/>
  <c r="E1892" i="2"/>
  <c r="E1893" i="2"/>
  <c r="E1894" i="2"/>
  <c r="E1794" i="2" l="1"/>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56" i="2"/>
  <c r="E1757" i="2"/>
  <c r="E1758" i="2"/>
  <c r="E1759" i="2"/>
  <c r="E1760" i="2"/>
  <c r="E1761" i="2"/>
  <c r="E1762" i="2"/>
  <c r="E1763" i="2"/>
  <c r="E1764" i="2"/>
  <c r="E1765" i="2"/>
  <c r="E1766" i="2"/>
  <c r="E1767" i="2"/>
  <c r="E1744" i="2" l="1"/>
  <c r="E1745" i="2"/>
  <c r="E1746" i="2"/>
  <c r="E1747" i="2"/>
  <c r="E1748" i="2"/>
  <c r="E1749" i="2"/>
  <c r="E1750" i="2"/>
  <c r="E1751" i="2"/>
  <c r="E1752" i="2"/>
  <c r="E1753" i="2"/>
  <c r="E1754" i="2"/>
  <c r="E1755" i="2"/>
  <c r="E1743" i="2"/>
  <c r="E1727" i="2"/>
  <c r="E1728" i="2"/>
  <c r="E1729" i="2"/>
  <c r="E1730" i="2"/>
  <c r="E1731" i="2"/>
  <c r="E1732" i="2"/>
  <c r="E1733" i="2"/>
  <c r="E1734" i="2"/>
  <c r="E1735" i="2"/>
  <c r="E1736" i="2"/>
  <c r="E1737" i="2"/>
  <c r="E1738" i="2"/>
  <c r="E1739" i="2"/>
  <c r="E1740" i="2"/>
  <c r="E1741" i="2"/>
  <c r="E1742" i="2"/>
  <c r="E1716" i="2" l="1"/>
  <c r="E1717" i="2"/>
  <c r="E1718" i="2"/>
  <c r="E1719" i="2"/>
  <c r="E1720" i="2"/>
  <c r="E1721" i="2"/>
  <c r="E1722" i="2"/>
  <c r="E1723" i="2"/>
  <c r="E1724" i="2"/>
  <c r="E1725" i="2"/>
  <c r="E1726" i="2"/>
  <c r="E1705" i="2"/>
  <c r="E1706" i="2"/>
  <c r="E1707" i="2"/>
  <c r="E1708" i="2"/>
  <c r="E1709" i="2"/>
  <c r="E1710" i="2"/>
  <c r="E1711" i="2"/>
  <c r="E1712" i="2"/>
  <c r="E1713" i="2"/>
  <c r="E1714" i="2"/>
  <c r="E1715" i="2"/>
  <c r="E1692" i="2"/>
  <c r="E1693" i="2"/>
  <c r="E1694" i="2"/>
  <c r="E1695" i="2"/>
  <c r="E1696" i="2"/>
  <c r="E1697" i="2"/>
  <c r="E1698" i="2"/>
  <c r="E1699" i="2"/>
  <c r="E1700" i="2"/>
  <c r="E1701" i="2"/>
  <c r="E1702" i="2"/>
  <c r="E1703" i="2"/>
  <c r="E1704" i="2"/>
  <c r="E1690" i="2" l="1"/>
  <c r="E1691" i="2"/>
  <c r="E1657" i="2" l="1"/>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45" i="2"/>
  <c r="E1646" i="2"/>
  <c r="E1647" i="2"/>
  <c r="E1648" i="2"/>
  <c r="E1649" i="2"/>
  <c r="E1650" i="2"/>
  <c r="E1651" i="2"/>
  <c r="E1652" i="2"/>
  <c r="E1653" i="2"/>
  <c r="E1654" i="2"/>
  <c r="E1655" i="2"/>
  <c r="E1656" i="2"/>
  <c r="E1643" i="2"/>
  <c r="E1644" i="2"/>
  <c r="E1636" i="2"/>
  <c r="E1637" i="2"/>
  <c r="E1638" i="2"/>
  <c r="E1639" i="2"/>
  <c r="E1640" i="2"/>
  <c r="E1641" i="2"/>
  <c r="E1642"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45" i="2"/>
  <c r="E1546" i="2"/>
  <c r="E1547" i="2"/>
  <c r="E1548" i="2"/>
  <c r="E1549" i="2"/>
  <c r="E1550" i="2"/>
  <c r="E1551" i="2"/>
  <c r="E1552" i="2"/>
  <c r="E1553" i="2"/>
  <c r="E1554" i="2"/>
  <c r="E1555" i="2"/>
  <c r="E1556" i="2"/>
  <c r="E1557"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3" i="4"/>
  <c r="D3" i="4"/>
  <c r="C3" i="4"/>
  <c r="B3" i="4"/>
  <c r="A3" i="4"/>
  <c r="E1500" i="2"/>
  <c r="E1501" i="2"/>
  <c r="E1502" i="2"/>
  <c r="E1503" i="2"/>
  <c r="E1504" i="2"/>
  <c r="E1505" i="2"/>
  <c r="E1506" i="2"/>
  <c r="E1457" i="2" l="1"/>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45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tc={88D8A059-4194-41AB-AB5E-B64A05067D05}</author>
  </authors>
  <commentList>
    <comment ref="C792" authorId="0" shapeId="0" xr:uid="{88D8A059-4194-41AB-AB5E-B64A05067D0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subio al nivel</t>
      </text>
    </comment>
  </commentList>
</comments>
</file>

<file path=xl/sharedStrings.xml><?xml version="1.0" encoding="utf-8"?>
<sst xmlns="http://schemas.openxmlformats.org/spreadsheetml/2006/main" count="33610" uniqueCount="7390">
  <si>
    <t>Salud y Seguridad Ocupacional  
Planta Cuyotenango 2026</t>
  </si>
  <si>
    <t>Bitácora de Actos Inseguros Reportados Acumulados 2026</t>
  </si>
  <si>
    <t>ID</t>
  </si>
  <si>
    <t>FECHA</t>
  </si>
  <si>
    <t>AREA A REPORTAR</t>
  </si>
  <si>
    <t>DESCRIPCIÓN</t>
  </si>
  <si>
    <t xml:space="preserve">Colaborador reportado por Acto Inseguro </t>
  </si>
  <si>
    <t xml:space="preserve">cbc-Tercerizado </t>
  </si>
  <si>
    <t>¿SE CONTROLÓ O CORRIGIÓ EL ACTO?</t>
  </si>
  <si>
    <t>Clasificacion</t>
  </si>
  <si>
    <t>Especificación</t>
  </si>
  <si>
    <t>Reportó:</t>
  </si>
  <si>
    <t>Area que reporta</t>
  </si>
  <si>
    <t>Linea 2</t>
  </si>
  <si>
    <t>Se aborda a edgar fuentes por uso de telefono miestras caminnaba se detuvo y se corrigio en el acto. Reporto Abel Aguilar</t>
  </si>
  <si>
    <t>Edgar Fuentes</t>
  </si>
  <si>
    <t>cbc</t>
  </si>
  <si>
    <t>Sí</t>
  </si>
  <si>
    <t>Exposición a un riesgo no controlado</t>
  </si>
  <si>
    <t>Uso de dispositivos electrónicos</t>
  </si>
  <si>
    <t>Abel Aguilar</t>
  </si>
  <si>
    <t>Línea 1</t>
  </si>
  <si>
    <t>Se aborda a selvin santay por no utilizar epp adecuado en tareas de soldadura,Se le indica la importancia del epp y procede a colocarselo. Reporto Abel Aguilar</t>
  </si>
  <si>
    <t>Selvin Santay</t>
  </si>
  <si>
    <t>Falta de uso de EPP</t>
  </si>
  <si>
    <t>Proteccion trabajos en caliente</t>
  </si>
  <si>
    <t>Jarabes</t>
  </si>
  <si>
    <t>Elio Xicara realizaba tareas de limpieza si hacer uso de camisa con reflectivo en sala nueva jarabes, se le solicita usarla para continuar. Reporto Adrian Santisteban</t>
  </si>
  <si>
    <t>Elio Xicara</t>
  </si>
  <si>
    <t>Protección anticorte</t>
  </si>
  <si>
    <t>Adrian Santisteban</t>
  </si>
  <si>
    <t>Se corrige a Cristian de León por subir a oficinas en gradas sin usar pasamanos. Reporto Adrián Santisteban</t>
  </si>
  <si>
    <t>Cristian de León</t>
  </si>
  <si>
    <t>Protección auditiva</t>
  </si>
  <si>
    <t>Tratamiento de agua</t>
  </si>
  <si>
    <t xml:space="preserve"> Se aborda a Nery Rivera por hacer uso de rampa frente a Tratamiento de aguas si usar el pasamanos, se corrige. Reporto Adrian Santisteban</t>
  </si>
  <si>
    <t>Nery Rivera</t>
  </si>
  <si>
    <t>Prisa</t>
  </si>
  <si>
    <t>Falta de uso de pasamanos</t>
  </si>
  <si>
    <t>Se solicita a Esteban Hernandez colocarse camisa con reflectivo durante proceso de formulación. Reporto Adrian Santisteban</t>
  </si>
  <si>
    <t>Esteban Hernandez</t>
  </si>
  <si>
    <t>Protección vial</t>
  </si>
  <si>
    <t>Se solicita a Daniel Arauz hacer uso de lentes para manipulación de químicos para limpieza de equipos en sala de jarabes. Reporto Adrian Santisteban</t>
  </si>
  <si>
    <t>Daniel Arauz</t>
  </si>
  <si>
    <t>Protección ocular</t>
  </si>
  <si>
    <t xml:space="preserve"> Se abordó a Marcos Gonzáles por no hacer uso de sus lentes al realizar trasiego de químicos para limpieza de sala de jarabes. Reporto Adrian Santisteban</t>
  </si>
  <si>
    <t>Marcos Gonzáles</t>
  </si>
  <si>
    <t>Se abordó a Anthony Marroquin por no hacer uso de sus lentes durante trasiego de químico para limpieza de sala nueva, se corrige. Reporto Adrian Santisteban</t>
  </si>
  <si>
    <t>Anthony Marroquin</t>
  </si>
  <si>
    <t>Se aborda a proveedora Mallarí Ayala de grupo Solic por hacer uso de audífonos mientras caminaba ingresando a sala de jarabes. Reporto Adrian Santisteban</t>
  </si>
  <si>
    <t>Mallarí Ayala</t>
  </si>
  <si>
    <t>Tercerizado</t>
  </si>
  <si>
    <t xml:space="preserve"> El auxiliar de soprinsa Gustavo De La Cruz entra al área de tratamiento de agua sin casco, se corrige. Reporto Adrian Santisteban</t>
  </si>
  <si>
    <t>Gustavo de la Cruz</t>
  </si>
  <si>
    <t>Protección de cabeza</t>
  </si>
  <si>
    <t>Técnico de KRONES Brandon Hernández durante visita técnica no se toma del pasa manos para acceder a oficina de jarabes, se corrige. Reporto Adrian Santisteban</t>
  </si>
  <si>
    <t>Brandon Hernández</t>
  </si>
  <si>
    <t>Operador de tratamiento de agua Nilson Salam sube con prisa a reactor 1 sin agarrarse del pasa manos, se corrige. Reporto Adrian Santisteban</t>
  </si>
  <si>
    <t>Nilson Salam</t>
  </si>
  <si>
    <t>Operador Dony García hace vaciado de químico sin portar lentes de protección, se corrige. Reporto Adrian Santisteban</t>
  </si>
  <si>
    <t>Dony García</t>
  </si>
  <si>
    <t>Trasladando químicos sin guantes ni lentes</t>
  </si>
  <si>
    <t xml:space="preserve">José Iván quiju </t>
  </si>
  <si>
    <t>Protección con químicos</t>
  </si>
  <si>
    <t>Realizaba una tarea de mantenimiento sin haber uso de protección auditiva en un área con mucho ruido</t>
  </si>
  <si>
    <t xml:space="preserve">Edwin Mejía </t>
  </si>
  <si>
    <t>No estaba usando cinturón al conducir el montacargas</t>
  </si>
  <si>
    <t xml:space="preserve">Esteban Hernández </t>
  </si>
  <si>
    <t>Comportamiento inadecuado</t>
  </si>
  <si>
    <t xml:space="preserve">Se encontró al colaborador formulando sin lentes </t>
  </si>
  <si>
    <t xml:space="preserve">Josue Martínez </t>
  </si>
  <si>
    <t>No hace uso de guantes al manipular cemento</t>
  </si>
  <si>
    <t>Protección de manos</t>
  </si>
  <si>
    <t xml:space="preserve">El técnico procedió a realizar la desinfección de un toma muestras pero no se coloco los lentes de protección </t>
  </si>
  <si>
    <t xml:space="preserve">Dolman Humberto </t>
  </si>
  <si>
    <t xml:space="preserve">El colaborador no estaba usando protección auditiva mientras utilizaba pulidora </t>
  </si>
  <si>
    <t xml:space="preserve">Gilder López </t>
  </si>
  <si>
    <t>Se aborda positivamente a Cristian de León Practicante, por entrar a la oficina de jarabes utilizando su celular. Reporto Adrián Santisteban</t>
  </si>
  <si>
    <t>Adrián Santisteban</t>
  </si>
  <si>
    <t>Visita de Juan Luis Fajardo de Resinco no se tomó del pasamanos en gradas hacia sala de Jarabes. Reporto Adrián Santisteban</t>
  </si>
  <si>
    <t>Juan Luis Fajardo</t>
  </si>
  <si>
    <t>No hace uso de pasos peatonales</t>
  </si>
  <si>
    <t>Se aborda al señor Rudy Armando Lima de Mainco el cual ingresa a tratamiento de agua y no usa el pasamanos para acceder. Reportó Adrián Santisteban</t>
  </si>
  <si>
    <t>Rudy Armando Lima</t>
  </si>
  <si>
    <t>Se aborda al señor Edwin Santos auxiliar de jarabes cruza en área restringida entre cisternas y nuevo edificio. Reportó Adrián Santisteban</t>
  </si>
  <si>
    <t>Edwin Santos</t>
  </si>
  <si>
    <t>Se aborda al señor Noé Estuardo Ramos de Solupisos el cual se encontraba puliendo pisos en el área de jarabes sin hacer uso de lentes, procede a colocárselos y continuar con la tarea. Reportó Adrián Santisteban</t>
  </si>
  <si>
    <t>Noe Estuardo Ramos</t>
  </si>
  <si>
    <t>Se aborda al compañero Cristian Rolando ya que estaba puliendo pisos sin lentes de protección, procede a ponérselos y continua con la tarea. Reportó Adrián Santisteban</t>
  </si>
  <si>
    <t>Cristian Rolando Cahueque</t>
  </si>
  <si>
    <t>Se aborda al señor Francisco López de la empresa Filter House Group International en tratamiento de agua sin hacer uso de protección auditiva y está encendido el generador por corte de energía. Reportó Adrián Santisteban</t>
  </si>
  <si>
    <t>Francisco López</t>
  </si>
  <si>
    <t>Se aborda a Nehemias  Aguilar de L1 manipulando envase sin guantes en sala de llenado, se corrige. Reporto Alejandro Martínez</t>
  </si>
  <si>
    <t>Nehemias Aguilar</t>
  </si>
  <si>
    <t>Alejandro Martinez</t>
  </si>
  <si>
    <t>Calidad</t>
  </si>
  <si>
    <t>CD</t>
  </si>
  <si>
    <t>Rafael de León sin utilizar mangas anticorte en encajillado de envase. Reporto Alejandro Martínez</t>
  </si>
  <si>
    <t>Rafael de Leon</t>
  </si>
  <si>
    <t>Alejandro Martínez</t>
  </si>
  <si>
    <t xml:space="preserve">Luis Angel González Diaz sin utilizar lentes en encajillado de envase, Soprinsa. Reporto Alejandro Martínez </t>
  </si>
  <si>
    <t>Luis González</t>
  </si>
  <si>
    <t>Carlos López del CD más de 10 tarimas con el montacargas, se corrigió. Reporto Alejandro Martínez</t>
  </si>
  <si>
    <t>Carlos López</t>
  </si>
  <si>
    <t>Linea 4</t>
  </si>
  <si>
    <t xml:space="preserve">Se aborda a Fernando Artiga, por no utilizar los pasos peatonales y cruzar entre L3 y L4. Reporto Alfonso Guatzin </t>
  </si>
  <si>
    <t>Fernando Artiga</t>
  </si>
  <si>
    <t>Alfonso Guatzin</t>
  </si>
  <si>
    <t xml:space="preserve">Se aborda A Francisco Socop, Por motivo del cual se encontraba Utilizando el Telefono mientras caminaba en el area de Paletizadora L4. Reporto Alfonso Guatzin </t>
  </si>
  <si>
    <t>Francisco Socop</t>
  </si>
  <si>
    <t xml:space="preserve">Se aborda a Don Raul Fernandez por utilizar el Telefono mientras caminaba, en pasillos frente a laboratorio de Calidad, Reporta Alfonso Guatzin </t>
  </si>
  <si>
    <t>Raul Fernandez</t>
  </si>
  <si>
    <t>Incumplimiento de procedimientos</t>
  </si>
  <si>
    <t xml:space="preserve">Se aborda a Dario Chacon por cruzar en medio de la bodega de preforma entre Linea 3 y Linea 4, Reporto Alfonso Guatzin. </t>
  </si>
  <si>
    <t xml:space="preserve">Dario Chacon </t>
  </si>
  <si>
    <t>Se aborda a Marco Argueta por no utilizar su gorra casco en lo que realizaba actividades en etiquetadora Linea 4, Reporto Alfonso Guatzin</t>
  </si>
  <si>
    <t>Marco Argueta</t>
  </si>
  <si>
    <t xml:space="preserve">Se aborda a Fernando Artiga, por no utilizar sus orejeras mientras realizaba limpieza en cercanias del chiller Linea 4 Reporto Alfonso Guatzin </t>
  </si>
  <si>
    <t xml:space="preserve">Se aborda a Anderson Cayax, no se encontraba utilizando sus orejeras dentro de sala de llenado. Reporto Alfonto Guatzin 
</t>
  </si>
  <si>
    <t>Anderson Cayax</t>
  </si>
  <si>
    <t xml:space="preserve">Se aborda a Anderson Cayax por caminar utilizando el celular en area de Sopladora linea 4. Reporto Alfonso Guatzin </t>
  </si>
  <si>
    <t>Exceso de confianza</t>
  </si>
  <si>
    <t xml:space="preserve">Se aborda a Jesus Ajanel por no utilizar pasamanos en las escaleras de Paletizadora. Reporto Alfonso Guatzin </t>
  </si>
  <si>
    <t>Jesús Ajanel</t>
  </si>
  <si>
    <t>Se aborda a Rodrigo Diaz, tecnico de krones por caminar dentro de planta sin su gorra casco. Reporto Alfonso Guatzin.</t>
  </si>
  <si>
    <t>Rodrigo Diaz</t>
  </si>
  <si>
    <t xml:space="preserve">Se aborda a Byron chay por no utilizar sus orejeras de proteccion auditiva en sala de llenado Linea 4. Reporto Alfonso Guatzin </t>
  </si>
  <si>
    <t>Byron Chay</t>
  </si>
  <si>
    <t xml:space="preserve">Se aborda a Manuel Escobar por no utilizar el pasomanos en la escalera de trasnporte botella Linea 4. Reporto Alfonso Guatzin </t>
  </si>
  <si>
    <t>Manuel Escobar</t>
  </si>
  <si>
    <t>Se aborda a Wagner Estrada por ingresar a limpiar zona inferior de volcador de preformas sin activar los dispositivos de seguridad. Reporto Alfonso Guatzin.</t>
  </si>
  <si>
    <t>Wagner Estrada</t>
  </si>
  <si>
    <t xml:space="preserve">Se aborda a Raul Hernadez por no utilizar su equipo de proteccion auditiva dentro de sala de llenado. Reporto Alfonso Guatzin </t>
  </si>
  <si>
    <t>Raul Hernandez</t>
  </si>
  <si>
    <t>Linea 3</t>
  </si>
  <si>
    <t xml:space="preserve">Se aborda a Jeiner Caceres por cruzar entre linea 3 y linea 4 en medio de la bodega de preforma. Reporto Alfonso Guatzin 
</t>
  </si>
  <si>
    <t>Jeiner Caceres</t>
  </si>
  <si>
    <t xml:space="preserve">Se aborda y concientiza a Javier Ixcot, por utilizar como paso peatonal la bodega de preformas entre línea 3 y línea 4. Reporto Alfonso Guatzin </t>
  </si>
  <si>
    <t>Javier Ixcot</t>
  </si>
  <si>
    <t xml:space="preserve">Se aborda a Francisco Socop por utilizar el celular mientras caminaba en pasillos de zona de insumos Línea 4. Reporto Alfonso Guatzin </t>
  </si>
  <si>
    <t xml:space="preserve">Se aborda a Eddy Baten por utilizar mientras caminaba el celular en pasillos de transporte de botellas. Reporto Alfonso Guatzin </t>
  </si>
  <si>
    <t>Eddy Baten</t>
  </si>
  <si>
    <t xml:space="preserve">Se aborda a Marcos Argueta por no utilizar pasamanos en escaleras sobre transportes de botellas de empacadora. Reporto Alfonso Guatzin </t>
  </si>
  <si>
    <t>Marcos Argueta</t>
  </si>
  <si>
    <t xml:space="preserve">Se aborda a Marco Velázquez por cruzar de forma apresurada en bodega de preforma entre línea 3 y línea 4, reporto Alfonso Guatzin </t>
  </si>
  <si>
    <t>Marco Velazquez</t>
  </si>
  <si>
    <t xml:space="preserve">Se aborda a Darío Chacón por no utilizar su equipo de protección auditiva durante la descarga de preforma en volcador de preforma Línea 4. Reporto Alfonso Guatzin
</t>
  </si>
  <si>
    <t xml:space="preserve">Se aborda a Fernando Artiga por cruzar entre línea 3 y línea 4 por la bodega de preforma
</t>
  </si>
  <si>
    <t xml:space="preserve">Se aborda a Marco Vinicio por no utilizar pasamanos de escaleras de equipo Contifeed. Reporto Alfonso Guatzin </t>
  </si>
  <si>
    <t>Marco Vinicio</t>
  </si>
  <si>
    <t xml:space="preserve">Se aborda a Gervacio Ajpop por utilizar el celular mientras se encontraba caminando en paso peatonal de sala de llenado Línea 4. Reporto Alfonso Guatzin
</t>
  </si>
  <si>
    <t>Gervacio Ajpop</t>
  </si>
  <si>
    <t xml:space="preserve">Se aborda a Ottoniel Ramírez por no utilizar casco durante actividades de mantenimiento
</t>
  </si>
  <si>
    <t>Ottoniel Ramirez</t>
  </si>
  <si>
    <t xml:space="preserve">Se aborda a Francisco Socop Por cruzar entre línea 3 y Línea 4 por la bodega de preformas. Reporto Alfonso Guatzin 
</t>
  </si>
  <si>
    <t xml:space="preserve">Se aborda a Jaeyner Caceres por cruzar en medio de la bodega de preforma de linea 3 y linea 4. Reporto Alfonso Guatzin 
</t>
  </si>
  <si>
    <t>Jaeyner Caceres</t>
  </si>
  <si>
    <t xml:space="preserve">Se aborda a Manuel Ixmata por utilizar el teléfono mientras caminaba en paso peatonal hacia Línea 3 y 4. Reporto Alfonso Guatzin
</t>
  </si>
  <si>
    <t>Manuel Ixmata</t>
  </si>
  <si>
    <t xml:space="preserve">Se aborda a Mario Dany Pons por no utilizar su casco de protección durante tareas en Línea 3 en pasillos de transporte botellas. Reporto Alfonso Guatzin
</t>
  </si>
  <si>
    <t>Mario Dany Pons</t>
  </si>
  <si>
    <t xml:space="preserve">Se aborda a Kevin Arnoldo por no utilizar su protección auditiva durante producción en Línea 3. Reporto. Alfonso Guatzin
</t>
  </si>
  <si>
    <t>Kevin Arnoldo</t>
  </si>
  <si>
    <t xml:space="preserve">Se Aborda a Marco Velazquez, Por Cruzar Entre bodega de preforma de Linea 3 y linea 4. El cual no es un paso peatonal, Reporta Alfonso Guatzin </t>
  </si>
  <si>
    <t>Marco Vinicio Velasquez</t>
  </si>
  <si>
    <t>Alfronso Guatzin</t>
  </si>
  <si>
    <t>Se aborda a Marcos Raquic de la empresa Ambiente por caminar frente a tratamiento de agua viendo su teléfono celular.  Reporto Amílcar Ralda</t>
  </si>
  <si>
    <t xml:space="preserve">Marcos Raquic </t>
  </si>
  <si>
    <t>Amilcar Ralda</t>
  </si>
  <si>
    <t>Se aborda a Hellen Martínez por el uso de camisa fuera de pantalón en línea cuando estaba produciendo. Reporto Amílcar Ralda</t>
  </si>
  <si>
    <t>Hellen Martínez</t>
  </si>
  <si>
    <t>Uso incorrecto de vestimenta</t>
  </si>
  <si>
    <t>Se encuentra a Edgar Fuentes auxiliar de linea 2 portando la camisa fuera del pantalon en linea en produccion se procedio a corregir el mismo momento. Reporto Amilcar Ralda</t>
  </si>
  <si>
    <t>Se reporta a Marcos Lopez por portar la camisa afuera del pantalon con la linea en produccion el compañero se compromete a portar el uniforme como se debe. Reporto Amilcar Ralda</t>
  </si>
  <si>
    <t>Marcos López</t>
  </si>
  <si>
    <t>Se reporta a Santos Velasquez por no tener puesta la proteccion auditiva en linea de produccion, procede a colocarse la proteccion despues de haber sido abordado. Reporto Amilcar Ralda</t>
  </si>
  <si>
    <t>Santos Velasquez</t>
  </si>
  <si>
    <t>Se indica que el compañero estaba manipulando envases con producto sin uso de lentes /guantes</t>
  </si>
  <si>
    <t>Luis Angel Barrios</t>
  </si>
  <si>
    <t xml:space="preserve">Operador de línea 4 sin protección auditiva durante producción </t>
  </si>
  <si>
    <t>Ana lucia</t>
  </si>
  <si>
    <t xml:space="preserve"> Se encuentra a Josue Pastor en sala de llenado con la camisa de fuera, se le aborda positivamente indicando el riesgo de atrapamiento al que esta expuesto, el colaborador se mete la camisa en el momento. Reporto Andrea Gonzalez</t>
  </si>
  <si>
    <t>Josué Pastor</t>
  </si>
  <si>
    <t>Andrea Gonzalez</t>
  </si>
  <si>
    <t>Se encuentra a Marcos Lopez de linea 2, trabajando en el área del pasteurizador sin gorra casco, se retroalimenta y el operador se coloca la protección correspondiente. Reporto Andrea González</t>
  </si>
  <si>
    <t>Se encontró a Jose Citan con lentes oscuros en línea 1, se le aborda retroalimentando que estos deben utilizarlos solamente los yaleros. Reporto Andrea Gonzalez</t>
  </si>
  <si>
    <t>José Citan</t>
  </si>
  <si>
    <t>Se encuentra a Josue Pastor sentado en cajillas con envases en línea 1, se retroalimenta el riesgo de rotura y corte que existe por el pesor aplicado en las mismas y que no debe estar sentado en las mismas. Reporto Andrea Gonzalez</t>
  </si>
  <si>
    <t>Se encuentra a Jose María Esquina de ECOLAB en el área de pre embotellado sin protección auditiva, se le aborda indicando que se encontraba expuesto a ruido por lo que es importante que utilice la misma. Reporto Andrea González</t>
  </si>
  <si>
    <t>José Maria Esquina</t>
  </si>
  <si>
    <t>Mantenimiento</t>
  </si>
  <si>
    <t>Se encuentra a Elvis Lavarreda en el área de entarimado de línea 2 sin protección auditiva, se le aborda indicando que debe colocarse la misma ya que esta expuesto a ruido. Reporto Josué Vásquez</t>
  </si>
  <si>
    <t>Elvis Lavarreda</t>
  </si>
  <si>
    <t>Proyectos</t>
  </si>
  <si>
    <t>Se aborda a Luis Rosales, especialista de proyectos, en pasillo peatonal externo frente a línea 3 sin reflectivo, el colaborador regresa a colocarse cintas reflectivas. Reporto Andrea Gonzalez</t>
  </si>
  <si>
    <t>Luis Rosales</t>
  </si>
  <si>
    <t>MP</t>
  </si>
  <si>
    <t>Se encuentra a Mynor Hernandez operador de montacargas de Materia Prima, manejando montacargas sin su cinturón de seguridad, se corrigio. Reporto Andrea González</t>
  </si>
  <si>
    <t>Mynor Hernández</t>
  </si>
  <si>
    <t xml:space="preserve"> Se encuentra a Byron Ramos sin lentes de protección pintando curva sanitaria en línea 2, se corrige. Reporto Andre Gonzalez</t>
  </si>
  <si>
    <t>Byron Ramos</t>
  </si>
  <si>
    <t>Se aborda a Francisco Puac pasando por el área de pre embotellado de línea 2 sin protección auditiva, se corrige. Reporto Andrea Gonzalez</t>
  </si>
  <si>
    <t>Francisco Puac</t>
  </si>
  <si>
    <t>Se encuentra a Wilmer Quiñonez en área de etiquetado linea 1 sin protección auditiva, se le aborda y se corrige en el momento. Reporto Andrea González</t>
  </si>
  <si>
    <t>Wilmer Quiñonez</t>
  </si>
  <si>
    <t>GYG</t>
  </si>
  <si>
    <t>Se encuentra a Luis Arenales frente a taller de mantenimiento con reflectivo del uniforme deteriorado por lo que se le indica solicitar nuevo uniforme para que el reflectivo cumpla su función. Reporto Andrea González</t>
  </si>
  <si>
    <t>Luis Arenales</t>
  </si>
  <si>
    <t>Se encuentra a Nilson Salam el 24.12 frente a nave de osmosis con suéter sin chaleco reflectivo, se le aborda y se le indica la importancia de uso. Reporto Andrea Gonzalez</t>
  </si>
  <si>
    <t>Se encuentra a Yoseline Reyes de soprinsa utilizando químicos (alcohol y desinfectante), se le indica que debe utilizar guantes y lentes de protección ya que lo que se encontraba limpiando eran vidrios de puertas y ventanas. Reporto Andrea Gonzalez</t>
  </si>
  <si>
    <t>Yoseline Reyes</t>
  </si>
  <si>
    <t>Se encuentra a Estuardo Dubon de Krones sin agarrarse del pasamanos en la rampa a un costado de línea 1, se le aborda. Reporto Andrea Gonzalez</t>
  </si>
  <si>
    <t>Estuardo Dubon</t>
  </si>
  <si>
    <t>Se encuentra a Luis de empresa NABLA en rampa a un costado de nave de osmosis sin tomarse el pasamanos, se le aborda. Reporto Andrea Gonzalez</t>
  </si>
  <si>
    <t>Luis de NABLA</t>
  </si>
  <si>
    <t>Se encuentra a Eusebio Cal en el área de desentarimado de Linea 1 utilizando incorrectamente mangas anticorte, estas no cubrían en su totalidad los brazos exponiéndose a riesgo de algún tipo de corte. Reporto Andrea González</t>
  </si>
  <si>
    <t>Eusebio Caal</t>
  </si>
  <si>
    <t>Andrea González</t>
  </si>
  <si>
    <t xml:space="preserve">Se encontró a Tony Caceres en el área de desentarimado de L1 con mangas anticorte que no cubrían en su totalidad los brazos (solamente la parte del antebrazo), se corrige. Reporto Andrea González </t>
  </si>
  <si>
    <t xml:space="preserve">Tony Cáceres </t>
  </si>
  <si>
    <t>Alrededor/Cafetería</t>
  </si>
  <si>
    <t>Se encuentra a Noe Pérez de Corporación Cisa en el parqueo viendo su teléfono mientras caminaba</t>
  </si>
  <si>
    <t>Noe Pérez</t>
  </si>
  <si>
    <t>Se encuentra a Mauricio de la empresa Seimsa trabajando en alturas con la bandola mal posicionada, se aborda y se corrige de inmediato. Reportó Andrea González</t>
  </si>
  <si>
    <t>Mauricio López</t>
  </si>
  <si>
    <t>Se encuentra a Marvin González de Recipa por utilizar gorra debajo de casco de seguridad, se aborda y corrige en el momento. Reportó Andrea González</t>
  </si>
  <si>
    <t>Marvin González</t>
  </si>
  <si>
    <t>Logistica</t>
  </si>
  <si>
    <t>Se aborda al señor Gerson García de transportes por hablar por teléfono estando en el camión, se abordó el acto y se corrigió. Reportó Astrid Macario</t>
  </si>
  <si>
    <t>Gerzon García</t>
  </si>
  <si>
    <t>Astrid Macario</t>
  </si>
  <si>
    <t>Se abordó a los jóvenes Cesar Hernández de RENTOKIL en la salida de L5 ya que encontraban caminando y al mismo tiempo consultando su celular. Reporto Bryan Neftali</t>
  </si>
  <si>
    <t xml:space="preserve">César Hernández </t>
  </si>
  <si>
    <t>Bryan neftali</t>
  </si>
  <si>
    <t>Linea 5</t>
  </si>
  <si>
    <t>Se abordó Milton y Alejandro de Ciraire por no ultilizar pasamanos. Reporto Bryan Neftaly</t>
  </si>
  <si>
    <t>Milton Pérez</t>
  </si>
  <si>
    <t>Se abordó  Alejandro Pérez de Ciraire por no ultilizar pasamanos, se corrige. Reporto Bryan Neftaly</t>
  </si>
  <si>
    <t>Alejandro Pérez</t>
  </si>
  <si>
    <t xml:space="preserve">El colaborador se encuentra a una altura mayor a 1.5 sin anclaje, sin arnés y sin casco </t>
  </si>
  <si>
    <t xml:space="preserve">Personal de Avance Energí </t>
  </si>
  <si>
    <t>Protección trabajos en altura</t>
  </si>
  <si>
    <t xml:space="preserve">Se aborda por retirar producto sin guantes saliendo de la llenadora de botellas de L5 </t>
  </si>
  <si>
    <t>Nelson Godínez</t>
  </si>
  <si>
    <t xml:space="preserve">Realizaba limpieza de drenajes en L1 sin lentes protectores </t>
  </si>
  <si>
    <t>Edy Adonías</t>
  </si>
  <si>
    <t xml:space="preserve">Personal de KHS caminado por área de generadores sin protección auditiva ruido mayor a 85db </t>
  </si>
  <si>
    <t xml:space="preserve">Personal de KHS </t>
  </si>
  <si>
    <t xml:space="preserve">Personal de iiiSA realiza limpieza de soldadura de INOX con químico (Antox) sin utilizar guantes ni lentes protectores. Sé aborto y se les explicó q es un químico corrosivo. Por lo cual deben utilizar gustes de nitrilo </t>
  </si>
  <si>
    <t>José Perez</t>
  </si>
  <si>
    <t>Equipos Auxiliares</t>
  </si>
  <si>
    <t>Se encontraba con su equipo de protección personal completo cambiándole disco de corte a una amoladora, pero la amoladora seguía conectada al toma corriente Fernando gonzalez de iiisa</t>
  </si>
  <si>
    <t>Fernando Gonzalez</t>
  </si>
  <si>
    <t xml:space="preserve">Se encontraba realizando limpieza de Pizos en L1 sin protección de cabeza (gorra casco) </t>
  </si>
  <si>
    <t xml:space="preserve">Alex Rucun </t>
  </si>
  <si>
    <t xml:space="preserve">Personal de Timor de  KHS es abordado por caminar mientras utiliza el té felino celular </t>
  </si>
  <si>
    <t>Timor de KHS</t>
  </si>
  <si>
    <t xml:space="preserve">Se abordó a Armando de constructora Joel se encontraba derramando árboles sin protección ocular </t>
  </si>
  <si>
    <t xml:space="preserve">Armando </t>
  </si>
  <si>
    <t xml:space="preserve">Se abordó a Eelindo de Nabla se encontraba trabajando con las botas industriales desatadas </t>
  </si>
  <si>
    <t xml:space="preserve">Ermelindo </t>
  </si>
  <si>
    <t>Protección de pies</t>
  </si>
  <si>
    <t xml:space="preserve">Kevin del CD sube escalera sin uso de pasamanos para realizar medición de combustible </t>
  </si>
  <si>
    <t>Kevin Gasolinera CD</t>
  </si>
  <si>
    <t xml:space="preserve">Se encuentra operando sin gorra casco etiquetadora </t>
  </si>
  <si>
    <t xml:space="preserve">Darwin Chox </t>
  </si>
  <si>
    <t xml:space="preserve">Adolfo de NABLA se encontraba aplicando repello sin lentes protectores 
</t>
  </si>
  <si>
    <t>Adolfo Guzman</t>
  </si>
  <si>
    <t xml:space="preserve">Adrián de serví Montajes se encuentra trabajando a más de 1.50mt de altura sin casco </t>
  </si>
  <si>
    <t xml:space="preserve">Adrián </t>
  </si>
  <si>
    <t xml:space="preserve">Se encuentra a César en la línea sin gorra casco </t>
  </si>
  <si>
    <t xml:space="preserve">César López </t>
  </si>
  <si>
    <t xml:space="preserve">Se encuentra a Fabio de KHS sin gorra casco en la línea de producción </t>
  </si>
  <si>
    <t xml:space="preserve">Fabio de KHS </t>
  </si>
  <si>
    <t xml:space="preserve">Timón de KHS se encuentra con audífonos y sin protección auditiva en la línea </t>
  </si>
  <si>
    <t xml:space="preserve">Timor </t>
  </si>
  <si>
    <t>Línea 5</t>
  </si>
  <si>
    <t xml:space="preserve">Se abordó a 6 personas de KHS por no utilizar el pasamanos en rampas </t>
  </si>
  <si>
    <t>Almacen de Repuestos</t>
  </si>
  <si>
    <t>Irwin Rodríguez se encuentra caminando en la planta con audífonos (de cafetería a área administrativa), no se abordo porque estaba saliendo de cafeteria y no se alcanzo. Reporto Byran Ochoa</t>
  </si>
  <si>
    <t>Irwin Rodriguez</t>
  </si>
  <si>
    <t>No</t>
  </si>
  <si>
    <t xml:space="preserve">Se abordó a Personal de Ceica (Jeremy y Estuardo) no utilizan paso peatonal establecido. Utilizan bodega de preforma entre línea 3 y 4 para dirigirse a L4 </t>
  </si>
  <si>
    <t xml:space="preserve">Jeremy y Estuardo </t>
  </si>
  <si>
    <t>Se abordó a Luis de Nabla por no contar con un auxiliar q le sujetara la escalera y la escalera se encontraba sin anclar. Reportó Bryan Rodas</t>
  </si>
  <si>
    <t>Luis de NABLA se encontraba en una escalera a una altura mayor a 1.50 mts sin auxiliar sujetando escalera y la escalera sin anclar</t>
  </si>
  <si>
    <t>Bryan Neftaly</t>
  </si>
  <si>
    <t>Se abordo a Byron Castañeda operando dentro del cuarto frío sin abrigo. Reporto Miguel Godinez</t>
  </si>
  <si>
    <t>Byron Castañeda</t>
  </si>
  <si>
    <t>Protección respiratoria</t>
  </si>
  <si>
    <t>Tapadera de tomacorriente abierta en etiquetadora de l4 abierta se le abordo porque ahi cae agua y comenta se le olvido cerrarla y se corrigio. Reporto Fredy Fuentes</t>
  </si>
  <si>
    <t>Orden y limpieza en áreas de trabajo</t>
  </si>
  <si>
    <t>Byron chay llego al almacén de repuestos ingreso al almacén sin casco, se corrigió y abordo. Reporto Fredy Fuentes</t>
  </si>
  <si>
    <t>Yackeline Roche practicante de procesos subía gradas frente oficinas sin hacer uso del pasamanos, se retroalimentó el tema y se corrige en el momento. Reporto Oscar Ramos</t>
  </si>
  <si>
    <t>Jackeline Roché</t>
  </si>
  <si>
    <t>Byron Mejia</t>
  </si>
  <si>
    <t xml:space="preserve">Falta carreta para transportar cilindros con gas por lo que se tiene el riesgo de accidente al rodar los cilindros para trasladarlos al interior del almacén de repuestos, Haroldo Midence de Productos del aire. Reporto Byron Valux </t>
  </si>
  <si>
    <t>Haroldo Midence</t>
  </si>
  <si>
    <t>Posición de cuerpo inadecuado (ergonomía)</t>
  </si>
  <si>
    <t>Falta de uso de equipos de apoyo de carga</t>
  </si>
  <si>
    <t>Byron Valux</t>
  </si>
  <si>
    <t>Se aborda al señor mario alberto garcia de empresa Las Pipas de CO2, ya que se le encontró en un acto inseguro, al estar hablando por teléfono mientras caminaba. Reporto Byron Valux</t>
  </si>
  <si>
    <t>Mario Alberto Garcia</t>
  </si>
  <si>
    <t>Se aborda al señor mario alberto garcia de empresa Las Pipas de Co2, ya que se le encontró en un acto inseguro, al estar hablando por teléfono mientras caminaba. Reporto Byron Valux</t>
  </si>
  <si>
    <t>Se detiene a Carlos Coc caminando y hablando por celular frente a cafeteria se detiene y se aborda positivamente reporta Carlos Chavez</t>
  </si>
  <si>
    <t>Carlos Coc</t>
  </si>
  <si>
    <t>Carlos Chavez</t>
  </si>
  <si>
    <t>Se detiene a Carlos Chavez sin portar reflectivo en alrededores de la planta, se detiene y se le brinda chaleco abordandolo positivamente reporta Mario Reyes</t>
  </si>
  <si>
    <t>Marvin Ramirez de Soprinsa utilizando podadora de mano sin lentes de proteccion se detiene, se corrige y se aborda positivamente.</t>
  </si>
  <si>
    <t>Marvin Ramirez</t>
  </si>
  <si>
    <t>Jorge Giron hablando por telefono y con su computadora caminando, se corrige de inmediato</t>
  </si>
  <si>
    <t>Jorge Giron</t>
  </si>
  <si>
    <t>Edgar Tojil sin usar lentes de proteccion en tareas de poda, se corrige de inmediato</t>
  </si>
  <si>
    <t>Edgar Tojil</t>
  </si>
  <si>
    <t>Kevin Vasquez de soprinsa manipulando pintura sin guantes ni lentes de proteccion, se coloca su EPP y se aborda positivamente reporta Carlos Coc</t>
  </si>
  <si>
    <t>Kevin Vasquez</t>
  </si>
  <si>
    <t>Se detiene a Luis Poma de Soprinsa realizando tareas de pintura y jardineria sin guantes de proteccion, de detiene y se retroalimenta positivamente colocandose de nuevo los guantes, reporta Carlos Chavez</t>
  </si>
  <si>
    <t>Luis Poma</t>
  </si>
  <si>
    <t>Carlos coc manipulando WD-40 sin lentes de protección se aborda positivamente y se coloca los lentes, reporta Carlos Chavez</t>
  </si>
  <si>
    <t>Edgar Tojil utilizando herbicida sin guantes de proteccion se detiene y se retroalimenta positivamente reporta Carlos Coc</t>
  </si>
  <si>
    <t>Se detiene a Kevin Vasques de Soprinsa rellenando el tanque de la podadora con gasolina sin lentes de protección se detiene la actividad se aborda positivamente y se corrige colocandose los lentes para seguir con la tarea.</t>
  </si>
  <si>
    <t>Se detiene a Eddyn Vasquez de Soprinsa rellenando el tanque de aceite al tractor recostado sin lentes de protección se detiene la actividad se aborda positivamente y se corrige colocandose los lentes para seguir con la tarea.</t>
  </si>
  <si>
    <t>Eddyn Vasquez</t>
  </si>
  <si>
    <t xml:space="preserve">Se detiene a Luis Poma utilizando herramientas de corte de poda sin guantes de protección, se detiene se coloca sus guantes, se aborda positivamente y continua con su actividad </t>
  </si>
  <si>
    <t>Luis Poma desarmando mesas sin proteccion de manos (riesgo de astillarse) se retroalimenta y se coloca los guantes para seguir con la tarea</t>
  </si>
  <si>
    <t>Se detuvo a William García del área de comercial caminando y hablando por celular de los baños generales a garita, se detiene y se retroalimenta positivamente reporta Carlos Chavez</t>
  </si>
  <si>
    <t>William García</t>
  </si>
  <si>
    <t>Carlos Chávez</t>
  </si>
  <si>
    <t>Se detuvo a Jose Bencomo del área de comercial caminando y hablando por celular de los baños generales a garita, se detiene y se retroalimenta positivamente reporta Carlos Chavez</t>
  </si>
  <si>
    <t>Jose Bencomo</t>
  </si>
  <si>
    <t>Se detuvo a Pablo Roca del área de comercial caminando y hablando por celular de los baños generales a garita, se detiene y se retroalimenta positivamente reporta Carlos Chavez</t>
  </si>
  <si>
    <t xml:space="preserve">Pablo Roca </t>
  </si>
  <si>
    <t>Se detiene a Mario Ramos bajando corriendo las gradas de la cisterna de agua hacia la oficina de coordinadores se detiene y se aborda positivamente, reporta Carlos Chavez</t>
  </si>
  <si>
    <t>Mario Ramos</t>
  </si>
  <si>
    <t>Se abordo a Eddyn Azurdia de la empresa Soprinsa haciendo tareas de poda sin guantes de protección, se aborda positivamente y se coloca los guantes, reporta Carlos Coc</t>
  </si>
  <si>
    <t>Eddyn Azurdia</t>
  </si>
  <si>
    <t>Se abordo a Luis Lopez de la empresa Soprinsa haciendo tareas de poda sin guantes de protección, se aborda positivamente y se coloca los guantes, reporta Carlos Coc</t>
  </si>
  <si>
    <t>Luis Lopez</t>
  </si>
  <si>
    <t>Se abordo a Marvin Ramirez de la empresa Soprinsa haciendo tareas de poda sin guantes de protección, se aborda positivamente y se coloca los guantes, reporta Carlos Coc</t>
  </si>
  <si>
    <t>Se detuvo a Carlos Coc cortando los grama con podadora sin guantes de proteccion, se detiene y aborda positivamente reporta Carlos Chavez</t>
  </si>
  <si>
    <t>protección de manos</t>
  </si>
  <si>
    <t>Se observo a Marvin Ramírez sin casco en el área de baños generales. Reporto Carlos Chávez</t>
  </si>
  <si>
    <t>Carlos Coc utilizando podadora sin lentes de protección, se corrige. Reporto Carlos Chávez</t>
  </si>
  <si>
    <t>Se abordo a Carlos Chavez de cbc que bajo corriendo la rampa fuera de sala de embajadores sin tomarse de los pasamanos, se detiene y aborda positivamente, reporta Carlos Coc</t>
  </si>
  <si>
    <t>Se detuvo a Carlos Chavez bajando corriendo la rampa hacia embajadores, se detiene y aborda positivamente reporta Carlos Coc</t>
  </si>
  <si>
    <t>Se detuvo a Lorenzo Ajanel de soprinsa podando arbustos con tijera sin guantes de proteccion, se detiene y aborda positivamente reporta Carlos Coc</t>
  </si>
  <si>
    <t>Lorenzo Ajanel</t>
  </si>
  <si>
    <t>protección auditiva</t>
  </si>
  <si>
    <t>Se detuvo a Carlos Ajpop de soprinsa podando arbustos con tijera sin guantes de proteccion, se detiene y aborda positivamente reporta Carlos Coc</t>
  </si>
  <si>
    <t>Carlos Ajpop</t>
  </si>
  <si>
    <t>Se aborda a Armando Ramirez de construcciones Joel barrenando sin mangas ni tapones auditivos de proteccion se detiene la tarea y se aborda positavamente, reporta Carlos Coc</t>
  </si>
  <si>
    <t>Armando Ramírez</t>
  </si>
  <si>
    <t>Se detuvo a Octaviano García sin lentes de protección utilizando motosierra en el área de ampliación de pérgola, se detiene y se retroalimenta positivamente reporta Carlos Coc</t>
  </si>
  <si>
    <t>Octaviano García</t>
  </si>
  <si>
    <t>Se detiene a Mario Cá de Soprinsa utilizando pala para abrir agujero de tierra sin guantes de proteccion se detiene y se aborda positivamente, diciendole que si no utiliza los guantes puede ampollar sus manos reporta Carlos Coc</t>
  </si>
  <si>
    <t>Mario Alberto Cá</t>
  </si>
  <si>
    <t>Se detiene a Mario Alberto Cá de Soprinsa caminando y hablando por télefono en el área de la pergola, se detiene y se aborda positivamente reporta Carlos Coc</t>
  </si>
  <si>
    <t xml:space="preserve">Rybairo Lorenzo de Soprinsa manipulando thinner y pintura sin guantes ni lentes de protección se detiene y corrige de inmediato reporta Carlos Coc </t>
  </si>
  <si>
    <t>Rybairo Lorenzo</t>
  </si>
  <si>
    <t>x</t>
  </si>
  <si>
    <t>Se detiene a Jaimy Garcia del equipo de compas caminando y hablando por teléfono, se detiene y aborda positivamente reporta Carlos Coc</t>
  </si>
  <si>
    <t>Jaimy García</t>
  </si>
  <si>
    <t>Se detiene a Luis Poma sin guantes de proteccion podando plantas espinosas (riesgo de lastimarse las manos) se detiene la tarea se retroalimenta positavamente colocandose sus guantes para proceder con la tarea reporta Carlos Coc</t>
  </si>
  <si>
    <t>Carlos coc</t>
  </si>
  <si>
    <t>Se detiene a Marvin Ramirez haciendo tareas de poda sin guante anticorte y sin lentes de proteccion se detiene de inmmediato y se aborda positivamente, reporta Carlos Coc</t>
  </si>
  <si>
    <t>Se detiene a kevin vasquez haciendo tareas de poda sin guante anticorte y sin lentes de proteccion se detiene de inmmediato y se aborda positivamente, reporta Carlos Coc</t>
  </si>
  <si>
    <t>Se aborda positivamente a Geovani Pineda de transporte Medina estaba halando por teléfono mientras conducía la unidad. Reporta Carlos Poz</t>
  </si>
  <si>
    <t>Geovani Pineda</t>
  </si>
  <si>
    <t>Carlos Poz</t>
  </si>
  <si>
    <t>Se aborda al piloto Eduardo Donis de transportes CLC por obstaculizar paso peatonal, el cual corrige el posicionamiento. Reportó Carlos Poz</t>
  </si>
  <si>
    <t>Eduardo Donis</t>
  </si>
  <si>
    <t>ETEI</t>
  </si>
  <si>
    <t>Se aborda positivamente a Jessica Loarca por no contar con equipo de protección auditiva en area de compresores. Reporto Carlos Quan</t>
  </si>
  <si>
    <t>Jessica Loarca</t>
  </si>
  <si>
    <t>Carlos Quan</t>
  </si>
  <si>
    <t>Se aborda positivamentea a Juan Figueroa que no tenía puesto casco en el área de caldera equipos auxiliares. Reporto Daniel Corado</t>
  </si>
  <si>
    <t>Juan Figueroa</t>
  </si>
  <si>
    <t>Daniel Corado</t>
  </si>
  <si>
    <t>Se aborda positivamente a Walfred Guzmán por utilizar telefono mientras caminaba frente a calderas. Reporto Daniel Corado</t>
  </si>
  <si>
    <t xml:space="preserve">Walfred Guzmán </t>
  </si>
  <si>
    <t>Se aborda a juan rodas por no utilizar su epp auditivo en área de compresores de amoniaco. Reporto Daniel Corado</t>
  </si>
  <si>
    <t>Juan Rodas</t>
  </si>
  <si>
    <t>Se aborda a Kevin vasquez de soprinsa por no utilizar epp auditivo en area de taller, en ese momento un tecnico mecanico estaba haciendo uso de una pulidora dentro del area generando ruido. Reporto Daniel Corado</t>
  </si>
  <si>
    <t>Se aborda a caterin gonzalez de la empresa pollux cranes por no utilizar oportunamente su proteccion auditiva en el area de compresores de aire de alta. Reporto Daniel Corado</t>
  </si>
  <si>
    <t>Caterin Gonzalez</t>
  </si>
  <si>
    <t>Se aborda a edwin quien no estaba utilizando guantes ni lentes de protección cuando utilizaba quimico decapante. Reporto Daniel Corado</t>
  </si>
  <si>
    <t>Daniel corado</t>
  </si>
  <si>
    <t>Se aborda a adam vazquez quien manipulaba quimico decapante sin lentes y guantes se detiene y se dan las isntrucciones necesarias para si proteccion. Reporto Daniel Corado</t>
  </si>
  <si>
    <t>Adán Vásquez</t>
  </si>
  <si>
    <t>Se aborda a marco hermandez por no utilizar proteccion auditiva en area de caldera. Reporto Daniel Corado</t>
  </si>
  <si>
    <t>Marco Hernández</t>
  </si>
  <si>
    <t>Se aborda a Juan Rodas por no usar adecuadamente su protección auditiva en el área de calderas, se corrige. Reporto Daniel Corado</t>
  </si>
  <si>
    <t>Personal utilizando teléfono móvil, y no se encuentra utilizando su cubrebarbas.</t>
  </si>
  <si>
    <t>Pablo Reyes</t>
  </si>
  <si>
    <t>Daniel Pineda</t>
  </si>
  <si>
    <t>SSO</t>
  </si>
  <si>
    <t>Se detiene obra de trabajo de INFYNSA y se le explica al compañero Juan Ramírez la importancia de poder utilizar protección ocular para soldadura y uso de barbiquejo. Reporto Daniel Pineda</t>
  </si>
  <si>
    <t>Juan Ramirez</t>
  </si>
  <si>
    <t>Se llama la atención a los compañeros de Urbanolab por actos inseguros al no portar el EPP de alturas, así mismo se reúne al equipo de trabajo y se dialoga con ellos sobre importancia. Reporto Daniel Pineda</t>
  </si>
  <si>
    <t>Eisler Chojolan</t>
  </si>
  <si>
    <t>Se reporta la empresa nabla por acto inseguro al no contar con barbiquejo el casco del compañero Luis Valle. Reporto Daniel Pineda</t>
  </si>
  <si>
    <t>Luis Valle</t>
  </si>
  <si>
    <t>Se aborda con éxito a los compañeros Brandon de León  por acto inseguro, se les indica la utilización de barbiquejo a lo que ellos realizan el cambio inmediatamente. Reporto Daniel Pineda</t>
  </si>
  <si>
    <t>Brandon de León</t>
  </si>
  <si>
    <t>Se aborda con éxito a los compañeros Ángel González  por acto inseguro, se les indica la utilización de barbiquejo a lo que ellos realizan el cambio inmediatamente. Reporto Daniel Pineda</t>
  </si>
  <si>
    <t>Ángel González</t>
  </si>
  <si>
    <t>aseguramiento de camara, se aborda a Carlos Coc de Soprinsa por no realizar el trabajo con una escalera adecuada y por no delimitar el área, se corrige. Reporto Daniel Pineda</t>
  </si>
  <si>
    <t>Uso inadecuado de herramientas manuales</t>
  </si>
  <si>
    <t>Uso de herramientas diferentes a su fin</t>
  </si>
  <si>
    <t>Elvis Oliva sale de la oficina en dirección a la pérgola pasando frente el taller de mantenimiento sin casco, con una gorra normal que no es gorra casco. Reporto Denni de León</t>
  </si>
  <si>
    <t>Elvis Oliva</t>
  </si>
  <si>
    <t>Denni de León</t>
  </si>
  <si>
    <t>Roy Luarca sale de la oficina, pasa por las áreas frente al taller y se dirige a la pérgola sin casco. Reporto Denni de León</t>
  </si>
  <si>
    <t>Roy Luarca</t>
  </si>
  <si>
    <t>Se aborda a Andy Vela de IT por mala colocación de escalera y utilizar sin personal de apoyo para sostenerla. Reporto Denni Gómez</t>
  </si>
  <si>
    <t>Andy Vela</t>
  </si>
  <si>
    <t>Denni Gómez</t>
  </si>
  <si>
    <t>Se reporta a Edson López por dirigirse al taller de mantenimiento sin casco. Se responde positivamente. Reporto Denni de León</t>
  </si>
  <si>
    <t>Edson López</t>
  </si>
  <si>
    <t>Se aborda a DUGLAS YAXON por transitar fuera del taller sin el casco, se aborda. Reporto Denni de León</t>
  </si>
  <si>
    <t>Douglas Yaxon</t>
  </si>
  <si>
    <t>Se aborda a Walfred Guzman del área de mantenimiento por circular con uniforme sin reflectivo en la parte de atrás. Reportó Dennis De León</t>
  </si>
  <si>
    <t>Walfred Guzman</t>
  </si>
  <si>
    <t>Dennis De León</t>
  </si>
  <si>
    <t>Se abordo al individuo de la importancia de utilizar equipo de protección personal (guantes), para esta actividad.</t>
  </si>
  <si>
    <t>Un individuo de la empresa Alta. Estaba manipulando envase quebrado sin guantes. Reporta D.Yac</t>
  </si>
  <si>
    <t>Domingo Yac</t>
  </si>
  <si>
    <t>El proveedor de la empresa Alkemy estaba trasportando ANTISCALE II sin sus anteojos de protección ocular para tratamiento de agua. Se le abordo y se solicitó el uso de su equipo. Reporta Domingo Yac</t>
  </si>
  <si>
    <t>Felipe Pérez</t>
  </si>
  <si>
    <t>Debido al nuevo transporte de corcholata el coronador estuvo atorando tapa y ellos suben para desbloquear la carrilera de tapa.  Favor de hacer mezanine para este equipo. Reporta Domingo Yac</t>
  </si>
  <si>
    <t>Operador de llenadora, auxiliar de línea y proveedor</t>
  </si>
  <si>
    <t>Personal de termosoluciones en línea 4 están dando mantenimiento al aire acondicionado sin usar el punto de anclaje de alturas. Reporta Domingo Yac</t>
  </si>
  <si>
    <t>Victor Silva</t>
  </si>
  <si>
    <t>Personal de la empresa Ceica no tienen escalera para trabajar en panel de etiquetadora L5. Reporta DYac.</t>
  </si>
  <si>
    <t>Personal Ceica</t>
  </si>
  <si>
    <t xml:space="preserve">Estaba manipulado envase (muestra), sin su equipo de protección anticorte.  Reporta Domingo Yac </t>
  </si>
  <si>
    <t>Ernesto Mesa</t>
  </si>
  <si>
    <t>Andrea Martínez de Grupo INVE ingresa a área de tratamiento de aguas haciendo uso de reloj, se le solicita retirarlo y se corrige. Reporto Dony García</t>
  </si>
  <si>
    <t>Andrea Martínez</t>
  </si>
  <si>
    <t>Dony Garcia</t>
  </si>
  <si>
    <t>José Citan, auxiliar de limpieza, bajaba de reactor 2 por gradas sin hacer uso del pasamanos, se corrige. Reporto Dony Garcia</t>
  </si>
  <si>
    <t>Se aborda a Alejandra Castro de empresa CEN que se encontraba caminando mientras usaba el telefono en Osmosis. Reporto Dony Garcia</t>
  </si>
  <si>
    <t>Alejandra Castro De CEN</t>
  </si>
  <si>
    <t>Se encontraba en línea 2 sin protectores auditores, se le aborda e inmediatamente se los coloca.</t>
  </si>
  <si>
    <t>Elmer Lorenzo</t>
  </si>
  <si>
    <t>Edgar Coti</t>
  </si>
  <si>
    <t>Se encontraba levantando envase sin guates de protección, se le aborda y se corrige inmediatamente.</t>
  </si>
  <si>
    <t>Marco López</t>
  </si>
  <si>
    <t>El proveedor se encotraba trabajando sobre una escalera sin que nadie lo apoyara y no se encontraba alclado, se le oborda y se corrige de inmediato.</t>
  </si>
  <si>
    <t>Proveedor Giovany de Cindu</t>
  </si>
  <si>
    <t>Ambas personas se encontraban instalando vidrio de ventanas en línea 5 pero no contaban con lentes de protección, se le abordo y corrige de inmediato.</t>
  </si>
  <si>
    <t>David Morales</t>
  </si>
  <si>
    <t xml:space="preserve">Se encontraba barrenando sin utilizar lentes de protección, se le aborda y se corrige inmediatamente. </t>
  </si>
  <si>
    <t xml:space="preserve">Carlos Boche </t>
  </si>
  <si>
    <t>Se encontraba en sin protección auditiva en la sala de llenado de línea 3.</t>
  </si>
  <si>
    <t>Rony Elias</t>
  </si>
  <si>
    <t>Técnico de KHS, se agarró del pasamanos.</t>
  </si>
  <si>
    <t>Denis Nais khs</t>
  </si>
  <si>
    <t>Técnico se encontraba sobre el coronador sentado en barandal sin estar anclado</t>
  </si>
  <si>
    <t>William Técnico de Simonazzi</t>
  </si>
  <si>
    <t>Elmer se encontraba sobre base del coronador sin estar anclado.</t>
  </si>
  <si>
    <t>Rony se encontraba en sala de llenado de línea 3 sin protectores auditivos.</t>
  </si>
  <si>
    <t>Byron hay se encontraba en sala de llenado de línea 3 sin protectores auditivos</t>
  </si>
  <si>
    <t>Mario Ramos se encontraba en sala de llenado de línea 4 sin protección auditiva</t>
  </si>
  <si>
    <t>Gustavo se encontraba en sala de llenado de línea 4 sin protección auditiva</t>
  </si>
  <si>
    <t>Gustavo Hernandez</t>
  </si>
  <si>
    <t xml:space="preserve">Se encontraba en la entrada de llenadora sin protectores auditivos,  </t>
  </si>
  <si>
    <t>Julio Camey</t>
  </si>
  <si>
    <t xml:space="preserve">Gonzalo Morales de productos del aíre se encontraba en llenadora de línea 3 sin orejeras. </t>
  </si>
  <si>
    <t>Gonzalo Morales</t>
  </si>
  <si>
    <t>Mario Ramos se encontraba en línea 4 sin protectores auditivos, se le aborda y se corrige.</t>
  </si>
  <si>
    <t>Javier se encontraba en línea 4 sin protectores auditivos, se aborda y se corrige.</t>
  </si>
  <si>
    <t>Se aborda Edwin Perez, personal de Soprinsa por no utilizar lentes a la hora de estar encajillando envase.</t>
  </si>
  <si>
    <t>Edwin perez</t>
  </si>
  <si>
    <t>Se aborda Selvin Tobar, personal de Soprinsa por no utilizar lentes a la hora de estar encajillando envase. Reporto Edgar coti</t>
  </si>
  <si>
    <t>Selvin tobar</t>
  </si>
  <si>
    <t>Se encuentra en sala de llenado sin lentes</t>
  </si>
  <si>
    <t>Dimar Monzon</t>
  </si>
  <si>
    <t>Se encontraba sin lentes y protectores auditivos en línea 4, se le abordo y de inmediato se colocó el equipo.</t>
  </si>
  <si>
    <t>Edgar Cotí</t>
  </si>
  <si>
    <t>caminando por tratamiento de agua viendo el teléfono.</t>
  </si>
  <si>
    <t>Técnico de San Martin que se encuentra trabajando en línea 2</t>
  </si>
  <si>
    <t>Fredy se encontraba inspeccionando en el área de línea 3 sin lentes de seguridad.</t>
  </si>
  <si>
    <t>Fredy Fuentes</t>
  </si>
  <si>
    <t>protección ocular</t>
  </si>
  <si>
    <t>No contaba con lentes de seguridad en la sala de llenado, se le abordo y se corrigió el acto.</t>
  </si>
  <si>
    <t>Técnico de KHS no estaba utilizando pasamanos, se le aborda y se corrige.</t>
  </si>
  <si>
    <t>Técnico de KHS</t>
  </si>
  <si>
    <t>Se a borda a dos técnicos de KHS que bajaron de las gradas que conducen a MP sin usar el pasamanos y uno de ellos no estaba utilizando el casco de seguiridad.</t>
  </si>
  <si>
    <t>Dos técnicos de KHS bajando gradas sin usar el pasamanos.</t>
  </si>
  <si>
    <t>Se solicitó a Cesar Velásquez hacer uso de su respirador durante la cargas de cal en tanque calero de tratamiento de aguas, se corrige. Reporto Edgar Primero</t>
  </si>
  <si>
    <t>Cesar Velásquez</t>
  </si>
  <si>
    <t>Edgar Primero</t>
  </si>
  <si>
    <t>Se le aborda positivamente a francisco Antonio Más, auxiliar de linea #1, que se colocará guantes de cuero para la manipulación de lámina Inoxidable. Reporto Edilzer Fuentes</t>
  </si>
  <si>
    <t>Francisco Antonio Más</t>
  </si>
  <si>
    <t>Edilzer Fuentes</t>
  </si>
  <si>
    <t>Se le aborda positivamente a José Anderson Chay, auxiliar de linea #1, que se colocará guantes de cuero para la manipulación de lámina Inoxidable. Reporto Edilzer Fuentes</t>
  </si>
  <si>
    <t>José Anderson Chay</t>
  </si>
  <si>
    <t>Se le indica al operador de etiquetadora Línea #1 Néstor López que se colocara el protector auditivo. Reporto Edilzer Fuentes</t>
  </si>
  <si>
    <t>Néstor López</t>
  </si>
  <si>
    <t>Alfonso Guatzin no utiliza paso peatonal, hacia el CD, se corrige. Reporto Edilzer Fuentes</t>
  </si>
  <si>
    <t>Alfonzo Guatzin</t>
  </si>
  <si>
    <t xml:space="preserve"> Se abordo y corrige a Nelson Godinez, manipulando botellas de vidrio sin usar guantes, se le hace conciencia de usar todo el tiempo cuando hace análisis de calidad de llenado del producto. Reporto Edsón Bonifacio</t>
  </si>
  <si>
    <t>Edson bonifacio</t>
  </si>
  <si>
    <t>Personal que trabaja en cielo falso Solima John Rosales no estaba usando arnés se aborda positivamente, se corrige el acto inseguro inmediatamente. Reporto Edson López</t>
  </si>
  <si>
    <t>Jhon Rosales</t>
  </si>
  <si>
    <t>Se aborda a practicante Yersi Ronaldo calel García por falta de reflectivo en el área de taller, se corrige. Reporto Edson Bonifacio</t>
  </si>
  <si>
    <t xml:space="preserve">Yersi calel </t>
  </si>
  <si>
    <t>Se aborda a Marlon Martínez de interbeb que se encontraba hablando por celular y caminando por el área de taller,Se aborda y se le indica la importancia de no realizar dicho proceso. Reporto Edson Bonifacio</t>
  </si>
  <si>
    <t>Marlon Martínez</t>
  </si>
  <si>
    <t>Se aborda a personal de cafetería Jessica Cutero por ir de prisa y sin agarrar el pasa manos hacia la rampa de la entrada de cafeteia. Reporto Edson Lopez</t>
  </si>
  <si>
    <t>Jessica Cutero</t>
  </si>
  <si>
    <t>Se abordo personal de seigua puliendo perfil pero rigoberto castellan estaba sujetando el perfil sin lentes, se concientiza el uso de los lentes y se corrige el acto. Reporto Edson Lopez</t>
  </si>
  <si>
    <t>Rigoberto Castellano</t>
  </si>
  <si>
    <t xml:space="preserve"> Se aborda a Gustavo de la cruz de soprinsa, manipulando materiales de chatarra sin usar guantes, se corrige el acto. Reporto Edson Lopez</t>
  </si>
  <si>
    <t>Se aborda al piloto cristian Ruano por no poner topes al vehículo en la rampa entrada de almacén, de lo cual lo tomo positivamente</t>
  </si>
  <si>
    <t>Cristian Ruano</t>
  </si>
  <si>
    <t>Intervención de máquinas en movimiento</t>
  </si>
  <si>
    <t>Se abordo a Dimar Monzon, por manipular botellas de vidrio sin guantes. Reporto Edsón López</t>
  </si>
  <si>
    <t>Dimar Monzón</t>
  </si>
  <si>
    <t>Edson Lopez</t>
  </si>
  <si>
    <t>Se abordo a Kevin Castillo, caminando cerca de equipos auxiliares, sin reflectivo se le indica que regresara a traer el mismo, se corrigió. Reporto Edson López</t>
  </si>
  <si>
    <t>Kevin Castillo</t>
  </si>
  <si>
    <t>Se abordo a josue Klinsman de aire sistemas caminando sin lentes en linea 1, en producción, se retira del área para ir a traer sus lentes de protección. Reporto Edson López</t>
  </si>
  <si>
    <t>Josué Klinsman</t>
  </si>
  <si>
    <t>Se aborda a Edwin Días de L&amp;L constructora, se encuentra en andamio sin arnés, en área de calderas, se conciencia sobre el uso obligatoria de EPP en trabajos en altura. Reporto Edson López</t>
  </si>
  <si>
    <t xml:space="preserve">Se aborda positivamente a Erick Ramos operador de inspector de botellas levantando botellas sin guantes se corrige inmediatamente. Reportó Edson López </t>
  </si>
  <si>
    <t>Erick Ramos</t>
  </si>
  <si>
    <t>Se aborda positivamente a Rolando Ajquiej, de Proelectric sin orejeras, en el área de compresores AF, se conciencia el uso del espacio en el lugar y se corrige. Reportó Edson López</t>
  </si>
  <si>
    <t>Rolando Ajquiej</t>
  </si>
  <si>
    <t>Carol Herrera de la empresa CTS caminaba hablando por teléfono, de le indica que debe detenerse para poder hablar, se corrige. Reporto Edwin Días</t>
  </si>
  <si>
    <t>Carol Herrera</t>
  </si>
  <si>
    <t>Edwin Días</t>
  </si>
  <si>
    <t xml:space="preserve">Se aborda positivamente al compañero a utilizar sus tapones en la línea </t>
  </si>
  <si>
    <t>Francisco Peñalonzo</t>
  </si>
  <si>
    <t>Efrain Valux</t>
  </si>
  <si>
    <t>Se aborda a Erick de la cruz Transportando lamina sin usar guantes, se corrige. Reporto Efrain Valux</t>
  </si>
  <si>
    <t>Erick de la cruz</t>
  </si>
  <si>
    <t>Piloto José Daniel García caminando sin casco, fuera de la unidad, se aborda. Reporto Efrain Valux</t>
  </si>
  <si>
    <t>José Daniel García</t>
  </si>
  <si>
    <t>Se aborda a Daniel Majano (khs) (no proporciona su apellido) por no hacer uso de casco al ingresar al almacén.</t>
  </si>
  <si>
    <t>Daniel Majano</t>
  </si>
  <si>
    <t>Se aborda a Damian de KHS (no proporciona su apellido) por no hacer uso de casco al ingresar al almacén.</t>
  </si>
  <si>
    <t>Damian de KHS</t>
  </si>
  <si>
    <t>Se aborda a Luis Tzarat ya que estaba operando en la línea con auriculares, se le retroalimentan los riesgos a los que se expone por utilizar ese tipo de dispositivos. Reporto Eliú Tello</t>
  </si>
  <si>
    <t>Luis Tzarax</t>
  </si>
  <si>
    <t>Eliú Tello</t>
  </si>
  <si>
    <t xml:space="preserve"> Se aborda a Ángel González auxiliar de L5 ya que estaba utilizando auriculares mientras realizaba tareas de limpieza en la línea, se le indican los riesgos a los que se expone al utilizar esos equipos en el área de trabajo. Reporto Eliú Tello</t>
  </si>
  <si>
    <t xml:space="preserve">Ángel González </t>
  </si>
  <si>
    <t>Se aborda a Daniel Chan de L5, por no utilizar casco en área de L5, se le indican los riesgos a los que se expone por no utilizar el EPP correspondiente. Reporto Eliú Tello</t>
  </si>
  <si>
    <t>Daniel Chan</t>
  </si>
  <si>
    <t xml:space="preserve">Se aborda a Luis Ángel ya que caminaba mientras hablaba por teléfono en el paso de montacargas de MP a L5. Reporto Eliú Tello </t>
  </si>
  <si>
    <t>Se abordó a don Antonio Escobar de Nabla. (Caminaba mientras hablaba por teléfono)</t>
  </si>
  <si>
    <t xml:space="preserve">Antonio Escobar </t>
  </si>
  <si>
    <t>Se aborda a Marcelo Campoc dentro de la planta en l5 con uso de reloj. Reporto Eliú Tello</t>
  </si>
  <si>
    <t>Marcelo Campoc</t>
  </si>
  <si>
    <t>Uso de joyas, relojes, gafetes</t>
  </si>
  <si>
    <t>Se aborda a Denis Nais por andar gorra simple, no gorra casco tecnico de khs. Reporto Eliú Tello</t>
  </si>
  <si>
    <t>Se aborda a Byron Chay ya que estaba operando en L4 con auriculares, se corrige en el momento. Reporto Eliú Tello</t>
  </si>
  <si>
    <t xml:space="preserve">Se aborda a Nelson Godines ya que estaba utilizando un cronómetro colgado del cuello, se le explican los riesgos a los que se expone al utilizarlo de esta forma ya que se encontraba en línea 5s se corrige. Reporto Eliu Tello </t>
  </si>
  <si>
    <t>Se le indica a Kevin Castillo operador de paletizadora l3 por tener anulado la puerta de seguridad en l3. Reporto Eliú Tello</t>
  </si>
  <si>
    <t>Denis de khs no estan usando gorra casco, solo es una gorra normal. Reporto Eliú Tello</t>
  </si>
  <si>
    <t>Cristian de khs no estan usando gorra casco, solo es una gorra normal. Reporto Eliú Tello</t>
  </si>
  <si>
    <t>Christian khs</t>
  </si>
  <si>
    <t>Se aborda positivamente a Jorge Soto, realizando corte con pulidora sin utilizar sus mangas de protección se corrige. Reporto Elvis Díaz</t>
  </si>
  <si>
    <t>Jorge Soto</t>
  </si>
  <si>
    <t>Elvis Díaz</t>
  </si>
  <si>
    <t>Se aborda a Angel Gonzales por nivelar aceite a sistema hidráulico sin bandeja de contención provocando derrame en banco de trabajo. Reporto Elvis Oliva</t>
  </si>
  <si>
    <t>Se aborda a Nehemias Jeronimo de la empresa MSA quien se encuentra aplicando pintura epoxica si uso de Epp apropiado en la nueva ala de Ósmosis. Reporto Elvis Oliva</t>
  </si>
  <si>
    <t>Nehemías Jerónimo</t>
  </si>
  <si>
    <t>Se observa a Jordán Sánchez de la empresa Vaportec andaba fuera de calderas si su casco por lo que se aborda positivamente. Reporto Elvis Oliva</t>
  </si>
  <si>
    <t>Jordan Sanchez</t>
  </si>
  <si>
    <t>Se aborda y se le hace señal de detener al operador de la retroexcavadora que está trabajando en la cisterna de ETA por estar operando y hablando por teléfono al mismo tiempo. Reporto Elvis Oliva</t>
  </si>
  <si>
    <t>Operador Retroexcavadora</t>
  </si>
  <si>
    <t>Se aborda a Wilman Fernando Santiago Sontay por no reportar su ingreso al CD y no apuntarse en el registro de visitas, se aborda positivamente. Reporto Elvis Oliva</t>
  </si>
  <si>
    <t>Wilman Fernando Santiago Sontay</t>
  </si>
  <si>
    <t>Se aborda a Gilmer Rocael Lacan Lacan por no reportar su ingreso al CD y no apuntarse en el registro de visitas, se aborda positivamente. Reporto Elvis Oliva</t>
  </si>
  <si>
    <t>Gilmar Rocael Lacan</t>
  </si>
  <si>
    <t>Se aborda a José Gaspar por no usar guantes durante aplicación de Enforce en Cooler Se revisa químico y es corrosivo por lo que se le pide se coloque los guantes, se corrige. Reporto Elvis Oliva</t>
  </si>
  <si>
    <t>Jose Oxlaj</t>
  </si>
  <si>
    <t>Se aborda a colaborador Josué Pastor en área de desentarimado por pasar sobre transporte de cajas en movimiento. Reporto Elvis Oliva</t>
  </si>
  <si>
    <t>Se aborda a Everardo Sanam por manipular envase en lavadora sin uso de guantes, se corrige. Reporto Elvis Oliva</t>
  </si>
  <si>
    <t>Everardo Sanan</t>
  </si>
  <si>
    <t>Acto inseguro: se le indica a Jimy Osorio que pueda retirarse el reloj antes de iniciar la inspección de Sso, atiende el llamado y corrige en el momento. Reporto Emilio Cux</t>
  </si>
  <si>
    <t>Jimmy Osorio</t>
  </si>
  <si>
    <t>Emilio Cux</t>
  </si>
  <si>
    <t>Se detiene a Eduardo Villagrán, por hablar por teléfono mientras camina en el área de Etei, se le aborda y corrige. Reporto Emilio Cux</t>
  </si>
  <si>
    <t>Eduardo Villagran</t>
  </si>
  <si>
    <t>Salomon Guinac construcciones Joel, estaba utilizando herramientas sin guantes, se corrigio. Reporto Emilio Cux</t>
  </si>
  <si>
    <t>Salomon Guinac</t>
  </si>
  <si>
    <t>Emilo cux</t>
  </si>
  <si>
    <t>Se encuentra a Pedro Pablo Donis en el área de compresores de amoniaco sin orejeras, se aborda. Reporto Esdras Orozco</t>
  </si>
  <si>
    <t>Pablo Donis</t>
  </si>
  <si>
    <t>Esdras Orozco</t>
  </si>
  <si>
    <t>Se aborda a Jaime Chex por estar en los pasillos exteriores sin reflectivo, y se le hace el llamado a estar en dichos pasillos con reflectivo puesto. Reporto Esteban Hernandez</t>
  </si>
  <si>
    <t>Jaime Chex</t>
  </si>
  <si>
    <t>Andrea Alzate de la empresa CTS trasegaba floculante en el área de tratamiento de aguas sin hacer uso de lentes, se le aborda y se corrige. Reporto Esteban Hernández</t>
  </si>
  <si>
    <t>Andrea Alzate</t>
  </si>
  <si>
    <t>Esteban Hernández</t>
  </si>
  <si>
    <t>Karin de Franco de la empresa CTS trasegaba floculante en el área de tratamiento de aguas sin hacer uso de lentes, se le aborda y se corrige. Reporto Esteban Hernández</t>
  </si>
  <si>
    <t>Karin de Franco</t>
  </si>
  <si>
    <t xml:space="preserve">Edinson Díaz realizaba tareas de limpieza en sala IBC sin colocar rótulo de piso mojado, se pidió a compañero colocar la señalización antes de continuar. Reporto Esteban Hernández </t>
  </si>
  <si>
    <t>Edinnsón Díaz</t>
  </si>
  <si>
    <t>Gustavo De la Cruz coloca escalera en colgador de tratamiento de aguas sin asegurarla con la cadena y candado, se le pidió asegurarla correctamente. Reporto Esteban Hernández</t>
  </si>
  <si>
    <t>Rafael Socop realiza preparación de químicos para limpieza sin hacer uso de lentes, se le solicitó ponérselos para continuar. Reporto Esteban Hernández</t>
  </si>
  <si>
    <t>Rafael Socop</t>
  </si>
  <si>
    <t>Estaba en el taller de mantto soldado piezas y se encontro parado sobre un motor tratando de alcanzar algunas piezas, se aborda. Reporto Walfred Guzman</t>
  </si>
  <si>
    <t>Francisco Mas</t>
  </si>
  <si>
    <t>Se abordo positivamente a Brandon Morales de construcciones Joel por no portar protección auditiva en l4. Reporto Fredy Fuentes</t>
  </si>
  <si>
    <t>Brandon Morales</t>
  </si>
  <si>
    <t xml:space="preserve">Se aborda Fernando Artiga auxiliar de línea 4 sin gafas de protección manipulando enforce dentro de cabina de llenado. Reporto Fredy Fuentes </t>
  </si>
  <si>
    <t>Se abordo positivamente a Francisco Socop trabajando en alturas con riesgo de resbalarse. Reporto Fredy Fuentes</t>
  </si>
  <si>
    <t>Se abordo a Elvis Lavarreda por utilizar candado loto con cortes de cierra. Reporto Fredy Fuentes</t>
  </si>
  <si>
    <t>El proveedor Luis Ayfan de Indusa Ingreso a la planta manejando y viendo su celular. reporto William Galindo</t>
  </si>
  <si>
    <t>Luis Ayfan</t>
  </si>
  <si>
    <t>Se aborda a Mario ramos por falta de uso de protección auditiva. Reporto Fredy Fuentes</t>
  </si>
  <si>
    <t>Se aborda a Luis Tabares, ya que manipuló envase de vidrio sin guantes. Reporto Fredy Fuentes</t>
  </si>
  <si>
    <t>Luis Tabares</t>
  </si>
  <si>
    <t>Se reporta acto inseguro L3, se aborda a Byron Chay ya que se observa cruzando de L3 a L4 por entre la bodega de preforma. Reporto Fredy Fuentes</t>
  </si>
  <si>
    <t>para L4 ya que se observa a Diego de krones usando el teléfono mientras se trasladaba por pasillos hacia a linea 4, se aborda. Reporto Fredy Fuentes</t>
  </si>
  <si>
    <t>Diego Krones</t>
  </si>
  <si>
    <t>Edwin Días se cruza entre almácen de preforma entre l3 y l4 acortan espacio por ahí, se abordó. Reporta Fredy Fuentes</t>
  </si>
  <si>
    <t xml:space="preserve"> Manuel ixmata operador en paletizadora de l4 accedio a la maquina la maquina estaba en movimiento, se abordó. Reporto Fredy Fuentes</t>
  </si>
  <si>
    <t>Ottoniel Andrea operador algún momento se quitó gorra casco y camino sin su gorra casco., se abordó. Reporto Fredy Fuentes</t>
  </si>
  <si>
    <t>Otoniel Andrea</t>
  </si>
  <si>
    <t>se abordó a José Pablo Reyes por falta de protección auditiva en sala de llenado en l3. Reporto Fredy Fuentes</t>
  </si>
  <si>
    <t>Jose Pablo Reyes</t>
  </si>
  <si>
    <t xml:space="preserve">se aborda a Raúl Hernández por dejar llave cola corona sobre un transportador de la l3, se corrige. Reporto Fredy Fuentes </t>
  </si>
  <si>
    <t>Raúl Hernández</t>
  </si>
  <si>
    <t>Se abordó a Wagner Estrada por utilizar el último peldaño de la escalera. Reporto Fredy Fuentes</t>
  </si>
  <si>
    <t>Se aborda a Mario Edilzer no portaba casco en auditoria de fin de mes en el almacén de repuestos. Reporto Fredy Fuentes</t>
  </si>
  <si>
    <t>Mario Edilzer</t>
  </si>
  <si>
    <t>Se aborda a Amilcar Ralda quitando piezas de encajonadora en l1 sin guantes de protección en piezas afiladas, se corrige. Reporto Fredy Fuentes</t>
  </si>
  <si>
    <t>Amílcar Ralda</t>
  </si>
  <si>
    <t>Se aborda a Douglas Yaxon por estar realizando tareas en taller de mantenimiento con las luces pagadas y se notaba falta de iluminación Se abordan y se enciende la iluminación. Reporto Fredy Fuentes</t>
  </si>
  <si>
    <t>Se aborda a Francisco Antonio MAS por estar realizando tareas en taller de mantenimiento con las luces pagadas y se notaba falta de iluminación Se abordan y se enciende la iluminación. Reporto Fredy Fuentes</t>
  </si>
  <si>
    <t>Se aborda a Guillermo Ochoa de Security por dejar trabajando solo a un compañero en la escalera cuando siempre tiene que ser dos personas, se reporta en mantianl. Reporto Fredy Fuentes</t>
  </si>
  <si>
    <t>Guillermo Ochoa</t>
  </si>
  <si>
    <t xml:space="preserve"> Personal de CPS Cristian Ruano, descarga de material, levantamiento de peso de forma insegura. Reporto Fredy Fuentes</t>
  </si>
  <si>
    <t>Se aborda a Cristian Ruano de trasnportes GPS por descargar equipo en el almacen sin su casco de protección. Reporto Fredy Fuentes</t>
  </si>
  <si>
    <t>El compañero Marvin Galindo Sarceño Hernandez de la empresa CPS no traia reflectivo, se aborda y se corrige. Reporto Fredy Fuentes</t>
  </si>
  <si>
    <t>Marvin Galindo Sarceño Hernandez</t>
  </si>
  <si>
    <t>el compañero Marcos Hilario Flores Asturias de la empresa cps, traia chaleco con el reflectivo muy desgastado, se corrige. Reporto Fredy Fuentes</t>
  </si>
  <si>
    <t>Marcos Hilario Flores Asturias</t>
  </si>
  <si>
    <t>Jose Daniel Garcia Quiñonez viene de la empresa Autotanques SA área de bunker la persona no contaba con lentes de protección, se le aborda y presta unos de uso común en almacén. Reporto Fredy Fernando Fuentes</t>
  </si>
  <si>
    <t>Jose Daniel Garcia Quiñonez</t>
  </si>
  <si>
    <t xml:space="preserve"> Se aborda a Irwing Rodríguez por caminar mientras habla por teléfono, se aborda positivamente. Reporto Fredy Fuentes</t>
  </si>
  <si>
    <t>Irwing Rodriguez</t>
  </si>
  <si>
    <t>Manejo inadecuado de cargas, se le detiene al momento de bajar las cargas del Vehículo y se indica la forma correcta. Reportó Fredy Fuentes</t>
  </si>
  <si>
    <t>Eduardo Santiago Sian</t>
  </si>
  <si>
    <t>Levantamiento incorrecto de cargas</t>
  </si>
  <si>
    <t>Se aborda al personal de autotanques por falta de uso de lentes de protección se aborda para que los utilice. Reportó Fredy Fuentes</t>
  </si>
  <si>
    <t>Jorge Alberto Quiñonez Soto</t>
  </si>
  <si>
    <t>Se aborda a piloto de transportes cps ya que se estacionó frente a almacén de repuestos, se corrigió. Reportó Fredy Fuentes</t>
  </si>
  <si>
    <t xml:space="preserve">Piloto de transportes CPS </t>
  </si>
  <si>
    <t>Se aborda y corrige positivamente a Everardo Maldonado, auxiliar de Soprinsa, quien se encontraba sin el uso de tapones auditivos en el área de flejado de tarimas de L1. Reporto Gerson Castañeda</t>
  </si>
  <si>
    <t>Everardo Maldonado</t>
  </si>
  <si>
    <t>Gerson Castañeda</t>
  </si>
  <si>
    <t>Se aborda y concientiza positivamente a Luis Castañeda, auxiliar de L2 por cruzarse transporte de envase vacío en zona de lámparas de inspeccion en funcionamiento. Reporto Gerson Castañeda</t>
  </si>
  <si>
    <t>Luis Castañeda</t>
  </si>
  <si>
    <t xml:space="preserve">Fernando Artiga, auxiliar de L4, transitó un paso no autorizado entre la bodega de preforma de L3 y L4. Se aborda positivamente y se expine el riesgo existente en esa acción. </t>
  </si>
  <si>
    <t>Se aborda positivamente a Eduardo García de Pro electric SA, Quien se encontraba apoyando en un corte con pulidora sin el uso de lentes de protección, Se corrige y continúan actividades en L2. Reporto Gerson Castañeda</t>
  </si>
  <si>
    <t>Eduardo García</t>
  </si>
  <si>
    <t>Se aborda positivamente a Luis Alfredo López auxiliar de soprinsa, se encontraba en L1 sin uso de tapones auditivos, Se corrige en el momento. Reporto Gerson Castañeda</t>
  </si>
  <si>
    <t>Luis Alfredo López</t>
  </si>
  <si>
    <t>Francisco se encontraba operando paletizadora de L4 sin uso de protección auditiva; se aborda positivamente y se corrige de inmediato.</t>
  </si>
  <si>
    <t xml:space="preserve">Se aborda positivamente a Javier Ixcot, auxiliar de L04 quien se encuentra operando dispositivos eléctricos dentro de pánel de elevador de preforma de L04. Reporto Gerson Castañeda
</t>
  </si>
  <si>
    <t xml:space="preserve">Brandon se encontraba Sin uso de protección auditiva operando en tolva de tapa de L05.
Reporta: Gerson Castañeda </t>
  </si>
  <si>
    <t>Brandon Orellana</t>
  </si>
  <si>
    <t>Isaac se encontraba laborando en L05 sin uso de tapones auditivos.
Reporta Gerson Castañeda 
Se corrige en el punto.</t>
  </si>
  <si>
    <t xml:space="preserve">Isaac Pec </t>
  </si>
  <si>
    <t>Alejandro se encontraba laborando en L05 sin uso de tapones auditivos.Reporta Gerson Castañeda  Se corrige en el punto.</t>
  </si>
  <si>
    <t xml:space="preserve">Alejandro González </t>
  </si>
  <si>
    <t>Randy se encontraba laborando en L05 sin uso de tapones auditivos.
Reporta Gerson Castañeda 
Se corrige en el punto.</t>
  </si>
  <si>
    <t>Randy Mendez</t>
  </si>
  <si>
    <t>Oliver se encontraba laborando en L05 sin uso de tapones auditivos.
Reporta Gerson Castañeda 
Se corrige en el punto.</t>
  </si>
  <si>
    <t>Oliver Sánchez</t>
  </si>
  <si>
    <t xml:space="preserve">Se aborda a Rudy Lima de "Mainco" ya q se encontraba caminando mientras hablaba por teléfono, se corrige. Reporto Gerson Castañeda
</t>
  </si>
  <si>
    <t>Rudy Lima</t>
  </si>
  <si>
    <t>Se aborda positivamente Miguel Lobo (Técnico de Cervecería Salvadoreña) Descendía con prisa y sin tomarse del pasamanos en pasó a desnivel. Reporto Gerson Castañeda</t>
  </si>
  <si>
    <t>Miguel Lobo</t>
  </si>
  <si>
    <t>e aborda positivamente a Eusebio Caal auxiliar de línea 02 quien se encontraba laborando sin uso de tapones auditivos, se corrige. Reporto Gerson Castañeda</t>
  </si>
  <si>
    <t>Kevin se encontraba en el área de Ósmosis sin utilizar equipo de protección auditiva.</t>
  </si>
  <si>
    <t>Kevin Samayoa</t>
  </si>
  <si>
    <t>Se aborda positivamente a Manuel Escobar, auxiliar de L04 quien se encontraba sin uso de EPP audiitivo en L04. Reporto Gerson Castañeda</t>
  </si>
  <si>
    <t>Se aborda positivamente a Jesús Ajanel, auxiliar de L04 quien se encontraba operando paletizadora sin uso de EPP auditivo en L04. Reporto Gerson Castañeda</t>
  </si>
  <si>
    <t>Se abordó a Mario Soto, auxiliar de L2 quien se encontraba en área de desentarimado sin uso de tapones auditivos, se corrige y se continúa con la operación. Reportó Gerson Castañeda</t>
  </si>
  <si>
    <t>Mario Soto</t>
  </si>
  <si>
    <t>Oliver, auxiliar de IISA, baja gradas de acceso a pasillo de MP sin tomarse de pasamanos. Se aborda y concientiza positivamente</t>
  </si>
  <si>
    <t>Gersón Castañeda</t>
  </si>
  <si>
    <t>Frank se encontraba operando la empacadora de L4 hacienso uso de auriculares simultáneamente.</t>
  </si>
  <si>
    <t>Frank Martínez</t>
  </si>
  <si>
    <t>Buenas tardes, se aborda a Hugo Teo de Soprinsa por no tomarse de los pasamanos en todo el recorrido de afuera de la cafetería. Reporto Gilmar Mazariegos</t>
  </si>
  <si>
    <t>Hugo Teo</t>
  </si>
  <si>
    <t>Gilmar Mazariegos</t>
  </si>
  <si>
    <t>Buenas tardes se aborda a Luis García de la empresa Moegsa, no usa los pasamanos, se corrige. Reporto Gilmar Mazariegos</t>
  </si>
  <si>
    <t>Luis García</t>
  </si>
  <si>
    <t xml:space="preserve"> se aborda a Alex Guatzin de Línea 1 no se toma de los pasamanos. Reporto Gilmar Mazariegos</t>
  </si>
  <si>
    <t>Alex Guatzin</t>
  </si>
  <si>
    <t>Buenos días se aborda a Wilman López de Sorprinsa en línea 3, se encontraba sin lentes dentro de la llenadora. Reporto Gilmar Mazariegos</t>
  </si>
  <si>
    <t>Wilman López</t>
  </si>
  <si>
    <t>se encuentra a Lisset Luarca dentro de la llenadora de linea 3 sin cubrebocas. Reporto Gilmar Mazariegos</t>
  </si>
  <si>
    <t>Lissette Luarca</t>
  </si>
  <si>
    <t>Se aborda a Elder Vásquez de BTI haciendo trabajos de soldadura en linea 1 y no tiene su equipo para soldadura. Reporto Gilmar Mazariegos</t>
  </si>
  <si>
    <t>Elder Vasquez</t>
  </si>
  <si>
    <t>Se aborda a Anthony Marroquín de la sala de Jarabes por portar playera sin cinta reflectiva se le explica el objetivo de los reflectivos. Reporto Gilmar Mazariegos</t>
  </si>
  <si>
    <t>Anthony Marroquín</t>
  </si>
  <si>
    <t>Se aborda al señor Ricardo de KHS caminando desde los baños generales hasta línea 5 sin casco, se aborda y se dirige a ponerse su casco. Reportó Gilmar Mazariegos</t>
  </si>
  <si>
    <t>Ricardo</t>
  </si>
  <si>
    <t>Se aborda a Byron Pérez de la constructora LyM quien se encontró sin sus protectores de oídos utilizando martillo demoledor de concreto en trabajos en calderas en cuarto de máquinas. Reporto Gover Sologaistoa</t>
  </si>
  <si>
    <t>Byron Pérez</t>
  </si>
  <si>
    <t>Gover Sologaistoa</t>
  </si>
  <si>
    <t>Se aborda a Óscar García de la unidad 748 de Gas Z pues no tenían la puesta a tierra en la unidad al momento de la descarga de GLP en el Cd. Reporto Gover Sologaistoa</t>
  </si>
  <si>
    <t>Oscar García</t>
  </si>
  <si>
    <t>Se aborda al piloto de la unidad 185 de búnker Jorge Hernández quien ingreso a Planta desconectado que la velocidad máxima permitida es a 10km/h. Reporto Gover Sologaistoa</t>
  </si>
  <si>
    <t>Jorge Hernández</t>
  </si>
  <si>
    <t>Exceso de velocidad</t>
  </si>
  <si>
    <t>Se aborda a Aarón de aire sistemas quien se encontraba revisando chiller desechos línea 3 sin casco de protección. Reporto Gover Sologaistoa</t>
  </si>
  <si>
    <t>Aaron Ovando</t>
  </si>
  <si>
    <t xml:space="preserve"> Se aborda al operador de montacargas Carlos Cifuentes ya que estaba utilizando el teléfono con el montacargas en movimiento en bodega 8. Reporto Luis Pérez</t>
  </si>
  <si>
    <t>Carlos Cifuentes</t>
  </si>
  <si>
    <t xml:space="preserve"> Se encuentra a Josué Nehemías manipulando envase de vidrio sin utilizar guantes anticorte. Reporto Gustavo Hernández</t>
  </si>
  <si>
    <t xml:space="preserve"> Oliver Sánchez proveedor de issagt, utiliza atajo de L3 hacia L4, se concientiza respecto al uso de paso peatonales autorizados. Reporto Gustavo Hernández</t>
  </si>
  <si>
    <t xml:space="preserve"> Se encuentra a dimar Monzón manipulando envase de vidrio sin utilizar gracias anti corte. Reporto Gustavo Hernández</t>
  </si>
  <si>
    <t xml:space="preserve"> Se encuentra a Nelson Godínez por L3 y L4 caminando sin lentes de protección, se aborda. Reporto Gustavo Hernández</t>
  </si>
  <si>
    <t>Marco Argueta operador de etiquetadora y empacadora se encuentra utilizando auriculares en producción, se aborda. Reporto Gustavo Hernández</t>
  </si>
  <si>
    <t>Marco argueta</t>
  </si>
  <si>
    <t>Se encuentra a Jhonny Ordóñez operador de empacadora, utilizando auriculares en producción. Reporto Gustavo Hernández</t>
  </si>
  <si>
    <t>Jhonny Ordoñez</t>
  </si>
  <si>
    <t>Dejan candado abierto en panel eléctrico de l1. Reporto Gustavo Hernández</t>
  </si>
  <si>
    <t>Haroldo Yalivac</t>
  </si>
  <si>
    <t>Se aborda a yoni Enriquez por utilizar auriculares en producción. Reporto Gustavo Hernández</t>
  </si>
  <si>
    <t>Yoni Enriquez</t>
  </si>
  <si>
    <t>El yalero estaba sin lentes cuadrando cerca de la tarima donde exploto la botella, Mismo yalero ingresó a L1 sin lentes, Al preguntar su nombre da uno que no es de el; Alex osario se llama. Reporto Gustavo Hernández</t>
  </si>
  <si>
    <t>Alex Osorio</t>
  </si>
  <si>
    <t>Gilberto Mazariegos se encuentra en la línea de producción con pantalones no industriales, indica que no le dieron en el uniforme. Reporto Gustavo Hernández</t>
  </si>
  <si>
    <t xml:space="preserve"> Cesar Quiñones de AFCA se encuentra en sala de llenado sin lentes de protección iniciando la producción. Reporto Gustavo Hernández</t>
  </si>
  <si>
    <t>Cesar Quiñonez</t>
  </si>
  <si>
    <t>Se encuentra a Elmer Olivieri manipulando vidrio sin guantes anti corte, se corrige. Reporto Gustavo Hernandez</t>
  </si>
  <si>
    <t>Elmer Olivieri</t>
  </si>
  <si>
    <t>Daniel chan operador de empacadora y pallets en L5, se encuentra utilizando auriculares en producción. Reporto Gustavo Hernandez</t>
  </si>
  <si>
    <t>Luis tzarax se encuentran utilizando auriculares en producción, se concientiza. Reporto Gustavo Hernandez</t>
  </si>
  <si>
    <t>Javier Alvarado especialista de L5 se ha encontrado en repetidas ocasiones utilizando auriculares en operación. Reporto Gustavo Hernandez</t>
  </si>
  <si>
    <t>Javier Alvarado</t>
  </si>
  <si>
    <t>Jansy Obregón se encuentra utilizando el teléfono y caminando sobre el paso peatonal en L1, se corrige. Reporto Gustavo Hernández</t>
  </si>
  <si>
    <t>Jancy de León</t>
  </si>
  <si>
    <t>Javier ixcot utiliza atajo para llegar a línea 4, desde bodega de preformas. Reporto Gustavo Hernández</t>
  </si>
  <si>
    <t>Operador de etiquetadora Jhonny Godínez, utiliza auriculares al caminar y operar, se corrige. Reporto Gustavo Hernández</t>
  </si>
  <si>
    <t>Jhony Godinez</t>
  </si>
  <si>
    <t xml:space="preserve"> Nelson Mejía se encuentra manipulando envase roto sin guantes anti corte, se corrige. Reporto Gustavo Hernández</t>
  </si>
  <si>
    <t>Nelson Mejía</t>
  </si>
  <si>
    <t xml:space="preserve"> Jesús ajanel agarra extravío de L3 hacia L4 por las preformas, se concientiza. Reporto Gustavo Hernández</t>
  </si>
  <si>
    <t>Efraín García se pasa de L3 hacia L4 por el lado de preformas, se aborda. Reporto Gustavo Hernández</t>
  </si>
  <si>
    <t>Efraín García</t>
  </si>
  <si>
    <t xml:space="preserve"> Félix pelico se pasa de L3 hacia L4 por el lado de preformas, se aborda. Reporto Gustavo Hernández</t>
  </si>
  <si>
    <t>Felix Pelicó</t>
  </si>
  <si>
    <t>Pedro Tolcha  utiliza atajo para salir de línea pasando por bodega de preformas hacia L3 ahi esta prohibido. Reporto Gustavo Hernández</t>
  </si>
  <si>
    <t>Pedro Tolcha</t>
  </si>
  <si>
    <t>Wagner chamale y utiliza atajo para salir de línea pasando por bodega de preformas hacia L3 ahi esta prohibido. Reporto Gustavo Hernández</t>
  </si>
  <si>
    <t>Wagner Chamale</t>
  </si>
  <si>
    <t xml:space="preserve">Carlos Velázquez de cortecma no utilizan el paso peatonal, cruzando por la parte de atrás de un Yale en movimiento, no tenían acompañamiento y andaban buscando a Ariel Cua. Reporto Gustavo Hernández  </t>
  </si>
  <si>
    <t xml:space="preserve">Carlos Velázquez </t>
  </si>
  <si>
    <t>Gustavo Hernández</t>
  </si>
  <si>
    <t>Erick Mendoza; de cortecma no utilizan el paso peatonal, cruzando por la parte de atrás de un Yale en movimiento, no tenían acompañamiento y andaban buscando a Ariel Cua. Reporto Gustavo Hernández</t>
  </si>
  <si>
    <t>Erick Mendoza</t>
  </si>
  <si>
    <t>Se aborda positivamente a Ariel Cuá sin lentes de protección en sala de llenado, se concientiza. Reporto Gustavo Hernández</t>
  </si>
  <si>
    <t xml:space="preserve">Ariel Cuá </t>
  </si>
  <si>
    <t>Se aborda positivamente a Fernando Alvarado sin lentes de protección en sala de llenado, se concientiza. Reporto Gustavo Hernández</t>
  </si>
  <si>
    <t>Fernando Alvarado</t>
  </si>
  <si>
    <t>Se aborda a Cesar Hernández de Rentokil utilizando paso no autorizado de L4 a L3, se concientiza. Reporto Gustavo Hernández</t>
  </si>
  <si>
    <t>Se aborda positivamente a Néstor López se encuentran utilizando auriculares en producción. Reporto Gustavo Hernández</t>
  </si>
  <si>
    <t>Se aborda positivamente a Pedro Tolcha se encuentran utilizando auriculares en producción. Reporto Gustavo Hernández</t>
  </si>
  <si>
    <t>Se abordo positivamente a Walter López manipulando envases de vidrio sin guantes anticorte. Reporto Gustavo Hernández</t>
  </si>
  <si>
    <t>Walter López</t>
  </si>
  <si>
    <t>Se abordo positivamente a Enrique Mesa manipulando envases de vidrio sin guantes anticorte. Reporto Gustavo Hernández</t>
  </si>
  <si>
    <t>Enrique Mesa</t>
  </si>
  <si>
    <t>Marcos Mejía manipulan envase de vidrio sin utilizar guantes anticorte, se corrige. Reporto Gustavo Hernández</t>
  </si>
  <si>
    <t>Marcos Mejía</t>
  </si>
  <si>
    <t>Dany cité, manipulan envase de vidrio sin utilizar guantes anticorte, se corrige. Reporto Gustavo Hernández</t>
  </si>
  <si>
    <t>Dany Cité</t>
  </si>
  <si>
    <t>Rufino Barrios se encuentra manipulando envase de vidrio sin guantes anticorte, se corrige. Reporto Gustavo Hernández</t>
  </si>
  <si>
    <t>Rufino Barrios</t>
  </si>
  <si>
    <t>Marcos García se encuentra sin lentes de protección y sin guantes anticorte manipulando envase de vidrio. Reporto Gustavo Hernández</t>
  </si>
  <si>
    <t>Marcos García</t>
  </si>
  <si>
    <t>Edgar yes Manipulan envase de vidrio sin utilizar guantes anticorte. Reporto Gustavo Hernández</t>
  </si>
  <si>
    <t>Edgar Yes</t>
  </si>
  <si>
    <t>Marco Aguilar Manipulan envase de vidrio sin utilizar guantes anticorte. Reporto Gustavo Hernández</t>
  </si>
  <si>
    <t>Marco Aguilar</t>
  </si>
  <si>
    <t>Se aborda a Edy Baten de soprinsa por andar sin protección auditiva en linea 2, habiendo exceso de ruido por modificacion de la linea, se orrige. Reporto Gustavo Hernández</t>
  </si>
  <si>
    <t>Edy Baten</t>
  </si>
  <si>
    <t>Se aborda a mario Ramos por andar en linea 2 sin proteccion auditiva, habiendo exceso de ruido en area por modificacion de linea 2. Reporto Gustavo Hernández</t>
  </si>
  <si>
    <t>Se aborda positivamente a Jacinto Orellana por manipular envase de vidrio sin guantes anticorte. Reporto Gustavo Hernández</t>
  </si>
  <si>
    <t>Jacinto Orellana</t>
  </si>
  <si>
    <t>Se aborda positivamente a Juan Carlos Poz sin orejeras, se corrige. Reporto</t>
  </si>
  <si>
    <t>Juan Carlos Perez</t>
  </si>
  <si>
    <t>Se aborda positivamente a Jhonny Ordoñez por manipular envase de vidrio sin guantes anticorte. Reporto Gustavo Hernández</t>
  </si>
  <si>
    <t>Gervasio Ajpop se encuentra utilizando auriculares, se aborda para concientizar. Reporto Gustavo Hernández</t>
  </si>
  <si>
    <t>Gervasio Ajpop</t>
  </si>
  <si>
    <t>se aborda positivamente a Lizandro Sánchez, manipula envase de vidrio sin guantes anticorte. Reporto Gustavo Hernández</t>
  </si>
  <si>
    <t>Lizandro Sánchez</t>
  </si>
  <si>
    <t>Jorge Francisco, atraviesa por paso no autorizado desde L4 para L3, se aborda. Reporto Gustavo Hernández</t>
  </si>
  <si>
    <t>Jorge Francisco</t>
  </si>
  <si>
    <t>Se encuentra a jansy Obregón utilizando el teléfono y caminando por el paso peatonal, al hacerle la observación hace caso omiso haciendo señas corporales que no le importa. Reporto Gustavo Hernández</t>
  </si>
  <si>
    <t>Se encuentra a marcos Velásquez operador de llenadora 4 caminando en el área de trabajo con los zapatos sin amarrar, se pide que se los amarre; al momento realiza la petición. Reporto Gustavo Hernández</t>
  </si>
  <si>
    <t xml:space="preserve">Marcos Velásquez </t>
  </si>
  <si>
    <t>Wilmer chanchavac manipula envase de vidrio sin guantes anticorte, se concientiza. Reporto Gustavo Hernández</t>
  </si>
  <si>
    <t>Wilmer Chanchavac</t>
  </si>
  <si>
    <t>Candado abierto panel lavadora de botellas 1, operador Everardo sanan. Reporto Gustavo Hernández</t>
  </si>
  <si>
    <t>Marcos García, manipula envase sin guantes anticorte, se le habla para que los utilice ya que donde estaba había vidrio quebrado. Reporto Gustavo Hernández</t>
  </si>
  <si>
    <t xml:space="preserve"> Eusebio caal manipula envase de vidrio en el área de rechazo sin utilizar guantes anticorte. Reporto Gustavo Hernandez</t>
  </si>
  <si>
    <t>Se encontro a Esau Segura en producción de pepsi 500ml sin lentes, si cuenta con equipo pero no los tenia puestos, se le abordo positivamente y se los coloco, se superviso durante el turno y si cumplico con tenerlos puestos.</t>
  </si>
  <si>
    <t>Esau Segura</t>
  </si>
  <si>
    <t>Haydee Martinez</t>
  </si>
  <si>
    <t xml:space="preserve">Sergio Castañeda se encontró en producción de pepsi 1.25lts sin lentes de protección en el área de lámpara 2, si cuenta con equipo, se abordo y reconoció su falta se los coloca inmediatamente </t>
  </si>
  <si>
    <t xml:space="preserve">Sergio Castañeda </t>
  </si>
  <si>
    <t>En producción de pepsi 1.25lt en número 8 inspección visual de envase sucio se encontro a Axel Guatzin sin protector de oido, si tiene su equipo pero no lo utilizo, se corrigio y se los coloco, se realizó ronda durante el turno seguia con su equipo.</t>
  </si>
  <si>
    <t>Axel Guatzin</t>
  </si>
  <si>
    <t xml:space="preserve">Se encontró en L4 sin lentes de producción se siguió para abordarlo positivamente en área de retención de producto, lo lentes que se ven son negros de vista pero no de protección </t>
  </si>
  <si>
    <t xml:space="preserve">Gilmar Mazariegos </t>
  </si>
  <si>
    <t>Haydée Martínez</t>
  </si>
  <si>
    <t>Se reporta a Héctor Alejandro de Constructora IM quien no se tomo del pasamanos en la rampa cercana a tratamiento de aguas y venia caminando con prisa. se le aborda para corregir la acción.</t>
  </si>
  <si>
    <t>Proveedor de Constructora IM</t>
  </si>
  <si>
    <t>Hellen Consuelo</t>
  </si>
  <si>
    <t>Estudiantes en la visita sin tomarse de los pasamanos que viene de mantenimiento hacia cafetería</t>
  </si>
  <si>
    <t>Estudiantes de Ingeniería en Alimentos, en la visita a Planta</t>
  </si>
  <si>
    <t>Se reporta a Anderson Agustín proveedor de Termo soluciones quien transportaba estructuras metálicas sin el uso de guantes de protección, se le aborda afuera del laboratorio de fisicoquímicos y se corrige la acción.</t>
  </si>
  <si>
    <t>Anderson Agustín</t>
  </si>
  <si>
    <t>Se reporta a Víctor Silva proveedor de Termo soluciones quien transportaba estructuras metálicas sin el uso de guantes de protección, se le aborda afuera del laboratorio de fisicoquímicos y se corrige la acción.</t>
  </si>
  <si>
    <t xml:space="preserve">Víctor Silva </t>
  </si>
  <si>
    <t xml:space="preserve"> Se reporta a Luis Samayoa de Rentokil quienes estaban en el nuevo parqueo de motos sentados en un espacio entre las mismas y no se visualizaba qué ellos estaban ahí, se les retiro. Reporto Hellen Consuelo</t>
  </si>
  <si>
    <t>Gerson Marín</t>
  </si>
  <si>
    <t>Luis Samayoa</t>
  </si>
  <si>
    <t>Se reporta a los proveedores que estaban martillando y atornillando y no tenían lentes ni guantes de protección</t>
  </si>
  <si>
    <t>Javier Oviedo</t>
  </si>
  <si>
    <t>Se reporta a proveedores Eduardo Hernández de afca trabajando en línea 3 sin lentes de protección, se corrige. Reporto Hellen Consuelo</t>
  </si>
  <si>
    <t>Eduardo Hernández</t>
  </si>
  <si>
    <t>Se reporta a proveedores José Quiñonez de afca trabajando en línea 3 sin lentes de protección, se corrige. Reporto Hellen Consuelo</t>
  </si>
  <si>
    <t>José Quiñonez</t>
  </si>
  <si>
    <t>Se reporta a Jeyner Cáceres realizando mantenimiento en la sopladora L3 sin protección o ocular, se corrige. Reporto Hellen Consuelo</t>
  </si>
  <si>
    <t>Jeyner Cáceres</t>
  </si>
  <si>
    <t>Se reporta a Rony Elías  realizando mantenimiento en la sopladora L3 sin protección o ocular, se corrige. Reporto Hellen Consuelo</t>
  </si>
  <si>
    <t>Realizando trabajos sin protección ocular en salida de planta, se indica que deben colocarse su EPP</t>
  </si>
  <si>
    <t xml:space="preserve">Armando Ramírez </t>
  </si>
  <si>
    <t>Se aborda a Cristian de KHs en L5 por falta de protección auditiva. Reporto Hellen Consuelo</t>
  </si>
  <si>
    <t>Se aborda a Luis Samuel Cruz Santizo de talleres barth por ingresar a l3 por una firma sin protección auditiva. Reporto Hellen Consuelo</t>
  </si>
  <si>
    <t>Luis Samuel Cruz Santizo</t>
  </si>
  <si>
    <t>Se aborda a Hugo Leonel Gonzales López de talleres barth por ingresar a l3 por una firma sin protección auditiva. Reporto Hellen Consuelo</t>
  </si>
  <si>
    <t>Hugo González</t>
  </si>
  <si>
    <t>Se aborda positivamente al compañero Gerson Vásquez ya que ingresó a planta con chumpa sin reflectivos. Reporto Hellen Consuelo</t>
  </si>
  <si>
    <t>Gerson Vásquez</t>
  </si>
  <si>
    <t>Se reporta a Byron Chay sin protección auditiva durante producción, se le aborda. Reporto Hellen Consuelo</t>
  </si>
  <si>
    <t>Se reporta a Fernando Coyoy por ir escribiendo en el teléfono y caminando en cafetería. Reporto Hellen Consuelo</t>
  </si>
  <si>
    <t>Fernando Coyoy</t>
  </si>
  <si>
    <t>Ottoniel Andrea sin gorra casco y tapones auditivos en área llenadora, se corrige. Reporto Hellen Consuelo</t>
  </si>
  <si>
    <t>Ottoniel Andrea</t>
  </si>
  <si>
    <t>Kevin Castillo sin tapones auditivos en área llenadora, se corrige. Reporto Hellen Consuelo</t>
  </si>
  <si>
    <t>Se reporta a Brandon de KHS sin su gorra casco en la línea 5. Reporto Hellen Consuelo</t>
  </si>
  <si>
    <t>Brandon de KHS</t>
  </si>
  <si>
    <t>Se encuentra en Línea 5 a Fabio proveedor de Cleve utilizando audífonos. Reporto Hellen Consuelo</t>
  </si>
  <si>
    <t>Fabio de Cleve</t>
  </si>
  <si>
    <t xml:space="preserve">Nestor López en cafetería con audífonos caminando, se abordó. Reporta Hellen Consuelo </t>
  </si>
  <si>
    <t>Nestor López</t>
  </si>
  <si>
    <t xml:space="preserve"> Ángel Paz de Soprinsa bajando una rampa sin tomarse del pasamanos</t>
  </si>
  <si>
    <t>Ángel Paz</t>
  </si>
  <si>
    <t>Se aborda al señor Leonel de la empresa Issaa quien portaba una camisa sin reflectivo, se le aborda positivamente y se corrigió la acción.</t>
  </si>
  <si>
    <t>Proveedor de Issaa Leonel</t>
  </si>
  <si>
    <t>Hellen Estrada</t>
  </si>
  <si>
    <t>Se reporta a Andy Morales y Dylan Jimenez personal de Infymsa quienes transportaban hacia línea 5 un tubo sin guantes de protección, se les aborda positivamente.</t>
  </si>
  <si>
    <t>Andy Morales</t>
  </si>
  <si>
    <t>Se reporta a Mynor Leiva transportando una escalera sin guantes y sin utilizar el paso peatonal de línea 2 hacia Línea 4</t>
  </si>
  <si>
    <t>Mynor Leiva</t>
  </si>
  <si>
    <t>Se reporta a Pedro Piri transportando una escalera sin guantes y sin utilizar el paso peatonal de línea 2 hacia Línea 4</t>
  </si>
  <si>
    <t>Pedro Piri de servimontaje</t>
  </si>
  <si>
    <t>Se reporta a Geovani López quien se dirigía hacia Línea 5 transitando por el corredor frente a linea 1 y línea 5 pero no se tomo del pasamanos en la rampa.</t>
  </si>
  <si>
    <t xml:space="preserve">Geovani López </t>
  </si>
  <si>
    <t>Se reporta al proveedor José Velásquez de la empresa Constructora, ya que no se tomó del pasamanos y se le dio una retroalimentación de las reglas dentro de planta.</t>
  </si>
  <si>
    <t xml:space="preserve">Jose Velasquez </t>
  </si>
  <si>
    <t>Se reporta a Edgar Fuentes debido a que no estaba haciendo uso de su Gorra casco dentro del área de Línea 2 y estaba realizando trabajos de reparación.</t>
  </si>
  <si>
    <t xml:space="preserve">Se reporta a José Pérez proveedor de iisa quien no se tomó del pasamanos, rampa que va hacia bodega de soda, se aborda positivamente. Reporto Hellen Consuelo
</t>
  </si>
  <si>
    <t>José Pérez</t>
  </si>
  <si>
    <t>Se reporta a Gustavo Tavico proveedor de iisa quien no se tomó del pasamanos, rampa que va hacia bodega de soda , se aborda positivamente. Reporto Hellen Consuelo</t>
  </si>
  <si>
    <t>Gustavo Tavico</t>
  </si>
  <si>
    <t>Se aborda a Andrés de krones ya que se encontraba hablando por teléfono mientras caminaba por pasillo frente a cisternas. Reportó Hellen Consuelo</t>
  </si>
  <si>
    <t>Andres</t>
  </si>
  <si>
    <t>Fernando González de IIISA realizando trabajos en Línea 5 sin tapones auditivos. Reportó Hellen Estrada</t>
  </si>
  <si>
    <t>Fernando González</t>
  </si>
  <si>
    <t>Victor Gonzalez de iiisa realizando trabajos en Línea 5 sin tapones auditivos. Reportó Hellen Estrada</t>
  </si>
  <si>
    <t>Victor González</t>
  </si>
  <si>
    <t>Julio campos de transporte girón sin zapatos punta de acero en rampas de agencia lo abordo por la noche Isabel Saquila y procede a colocar sus zapatos esta unidad traía materias primas. Reporto Isabel Saquila</t>
  </si>
  <si>
    <t>Julio Campos</t>
  </si>
  <si>
    <t>Isabel Saquila</t>
  </si>
  <si>
    <t xml:space="preserve"> en CD se encuentra estás orejeras con auriculares incorporados se deja en oficina CD para q SSO lo evalúe, se aborda con RRHH, jefes del cd a Hugo Arauz por este incumplimiento. Reporto Isabel Saquila</t>
  </si>
  <si>
    <t>Hugo Arauz</t>
  </si>
  <si>
    <t>Se aborda a piloto sentado debajo de la unidad de carbox esperando a que lleguen a atenderlo de Mp. Reporto Isabel Saquila</t>
  </si>
  <si>
    <t>Jaime Arriaza</t>
  </si>
  <si>
    <t>Edgar Fuentes se encuentra en lámpara 2 sin guantes anticorte se le aborda y se informa que podría tener un corte en extremidades. Reporto Jaime Camey</t>
  </si>
  <si>
    <t>Jaime Camey</t>
  </si>
  <si>
    <t>Tony Cáceres se aborda en lámpara de lleno 2 sin guantes se le informa sobre el uso de guantes anticortes en esa área. Reporto Jaime Camey</t>
  </si>
  <si>
    <t>Se aborda a Marcos García ya que se encontraba sin lentes en el área de lavadora de cajilla. Reporto Jaime Camey</t>
  </si>
  <si>
    <t>Se aborda positivamente a Sergio Castañeda al estar sin lentes en línea de producción 2. Reporto Jaime Camey</t>
  </si>
  <si>
    <t>Sergio Castañeda</t>
  </si>
  <si>
    <t>Marcos Gonzales auxiliar de jarabes ingresa sin casco al área de materias primas sin registrarse, se expone a riegos del área operación de manejo de yale, se le aborda positivamente. Reporto Jaime Chex</t>
  </si>
  <si>
    <t xml:space="preserve">Marcos Gonzales </t>
  </si>
  <si>
    <t>Luis Mengibar Auditor de WCM al bajar no se toma de pasamanos, Se aborda positivamente y Se le informa que puede tropezar y caerse. Reporto Jaime Chex</t>
  </si>
  <si>
    <t>Luis Mengibar</t>
  </si>
  <si>
    <t xml:space="preserve"> Goel Goris técnico de KHS mientras Caminaba frente a pasillo de oficina MP iba hablando por teléfono, Se le aborda positivamente y se detiene el acto. Reporto Jaime Chex</t>
  </si>
  <si>
    <t>Goel Goris</t>
  </si>
  <si>
    <t>Jose Sanchez de Urbano utilizando navaja prohíba dentro de planta. Reporto Roger Rivas</t>
  </si>
  <si>
    <t>Jose Sanchez</t>
  </si>
  <si>
    <t>Uso de herramientas no autorizadas</t>
  </si>
  <si>
    <t>Abner Estrada de Auditoria Interna en MP, con compu en mano conectado a Reunión por Teams iba caminando en parque externo viendo su computadora con posible tropiezo,Se detiene acto. Reporto Jaime Chex</t>
  </si>
  <si>
    <t>Abner Estrada</t>
  </si>
  <si>
    <t>Vigler Ramos llega a oficinas de Materias primas sin usar su casco 👷‍♂️ personal, se le aborda positivamente y se detiene. Reporto Jaime Chex</t>
  </si>
  <si>
    <t>Vigler Ramos</t>
  </si>
  <si>
    <t>Auxiliar de limpieza MP Carlos Moran caminando utilizando auriculares en bodega de azúcar mientras hay descarga de azúcar, Se aborda positivamente. Reporto Jaime Chex</t>
  </si>
  <si>
    <t>Carlos Moran</t>
  </si>
  <si>
    <t xml:space="preserve">Carlos Moran auxiliar de limpieza ingresa a cuarto frio sin utilizar chumpa abrigo para protegerse del frío. Se le aborda positivamente y se corrige. Reporto Jaime Chex </t>
  </si>
  <si>
    <t xml:space="preserve"> Elsy Analy analista de Azúcar se encuentra sacando muestras de azúcar en rampa de descarga de MP sin usar Chaleco reflectivo Se le aborda positivamente. Reporto Jaime Chex</t>
  </si>
  <si>
    <t>Elsy Analy</t>
  </si>
  <si>
    <t>Se encuentra yale 178 de MP encendido en bodega de azúcar, Leandro chajon lo deja encendido mientras se fue a lavar las manos dejándolo encendido por unos minutos Se le aborda positivamente. Reporto Jaime Chex</t>
  </si>
  <si>
    <t>Leandro Chajón</t>
  </si>
  <si>
    <t>Jony Ordoñez operador de Empacadora L1, se encuentra en Empacadora de L1 sin su EPP de gorra casco Se le aborda positivamente y se corrige el acto. Reporto Jaime Chex</t>
  </si>
  <si>
    <t xml:space="preserve">Jony Ordoñez </t>
  </si>
  <si>
    <t>Esteban Hernandez Operador de jarabes, con auriculares caminando en paso peatonal hacia jarabes,Se le aborda positivamente y se detiene el acto. Reporto Jaime Chex</t>
  </si>
  <si>
    <t>En bodega de azúcar MP el auxiliar Carlos Moran camina escuchando música con sus auriculares. Se le aborda positivamente y se corrige. Reporto Jaime Chex</t>
  </si>
  <si>
    <t>Rony Elias Técnico L3, usando auriculares inalambrico mientras opera jaulas de preformas para echar a tolva de preformas, se aborda positivamente. Reporto Jaime Chex</t>
  </si>
  <si>
    <t xml:space="preserve">Rony Elias </t>
  </si>
  <si>
    <t>Técnico de SIPA Fernell Domiguez se encuentra caminando sin casco en paso peatonal lado externo de L3 hacia cabina L3 Se le aborda positivamente y se le aconseja portar su EPP.Reporto Jaime Chex</t>
  </si>
  <si>
    <t>Fernell Dominguez</t>
  </si>
  <si>
    <t>En rampas de MP, Yeny Lopez auditora de Ransa, no utiliza el pasamanos, Se aborda positivamente y se corrige. Reporto Jaime Chex</t>
  </si>
  <si>
    <t>Yeny Lopez</t>
  </si>
  <si>
    <t>Marvin Lopez Auxiliar de jarabes se encuentra en camiseta y sin Gorra casco y sin guantes pintando en área de despacho de azúcar en jarabes, Se le aborda positivamente y se detiene el acto. Reporto Jaime Chex</t>
  </si>
  <si>
    <t>Marvin Lopez</t>
  </si>
  <si>
    <t>Se aborda al señor Juan Rodas, calderista se encontraba en área de compresores de amoniaco sin utilizar sus protectores auditivos y este procede a colocárselos. Reportó Jaime Chex</t>
  </si>
  <si>
    <t xml:space="preserve">No se están utilizando lentes de protección en la sala de jarabes, se evidenció durante la adición de ácido cítrico al blender, al tener contacto con los ojos es grave. Reporto Jaime Chilel </t>
  </si>
  <si>
    <t xml:space="preserve">Operador </t>
  </si>
  <si>
    <t>Jaime Chilel</t>
  </si>
  <si>
    <t>Ambiente</t>
  </si>
  <si>
    <t>Técnico de Prohigiene, utilizando último peldaño de escalera, se corrigió en su momento. Reporto Jaime Chilel</t>
  </si>
  <si>
    <t>Cristian Gonzalez</t>
  </si>
  <si>
    <t>Mynor Leiva de servimontajes estaba en l2 sin lentes de protección, se abordó. Reporto Jaime Chilel</t>
  </si>
  <si>
    <t>Ariel Cua no estaba utilizando lentes de sobre poner en L1, se abordo. Reporto Jaime Chilel</t>
  </si>
  <si>
    <t xml:space="preserve">El piloto se unidad de bunker da vuelta sobre paso peatonal, se le indica que no se debe hacer porque pone en riesgo la integridad de los trabajadores, se le indica area donde debe dar la vuelta. Reporta jason calderon </t>
  </si>
  <si>
    <t>DARWIN CRUZ</t>
  </si>
  <si>
    <t>Jason Calcerón</t>
  </si>
  <si>
    <t>El compañero wilman lopez transporta caneca de banaclean a mano alzada, se le indica el riesgo a salpicaduras al que se expone si se le cae el recipiente</t>
  </si>
  <si>
    <t xml:space="preserve">Wilman López </t>
  </si>
  <si>
    <t>Jason Calderon</t>
  </si>
  <si>
    <t>El compañero Carlos Moran no utiliza botas de hule con punteras para lavar tarimas con riesgo de resbalarse por la humedad, reporta Jason Calderon</t>
  </si>
  <si>
    <t xml:space="preserve">Byron Chay ingresa a almacen de repuestos con gorra se le indica que para el area se debe usar casco. Reporta Jason Calderón </t>
  </si>
  <si>
    <t xml:space="preserve">Uso de celular mientras camina, reporta jason Calderón </t>
  </si>
  <si>
    <t xml:space="preserve">El compañero ingresa a almacen de repuestos sin casco, se le hace saber la necesidad de usar casco en lugar de gorra y amablemente procede a utilizar el equipo indicado. Reporta Jason Calderón </t>
  </si>
  <si>
    <t>Alex Rucun</t>
  </si>
  <si>
    <t xml:space="preserve">El compañero Gabino ingresa a almacen com gorra casco, se le indica que debe usar casco debido al riesgo al que se expone, reporta jason Calderón </t>
  </si>
  <si>
    <t>Gabino Garcia</t>
  </si>
  <si>
    <t>El piloto Freddy Curiales sube a la pipa de bunker sin arnes, se detiene y se le indica que debe usar. Reporta Jason Calderon</t>
  </si>
  <si>
    <t>Freddy Curiales</t>
  </si>
  <si>
    <t xml:space="preserve">El auditor de RANSA olvida colocarse punteras, se le indica la importancia del uso y se corrige de inmediato. Reporta jason calderon </t>
  </si>
  <si>
    <t>Guillermo Merida</t>
  </si>
  <si>
    <t xml:space="preserve">Se aborda positivamente a la compañera auditora Liliana Ratzan de la firma EY, No utiliza pasamanos de gradas frente a oficina de materia prima. Reporto Jason Calderón </t>
  </si>
  <si>
    <t>Liliana Ratzan</t>
  </si>
  <si>
    <t>Jason Calderón</t>
  </si>
  <si>
    <t>El compañero Edgar primero ingresa a Almacen de Materia Prima sin realizar el protocolo de ingreso, se le aborda y se le hace saber los riesgos a los que se expone, reporta Jason Calderon</t>
  </si>
  <si>
    <t>El compañero Juan Carlos Perez camina mientras habla por telefono frente a oficina de MP, Se aborda y se le indica que no debe hacerlo por su seguridad, reporta JASON CALDERON</t>
  </si>
  <si>
    <t xml:space="preserve">El compañero javier alvarado de L5 ingresa a almacen sin realizar el reporte en hoja de ingresos, se le da a conocer el procedimiento y que debe ser acompañado para minimizar riesgos por transito de yales. Jason Calderón </t>
  </si>
  <si>
    <t>Ingresó con yale al almacen de materia prima sin reportarse. Se aborda para que cumpla con el procedimiento y no exponga ni se exponga a los peligro del area.</t>
  </si>
  <si>
    <t>Pedro Tumacaj</t>
  </si>
  <si>
    <t>El compañero Leando Chajon en la tarea de preparar empaques olvida colocarse el cinturon de seguridad, se aborda indicandole la importancia de usar cinturon en todo momento al operar el yale. Reporta Jason Calderón.</t>
  </si>
  <si>
    <t xml:space="preserve">Diego fuentes tecnico de krones siendo acompañado por mario ramos ingresa a almacen de repuestos sin casco de proteccion, se le indica la necesidad de usar casco en lugar de gorra, reporta Jason Calderón </t>
  </si>
  <si>
    <t>Diego Fuentes</t>
  </si>
  <si>
    <t>Se abordo positivamente a Gover Sologaistoa trabajando con reparación de rack el cual contenía laminas y no tenía guantes, las láminas tienen filo. Reporto Jimmy Velásquez</t>
  </si>
  <si>
    <t>Jimmy Velasquez</t>
  </si>
  <si>
    <t>Se aborda positivamente a Mario Dany de  Soprinsa, estaba realizando la actividad de encajillado de envase nuevo en bodega 9, sin uso de protectores auditivos, se corrigió con Jhonatan. Reporto Jimmy Velásquez</t>
  </si>
  <si>
    <t>Mario Dany Ponz</t>
  </si>
  <si>
    <t>Se aborda positivamente a Oscar Cabrera de  Soprinsa, estaba realizando la actividad de encajillado de envase nuevo en bodega 9, sin uso de protectores auditivos, se corrigió con Jhonatan. Reporto Jimmy Velásquez</t>
  </si>
  <si>
    <t>Oscar Cabrera</t>
  </si>
  <si>
    <t>Se aborda positivamente a Ever Coc de  Soprinsa, estaba realizando la actividad de encajillado de envase nuevo en bodega 9, sin uso de protectores auditivos, se corrigió con Jhonatan. Reporto Jimmy Velásquez</t>
  </si>
  <si>
    <t>Ever Coc</t>
  </si>
  <si>
    <t>El piloto parquea la unidad (rastra) en el pit de carga y se va caminando havia oficinas de CD, sin utilizar el paso peatonal, se abordo positivamente.</t>
  </si>
  <si>
    <t>Erick De Leon</t>
  </si>
  <si>
    <t>Se reporta a Abimael Alonzo ya que estaba hablaren por celular mientras estaba realizando una tarea. Reporto Walfred Guzmán</t>
  </si>
  <si>
    <t>Abimael Alonzo</t>
  </si>
  <si>
    <t>Jimmy Velásquez</t>
  </si>
  <si>
    <t xml:space="preserve">Ariel López de transportes WL, dejo la unidad encendida frente al Almacén de Repuestos, y se dirigió a oficinas de CD a traer documentos, se aborda. Reporto Jimmy Velásquez </t>
  </si>
  <si>
    <t>Ariel López</t>
  </si>
  <si>
    <t xml:space="preserve">Oscar Garcia de Soprinsa, se encuentra encajillando envase nuevo y no porta sus lentes ni tapones auditivos, se aborda para resaltar la importancia del uso de EPP completo. Reporto Jimmy Velásquez </t>
  </si>
  <si>
    <t xml:space="preserve">El colaborador Rafael de León de Soprinsa se encontraba encanillando envase nuevo en bodega 8, no estaba utilizando sus tapones auditivos, se detiene la operación y se corrige. Reporto Jimmy Velásquez </t>
  </si>
  <si>
    <t xml:space="preserve">El colaborador Mario Dany Ponz de Soprinsa se encontraba encajillando envase nuevo en bodega 8, no estaba utilizando sus tapones auditivos, se detiene la operación y se corrige. Reporto Jimmy Velásquez </t>
  </si>
  <si>
    <t>El colaborador Oscar García de Soprinsa se encontraba encajillando envase nuevo en bodega 8, no estaba utilizando sus tapones auditivos, se detiene la operación y se corrige. Reporto Jimmy Velásquez</t>
  </si>
  <si>
    <t>El piloto Gerónimo Cal de transportes Girón iba cruzando el paso peatonal frente a oficinas del CD hablando por teléfono, se le aborda positivamente resaltando los riesgos a los que se expone.  Reporto Jimmy Velásquez</t>
  </si>
  <si>
    <t>Géronico Cal</t>
  </si>
  <si>
    <t>El piloto Franklin de León de transportes WL, se encontraba por rampas sin zapatos punta de acero, se le abordo e indico la importancia del uso del EPP completo. Reporto Jimmy Velásquez</t>
  </si>
  <si>
    <t>Franklin de León</t>
  </si>
  <si>
    <t>El piloto se dirige a oficina de cD a traer documentos y deja la unidad encendida frente al taller de mantenimiento. (Reporte para Almacén de Repuestos)</t>
  </si>
  <si>
    <t xml:space="preserve">Efren Fajardo </t>
  </si>
  <si>
    <t>Deja la unidad encendida frente a tanques de CO2 y se dirige a oficinas de CD a traer documentos.</t>
  </si>
  <si>
    <t>Piloto Edgar Pérez de transportes World Logistics</t>
  </si>
  <si>
    <t>El dia jueves el Piloto Edgar Perez venia caminando de la gasolinera, sin utilizar el paso peatonal, adicional venia escribiendo con el telefono celular.</t>
  </si>
  <si>
    <t xml:space="preserve">Edgar Perez </t>
  </si>
  <si>
    <t>En la inspección se verifica que el colaborador no utiliza sus lentes de proeteccion al realizar la actividad Reparación de Tarimas en bodega 5, a un costado del campo de fut bol.</t>
  </si>
  <si>
    <t xml:space="preserve">Julio Orellana </t>
  </si>
  <si>
    <t>El colaborador se encontraba realizando la tarea; clasificación de envase 500 ml y nonportaba sus lentes de protección.</t>
  </si>
  <si>
    <t>Selvin Tobar Aguilar</t>
  </si>
  <si>
    <t>Oscar Garcia Bate</t>
  </si>
  <si>
    <t>Jairo Osbeli Rojas</t>
  </si>
  <si>
    <t>se abordo a juan lopez ingreso una velocidad no producnte en el área de planta. Reporto Jimmy Velasquez</t>
  </si>
  <si>
    <t>Juan López</t>
  </si>
  <si>
    <t>Enrique Coyoy estaba liberando el corredor y jalo 2 tarimas al mismo tiempo, es mala practica y boto el envas,se abordo con Jimmy. Reporto jimmy Velasquez</t>
  </si>
  <si>
    <t>Enrique Coyoy</t>
  </si>
  <si>
    <t>Se aborda a Joel Hernández trabajando soldadura sin utilizar correctamente la careta de soldar, Trabajo en la parte de la pérgola. Reporto Roy Loarca</t>
  </si>
  <si>
    <t xml:space="preserve">Joel Hernández </t>
  </si>
  <si>
    <t>Joel Hernández</t>
  </si>
  <si>
    <t>El compañero se encontraba caminado alrededor del área de pipas de co2 utilizando audifonos. Se le indicó que el área es riesgosa y que presentaba peligro el estar caminando con audifonos. Se los procedió a quitar y se corrigió la acción.</t>
  </si>
  <si>
    <t>Yovani Lopez</t>
  </si>
  <si>
    <t>Jonathan Escobar</t>
  </si>
  <si>
    <t xml:space="preserve">Se detuvo al momento en que estaba cediendo una pulidora a un compañero que no tenía EPP adecuado y que no estaba autorizado a utilizar el equipo. Se le abordó y se corrigió la acción </t>
  </si>
  <si>
    <t>Jose Tupul</t>
  </si>
  <si>
    <t>Francisco Mas deja soldadura TIG encendía con antorcha en posición inadecuada, No se encuentra en el área. Reporto Jorge Castillo</t>
  </si>
  <si>
    <t>Jorge Castillo</t>
  </si>
  <si>
    <t>Pablo Reyes no utiliza protección auditiva en área de preempacado. Reporto Roger Rivas</t>
  </si>
  <si>
    <t>José Sandoval</t>
  </si>
  <si>
    <t>Proveedor Alexander Palomino de Grupo HBE caminaba haciendo uso de su teléfono celular en nave osmosis, se le indica que no es permitido y debe detenerse, y se corrigió en el momento. Reporto José Sandoval</t>
  </si>
  <si>
    <t>Alexander Palomino</t>
  </si>
  <si>
    <t>reporto a Selvin Godínez de área de reciclaje llevaba una tarima sin guantes Los guantes lo cargaban en el bolsillo, se corrige. Reporto Josué Abraham</t>
  </si>
  <si>
    <t>Selvin Godinez</t>
  </si>
  <si>
    <t>Josué Abraham</t>
  </si>
  <si>
    <t xml:space="preserve">Se observa a Jorge Soto ingresar a área Etei sin anunciar su ingreso </t>
  </si>
  <si>
    <t>Jorge soto</t>
  </si>
  <si>
    <t>Josue Lepe</t>
  </si>
  <si>
    <t>Se aborda a personal de tratamiento de agua que esta realizando reparacion de tubería en pozo a un costado de ETEI no tienen equipo de protección, no portan camisa reflectiva no está de limitada el área se les hace concientizacion. Reporto Josué Lepe</t>
  </si>
  <si>
    <t>Josué Lepe</t>
  </si>
  <si>
    <t>Angel Paz</t>
  </si>
  <si>
    <t>Se aborda a Josue Martínez auxiliar de jarabe por realizar lavado de piso sin colocar señalización, se corrige. Reporto Nery Rivera</t>
  </si>
  <si>
    <t>Josue Martínez</t>
  </si>
  <si>
    <t>Josue Martinez</t>
  </si>
  <si>
    <t xml:space="preserve">Se detiene inmediatamente a Salomón Girón de Const, Joel por estar trabajando en el techo, sin estar anclado. Reporto Josué Vásquez </t>
  </si>
  <si>
    <t>Salomón Girón</t>
  </si>
  <si>
    <t>Josué Vásquez</t>
  </si>
  <si>
    <t>Se detiene inmediatamente a Armando Ramírez de Conts, Joel por estar en el techo trabajando sin estar anclado. Reporto Josué Vásquez</t>
  </si>
  <si>
    <t>El compañero Edvin Pérez se encuentra trabajando a orilla del edificio nuevo en tercer nivel sin estar anclado a la línea de vida. Reportó Josué Vásquez</t>
  </si>
  <si>
    <t>Edvin Pérez</t>
  </si>
  <si>
    <t xml:space="preserve"> Se abordó a Byron Mendizábal de Cadinsa por no portar protectores auditivos en la instalación de la nueva caldera. Reporto Juan Figueroa</t>
  </si>
  <si>
    <t>Byron Mendizabal</t>
  </si>
  <si>
    <t>Se aborda positivamente a Sofia Cabrera de proelectric, por caminar y utilizar el celular. Reporto Karla Hintz</t>
  </si>
  <si>
    <t>Sofia Cabrera</t>
  </si>
  <si>
    <t>Karla Hintz</t>
  </si>
  <si>
    <t>Se aborda a Wilson Machic por utilizar guantes de mecánico tocando botellas de vidrio, cuando tienen que ser con guantes anti corte. Reporto Karla Hintz</t>
  </si>
  <si>
    <t>Wilson Machic</t>
  </si>
  <si>
    <t>Eduardo Cifuentes operador de montacarga iba caminando para el área de cafetería sin usar el pasamanos. Reporto Kelly Calderón</t>
  </si>
  <si>
    <t>Eduardo Cifuentes</t>
  </si>
  <si>
    <t>Kelly Calderon</t>
  </si>
  <si>
    <t>Operador Jesús Mateo Iba saliendo hacia el portón de rampas de agencia y no se percató que una pestaña ya estaba cerrada, ha iba a chocar. Se le aborda sobre el tema de manejo seguro. Reporto Kelly Calderón</t>
  </si>
  <si>
    <t>Jesús Mateo</t>
  </si>
  <si>
    <t>Se aborda positivamente a Oscar Samuel García de personal soprinsa, caminando sin usar los pasamanos. Reporta Kelly Calderón</t>
  </si>
  <si>
    <t>Oscar Samuel</t>
  </si>
  <si>
    <t>Kelly Calderón</t>
  </si>
  <si>
    <t>Ever Coc de personal soprinsa, caminando sin usar el pasamano, se le aborda de manera positiva. Reporto Kelly Calderón</t>
  </si>
  <si>
    <t>Se reporta a Melvin Paredes de Word logístic hablando por teléfono y caminado en el área de patio. Se le aborda de manera positiva. Reporta Kelly Calderón</t>
  </si>
  <si>
    <t>Melvin Paredes</t>
  </si>
  <si>
    <t>Fredy Raymundo Word logistic, bajandose y dejando la unidad encendida para ir a traer papeles Se le aborda de manera positiva. Reporto Kelly Calderón</t>
  </si>
  <si>
    <t>Fredy Raymundo</t>
  </si>
  <si>
    <t>Melvin paredes transporte Word logística, bajandose de la unidad dejando encendida, Se le aborda de manera positiva. Reporto Kelly Calderón</t>
  </si>
  <si>
    <t>Pedro Maldonado de transporte Will, hablando por teléfono y caminando en wl área de pit de carga. Reporto Kelly Calderón</t>
  </si>
  <si>
    <t>Pedro Maldonado</t>
  </si>
  <si>
    <t>Personal cbc Bladimir López del área de Cd Iba caminando a colocar marchamo a la unidad sin él su de casco, Se le aborda y se corrige. Reporto Josué Vásquez</t>
  </si>
  <si>
    <t>Bladimir López</t>
  </si>
  <si>
    <t>Piloto Ervin Martínez de transporte Efagma llegando a la oficina sin reflectivo, Se le aborda de manera positiva. Reporto Kelly Calderón</t>
  </si>
  <si>
    <t>Ervin Martínez</t>
  </si>
  <si>
    <t>Se encuentra al operador Carlos Ottoniel Lopez Rosales manipulando montacarga sin el uso de lentes ni de su cinturón, Se le aborda de manera positiva. Reporto Kelly Calderón</t>
  </si>
  <si>
    <t xml:space="preserve"> Carlos Ottoniel Lopez Rosales </t>
  </si>
  <si>
    <t>Piloto Victor Calderón de transporte Efagma, Se dirigía a la oficina sin el uso de casco, Se le aborda de positiva. Reporto Kelly Calderón</t>
  </si>
  <si>
    <t>Victor Calderón</t>
  </si>
  <si>
    <t xml:space="preserve"> Piloto Victor Calderón de transporte Efagma, se dirigía a la oficina sin el uso de casco, se le aborda de positiva. Reporto Kelly Calderón</t>
  </si>
  <si>
    <t>Piloto Arcadio Mérida de transporte Word logística deja la unidad encendida para ir a traer documentos Se le abordo. Reporto kelly Calderón</t>
  </si>
  <si>
    <t>Arcadio Mérida</t>
  </si>
  <si>
    <t>Operador de montacarga Leandro chajon se para en montacarga para corregir un dato de una tarima de producto ubicada en rack, Por prisa no hizo el procedimiento correcto, Se le aborda. Reporto Kelly Calderón</t>
  </si>
  <si>
    <t>Paulina Ajche practicante ingresó a bodegas de materia sin el uso de casco, Se lel aborda de manera positiva. Reporto kelly Calderón</t>
  </si>
  <si>
    <t>Paulina Ajché</t>
  </si>
  <si>
    <t>Se reporte a byron Velasquez personal tercero soprisa sin usar el cinturón de seguridad,Se aborda de manera positiva. Reporto Kelly Calderón</t>
  </si>
  <si>
    <t>Byron Velasquez</t>
  </si>
  <si>
    <t>Personal de la empresa PRAISA Oscar Lopez caminaba en bodegas de Materia Prima sin autorización del área Se le aborda de manera positiva. Reporto Kelly Calderón</t>
  </si>
  <si>
    <t>Oscar López</t>
  </si>
  <si>
    <t>Alvaro Anibal de soprinsa se abordo escuchando música con auriculares, se le abordó de manera positiva. Reporto Kelly Zulema Calderon</t>
  </si>
  <si>
    <t>Alvaro Anibal</t>
  </si>
  <si>
    <t>Operador de montacarga, Manuel del CD iba caminando en bodega de MP y haciendo una llamada, se le abordo e hizo la observación de detenerse si necesitaba realizar la llamada. Reporto Kelly Calderon</t>
  </si>
  <si>
    <t>Manuel</t>
  </si>
  <si>
    <t>Operador de montacarga Manuel del CD iba caminando en bodega de materia prima y haciendo una llamada, se le hizo la observación de detenerse si necesitaba realizar la llamada. Reporto Kelly Calderon</t>
  </si>
  <si>
    <t>Manuel operador de montacarga</t>
  </si>
  <si>
    <t>Practicante Thelma Gonzales se encontraba en bodega de materia prima sin su casco de protección. Se abordo de manera positiva. Reportó Kelly Calderón</t>
  </si>
  <si>
    <t>Thelma González</t>
  </si>
  <si>
    <t>Personal de Urbanulab estaba trabajando en oficinas de segundo nivel de laboratorio fisicoquimico, sín uso de lentes de protección.
Reporta: Leidy Camey</t>
  </si>
  <si>
    <t>Hector de la Cruz</t>
  </si>
  <si>
    <t>Leidy Camey</t>
  </si>
  <si>
    <t>Se aborda al auxiliar por falta de lentes de protección en sala de llenado.
Reporta: Leidy Camey</t>
  </si>
  <si>
    <t>Edy Vaten</t>
  </si>
  <si>
    <t>Se aborda a personal tercero  por pasar de línea 4 a línea 3. sín hacer uso del paso peatonal.
Reporta Leidy Camey</t>
  </si>
  <si>
    <t>Jesus Morales</t>
  </si>
  <si>
    <t>Personal de termosoluciones estaba en sala de llenado sin utilizar tapones auditivos
Reporta: Leidy Camey</t>
  </si>
  <si>
    <t>Leidy camey</t>
  </si>
  <si>
    <t>Personal iba de prisa, sin tomarse del pasamanos. Se le indica que debe tomarse del pasamanos.
Reporta: Leidy Vanesa Camey</t>
  </si>
  <si>
    <t>Álvaro Álvarez</t>
  </si>
  <si>
    <t>Personal tercero estaba realizando trabajo en llenadora sín uso de tapones auditivos, se le aborda para indicarle que debe usar tapones auditivos.
Reporta: Leidy Vanesa Camey</t>
  </si>
  <si>
    <t>Antonio Ambrocio</t>
  </si>
  <si>
    <t>Personal de mantenimiento de lámparas en L4 se encuentra trabajando en la entrada de llenadora sín uso de tapones auditivos.
Reporta: Leidy Vanesa Camey</t>
  </si>
  <si>
    <t xml:space="preserve">Carlos de León </t>
  </si>
  <si>
    <t>Personal realizando actividades de mantenimiento sín uso de casco.
Reporta: Leidy Camey</t>
  </si>
  <si>
    <t>Milton López</t>
  </si>
  <si>
    <t>Personal tercero estaba realizando actividades en la entrada de lavadora de botellas en línea 2 y se estaba etiquetando producto, había ruido y no tenían colocado tapones auditivos.
Reporta: Leidy Camey</t>
  </si>
  <si>
    <t>Kevin López</t>
  </si>
  <si>
    <t xml:space="preserve">Se aborda al personal proveedor IISA estaba trabajando en el enchaquetado de tuberías de vapor en línea 5 sin utilizar tapones auditivos durante producción.
Reporta: Leidy Vanesa Camey </t>
  </si>
  <si>
    <t>Carlos Calderón</t>
  </si>
  <si>
    <t>Se detiene a Carlos Chavez bajando la rampa de sala de embajadores con audifonos hablando por telefono, se detiene y aborda positivamente reporta Lorenzo Ajanel</t>
  </si>
  <si>
    <t>Se detiene a Carlos Ajpop haciendo tareas de limpieza de techos sin lentes de proteccion se detiene de inmmediato y se aborda positivamente, reporta Lorenzo Ajanel</t>
  </si>
  <si>
    <t>Se detiene a Luis Poma haciendo tareas de limpieza de techos sin lentes de proteccion se detiene de inmmediato y se aborda positivamente, reporta Lorenzo Ajanel</t>
  </si>
  <si>
    <t>Se aborda al piloto Elmer Salazar por no portar casco de seguridad en área de rampa de descarga, atiende la indicación y procede a buscarlo y colocárselo, reporta Luis Angel</t>
  </si>
  <si>
    <t>Elmer Salazar</t>
  </si>
  <si>
    <t>Luis Angel</t>
  </si>
  <si>
    <t>Se reporta a Daniel López de IIISA quien se encontraba realizando traslado de tubería de aprox 5m de largo por MP hacia jarabes, no contaba con banderista que advirtiera su paso por tránsito de montacargas en la zona, se corrige.Reporta Luis Angel</t>
  </si>
  <si>
    <t>Daniel López</t>
  </si>
  <si>
    <t xml:space="preserve">Se aborda a tecnico de Krones Alvaro Molina quien no portaba reflectivo en su uniforme al ingresar a almacén por inspección tecnica a materiales, reisgo de atropellamiento transito de montacargas, reporta Luis Angel </t>
  </si>
  <si>
    <t>Alvaro Molina</t>
  </si>
  <si>
    <t xml:space="preserve">Se aborda al señor Ronaldo López piloto de CO2 quien no utilizaba zapato punta de acero, se abordó y subió a colocárselos de inmediato, reporta Luis Angel </t>
  </si>
  <si>
    <t>Ronaldo Lopez</t>
  </si>
  <si>
    <t>Se aborda al señor Pedro Escobar jefe de nabla, quien ingreso al almacén de MP sin autorización y al ser abordado se muestra molesto, pero regresa a oficina a inscribirse y recibe acompañamiento, reporta Luis Angel</t>
  </si>
  <si>
    <t>Pedro Escobar</t>
  </si>
  <si>
    <t>Se aborda al operador Cruz Hernández de montacargas No.29 en CD por falta de uso de cinturón de seguridad, se corrige en el momento. Reporto Luis Angel</t>
  </si>
  <si>
    <t>Cruz Hernández</t>
  </si>
  <si>
    <t>Se aborda a Juan Carlos con uso de montacargas sin luces en rampas de MP, procede a encenderlas , reporta Luis Angel</t>
  </si>
  <si>
    <t xml:space="preserve">Se aborda a Mynor López del proveedor Caldic en la entrega de soda cáustica ya que al iniciar la descarga no contaba con tapones auditivos menciona que, si tiene dentro de la unidad procediendo a colocárselos. Reporta Luis Ángel </t>
  </si>
  <si>
    <t>Mynor Lopez</t>
  </si>
  <si>
    <t>Luis Ángel</t>
  </si>
  <si>
    <t>Se aborda positivamente a José García de Infymsa quien se dirigía por bodega 4 de CD caminando del lado opuesto al paso peatonal en frente a bodega de preforma de L4, se exponía a atropello por tránsito de montacargas. Reporta Luis Angel</t>
  </si>
  <si>
    <t>José García</t>
  </si>
  <si>
    <t>En inspección de pipas de CO2 se aborda a Mario Canija del proveedor SIDASA por no portar casco de protección, se aborda positivamente y se proporciona uno de planta, reporta Luis Angel</t>
  </si>
  <si>
    <t>Mario Canija</t>
  </si>
  <si>
    <t>Se aborda a Amilcar Ralda por manipulación de envase sin guantes anticorte en sala de llenado L2, reporta Luis Angel</t>
  </si>
  <si>
    <t>Se aborda al señor Angel García en área de construcción de obra gris quien caminaba en dicha área utilizando el teléfono, reporta Luis Angel</t>
  </si>
  <si>
    <t>Angel Garcia</t>
  </si>
  <si>
    <t>Se reporta a Julio Mazariegos de Pro Electric por uso de herramienta manual sin guantes en área de descarte de L5, reporta Luis Angel</t>
  </si>
  <si>
    <t>Julio mazariegos</t>
  </si>
  <si>
    <t>Se reporta a Mario proveedor de trabajos en Calderas 28/02 por transportar escalera sin ayuda en salida de calderas, riesgo de golpear infraestructura y a el mismo por no solicitar ayuda con puerta al salir del área. Reporta Luis Angel</t>
  </si>
  <si>
    <t>Mario</t>
  </si>
  <si>
    <t>Luis Barrios</t>
  </si>
  <si>
    <t>Se reporta a Jeyner C aux de L3 por caminar en sala de llenado L3 utilizando el teléfono, se corrige la acción de forma inmediata y responde de forma muy cortés. Reporta Luis Angel</t>
  </si>
  <si>
    <t>Jeyner C</t>
  </si>
  <si>
    <t xml:space="preserve">Se encuentra puerta abierta de mezzanine L3. Por reiteración de la condición se toma como acto inseguro y se les aborda para evitar está acción ya que cualquier persona puede subir al área. </t>
  </si>
  <si>
    <t>Richar Soto</t>
  </si>
  <si>
    <t>Luis Cabrera</t>
  </si>
  <si>
    <t>Se encuentra caminando mientras utiliza su teléfono.</t>
  </si>
  <si>
    <t>Se encuentra realizando ajuste en sopladora sin su epp</t>
  </si>
  <si>
    <t xml:space="preserve">Se encuentra a Don Otto manipulando envase en la entrada de la lavadora sin el uso de guantes, se le aborda de inmediato de forma positiva para evitar algún accidente y se corrige. </t>
  </si>
  <si>
    <t>Otto Ruiz</t>
  </si>
  <si>
    <t xml:space="preserve">Se aborda positivamente por no utilizar el pasamanos </t>
  </si>
  <si>
    <t>Se encuentra a Felix dentro de sala de llenado sin utilizar su protección auditiva.</t>
  </si>
  <si>
    <t>Se encuentra a Fredy dentro de sala de llenado sin utilizar su protección auditiva. Se aborda positivamente y se corrige.</t>
  </si>
  <si>
    <t>Fredy Ajché</t>
  </si>
  <si>
    <t>Se aborda a Luis Tzarax por no utilizar su protección auditiva en línea, se corrige de inmediato</t>
  </si>
  <si>
    <t>Se aborda a Byron Chay por no utilizar su protección auditiva en línea, se corrige de inmediato.</t>
  </si>
  <si>
    <t>Se aborda a Mario Ramos por utilizar su teléfono mientras caminaba en el peatonal frente a equipos auxiliares de L3.</t>
  </si>
  <si>
    <t xml:space="preserve">Se aborda a Byron por utilizar un chaleco sin cinta reflectiva, portaba una camisa tipo polo por lo cual su chaleco cubría completamente la cinta. </t>
  </si>
  <si>
    <t>Byron Mejía</t>
  </si>
  <si>
    <t>Se aborda positivamente a Marcos por no utilizar su protección auditiva durante producción en L4</t>
  </si>
  <si>
    <t>Se aborda positivamente a Feliciano por no utilizar su protección auditiva durante producción en L4</t>
  </si>
  <si>
    <t>Feliciano Ajanel</t>
  </si>
  <si>
    <t>Se aborda a Mario Ramos por correr en el pasillo de cafetería hacia baños generales</t>
  </si>
  <si>
    <t xml:space="preserve">Se aborda positivamente a Byron por no utilizar su protección auditiva en la linea de producción y se corrige de inmediato </t>
  </si>
  <si>
    <t>Se aborda positivamente a Freddy por no utilizar su protección auditiva dentro de linea de producción y se corrige de inmediato.</t>
  </si>
  <si>
    <t>Freddy Ajche</t>
  </si>
  <si>
    <t>Se aborda positivamente a José Pablo por no utilizar su protección auditiva dentro de linea de producción y se corrige de inmediato.</t>
  </si>
  <si>
    <t>Jose Reyes</t>
  </si>
  <si>
    <t>Se aborda positivamente a Mario Ramos por no utilizar su equipo de protección auditiva dentro de la línea de producción.</t>
  </si>
  <si>
    <t>Se reporta a Wagner porque su cinta reflectiva de la camisa se encuentra deficiente y se aborda positivamente</t>
  </si>
  <si>
    <t>Se aborda a Mario por no utilizar su pasarnos y se le explican los riesgos a los que está expuesto</t>
  </si>
  <si>
    <t>Se detiene a Josue ya que estaba próximo a movilizarse sin su casco y se corrige de inmediato</t>
  </si>
  <si>
    <t>Josue Vasquez</t>
  </si>
  <si>
    <t xml:space="preserve"> Se reporta a Jeyner C aux de L3 por caminar en sala de llenado L3 utilizando el teléfono, se corrige la acción de forma inmediata y responde de forma muy cortés. Reporto Luis Ángel</t>
  </si>
  <si>
    <t>Se detiene a Jeiner por uso de escalera si una persona que de soporte en la base.</t>
  </si>
  <si>
    <t>El día de ayer se abordó a gilberto de iissa que estaba transitando en alerón del CD sin usar los pasos peatonales. Reporto Luis Pérez</t>
  </si>
  <si>
    <t>Gilberto Castro</t>
  </si>
  <si>
    <t>Luis Pérez</t>
  </si>
  <si>
    <t>Donny García (tratamiento de aguas) operando Montacargas en área del cd sin casco se le indica que gorra casco no está permitido utilizar en cd y procede con el cambio. Reporto Luis Pérez</t>
  </si>
  <si>
    <t>Donny García</t>
  </si>
  <si>
    <t>Donny García (tratamiento de aguas) operando Montacargas en área del cd sin estar autorizado para esa actividad. Reporto Luis Pérez</t>
  </si>
  <si>
    <t>Se abordo a Eliseo Vásquez de transportes Girón andaba sin casco esperando documentos, se abordó positivamente. Reporto Luis Pérez</t>
  </si>
  <si>
    <t>Eliseo Vásquez</t>
  </si>
  <si>
    <t>Dimas Aguilar de transporte Wil paso topando la tubería de agua qué conecta a los baños del cd se procede a cerrar la llave de paso. Reporto Luis pérez</t>
  </si>
  <si>
    <t>Dimas Aguilar</t>
  </si>
  <si>
    <t>viernes se abordó a Alex Osorio, dejo olvidada sus llaves en montacargas se atravesó todo el patio del cd corriendo, se le abordo. Reporto Luis Pérez</t>
  </si>
  <si>
    <t>Se abordo piloto Edwin Varilla de transporte medina estaban en proceso de carga y estaba sentado en el bordillo de parte baja, se tiene un punto establecido. Reporto Luis Pérez</t>
  </si>
  <si>
    <t>Edwin Barilla</t>
  </si>
  <si>
    <t>Edwin Velásquez operador de montacargas hablando por celular mientras conduce, se le detuvo y se corrige. Reporto Luis Pérez</t>
  </si>
  <si>
    <t>Edwin Velásquez</t>
  </si>
  <si>
    <t>Efren fajardo de transporte abscom sentado en la grada de bodega 8 cerca del pit de carga lo cual es un riesgo de atropello, Se paso el reporte a trafico. Reporto Luis Pérez</t>
  </si>
  <si>
    <t>Efren Fajardo</t>
  </si>
  <si>
    <t xml:space="preserve"> Se encuentra a Álex guatzin manipulando envase sin utilizar guantes anticorte. Reporto Gustavo Hernández</t>
  </si>
  <si>
    <t>Se abordo el día sábado 3 de mayo al operador de Montacargas pedro tumacaj por transportar 20 tarimas sueltas frente a bodega 5 cuando el límite es de 10 tarimas. Reporto Luis Pérez</t>
  </si>
  <si>
    <t xml:space="preserve">Se abordo al piloto Aldo arias de transporte abscom sin utilizar casco de producción en rampas de agencia </t>
  </si>
  <si>
    <t xml:space="preserve">Aldo Aris </t>
  </si>
  <si>
    <t>Se aborda positivamente al piloto Walter Alvarado de transporte Efagma sin utilizar zapatos punta de acero solicitando documentos de carga en oficinas del cd, se corrige. Reporto Luis Pérez</t>
  </si>
  <si>
    <t>Walter Alvarado</t>
  </si>
  <si>
    <t xml:space="preserve">Se abordo a mario mendes de LYM dirigiéndose a línea 2 sin usar el paso peatonal y sin previo aviso para el ingreso a bodegas de cdc 
Indicó que estaba trabajando con mario ramos </t>
  </si>
  <si>
    <t>Mario mendez</t>
  </si>
  <si>
    <t xml:space="preserve">Se abordo a rony alemán de proyectos de línea 5 pasando por bodega 4 sin casco de seguridad  , tenía gorra casco pero la tenía bajo el brazo  , considerar que en bodegas del cdc es obligatorio usar casco 👷‍♂️ </t>
  </si>
  <si>
    <t xml:space="preserve">Rony alemán </t>
  </si>
  <si>
    <t>Marvin ortiz de transportes girón documentos en cd sin zapatos industriales, se los coloco. Reporto Luis Pérez</t>
  </si>
  <si>
    <t>Marvin Ortiz</t>
  </si>
  <si>
    <t>Se aborda a Alex Osorio por transportar 20 tarimas  en el montacargas cuando el limite permitido es 10. Reporto Luis Perez</t>
  </si>
  <si>
    <t xml:space="preserve">Se abordo al piloto William Pineda de transporte CLC por dejar encendida la unidad frente a repuestos y dirigirse por documentos de carga a las oficinas del cdc </t>
  </si>
  <si>
    <t>William Pineda</t>
  </si>
  <si>
    <t>Se abordo a William Pineda de trasportres CLC por deja la unidad encendida y bajarse por papeles al CD,se corrigio. Reporto Luis Perez</t>
  </si>
  <si>
    <t xml:space="preserve">Se abordo positivamente al op de Montacargas pedro tumacaj por trasladar tarimas sueltas de 20 de altura atras de baños cdc, limite 10 tarima </t>
  </si>
  <si>
    <t>Pedro tumacaj</t>
  </si>
  <si>
    <t xml:space="preserve"> encuentra a Josue Klinsman de airesistemas trabajando en el CD y no tenia el accesorio para hacer el bloqueo por lo cual quita los tornillos y hace el bloqueo con la caja expuesta, se abordo y corrigio Reporto Luis Pérez</t>
  </si>
  <si>
    <t>Se encuentra a Aaron Ovando trabajando en el CD y no tenia el accesorio para hacer el bloqueo por lo cual quita los tornillos y hace el bloqueo con la caja expuesta, se abordo y corrigio Reporto Luis Pérez</t>
  </si>
  <si>
    <t xml:space="preserve">Se abordo a Luis Jimenez por dejar encendida su unidad rastras frente a repuestos y proceder por documentos de carga a oficinas del cdc </t>
  </si>
  <si>
    <t>Luis Jimenez</t>
  </si>
  <si>
    <t>Se reporta a Luis Tzarax por ingresar a la linea con chumpa tapando su reflectivo. Reporto Luis Pérez</t>
  </si>
  <si>
    <t xml:space="preserve">Se aborda al auditor de calidad Nelson Godínez ya que ingreso a bodegas del cdc sin utilizar los pasos peatonales pasando por el pit de cargas (Alerón) los cual es un riesgo de atropello </t>
  </si>
  <si>
    <t>Se abordo al piloto Arnulfo Lorenzana de trasporte Aspa ya que dejo la unidad frente a repuestos encendida para dirigirse por documentos a oficinas del cdc</t>
  </si>
  <si>
    <t xml:space="preserve">Arnulfo Lorenzana </t>
  </si>
  <si>
    <t xml:space="preserve">Se abordo positivamente al piloto Mynor Guzmán de transporte giron por no utilizar zapatos punta de acero </t>
  </si>
  <si>
    <t>Mynor Guzman</t>
  </si>
  <si>
    <t>Se aborda y corrige a Marco Reyes piloto de Transportes Will por no portar chaleco y casco al bajarse de su unidad en el cd. Reporto Luis Pérez</t>
  </si>
  <si>
    <t>Marco Reyes</t>
  </si>
  <si>
    <t>Se aborda a yeferson Garcia de CLC sin calzado industrial se corrige. Reporto Luis Perez</t>
  </si>
  <si>
    <t>Yeferson Garcia</t>
  </si>
  <si>
    <t xml:space="preserve">Se abordo positivamente al piloto Gerónimo cal por usar auriculares al momento de firmar los documentos de cargas </t>
  </si>
  <si>
    <t>Gerónimo Cal</t>
  </si>
  <si>
    <t>Estaba en proceso de destaponar 1.25 lts y no contaban con lentes de protección José Ramos,  de soprinsa se aborda y se corrige. Reporto Luis Pérez</t>
  </si>
  <si>
    <t>José Ramos</t>
  </si>
  <si>
    <t>Estaba en proceso de destaponar 1.25 lts y no contaban con lentes de protección Jairo Rojas,  de soprinsa se aborda y se corrige. Reporto Luis Pérez</t>
  </si>
  <si>
    <t>Jairo Rojas</t>
  </si>
  <si>
    <t>Estaba en proceso de destaponar 1.25 lts y no contaban con lentes de protección Angel López,  de soprinsa se aborda y se corrige. Reporto Luis Pérez</t>
  </si>
  <si>
    <t>Angel López</t>
  </si>
  <si>
    <t>Estaba en proceso de destaponar 1.25 lts y no contaban con lentes de protección Luis Chang,  de soprinsa se aborda y se corrige. Reporto Luis Pérez</t>
  </si>
  <si>
    <t>Luis Chang</t>
  </si>
  <si>
    <t xml:space="preserve">Se abordo al op de montacargas ya que no contaba con el cinturón de seguridad del montacargas en movimiento </t>
  </si>
  <si>
    <t>Alex osorio</t>
  </si>
  <si>
    <t>Se abordo al op hugo arauz ya que estaba hablando por teléfono con el Montacargas en movimiento en pit de cargas</t>
  </si>
  <si>
    <t>Se aborda positivamente al colaborador Rudy orellana ya que no contaba con camisa con reflectivo en área de bulevar en descarte de pruebas de línea 5 (botellas con agua)</t>
  </si>
  <si>
    <t>Rudy Orellana</t>
  </si>
  <si>
    <t>Se aborda Edgar rodas de soprinsa que está en descarte de las pruebas de línea 5 por bulevar cd a esta persona se le corrigió ya que estaba utilizando botas de hule sin punta acero. Reporto Luis Pérez</t>
  </si>
  <si>
    <t>Edgar Rodas</t>
  </si>
  <si>
    <t xml:space="preserve">Se aborda positivamente a Kevin moreno ya que no contaba con lentes de protección en apoyo de encajillado en área de alerón cdc </t>
  </si>
  <si>
    <t>Kevin Moreno</t>
  </si>
  <si>
    <t xml:space="preserve">Se aborda positivamente a Evarardo Maldonado auxiliar de soprinsa ya que no portaba puesto su casco de seguridad en cambio de una lampara en oficina del cdc </t>
  </si>
  <si>
    <t xml:space="preserve">Se abordo a Edwin Pérez por no utilizar lentes de protección en la clasificación de envase de rechazo de línea </t>
  </si>
  <si>
    <t>Edwin Perez</t>
  </si>
  <si>
    <t xml:space="preserve">Se aborda al colaborador Oscar García por no usar lentes de protección ocular en la clasificación del envase rechazo de línea </t>
  </si>
  <si>
    <t xml:space="preserve">Se Aborda al colaborador Elio Xicara ya que no portaba casco de seguridad en área de lavado manual del cdc considerando que esta área es de uso obligatorio el caso y no gorra casco </t>
  </si>
  <si>
    <t>Se abordo al piloto Julio rosal de trans giro ya que no contaba con zapatos punta de acero en pit de carga cdc</t>
  </si>
  <si>
    <t>JULIO ROSAL</t>
  </si>
  <si>
    <t xml:space="preserve">Se encontraban en el área de L4 durante producción sin orejeras y lentes de protección </t>
  </si>
  <si>
    <t>Jorge Peña</t>
  </si>
  <si>
    <t>Maria Obregon</t>
  </si>
  <si>
    <t>Se encontraban operando la paletizadora sin orejeras</t>
  </si>
  <si>
    <t>Montacarguista no respeta el camino del montacargas, se mete entre espacio designado para almacenamiento de tarimas. Al hacer esto tuve que pausar mi paso por riesgo de atropellamiento</t>
  </si>
  <si>
    <t xml:space="preserve">Montacarguista no. 21 </t>
  </si>
  <si>
    <t>Se encontraban dentro del área de calderas sin usar tapones auditivo</t>
  </si>
  <si>
    <t>Marco Tulio</t>
  </si>
  <si>
    <t>La persona se encuentra manipulando químicos sin usar guantes de protección.</t>
  </si>
  <si>
    <t xml:space="preserve">El joven se encontró manipulando químicos sin guantes </t>
  </si>
  <si>
    <t>Christopher de soprinsa</t>
  </si>
  <si>
    <t>El montacarguista anda manejando si casco entre las bodegas de preforma</t>
  </si>
  <si>
    <t>Se encontró caminando a Franz en el pasillo enfrente de L4 sin casco. Se le aborda y e indica que no sabia que hay que usarlo en los pasillos del exterior</t>
  </si>
  <si>
    <t>Frans de KHS</t>
  </si>
  <si>
    <t>No se agarro del pasamanos qué esta a un costado de Tratamiento de Agua, solo logré hacerle señas de que lo usará pero no se detuvo cuando quise abordarlo. Se metió al baño de hombres, posiblemente para no darme su nombre</t>
  </si>
  <si>
    <t>Personal de iisa</t>
  </si>
  <si>
    <t>Se encontraban en el camino de L5 hacia MP sin casco</t>
  </si>
  <si>
    <t>Ingresa a planta sin calzado industrial.</t>
  </si>
  <si>
    <t>Renato Patzan</t>
  </si>
  <si>
    <t>Maria obregon</t>
  </si>
  <si>
    <t>Se presenta a planta sin zapatos industriales, en el link de visitas dice que deben de traer zapatos industriales. En este caso se pudo pedir punteras en el lobby</t>
  </si>
  <si>
    <t xml:space="preserve">Karla Santos </t>
  </si>
  <si>
    <t>Se encontraban con audífonos durante manipulación de la maquina</t>
  </si>
  <si>
    <t>No utilizaba su equipo auditivo durante producción de L5 mientras se encontraban realizando mediciones</t>
  </si>
  <si>
    <t>Carlos Sol</t>
  </si>
  <si>
    <t xml:space="preserve">Se encontró cercano al cooler sin protección auditiva durante operación de la línea </t>
  </si>
  <si>
    <t>Felix Illescas</t>
  </si>
  <si>
    <t>Se encontraba caminando por toda la línea sin usar casco</t>
  </si>
  <si>
    <t>Luis de KHS</t>
  </si>
  <si>
    <t>Se indica a Don Erick Pérez que se atara las correas de sus botas para evitar cualquier tropiezo</t>
  </si>
  <si>
    <t>Erick Perez</t>
  </si>
  <si>
    <t>Se aborda positivamente a Marvin Suts por no utilizar lentes de protección realizando actividades de pintura en l2. Reporto Mario Ramos</t>
  </si>
  <si>
    <t>Marvin Suts</t>
  </si>
  <si>
    <t>Se aborda positivamente a Lizandro Sánchez por no utilizar lentes de protección realizando actividades de pintura en l2. Reporto Mario Ramos</t>
  </si>
  <si>
    <t>El compañero Ever Caál estaba utilizando la puerta de salida de l1 como ingreso a la línea, se le abordo positivamente. Reporto Mario Ramos</t>
  </si>
  <si>
    <t>Marco Mejía no tenía usando sus protectores auditivos en día de producción de L2 día Jueves 3/7, Se corrige la acción colaborador usa sus protectores. Reporto Mario Ramos</t>
  </si>
  <si>
    <t>Marco Mejia</t>
  </si>
  <si>
    <t xml:space="preserve">Néstor levanta envase de mesa de rechazo de etiquetadora sin uso de guantes , se corrige acción con colaborador </t>
  </si>
  <si>
    <t xml:space="preserve">Néstor Aníbal López </t>
  </si>
  <si>
    <t xml:space="preserve">No usaba lentes de protección ,mientras colaborador estaba barrenando piso para anclar barandal, fue corregido </t>
  </si>
  <si>
    <t xml:space="preserve">Mario Ramos </t>
  </si>
  <si>
    <t xml:space="preserve">Se corrige acto , utilizando mi equipo de protección en el area </t>
  </si>
  <si>
    <t>Jorge Ramos</t>
  </si>
  <si>
    <t>Axel guatzin área de desentarimado sin protección auditiva, se corrige de inmediato. Reporto Mario Ramos</t>
  </si>
  <si>
    <t xml:space="preserve"> Jancy obregon Camisa de fuera corre peligro atrapamiento en l1. Reporto Mario Ramos</t>
  </si>
  <si>
    <t>Alex osorio, operador de montacargas cometio el acto inseguro de llevar una columna de 20 tarimas de pits de cargas para la bodega 5, Cuando solo esta permitido llevar una estiva de 10 tarimas. Reporto Marlon Pérez</t>
  </si>
  <si>
    <t>Marlon Pérez</t>
  </si>
  <si>
    <t>Jaime Chex ingresa al área de bodega de jarabes sin autorización de nadie de procesos, se le hizo ver e hizo caso omiso indicando que él es analista. Reportó Marvin López</t>
  </si>
  <si>
    <t xml:space="preserve">Marvin López </t>
  </si>
  <si>
    <t>Oscar Mazariegos, transporte Girón, deja la unidad encendida cuando fue por sus papeles de carga. Reporto Mesías Santay</t>
  </si>
  <si>
    <t>Oscar Mazariegos</t>
  </si>
  <si>
    <t>Mesias Santay</t>
  </si>
  <si>
    <t>Se aborda a Fredy Fuentes sin casco en almacén MP. Reporto Miguel Godinez</t>
  </si>
  <si>
    <t>Miguel Godinez</t>
  </si>
  <si>
    <t xml:space="preserve">Se abordo de forma Positiva a Guillermo Ochoa de security no pasar por paso peatonal en materia prima. Reporto Miguel Godinez </t>
  </si>
  <si>
    <t>Se aborda de manera positiva a Byron Castañeda por ingresar con producto sin chumpa al cuarto frío, se corrige. Reporto Miguel Godínez</t>
  </si>
  <si>
    <t>Se abordo a Mynor Hernández por conducir Yale 178 sin cinturón. Reporto Miguel Godínez</t>
  </si>
  <si>
    <t>Se abordo a Ottoniel Andrea llenador de Línea 3 sin casco por el área del mixer, se corrige. Reporto Miguel Godínez</t>
  </si>
  <si>
    <t xml:space="preserve">Se observo a Edgar Primero sin casco en el pasillo frente a Jarabes e ingresando a MP se aborda de forma positiva </t>
  </si>
  <si>
    <t xml:space="preserve">Edgar Primero </t>
  </si>
  <si>
    <t xml:space="preserve">Se observa a Alvaro Sión sin casco dentro del almacén de Materia Prima, se abordo de forma positiva </t>
  </si>
  <si>
    <t xml:space="preserve">Alvaro Sión </t>
  </si>
  <si>
    <t>Se abordó en línea 1 a Amilcar Chojolan sin tapones auditivos, de inmediato se le aborda para que se coloque su de protección auditiva, reporta Nelson Godinez</t>
  </si>
  <si>
    <t>Amilcar Chojolan</t>
  </si>
  <si>
    <t>Nelson Godinez</t>
  </si>
  <si>
    <t xml:space="preserve">Se detuvo a William Galindo, coordinador de inocuidad por no llevar equipo de protección auditiva en sala de llenado en línea 4, se le hizo saber qué está area se debe de contar con EPP completo por su seguridad </t>
  </si>
  <si>
    <t xml:space="preserve">William Galindo </t>
  </si>
  <si>
    <t>Se aborda a Gustavo Hernández por el paso peatonal de línea 3, él se encontraba sin equipo de protección auditiva, se le hace ver la importancia de usar el equipo de protección personal dentro de las líneas de producción. Reportó Nelson Godinez</t>
  </si>
  <si>
    <t>Se abordo a Fernando Castro por prisa este no llevaba casco en pasamanos enfrente de línea 1, Reporta: Nelson Godinez</t>
  </si>
  <si>
    <t>Fernando Castro</t>
  </si>
  <si>
    <t>Se abordo a Luis Ventura de Construcciones Joel, quien se encuentra realizando trabajos en etiquetadora de Línea 4, sin contar con tapones auditivos, se le hizo concientización de la importancia de utilizar el correcto uso del EPP.</t>
  </si>
  <si>
    <t>Luis Ventura</t>
  </si>
  <si>
    <t>Se abordó positivamente a Alvaro García de ventilación S.A. haciendo trabajos dentro de la línea de producción, pero no contaba con tapones auditivos, por lo cual se le hace saber de la importancia del uso de ello. reporta: Nelson Godinez</t>
  </si>
  <si>
    <t xml:space="preserve">Alvaro García. </t>
  </si>
  <si>
    <t>Se abordo a Juan Ramírez de Servimontajes. Se encontraba realizando trabajos en altura; en tuberías por dónde está el pasamanos enfrente de línea 1. No contaba con casco de protección.</t>
  </si>
  <si>
    <t>Se abordo a Eliú Tello por no utilizar adecuadamente las orejeras, él se encontraba dentro del área de llenadora y sopladora de L5. Reportó: Nelson Godinez</t>
  </si>
  <si>
    <t>Se abordo positivamente a Elder Balcacel de Infimsa, haciendo trabajos de pintura, dentro de línea 5, él no contaba con equipo de protección auditiva. Reporto Nelson Godinez</t>
  </si>
  <si>
    <t xml:space="preserve">Elder Balcacel </t>
  </si>
  <si>
    <t>El piloto Franklin Girón de transportes Logist se le abordo sin casco y sin chaleco reflectivo en rampas del CD, se corrigio. Reporto Luis Pérez</t>
  </si>
  <si>
    <t>Framklin Girón</t>
  </si>
  <si>
    <t xml:space="preserve">Se abordó dentro de sala de llenado L5 al señor Ronald Contreras, se encontraba realizando trabajos de soldadura, tenía sus tapones pero no los estaba utilizando, se le hizo ver la importancia de utilizarlos. Att: Nelson Godinez </t>
  </si>
  <si>
    <t>Ronald Contreras IISA</t>
  </si>
  <si>
    <t>Se abordó positivamente a Eliu Tello dentro de línea 5, el no utiliza orejeras dentro de salas de llenado y sus alrededores. Se le hizo ver la importancia del uso adecuado de EPP.</t>
  </si>
  <si>
    <t xml:space="preserve">Se observa a Franz soplador del equipo de KHS, él se encontraba realizando pruebas de soplado, abre la puerta de la misma y el equipo en funcionamiento. Reporta: Nelson Godinez </t>
  </si>
  <si>
    <t xml:space="preserve">Timor de KHS, no utiliza tapones y siempre se le ve con audífonos en sala de llenado L5.   Nelson Godínez </t>
  </si>
  <si>
    <t xml:space="preserve">Se aborda positivamente a Luis Tzarax, y se le hace conciencia del uso adecuado del equipo de protección personal, específicamente, tapones u orejeras, dentro de sala de llenado de L4. </t>
  </si>
  <si>
    <t xml:space="preserve">Se aborda positivamente a Manuel Escobar, él se encontraba realizando tareas de limpieza, hablando por teléfono, se le hizo conciencia de no caminar mientras hace sus tareas, exponerse a un riesgo de caída o atrapamiento  </t>
  </si>
  <si>
    <t>Se abordó positivamente al compañero Edson López, el se encontraba hablando por teléfono cruzando por el paso peatonal de parqueo externo Se le hizo ver que primero es su seguridad. Reporto Nelson Godinez</t>
  </si>
  <si>
    <t xml:space="preserve">Edson López </t>
  </si>
  <si>
    <t xml:space="preserve">Se observa a dos personas de la empresa CEICA, estas se encontraban trabajando en panel electrónico de sopladora línea 3, no cuentan con tapones auditivos ni lentes.
</t>
  </si>
  <si>
    <t>Personal de CEICA</t>
  </si>
  <si>
    <t xml:space="preserve">Se abordó positivamente a Fernando de compañía IISA, venía de L4 hacia L3 por bodegas de preformas, se le hizo conciencia de utilizar los pasos peatonales </t>
  </si>
  <si>
    <t xml:space="preserve">Fernando </t>
  </si>
  <si>
    <t>Se abordó positivamente a César de la empresa Krones, él no utiliza los pasos peatonales hacia línea dos; ingresa en las rutas de paso de los montacargas, se le indica que por su seguridad debe caminar sobre los pasos peatonales establecidos.</t>
  </si>
  <si>
    <t>Cesar</t>
  </si>
  <si>
    <t>Se abordó positivamente a Hugo de la compañía A-enext energy, él no se toma del pasamanos enfrente de lockers. Reportó: Nelson Godinez</t>
  </si>
  <si>
    <t>Hugo</t>
  </si>
  <si>
    <t>Se solicita a Byron Mejía colocarse sus orejeras en en cuarto de bombas. Reporto Nery Rivera</t>
  </si>
  <si>
    <t>Nery Rivea</t>
  </si>
  <si>
    <t>Se aborda a Gustavo Hernández en oficina de jarabes por ingresar al área sin botas industriales y haciendo uso de reloj, se le indica e hizo caso omiso. Reporto Nery Rivera</t>
  </si>
  <si>
    <t>El coordinador Mario Ramos, no portaba casco de motocicleta al entrar al parqueo de motos, se le aborda y hace caso omiso. Reporto Nery Ramos</t>
  </si>
  <si>
    <t>Sergio Lucas de la empresa Nasca subía gradas frente oficina jarabes sin tomarse del pasamanos, se le aborda y se corrige. Reporto Nery Rivera</t>
  </si>
  <si>
    <t>Sergio Lucas</t>
  </si>
  <si>
    <t>Julio Morales de la empresa Praisa subía gradas frente oficina jarabes sin tomarse del pasamanos, se le aborda y se corrige. Reporto Nery Rivera</t>
  </si>
  <si>
    <t>Julio Morales</t>
  </si>
  <si>
    <t>Se aborda a Luis De Leon quien bajaba de plataforma de tanques verticales sin hacer uso del pasamanos. Reporto Nery Rivera</t>
  </si>
  <si>
    <t>Luis de León</t>
  </si>
  <si>
    <t>Se le solicitó a Marvin López usar su respirador durante el proceso de carga de azúcar, se corrige. Reporto Nery Rivera</t>
  </si>
  <si>
    <t>Marvin López</t>
  </si>
  <si>
    <t>Se reporta a Fredy Tarax quien ingreso al tratamiento de agua con su reloj puesto, se corrigio. Reporto Nery Rivera</t>
  </si>
  <si>
    <t>Fredy Tarax</t>
  </si>
  <si>
    <t>Se solicito a Sandra Paredes por caminar mientras hace uso de su teléfono celular, se corrige. Reporto Nery Rivera</t>
  </si>
  <si>
    <t>Sandra Paredes</t>
  </si>
  <si>
    <t>Se solicitó a Angel Paz auxiliar soprinsa de procesos usar lentes para realizar tareas de pintura. Reporto Nery Rivera</t>
  </si>
  <si>
    <t>Se solicita a Daniel Chojolan de la empresa Urbanolab por ingresar al área de reactores sin hacer uso de su protección auditiva mientras el generador está encendido. Reportó Nery Rivera</t>
  </si>
  <si>
    <t xml:space="preserve">Daniel Chojolan </t>
  </si>
  <si>
    <t>Daniel Chojolan</t>
  </si>
  <si>
    <t>Se reporta a José Carlos técnico krones por uso de gorra sin protección. Se le aborda e indica del correcto uso del  EPP. Reporto Obdulio Cap</t>
  </si>
  <si>
    <t>José Carlos</t>
  </si>
  <si>
    <t>Obdulio Cap</t>
  </si>
  <si>
    <t xml:space="preserve">se reporta a Helmot de León técnico de krones por andar sin casco de protección por los pasillos de la planta. se aborda a técnico y se le recodo. Reporto Obdulio Cap </t>
  </si>
  <si>
    <t>Helmont de León</t>
  </si>
  <si>
    <t>Se reporta a tecnico de krones Erick Luna pasando de linea 3 a linea 4 por bodega de preforma se aborda e indica el acceso autorizado a linea 4. Reporto Obdulio Cap</t>
  </si>
  <si>
    <t>Se aborda a Antonio Ambrosio de la empresa termosoluciones por uso indebido de su equipo de seguridad, Estaba sobre la secunda sección de andamio con su arnés de seguridad mas no estaba anclado. Reporto Obdulio Cap</t>
  </si>
  <si>
    <t>Antonio Ambrosio</t>
  </si>
  <si>
    <t>Se reporta a Wagner Estrada Tecnico especialistas de linea 4 pasando por bodega de preforma como atajo para salir, se le aborda y se le indica sobre los pasos peatonales señalados para ingreso y salida. Reporto Obdulio Cap</t>
  </si>
  <si>
    <t xml:space="preserve">Se aborda a Javier Ixcot, por cruzar entre linea 3 y bodega de Preforma, para dirigirse a Linea 4. Reporta Alfonso Guatzin </t>
  </si>
  <si>
    <t>Se aborda a Fernando Artiga por no contar con lentes de seguridad mientras lavaba con enforce la cabina de llenado de L4, se corrigió acto en el momento. Reportó Obdulio Cap</t>
  </si>
  <si>
    <t>Durante mantenimiento se encuentra a Pedro Tolcha sopletiando los filtros del secador sin lentes y mascarilla, se corrige. Reporto Obdulio Saquic</t>
  </si>
  <si>
    <t>Obdulio Saquic</t>
  </si>
  <si>
    <t>Se encuentra a Néstor López realizando limpieza en drenajes con químicos sin lentes de protección, se corrige. Reporto Obdulio Saquic</t>
  </si>
  <si>
    <t>Se encontro al compañero Ariel Cua pasando entre linea 3 y 4 usando la bodega de preforma</t>
  </si>
  <si>
    <t>Ariel Cua</t>
  </si>
  <si>
    <t>Se encuentra a Edy Baten atravesando la bodega de preforma entre linea 3 y 4, se aborda y se corrige acto inseguro</t>
  </si>
  <si>
    <t>Se encontro a Javier Ixcot auxiliar de linea 4 sin protectores auditivos y con auriculares, se abordo y se corrio el acto.</t>
  </si>
  <si>
    <t>Se encontro al señor Edwin Palacios sin casco de protección trabajando en sala de llenado de linea 4, en la instalcion de los magnetos de puertas de acceso Se abordo e indico al señor sobre el buen uso del EPP</t>
  </si>
  <si>
    <t xml:space="preserve">Edwin palacios </t>
  </si>
  <si>
    <t>Se aborda a Gabino Martinez  se encontraba inspeccionando producto terminado en linea 1 sin mangas de proteccion procedieron a colocarse el equipo. Reporto Oscar Cua</t>
  </si>
  <si>
    <t>Gabino Martinez</t>
  </si>
  <si>
    <t>Oscar Ramirez</t>
  </si>
  <si>
    <t>Se aborda a Rony Lopez ambos se encontraba inspeccionando producto terminado en linea 1 sin mangas de proteccion procedió a colocarse el equipo. Reporto Oscar Cua</t>
  </si>
  <si>
    <t>Rony Lopez</t>
  </si>
  <si>
    <t>Joel Perez Auxiliar de Linea, se encontro en Linea de produccion sin proteccion auditiva, se le retroalimenta la importancia de la proteccion. Reporto Oscar Cua</t>
  </si>
  <si>
    <t>Joel Perez</t>
  </si>
  <si>
    <t>Milton Lopez Auxiliar de Limpieza de soprinsa, se encontro en Linea de produccion sin proteccion auditiva, se le retroalimenta la importancia de la proteccion. Reporto Oscar cua</t>
  </si>
  <si>
    <t>Milton Lopez</t>
  </si>
  <si>
    <t>Marcos Aguilar se encontraba sentado cerca de tarimas del CD en un área la cual no es para descansar por riesgo de caída de tarimas se le abordo y procedio a cambiarse de lugar para poder descansar. Reporto Oscar cua</t>
  </si>
  <si>
    <t>Marcos Aguilar</t>
  </si>
  <si>
    <t>Josue pastor se encontraba sentado cerca de tarimas del CD en un área la cual no es para descansar por riesgo de caída de tarimas se le abordo y procedio a cambiarse de lugar para poder descansar. Reporto Oscar cua</t>
  </si>
  <si>
    <t>Josue Pastor</t>
  </si>
  <si>
    <t>Mario Raguex realizaba tareas de pintado sin lentes de proteccion, a lo cual la pintura tiene Thinner y puede salpicarle en los ojos y provocarle quemaduras, se abordo y se corrigio. Reporto Oscar Cua</t>
  </si>
  <si>
    <t>Mario Raguex</t>
  </si>
  <si>
    <t>Nelson Mejia realizaba tareas de pintado sin lentes de proteccion, a lo cual la pintura tiene Thinner y puede salpicarle en los ojos y provocarle quemaduras, se abordo y se corrigio. Reporto Oscar Cua</t>
  </si>
  <si>
    <t>Nelson Mejia</t>
  </si>
  <si>
    <t>Se encuentra a Marcos Hernandez pintando en L1 sin lentes de proteccion, se aborda y procede a ponerse los lentes. Reporto Oscar Ramirez</t>
  </si>
  <si>
    <t>Marcos Hernandez</t>
  </si>
  <si>
    <t>Se encuentra a Victor Chajon pintando en L1 sin lentes de proteccion, se aborda y procede a ponerse los lentes. Reporto Oscar Ramirez</t>
  </si>
  <si>
    <t>Victor Chajon</t>
  </si>
  <si>
    <t xml:space="preserve">Se abordo a jancy obregón sin protección auditiva en producción linea 2 se le indica que se colocarse protección y procede a colocarsela. Reporto Oscar Ramírez </t>
  </si>
  <si>
    <t xml:space="preserve"> Se aborda a Gilmar Mazariegos por el uso de pantalón no adecuado (tipo nylon) en líneas de producción. Reporto Oscar Ramirez</t>
  </si>
  <si>
    <t xml:space="preserve"> Efraín García peletizador se encontraban sin protección auditiva en L3 se abordó positivamente. Reporto Oscar Ramirez</t>
  </si>
  <si>
    <t>Jonny godinez ambos paletizadores se encontraban sin proteccion auditiva en L3 se abordo positivamente. Reporto Oscar Ramirez</t>
  </si>
  <si>
    <t>Se aborda a abel aguilar por portar la camisa afuera del pantalon, procedio a colocarse bien la camisa, se corrige. Reporto Oscar Ramírez</t>
  </si>
  <si>
    <t xml:space="preserve">Se detiene a selvin santay por no tener proteccion auditiva en linea 2 cuando se encontraba en produccion, el compañero se compromete a que no volver a pasar. Reporto Oscar Ramírez </t>
  </si>
  <si>
    <t>Se detiene a esau segura y luis asip por querer entrar a linea 1 por la puerta de salida, se les explica porque es que no deben hacerlo y se comprometen a no volverlo hacer. Reporto Oscar Ramirez</t>
  </si>
  <si>
    <t>Luis Asip</t>
  </si>
  <si>
    <t>Se aborda a Abel aguilar operador de etiquetadora, portaba la camisa fuera del pantalon cuando la linea estaba en produccion, el compañero procede a corregir. Reporto Oscar Cuá</t>
  </si>
  <si>
    <t>Se detiene a Juan Jose de la cruz cuando estaba limpiando la canaleta de entarimado linea 2 estaba metiendo la mano sacando residuos sin guantes anticorte (se acumula basura, madera y vidrio). Reporto Oscar Cuá</t>
  </si>
  <si>
    <t>Juan Jose de la Cruz</t>
  </si>
  <si>
    <t xml:space="preserve"> Josue Pastor ingresó a linea 1 por la puerta de salida se le aborda e indica los riesgos que puede ocacionar al ingresar por la puerta de salida. Reporto Oscar Ramirez</t>
  </si>
  <si>
    <t>Se aborda a Marcos aguilar por no utilizar correctamente las mangas anticorte en el area de entarimado las tenia a la mitad entre la mano y el codo, el señor muy amablemente procedio a colocarselas de forma correcta. Reporto Oscar Ramirez</t>
  </si>
  <si>
    <t>Se aborda a Esau Segura operador de lavadora de botellas por estar operando sin proteccion auditiva el compañero procedio a colocarse su equipo. Reporte para linea 2. Reporto Oscar Ramirez</t>
  </si>
  <si>
    <t>Se encuentra a Esau Segura sin proteccion auditiva en lavadora de botellas, se corrige. Reporto Oscar Ramirez</t>
  </si>
  <si>
    <t>Se reporta a edy baten de soprinsa por estar lavando el transporte sin lentes de proteccion pudiendole salpicar agua con quimico o particulas de vidrio,se corrige. Reporto Oscar Ramirez</t>
  </si>
  <si>
    <t xml:space="preserve">Se aborda a yoni Godinez linea 3 por no utilizar proteccion auditiva en linea en produccion, se corrige. Reporto Oscar Ramírez </t>
  </si>
  <si>
    <t>Yoni Godinez</t>
  </si>
  <si>
    <t>Se detiene a teddy valenzuela por no portar proteccion auditiva en linea 4, se corrige. Reporto Oscar Ramírez</t>
  </si>
  <si>
    <t xml:space="preserve">Teddy Valenzuela </t>
  </si>
  <si>
    <t xml:space="preserve">Juan Hernández de calidad no respeta delimitación y se pasan por área de trabajo frente de calderas de proveedor Vaportec que realizaba mantenimiento a calderas se les aborda con apoyo de Josué Vásquez. Reporto Oscar Ramírez </t>
  </si>
  <si>
    <t>Juan Hernández</t>
  </si>
  <si>
    <t xml:space="preserve">Fredy fuentes de repuestos no respeta delimitación y se pasan por área de trabajo frente de calderas de proveedor Vaportec que realizaba mantenimiento a calderas se les aborda con apoyo de Josué Vásquez. Reporto Oscar Ramírez </t>
  </si>
  <si>
    <t xml:space="preserve"> Se detiene a Zury Barrera de RC Quimica se encontraban en linea 1 realizando visita tecnica de quimico Zuri sin lentes de sobreponer  hicieron la correccion de epp en el momento. Reporto Oscar Ramirez</t>
  </si>
  <si>
    <t xml:space="preserve">Zury Barrera </t>
  </si>
  <si>
    <t xml:space="preserve"> Se detiene a Shari coto  de RC Quimica se encontraban en linea 1 realizando visita tecnica de quimicoShari se encontra con lentes oscuros se hizo la correccion de epp en el momento. Reporto Oscar Ramirez</t>
  </si>
  <si>
    <t>Shari Coto</t>
  </si>
  <si>
    <t>Se aborda a josue pastor auxiliar de linea 1 se encontraban en linea 1 sentados descansando pero no tenian puesto la gorra casco ambos procedieron a corregir. Reporto Oscar Ramirez</t>
  </si>
  <si>
    <t>Se aborda a Tomas Rosel auxiliar de linea 1 se encontraban en linea 1 sentados descansando pero no tenian puesto la gorra casco ambos procedieron a corregir. Reporto Oscar Ramirez</t>
  </si>
  <si>
    <t>Tomas Rosel</t>
  </si>
  <si>
    <t>Se aborda a milton Lopez de soprinsa por estar tomando envases de vidrio con producto terminado sin guantes de proteccion, el compañero procedio a colocarse los guantes. Reporto Oscar Ramirez</t>
  </si>
  <si>
    <t>Miltón Lopez</t>
  </si>
  <si>
    <t>Se detiene a jose cajas por estar destaponando producto sin uso de guantes anticorte se detiene tareas hasta colocarse guantes. Reporto Oscar Ramirez</t>
  </si>
  <si>
    <t>Jose Cajas</t>
  </si>
  <si>
    <t>Se detiene a Josue Pastor por estar destaponando producto sin uso de guantes anticorte se detiene tareas hasta colocarse guantes. Reporto Oscar Ramirez</t>
  </si>
  <si>
    <t>Se detiene a juan de la Cruz por estar destaponando producto sin uso de guantes anticorte se detiene tareas hasta colocarse guantes. Reporto Oscar Ramirez</t>
  </si>
  <si>
    <t>Juan de la Cruz</t>
  </si>
  <si>
    <t>Se detiene a Tomas Osorio por estar destaponando producto sin uso de guantes anticorte se detiene tareas hasta colocarse guantes. Reporto Oscar Ramirez</t>
  </si>
  <si>
    <t>Tomas Osorio</t>
  </si>
  <si>
    <t>se detiene a Julian Marin practicante de inocuidad a cargo de Analucia sanchez el compañero se encontraba cambiando agua de batea sin uso de guantes adecuados para manejo de quimicos. Reporto Oscar Ramirez</t>
  </si>
  <si>
    <t>Julian Marin</t>
  </si>
  <si>
    <t>Se detiene a Javier Ixcot el compañero salio con chumpa sin reflectivo desde linea de produccion hasta garita, se aborda. Reporto Oscar Ramirez</t>
  </si>
  <si>
    <t>Se aborda a Eusebio Cal por no tener guantes amticorte en lampara en lampara de inspeccion el compañero procede a colocarse el equipo. Reporto Oscar Ramirez</t>
  </si>
  <si>
    <t>Se aborda a josue pastor se encontraban trabajando fuera de linea 1, el generador estaba funcionando y ellos no contaban con proteccion auditiva, se corrige. Reporto Oscar Ramirez</t>
  </si>
  <si>
    <t>Se aborda a José López se encontraban trabajando fuera de linea 1, el generador estaba funcionando y ellos no contaban con proteccion auditiva, se corrige. Reporto Oscar Ramirez</t>
  </si>
  <si>
    <t>José López</t>
  </si>
  <si>
    <t>Se detiene y a Pedro Tolcha tecnico especialista de linea 4 por no utilizar proteccion auditiva al pasar por linea 3, los compañeros proceden a colocarse el equipo. Reporto Oscar Ramirez</t>
  </si>
  <si>
    <t>Se detiene a Gervacio Ajpop auxiliar de linea 4 por no utilizar proteccion auditiva al pasar por linea 3, los compañeros proceden a colocarse el equipo. Reporto Oscar Ramirez</t>
  </si>
  <si>
    <t>Gervacio Ajcop</t>
  </si>
  <si>
    <t xml:space="preserve">Se aborda a ernesto Ixcal realizando tareas de limpieza en transportes sin el uso de lentes de proteccion con riesgo de que les salpicara algo en los ojos ambos compañeros proceden a colocarse los lentes. Reporto Oscar Ramirez </t>
  </si>
  <si>
    <t>Hernesto Ixcal</t>
  </si>
  <si>
    <t>Se aborda a selvin santay realizando tareas de limpieza en transportes sin el uso de lentes de proteccion con riesgo de que les salpicara algo en los ojos ambos compañeros proceden a colocarse los lentes. Reporto Oscar Ramirez</t>
  </si>
  <si>
    <t xml:space="preserve"> Se aborda a Eusebio Cal por no utilizar las mangas anticorte correctamente se procede a corregir el uso. Reporto Oscar Ramirez</t>
  </si>
  <si>
    <t>Eusebio Cal</t>
  </si>
  <si>
    <t xml:space="preserve"> Se aborda a Josue Pastor por no utilizar las mangas anticorte correctamente se procede a corregir el uso. Reporto Oscar Ramirez</t>
  </si>
  <si>
    <t>Se aborda a mario Candey y enrique ixchop en arrancando produccion de linea 2 el 12-11-2025 sin proteccion auditiva se les hace conciencia sobre las consecuencias del no usar proteccion auditiva, se lo colocan. Reporto Oscar Ramirez</t>
  </si>
  <si>
    <t>Mario Candey</t>
  </si>
  <si>
    <t>Se aborda a axel Guatzin por portar la camisa fuera del pantalon en linea 1 en produccion el compañero procedio a corregir. Reporto Oscar Ramirez</t>
  </si>
  <si>
    <t>Se aborda a mario Candey y enrique ixchop en arrancando produccion de linea 2 el 12-11-2025 sin proteccion auditiva se les hace conciencia sobre las consecuencias del no usar proteccion auditiva, se corrige. Reporto Oscar Ramirez</t>
  </si>
  <si>
    <t>Enrique Ixchop</t>
  </si>
  <si>
    <t>Se detiene a  Josué Pastor el compañero ingresa a linea de produccion sin lentes la linea estaba en cambio de sabor pero habia envase aun en el transporte, se corrige. Reporto Oscar Ramirez</t>
  </si>
  <si>
    <t xml:space="preserve"> Se aborda a byron ramos por estar restregando estructura del cooler con la escoba y no contar con lentes de proteccion, se corrige. Reporto Oscar Ramirez</t>
  </si>
  <si>
    <t>Byrón Ramos</t>
  </si>
  <si>
    <t>Se detiene a  lizandro Sanchez el compañero ingresa a linea de produccion sin lentes la linea estaba en cambio de sabor pero habia envase aun en el transporte, se corrige. Reporto Oscar Ramirez</t>
  </si>
  <si>
    <t>Lizandro Sanchez</t>
  </si>
  <si>
    <t>Se aborda a Alejandro Garcia de Airesistemas se encontraban lavando un aire acondicionado con agua a presion y tenia mucha suciedad y ninguno contaba con lentes de proteccion procedieron a colocarse los lentes. Reporto Oscar Ramirez</t>
  </si>
  <si>
    <t>Alejandro Garcia</t>
  </si>
  <si>
    <t>Se aborda a Klisman Citan de Airesistemas se encontraban lavando un aire acondicionado con agua a presion y tenia mucha suciedad y ninguno contaba con lentes de proteccion procedieron a colocarse los lentes. Reporto Oscar Ramirez</t>
  </si>
  <si>
    <t>Klisman Citan</t>
  </si>
  <si>
    <t xml:space="preserve"> Se aborda a Mario Candey  por no tener proteccion auditiva en linea 2 en produccion los compañeros proceden a colocarse la proteccion auditiva. Reporto Oscar Ramirez</t>
  </si>
  <si>
    <t xml:space="preserve">Mario Candey </t>
  </si>
  <si>
    <t xml:space="preserve"> Se aborda a Byron Ramos  por no tener proteccion auditiva en linea 2 en produccion los compañeros proceden a colocarse la proteccion auditiva. Reporto Oscar Ramirez</t>
  </si>
  <si>
    <t>Se abordo positivamente a Rony López pintando áreas de entarimado sin utilizar lentes de l1. Reporto Oscar Ramírez</t>
  </si>
  <si>
    <t xml:space="preserve">Rony López </t>
  </si>
  <si>
    <t>Oscar Ramírez</t>
  </si>
  <si>
    <t>Se abordo positivamente a Axel Guatzin pintando áreas de entarimado sin utilizar lentes de l1. Reporto Oscar Ramírez</t>
  </si>
  <si>
    <t xml:space="preserve">Axel Guatzin </t>
  </si>
  <si>
    <t>Se aborda positivamente a los técnicos de san Martín Jorge Russo levantando envase vacío en el transporte después de la salida de lavadora, procedieron a utilizar equipo de protección.</t>
  </si>
  <si>
    <t>Jorge Russo</t>
  </si>
  <si>
    <t>Se aborda positivamente a los técnicos de san Martín Juan Pablo levantando envase vacío en el transporte después de la salida de lavadora, procedieron a utilizar equipo de protección en l2. Reporto Oscar Ramírez</t>
  </si>
  <si>
    <t>Juan Pablo</t>
  </si>
  <si>
    <t>Se aborda positivamente a Mario Ramos por no utilizar su protección auditiva en la salida de lavadora, procedieron a utilizar equipo de protección en l2. Reporto Oscar Ramírez</t>
  </si>
  <si>
    <t>Se le indica a Daniel Pineda que se coloque los lentes en línea de producción l2. Reporto Oscar Ramírez</t>
  </si>
  <si>
    <t xml:space="preserve">Se detiene a Walfred Guzman por entrar a linea 1 sin proteccion a auditiva el compañero al indicarle que se debia poner el equipo muy amablemente procedio a colocar el equipo. Reporto Oscar Ramírez </t>
  </si>
  <si>
    <t xml:space="preserve"> Se aborda a joel perez auxiliar de linea 1 por estar en inspeccion de envase sucio y no contaba con guante anticorte se le indica la importancia del uso de guantes. Reporto Oscar Ramírez</t>
  </si>
  <si>
    <t>Joel Pérez</t>
  </si>
  <si>
    <t xml:space="preserve"> se aborda a wilmer chanchavac el no contaba con protección auditiva y se le explica que el daño auditivo es algo irreversible por lo cual es de suma importancia utilizar las orejeras en l1. Reporto Oscar Ramírez </t>
  </si>
  <si>
    <t>Wilber Chanchavac</t>
  </si>
  <si>
    <t xml:space="preserve">El compañero se encontraba en la línea de producción sin su protección auditiva. Reportó Oscar Ramírez </t>
  </si>
  <si>
    <t xml:space="preserve">Joel Pérez </t>
  </si>
  <si>
    <t xml:space="preserve">El compañero estaba en la línea de producción sin la protección auditiva. Reportó Oscar Ramírez </t>
  </si>
  <si>
    <t xml:space="preserve">Jacinto Orellana </t>
  </si>
  <si>
    <t xml:space="preserve">No contaba con mangas anticorte en inspección de producto. Reportó Oscar Ramírez </t>
  </si>
  <si>
    <t xml:space="preserve">José Citan </t>
  </si>
  <si>
    <t>Se aborda al compañero Tony Cáceres por no tener puesta su protección auditiva. Reportó Oscar Ramírez</t>
  </si>
  <si>
    <t>Se aborda Juan Socop técnico especialista de línea 4por no tener puesta la protección auditiva ambos compañeros procedieron a colocársela.</t>
  </si>
  <si>
    <t xml:space="preserve">Juan Socop </t>
  </si>
  <si>
    <t xml:space="preserve"> Se reporta a Julian Xiloj por mantener panel eléctrico abierto de etiquetadora. Reportó Oscar Ramírez</t>
  </si>
  <si>
    <t>Julian Xiloj</t>
  </si>
  <si>
    <t>Fredy Ajche por mantener panel eléctrico abierto de elevador de tapón. Reportó Oscar Ramírez</t>
  </si>
  <si>
    <t>Fredy Ajche</t>
  </si>
  <si>
    <t>Se aborda a Dany Cite auxiliar de línea 1 por utilizar chumpa sin reflectivo para ingresar a líneas de producción indica haberse olvidado de quitársela después de ingresar a planta. Reportó Oscar Ramírez</t>
  </si>
  <si>
    <t>Dany Cite</t>
  </si>
  <si>
    <t>Se aborda a Gilberto López operador de línea 1 por utilizar chumpa sin reflectivo para ingresar a líneas de producción indica haberse olvidado de quitársela después de ingresar a planta. Reportó Oscar Ramírez</t>
  </si>
  <si>
    <t>Gilberto López</t>
  </si>
  <si>
    <t>Se aborda a Alex García operador de línea 1 por no tener las correas amarradas se le indica que le puede provocar una caída o que se pueda doblar el tobillo procede a amarrarse las correas. Reportó Oscar Ramírez</t>
  </si>
  <si>
    <t>Alex García</t>
  </si>
  <si>
    <t>Se aborda a Alberto Sarán auxiliar de línea 1 por no tener las correas amarradas se le indica que le puede provocar una caída o que se pueda doblar el tobillo procede a amarrarse las correas. Reporto Oscar Ramírez</t>
  </si>
  <si>
    <t xml:space="preserve">Alberto Saran </t>
  </si>
  <si>
    <t>Se aborda a Jhony Ordoñez por usar chumpa sin reflectivo al entrar a líneas de producción. Reportó Oscar Rampirez</t>
  </si>
  <si>
    <t>Jhony Ordoñez</t>
  </si>
  <si>
    <t>Se aborda a Rodolfo Domínguez por no utilizar protección auditiva en línea de producción, el compañero indica que le lastima mucho los tapones que tiene y consulta si le pudieran cambiar a orejeras. Reportó Oscar Ramírez</t>
  </si>
  <si>
    <t>Adolfo Domínguez</t>
  </si>
  <si>
    <t>Se aborda positivamente a Josué Chün del equipo de Pollux realizaba tareas de reaprite de bornes electricos en grúa de azúcar sala nueva sin hacer uso de guantes. Reporto Oscar Ramos</t>
  </si>
  <si>
    <t>José Chún</t>
  </si>
  <si>
    <t>Oscar Ramos</t>
  </si>
  <si>
    <t>Luis Mendoza del equipo de Pollux realizaba tareas de reaprite de bornes eléctricos en grúa de azúcar sala nueva sin hacer uso de guantes, se aborda y se corrige en el momento. Reporto Oscar Ramos</t>
  </si>
  <si>
    <t>Luis Mendoza</t>
  </si>
  <si>
    <t>Se aborda a Franklin Daza de Osmosistemas por no hacer uso del pasamanos frente a laboratorio de tratamiento de aguas, se corrige y se continúa con la visita. Reporto Oscar Ramos</t>
  </si>
  <si>
    <t>Franklin Daza</t>
  </si>
  <si>
    <t>Se aborda a Cynthia Juárez de Osmosistemas por no hacer uso del pasamanos en rampa frente laboratorio de tratamiento de aguas, se corrige y se continúa con la visita. Reporto Oscar Ramos</t>
  </si>
  <si>
    <t>Cynthia Juárez</t>
  </si>
  <si>
    <t>Adam Vásquez se encontraba realizando lavado de pisos sin señalización de piso mojado, se le solicita señalizar el área y se corrige. Reporto Oscar Rámos</t>
  </si>
  <si>
    <t>Edwin Santos se encontraba realizando lavado de pisos sin señalización de piso mojado, se le solicita señalizar el área se corrige. Reporto Oscar Ramos</t>
  </si>
  <si>
    <t>Byron Pérez de la empresa Constructora L&amp;M caminaba mientras hablaba por teléfono en sala nueva de jarabes, se le aborda y se corrige. Reporto Oscar Ramos</t>
  </si>
  <si>
    <t>Byron Mejía se encontraba llenando titulador sin hacer uso de guantes, se le aborda para hacer uso de los mismos, y se corrige. Reporto Oscar Ramos</t>
  </si>
  <si>
    <t xml:space="preserve">Byron Mejía </t>
  </si>
  <si>
    <t>Luis Fajardo de Recinco, ingresa a ETA haciendo uso de su teléfono, se le solicita detenerse para continuar con la llamada y se corrige en el momento. Reporto Oscar Ramos</t>
  </si>
  <si>
    <t>Luis Fajardo</t>
  </si>
  <si>
    <t>Rudy Soto de SEI, ingresa hace ingreso al área haciendo uso de reloj, se le solicita retirarlo por seguridad y se continúa con la visita. Reporto Oscar Ramos</t>
  </si>
  <si>
    <t>Rudy Soto</t>
  </si>
  <si>
    <t>David Barrios de Talleres Barth para delimitación colocada durante entrega de químicos con montacargas en ETA, se le pidió esperar finalizar la operación antes de poder pasar. Reporto Byron Mejía</t>
  </si>
  <si>
    <t>David Barrios</t>
  </si>
  <si>
    <t>Edwin Santos auxiliar de procesos hacía uso de pulidora sin guarda, se le solicitó colocarla y luego continuar con la tarea. Reporto Oscar Ramos</t>
  </si>
  <si>
    <t>Marvin López, auxiliar de sala de jarabes realiza limpieza en sala de jarabes sin hacer uso de lentes, se aborda y se corrige. Reporto Oscar Ramos</t>
  </si>
  <si>
    <t>Gustavo de la cruz recoge Derrame de lechada de cal sobre gradas de reactor 1 en ETA, sin guantes se aborda. Reporto Oscar Ramos</t>
  </si>
  <si>
    <t>Cesar Velasquez sobrecarga bandeja de contención en bodega de químicos, se le aborda para colocar cantidad indicada y se corrige. Reporto Oscar Ramos</t>
  </si>
  <si>
    <t>Edwin Santos realizaba corte en tuberia si hacer uso de guantes, se le pide ponérselos para continuar. Reporto Oscar Ramos</t>
  </si>
  <si>
    <t>Edwin Díaz realizaba corte en tuberia si hacer uso de guantes, se le pide ponérselos para continuar. Reporto Oscar Ramos</t>
  </si>
  <si>
    <t>Erick Caballeros de la empresa Ecoseal hace uso de su teléfono mientras camina en sala de jarabes, se le aborda y se corrige. Reporto Oscar Ramos</t>
  </si>
  <si>
    <t>Erick Ceballos</t>
  </si>
  <si>
    <t>Se aborda a Axel Guatzin con el uso de mangas incorrectamente (abajo del codo) Reporto Oscar Ramos</t>
  </si>
  <si>
    <t>Se aborda a Marcos Aguilar con el uso de mangas incorrectamente (abajo del codo) Reporto Oscar Ramos</t>
  </si>
  <si>
    <t xml:space="preserve">Juan Pirir de Grupo HBE hace uso de teléfono mientras caminaba durante una visita técnica, se le solicita detenerse para continuar con la llamada. Reporto Oscar Ramos
</t>
  </si>
  <si>
    <t>Juan Pirir</t>
  </si>
  <si>
    <t>Se solicita a Lewis Valdez de Crane In, quien realizaba visita en área de jarabes revisaba su celular mientras caminaba en la sala, se solicita detenerse para continuar. Reporto Oscar Ramos</t>
  </si>
  <si>
    <t>Lewis Valdez</t>
  </si>
  <si>
    <t>Marco Boc del equipo de Bacsa se disponía a realizar corte de forro de cable con navaja sin tener sus guantes puestos, se le solicita colocarlos antes de continuar con la tarea. Reporto Oscar Ramos</t>
  </si>
  <si>
    <t>Marcos Boc</t>
  </si>
  <si>
    <t>Se aborda a Jorge Borrayo, de Servicios García ingresaron a nave osmosis sin hacer uso de sus lentes protectores, se corrige para continuar. Reporto Oscar Ramos</t>
  </si>
  <si>
    <t>Jorge Borrayo</t>
  </si>
  <si>
    <t>Joaquín Hernández del equipo Evotecnos realizaba levantamiento de datos en Mastermixx sin hacer uso de casco, se le solicita colocarlo para continuar con el levantamiento. Reporto Oscar Ramos</t>
  </si>
  <si>
    <t>Joaquín Hernández</t>
  </si>
  <si>
    <t>Javier Monzon del equipo Evotecnos realizaba levantamiento de datos en Mastermixx sin hacer uso de casco, se le solicita colocarlo para continuar con el levantamiento. Reporto Oscar Ramos</t>
  </si>
  <si>
    <t>Javier Monzón</t>
  </si>
  <si>
    <t>Se aborda a Daniel Coronado de la empresa de Servicios García, se encuentra en nave osmosis sin hacer uso de sus lentes protectores, se corrige para continuar con la visita. Reporto Oscar Ramos</t>
  </si>
  <si>
    <t>Daniel Coronado</t>
  </si>
  <si>
    <t>Se le solicita a Adam Vasquez colocarse el respirador durante el proceso de carga de azúcar, se corrige y continúa con la operación. Reporto Oscar Ramos</t>
  </si>
  <si>
    <t>Se solicita a Gustavo de la Cruz colocar guarda de pulidora inalámbrica que iba a ser usada en el corte de una abrazadera, se corrige y se realiza la tarea en tratamiento de aguas. Reporto Oscar Ramos</t>
  </si>
  <si>
    <t>Gustavo de la cruz</t>
  </si>
  <si>
    <t xml:space="preserve"> Se detiene a Alejandra Reyes de Praisa, quien realizaba visita acompañada en sala de jarabes, y respondió llamada telefónica mientras caminaba, se solicitó detenerse para finalizar la llamada y poder continuar con la visita. Reporto Oscar Ramos</t>
  </si>
  <si>
    <t>Alejandra Reyes</t>
  </si>
  <si>
    <t>Se solicita a Mishel Rivas de intek quitarse pulsera de metal durante visita en nave osmosis, se corrige y se continúa con la visita. Reporto Oscar Ramos</t>
  </si>
  <si>
    <t>Mishel Rivas</t>
  </si>
  <si>
    <t>Se detiene a Isabel Gonzáles del equipo de INTEK quien atendió su teléfono mientras caminaba en el paso peatonal, se le solicita detenerse para continuar la visita. Reporto Oscar Ramos</t>
  </si>
  <si>
    <t>Isabel Gonzáles</t>
  </si>
  <si>
    <t>Se aborda a Dony García por estar dentro del área de tratamiento de aguas sin usar protección auditiva. Reporto Oscar Ramos</t>
  </si>
  <si>
    <t>Se aborda a Edinson Díaz, por no usar la mascarilla correctamente en sala de jarabes Nueva. Reporto Oscar Ramos</t>
  </si>
  <si>
    <t>Se aborda a Mayarí Ayala dirigiéndose a ETA haciendo uso de celular mientras caminaba. Reporto Oscar Ramos</t>
  </si>
  <si>
    <t xml:space="preserve">Mayari Ayala </t>
  </si>
  <si>
    <t>Se aborda a Alexander Orantes, ya que ingresa a sala de jarabes haciendo uso de una cadena a lo cual se le hace saber que debe retirársela, procede a quitársela y continua con la visita. Reporto Oscar Ramos</t>
  </si>
  <si>
    <t>Alexander Orantes</t>
  </si>
  <si>
    <t>Marvin Sagastume de Nils Pira ingresa a sala de jarabes haciendo uso de su teléfono, se le solicita dejarlo y se continua la visita. Reporto Oscar Ramos</t>
  </si>
  <si>
    <t>Marvin Sagastume</t>
  </si>
  <si>
    <t>Misrrain Santos de Proindesa realizaba levantamiento de bombas sin hacer uso de casco, se le indica que en áreas productivas debe hacer uso de él. Reporto Oscar Ramos</t>
  </si>
  <si>
    <t>Misrain Santos</t>
  </si>
  <si>
    <t xml:space="preserve">Se aborda a Anthoni Marroquin por realizar tareas de pintura sin hace uso de sus lentes de protección. Reporto Oscar Ramos </t>
  </si>
  <si>
    <t>Anthoni Marroquin</t>
  </si>
  <si>
    <t>Se aborda a Nilson Salam para hacer uso de su protección auditiva en tratamiento de aguas mientras la planta eléctrica se encuentra encendida, se corrigió en el momento. Reporto Oscar Ramos</t>
  </si>
  <si>
    <t>Se aborda a Edwin Santos, para colocarse protección auditiva para realizar cortes con pulidora durante trabajos de reparación de filtro, se corrige. Reporto Oscar Ramos</t>
  </si>
  <si>
    <t>Susan Asip</t>
  </si>
  <si>
    <t xml:space="preserve">Susan Asip </t>
  </si>
  <si>
    <t>Se aborda a Edinson Díaz por tener la camisa afuera se corrige en el momento. Reporto Oscar Ramos</t>
  </si>
  <si>
    <t>Se aborda a Josué Mateo de alkemy, por hacer uso de su teléfono mientras caminaba en nave osmosis, se corrije en el momento. Reporto Oscar Ramos</t>
  </si>
  <si>
    <t>Josué Mateo</t>
  </si>
  <si>
    <t>Se solicita a Marvin Osorio de Grupo Inprocsa retirar su reloj al ingresar a sala de jarabes, se corrige para continuar con la visita al área. Reporto Oscar Ramos</t>
  </si>
  <si>
    <t>Marvin Osorio</t>
  </si>
  <si>
    <t>Se aborda a José López de Grupo Inprocsa ya que caminaba mientras hacía uso de su teléfono celular, se corrige en el momento. Reporto Oscar Ramos</t>
  </si>
  <si>
    <t>Se detuvo a Edwin Santos quien se disponía hacer uso de una pulidora sin guarda, se colocó y se continuó con la tarea asignada. Reporto Oscar Ramos</t>
  </si>
  <si>
    <t>Se aborda a Byron Mejía por hacer uso de un destornillador en mal estado, se solicita cambiar la herramienta para continuar. Reporto Oscar Ramos</t>
  </si>
  <si>
    <t>Se aborda a Jennifer Castro de HBE por usar rampa sin hacer uso del pasamanos, se corrige para continuar con la visita. Reporto Oscar Ramos</t>
  </si>
  <si>
    <t>Jennifer Castro</t>
  </si>
  <si>
    <t>Se detiene a Nery Monzón de grupo HBE, por hacer uso de su teléfono celular mientras caminaba durante visita en tratamiento de aguas, se corrige para continuar con la visita. Reporto Oscar Ramos</t>
  </si>
  <si>
    <t>Nery Monzón</t>
  </si>
  <si>
    <t xml:space="preserve"> Se aborda a Felipe López de Alkemy, quien realizaba mantenimiento rutinario a suavizadores si hacer uso de lentes de protección, se corrige para continuar con la tarea asignada. Reporto Oscar Ramos</t>
  </si>
  <si>
    <t>Felipe López</t>
  </si>
  <si>
    <t>Se aborda a Henry Gomez para hacer uso de orejeras en área de reactores mientras el generador está encendido, se corrige y se continúa con la visita. Reporto Oscar Ramos</t>
  </si>
  <si>
    <t>Henry Gomez</t>
  </si>
  <si>
    <t>Se aborda a José Sagastume de grupo CENSA por no tomarse del pasamanos en rampa frente laboratorio de tratamiento de aguas. Reporto Eduardo Ramos</t>
  </si>
  <si>
    <t>José Sagastume</t>
  </si>
  <si>
    <t>Se aborda a Alejandra Castro de grupo CENSA por no tomarse del pasamanos en rampa frente laboratorio de tratamiento de aguas. Reporto Eduardo Ramos</t>
  </si>
  <si>
    <t>Alejandra Castro</t>
  </si>
  <si>
    <t>Se solicita a David Galindo del equipo de Mainco no hacer uso de su teléfono al caminar y detenerse si debe usarlo dentro de la sala de formulación de Gatorade. Reportó Oscar Ramos</t>
  </si>
  <si>
    <t>David Galindo</t>
  </si>
  <si>
    <t>Se aborda a Román González de la empresa Apintar en área de cisternas por hacer uso de su teléfono y caminar fuera el paso dentro del área de cisternas, se corrige y se continúa con la visita. Reportó Oscar Ramos</t>
  </si>
  <si>
    <t>Roman González</t>
  </si>
  <si>
    <t>Se aborda a Cristian Cawex de Solupisos en sala de jarabes 1 por hacer uso de audífonos al ingresar. Reportó Oscar Ramos</t>
  </si>
  <si>
    <t>Cristian Cawex</t>
  </si>
  <si>
    <t xml:space="preserve"> Se solicita a David Galindo del equipo de Mainco no hacer uso de su teléfono al caminar y detenerse si debe usarlo dentro de la sala de formulación de Gatorade. Reportó Oscar Ramos</t>
  </si>
  <si>
    <t>Se aborda a Román González de la empresa Apintar en área de cisternas por hacer uso de su teléfono y caminar fuera del paso dentro del área de cisternas, se corrige y se continúa con la visita. Reportó Oscar Ramos</t>
  </si>
  <si>
    <t>Román González</t>
  </si>
  <si>
    <t>Se abordo al piloto Irvin Martínez de la empresa Farma levantando envases que se le cayeron bloqueando paso peatonal con la unidad encendida cerca de rampas de carga. Reporto Otto Gonzáles</t>
  </si>
  <si>
    <t xml:space="preserve">Irvin Martínez </t>
  </si>
  <si>
    <t>Otto Gonzales</t>
  </si>
  <si>
    <t>Se abordó a: Adolfo Agustín por realizar trabajos manuales sin portar guantes de mecánico, Se les indicó solicitarlos de no tener. Reporto Pablo Donis</t>
  </si>
  <si>
    <t xml:space="preserve">Adolfo Agustín </t>
  </si>
  <si>
    <t>Se abordó a: Abimael Alonso por realizar trabajos manuales sin portar guantes de mecánico, Se les indicó solicitarlos de no tener. Reporto Pablo Donis</t>
  </si>
  <si>
    <t>Se abordó a: Francisco Mas por realizar trabajos manuales sin portar guantes de mecánico, Se les indicó solicitarlos de no tener. Reporto Pablo Donis</t>
  </si>
  <si>
    <t>Carlos Morán, auxiliar de MP, se encontraba parado frente al ingreso de compresores de aire sin portar protección auditiva, se le abordó e indicó que no le han brindado epp. Reporto Pablo Donis</t>
  </si>
  <si>
    <t>Melfi Ortiz de Comsoft retiraba herramientas del área de equipos auxiliares con los protectores auditivos mal colocados, se le explicó que el área los expone a 100db. Corrige de inmediato. Reporto Pablo Donis</t>
  </si>
  <si>
    <t>Melfi Ordoñez</t>
  </si>
  <si>
    <t xml:space="preserve">Usaba el teléfono mientras caminaba en equipos auxiliares. Se le invitó a detenerse y se retroalimentó. </t>
  </si>
  <si>
    <t xml:space="preserve">José de Paz </t>
  </si>
  <si>
    <t xml:space="preserve">Se le abordó e hizo conciencia acerca del uso de casco en la zona de carga de azúcar. </t>
  </si>
  <si>
    <t>Se aborda a Marco Tulio Hernández por no portar lentes en área de compresores de aire, lo corrige de inmediato. Reporto Pablo Donis</t>
  </si>
  <si>
    <t>Osmin Ortega de gentrac desmontando una estructura de izaje sin guantes. Se le indica y procede a colcoarselos. Reporto Pablo Donis</t>
  </si>
  <si>
    <t>Osmin Ortega</t>
  </si>
  <si>
    <t>Felix gamarro sin usar el pasamanos cuando se dirigía a la subestación. Reporto Pablo Donis</t>
  </si>
  <si>
    <t>Felix Gamarro</t>
  </si>
  <si>
    <t>Se abordó a Jhony Diaz de Seigua por realizar trabajos sin guantes de protección. Lo corrige de inmediato.</t>
  </si>
  <si>
    <t xml:space="preserve">Jhony Diaz </t>
  </si>
  <si>
    <t>Caminaba hacia línea tres con el teléfono en la mano a Gilmar mazariegos</t>
  </si>
  <si>
    <t xml:space="preserve">Se le aborda a Mario Edilzer por uso de audífonos mientras caminaba por los pasillos. 
 </t>
  </si>
  <si>
    <t xml:space="preserve">Mario Edilzer </t>
  </si>
  <si>
    <t>Se abordó a Walfred Guzmán por no usar el pasamanos mientras caminaba hacia cafetería con el piso mojado. Reporto Pablo Donis</t>
  </si>
  <si>
    <t>Se abordó Allen Machic, practicante de Mantto por no portar casco dentro del taller Se le indican los riesgos y se refuerza la cultura. Reporto Pablo Donis</t>
  </si>
  <si>
    <t>Allen Machic</t>
  </si>
  <si>
    <t>Se abordó a Obed Agustín por no portar el epp completo en taller de mantenimiento. Reporto Pablo Donis</t>
  </si>
  <si>
    <t>Obed Agustín</t>
  </si>
  <si>
    <t xml:space="preserve">Se encontraba en área de compresores sin protección auditiva. Se abordó y corrigió de inmediato. </t>
  </si>
  <si>
    <t>Cesar Oxcal CEICA</t>
  </si>
  <si>
    <t>Se aborda a Ángel García piloto de carbox, caminando y hablando por teléfono, se le indica el riesgo que tiene y lo toma de buena manera. Reporto Rebeca Morales</t>
  </si>
  <si>
    <t>Ángel García</t>
  </si>
  <si>
    <t>Rebeca Morales</t>
  </si>
  <si>
    <t>Se aborda positivamente a Álvaro Sión en cuarto frío sin protección se le indica las causas posibles que puede sufrir por no portar la chumpa debido al estar expuesto a una temperatura muy baja. Reporto Rebeca Morales</t>
  </si>
  <si>
    <t>Álvaro Sión</t>
  </si>
  <si>
    <t>Se aborda de forma positiva a Leandro Chajón por no tener el cinturón abrochado a la hora de manejar montacargas en la bodega de azúcar de materia prima. Reporto Rebeca Morales</t>
  </si>
  <si>
    <t>Se encuentra a Byron Castañeda sin el cinturón de seguridad puesto mientras conduce el montacargas en almacén de materia prima, se aborda positivamente del uso. Reporto Rebeca Morales</t>
  </si>
  <si>
    <t>Se aborda a Esvin González (piloto para descarga de soda) sin caso y reflectivo en bodega de soda, se aborda positivamente y se le menciona la importancia de usar EPP y los riesgos que pueden presentarse. Reporto Rebeca Morales</t>
  </si>
  <si>
    <t>Esvin Gonzalez</t>
  </si>
  <si>
    <t>Se aborda a Daniel Pineda por no reportarse en Materia Prima, se encuentra también en cierto atemperado sin el equipo de protección. Reporto Rebeca Morales</t>
  </si>
  <si>
    <t>Se aborda a Paulina Ajché (practicante de materia prima) ya que se encontraba hablando por teléfono y caminando en el almacén, se le menciona los riesgos. Reporto Rebeca Morales</t>
  </si>
  <si>
    <t>Se encuentra a practicante del Área Kevin Santizo caminando fuera del paso peatonal en almacén de materia prima. Se le aborda positivamente y se le indica el riesgo y se corrige. Reporto Rebeca Morales</t>
  </si>
  <si>
    <t>Kevin Santizo</t>
  </si>
  <si>
    <t xml:space="preserve"> Se aborda Brandon Mayorga de KHS caminando y usando el celular, se le explica los riesgos de esta actividad, se corrige. Reporto Rebeca Morales</t>
  </si>
  <si>
    <t>Brandon Mayorga KHS</t>
  </si>
  <si>
    <t xml:space="preserve"> Se aborda a piloto de CO2 Amilcar Herrera, por caminar y hablar por teléfono, se le explica el riesgo. Reporto Rebeca Morales</t>
  </si>
  <si>
    <t>Amilcar Herrera</t>
  </si>
  <si>
    <t>Se aborda a practicante de MP Telma González sin utilizar tapones auditivos ya que estaba manipulando una herramienta eléctrica para grabar llaves y el ruido era fuerte. Se le comenta los riesgos que representa. Reportó Rebeca Morales</t>
  </si>
  <si>
    <t>Telma González</t>
  </si>
  <si>
    <t>Proveedora de la empresa Praisa, Alejandra Reyes ingresa a sala de jarabes con auricular puesto, se le pidió quitárselo y se corrigió. Reporto Reginaldo López</t>
  </si>
  <si>
    <t>Reginaldo López</t>
  </si>
  <si>
    <t>Se aborda positivamente a Eduardo Pivaral piloto de palangana el cual no utilizo pasamanos. Reporto Rodrigo Galindo</t>
  </si>
  <si>
    <t>Eduardo Pivaral</t>
  </si>
  <si>
    <t>Rodrigo Galindo</t>
  </si>
  <si>
    <t>Aaron ovando Se le abordó positivamente indicándole qué después del mantenimiento realizado el día de ayer deja panel eléctrico destapado. Reporto. Rodrigo Galindo</t>
  </si>
  <si>
    <t>Se reportar a Antonio Ferrus de la empresa ficit, Por ingreso sin uso de pasamanos, se le abordó positivamente y se le indico la importancia de utilizar el mismo. Reporto Rodrigo Galindo</t>
  </si>
  <si>
    <t>Antonio Ferrus</t>
  </si>
  <si>
    <t>Se observa trabajando sobre lamina de calderas con el arnés puesto, pero sin estar anclado, se procede a notificar. Reporto Rodrigo Galindo</t>
  </si>
  <si>
    <t>José Hilario Velásquez Peruch</t>
  </si>
  <si>
    <t xml:space="preserve"> colaborador caminando mientras hablaba por teléfono, lo cual lo llevó a tropezar levemente. Se le abordó de forma positiva para recordarle que esta práctica representa un riesgo. Sin embargo, respondió de manera negativa Reporto Rodrigo Galindo</t>
  </si>
  <si>
    <t>Bayrón López</t>
  </si>
  <si>
    <t>Se aborda positivamente al señor Gregorio Garcia de la empresa CTS, ya que estaba llenando los tanques de cloro sin guantes se le abordó y se los puso, menciono que se le había pasado por alto. Reporto Rodrigo Galindo</t>
  </si>
  <si>
    <t>Gregorio García</t>
  </si>
  <si>
    <t>Se reportar a Josue Citan de aire sistema se encuentran en laboratorio de ETEI, se le pregunta acerca de la autorización del ingreso  mencionando que no lo había solicitado se proceden a retirarse del área. Reporto Rodrigo Galindo</t>
  </si>
  <si>
    <t>Se reportar a Aaron Ovando de aire sistema se encuentran en laboratorio de ETEI, se le pregunta acerca de la autorización del ingreso  mencionando que no lo había solicitado se proceden a retirarse del área. Reporto Rodrigo Galindo</t>
  </si>
  <si>
    <t>Se aborda a Manuel Bejarano de  Soluciones Analíticas debido a que llevaba muchas cosas en mano cargando y que podía caer y no lo dejaba tomar los pasamanos. Reporto Rodrigo Galindo</t>
  </si>
  <si>
    <t>Manuel Bejarano</t>
  </si>
  <si>
    <t xml:space="preserve"> American consult - Julio Roa - ingreso al área sin autorización ni acompañamiento Se le aborda y se le menciona la importancia de avisar para evitar algún inconveniente y se le atiende. Reporto Rodrigo Galindo</t>
  </si>
  <si>
    <t>Julia Roa</t>
  </si>
  <si>
    <t>Se abordo positivamente a Marco Pastor operando llenadora con poca luz o luz apagada en l2. Reporto Roger Rivas</t>
  </si>
  <si>
    <t>Marco Pastor</t>
  </si>
  <si>
    <t>Roger Rivas</t>
  </si>
  <si>
    <t>Se aborda a Ariel Cua, por encontrarse sin el uso de tapones u orejeras en el área de preempacado L3. Reporto Roger Rivas</t>
  </si>
  <si>
    <t>Se aborda a Gerson Cux, de la empresa Intek, subía la rampa frente a laboratorio de tratamiento de aguas sin hacer uso del pasamanos, se le corrigió. Reporto José Sandoval</t>
  </si>
  <si>
    <t>Gerson Cux</t>
  </si>
  <si>
    <t>se aborda positivamente a Marco Tulio sin protección auditiva en sala de llenado. Reporto Roger Rivas</t>
  </si>
  <si>
    <t>Se aborda positivamente a Byron Chay sin protección auditiva en sala de llenado. Reporto Roger Rivas</t>
  </si>
  <si>
    <t>Se aborda positivamente a Ottoniel Ramírez en sala de llenado sin uso de casco de l3. Reporto Roger Rivas</t>
  </si>
  <si>
    <t>Ottoniel Ramírez</t>
  </si>
  <si>
    <t>Se aborda positivamente a Fredy Ajche sin orejeras, se corrige. Reporto Roger Rivas</t>
  </si>
  <si>
    <t xml:space="preserve">Se aborda positivamente a: Luis González por estar sin orejeras en l3. Reporto Roger Rivas </t>
  </si>
  <si>
    <t>Se aborda positivamente a Francisco Socop de soprinsa sin orejeras, se corrige. Reporto Roger Rivas</t>
  </si>
  <si>
    <t>Se aborda positivamente a Jorge Peñalonzo sin orejeras, se corrige. Reporto Roger Rivas</t>
  </si>
  <si>
    <t>Marcos Vinicio sin protección auditiva en pasillo de L3 que conduce a L4. Reporto Roger Rivas</t>
  </si>
  <si>
    <t>Marcos Vinicio</t>
  </si>
  <si>
    <t>Luis González sin protección auditiva en producción, se corrige. Reporto Roger Rivas</t>
  </si>
  <si>
    <t>Manuel Ixmata sin protección auditiva en producción de la línea, se corrige. Reporto Roger Rivas</t>
  </si>
  <si>
    <t>Marco Vinicio Velásquez de L4 sin protección auditiva en línea en producción. Reporto Roger Rivas</t>
  </si>
  <si>
    <t>Deja escalera de sopladora sin restricción. Reporto Roger Rivas</t>
  </si>
  <si>
    <t xml:space="preserve">Domingo Velásquez </t>
  </si>
  <si>
    <t>Byron chay no tiene protección auditiva, se corrige. Reporto Roger Rivas</t>
  </si>
  <si>
    <t>Luis gonzalez sin protección auditiva, se corrige. Reporto Roger Rivas</t>
  </si>
  <si>
    <t>Francisco Socop se cruza frente a Yalero que estaba cargando preforma en elevador en línea 3. Reporto Roger Rivas</t>
  </si>
  <si>
    <t xml:space="preserve"> Se aborda a javier ixcot por cruzarce de linea 4 a linea 3 por bodega de preforma. Reporto Roger Rivas</t>
  </si>
  <si>
    <t>Ottoniel Ramirez sin casco en sala de llenado, se abordó. Reporto Roger Rivas</t>
  </si>
  <si>
    <t xml:space="preserve"> Luis Felipe Tazax usando chumpa con reflectivo de apenas 0.5 cm de ancho, El minimo es 5cm de ancho era muy poco. Reporto Roger Rivas</t>
  </si>
  <si>
    <t>Felipe Tazax</t>
  </si>
  <si>
    <t>Wagnner Estrada de línea 4 sin colocarse protección auditiva. Reporto Roger Rivas</t>
  </si>
  <si>
    <t>Fredy ajche no esra utilizando protección auditiva en sala.de llenado</t>
  </si>
  <si>
    <t>Gilmar Cox técnico de cámaras de urbano Lab caminando hacia cafetería sin utilizar su casco industrial de protección, Se le aborda positivamente. Reporto Jaime Chex</t>
  </si>
  <si>
    <t>Gilmar Cox</t>
  </si>
  <si>
    <t>Pablo Reyes sin proteccion auditiva en línea mientras produce, se corrige. Reporto Roger Rivas</t>
  </si>
  <si>
    <t>Juan chales sin protección ocular en línea de vidrio con línea parada, pero con producto en transporte. Reporto Roger Rivas</t>
  </si>
  <si>
    <t>Juan Chales</t>
  </si>
  <si>
    <t>Rebeca de Materia Prima en área de producción sin protección auditiva, se corrige. Reporto Roger Rivas</t>
  </si>
  <si>
    <t xml:space="preserve">Se aborda a Aron Ovando (aire sistemas)  por utilizar una escalera sobre plataforma, su compañero esta en otro punto. </t>
  </si>
  <si>
    <t>Gerson Lopez Practicante de intecap sin uso de Casco</t>
  </si>
  <si>
    <t>Gerson López</t>
  </si>
  <si>
    <t xml:space="preserve">Se cruzaron línea 3 a línea 4 en pase no peatonal sino por debga de preforma. Se les indica que no es paso peatonal </t>
  </si>
  <si>
    <t xml:space="preserve">Luis Tzarat se cruza de línea e a línea 4 3n ligar prohibido </t>
  </si>
  <si>
    <t>Luis  Tzarat</t>
  </si>
  <si>
    <t>Se cruza de línea 3 a línea 4 en bodega de preforma,  area no autorizada.</t>
  </si>
  <si>
    <t xml:space="preserve">Marcos Argueta </t>
  </si>
  <si>
    <t>Martin Inocente iba caminando sin casco en pasillo frente a línea 1, se le intento detener hablándole pero no se detiene continuando su camino sin casco.</t>
  </si>
  <si>
    <t xml:space="preserve">Martin Inocente </t>
  </si>
  <si>
    <t>Cristofer Álvarez limpiando piso de línea 3 con escoba y químico sin el uso de protección ocular. Se le indico la importancia del uso de lentes cuando utilice algún químico.</t>
  </si>
  <si>
    <t>Cristofer Alvarez</t>
  </si>
  <si>
    <t>Javier Alvarado caminando por línea 3 en direcciona cabina de linea 3 sin tapones y sin orejeras, se le avisa que debe de andar su Epp, indica que los tapones le lastiman y que va a SSO a pedir unas orejeras.</t>
  </si>
  <si>
    <t>Ottoniel Andrea sin casco en área de línea 3</t>
  </si>
  <si>
    <t xml:space="preserve">Domingo Perez sin casco en área de línea ea 3 en mantenimiento </t>
  </si>
  <si>
    <t xml:space="preserve">Rony Elias en sala dé llenado sin protección de su casco mientras está realizando su ajuste a su máquina </t>
  </si>
  <si>
    <t xml:space="preserve">Efrain Garcia sin orejeras en línea 3 en producción </t>
  </si>
  <si>
    <t>Cristofer auxiliar de línea 3 sin orejeras en línea 3 mientras produce.</t>
  </si>
  <si>
    <t>Luis Gonzalez sin protección auditiva en línea 3 mientras produce</t>
  </si>
  <si>
    <t xml:space="preserve">Yoni Godinez sin protección auditiva en línea 3 mientras produce </t>
  </si>
  <si>
    <t xml:space="preserve">Yoni Godinez </t>
  </si>
  <si>
    <t xml:space="preserve">Pablo sin orejeras en línea en producción </t>
  </si>
  <si>
    <t>Pablo en línea en producción sin gorra casco</t>
  </si>
  <si>
    <t xml:space="preserve">Fredy Ajche sin gorra casco en sala de embotellado y en mantenimiento </t>
  </si>
  <si>
    <t>Adolfo Obed en sala de llenado en producción sin orejeras.</t>
  </si>
  <si>
    <t xml:space="preserve">Se aborda a Rebeca Morales por no utilizar Orejeras en línea 3, excusa que los operadores no lo utilizan, se le indica que a ellos también se les va a reportar </t>
  </si>
  <si>
    <t xml:space="preserve">Entra a línea 3 sin protección auditiva mientras esea en producción. </t>
  </si>
  <si>
    <t xml:space="preserve">Wagner Estrada </t>
  </si>
  <si>
    <t>Sin protección auditiva en línea 3</t>
  </si>
  <si>
    <t>Angel Gonzalez Velasquez</t>
  </si>
  <si>
    <t xml:space="preserve">Mienreas hay producción Panlo andaba sin protección auditiva, se aborda. </t>
  </si>
  <si>
    <t>Roger rivas</t>
  </si>
  <si>
    <t>Se encienden alarmas de amoniaco y se empieza a evacuar, Kevin Castillo no hace caso o miso de la evacuación y se queda en el área de cafetería.</t>
  </si>
  <si>
    <t xml:space="preserve">Kevin Castillo </t>
  </si>
  <si>
    <t>Se encienden alarmas de amoniaco y se empieza a evacuar, Manuel Ixmata no hace caso o miso de la evacuación y se queda en el área de cafetería</t>
  </si>
  <si>
    <t xml:space="preserve">Manuel Ixmata </t>
  </si>
  <si>
    <t>Se encienden alarmas de amoniaco y se empieza a evacuar, Domingo Perez no hace caso o miso de la evacuación y se queda en el área de cafetería</t>
  </si>
  <si>
    <t>Domingo  Perez</t>
  </si>
  <si>
    <t xml:space="preserve">Se evacua a perdonal en cafetería por alarma de fuga de amoniaco.  Domingo Perez se queda en cafetería </t>
  </si>
  <si>
    <t>Domingo Perez</t>
  </si>
  <si>
    <t>Lusi Castilla intenta cruzar en paso no autorizado de linea 3 a linea 4</t>
  </si>
  <si>
    <t>Luis Castilla</t>
  </si>
  <si>
    <t>Pedro Tolcha se cruza paso no autorizado de linea 4 a linea 3 en mantenimiento mayor</t>
  </si>
  <si>
    <t>Gervacio Ajpo se cruza por lugar restringido de linea 4 a linea 3 en manto mayor</t>
  </si>
  <si>
    <t>Jervacio Ajpop</t>
  </si>
  <si>
    <t>Javier Ixcot se cruza por lugar restringido de linea 4 a linea 3 en manto mayor</t>
  </si>
  <si>
    <t xml:space="preserve">Clemente Andrea sin protección de Cabeza en producción </t>
  </si>
  <si>
    <t>Clemente Andrea</t>
  </si>
  <si>
    <t>Alejandro Galindo de Aire sistemas dando mantenimiento a mochilas frias de empacadora sin protección ocular, se les desconecto manguera con aire presurizado. Indica que no tienen lentes.</t>
  </si>
  <si>
    <t>Alejandro Galindo</t>
  </si>
  <si>
    <t>Dando manto a mochilas de empacadora sin protección ocular, indican que tienen lentes rallados</t>
  </si>
  <si>
    <t xml:space="preserve">Josue Hernández </t>
  </si>
  <si>
    <t xml:space="preserve">Pedro Tolcha paso por paso prohibido de línea 4 a línea 3. </t>
  </si>
  <si>
    <t xml:space="preserve">Dario chacon se cruza de línea 4 a línea 3 por paso no autorizado </t>
  </si>
  <si>
    <t>Dario chacon</t>
  </si>
  <si>
    <t>Felix Pelico con playera sin reflectivo</t>
  </si>
  <si>
    <t>Felix Pelico</t>
  </si>
  <si>
    <t>Con audífonos inalambricos</t>
  </si>
  <si>
    <t xml:space="preserve">Jesus Morales </t>
  </si>
  <si>
    <t xml:space="preserve">Julian Xiloj sin protección de cabeza, dando mantenimiento </t>
  </si>
  <si>
    <t>En mantenimiento sin casco</t>
  </si>
  <si>
    <t>Jeyner caceres</t>
  </si>
  <si>
    <t xml:space="preserve">Se reporta Erick Luna del proveedor KRONES por no usar los pasamanos frente a compresores de amoniaco e ingresar a la línea sin lentes de protección adecuados. Reporto Rolando Gómez </t>
  </si>
  <si>
    <t>Rolando Gomez</t>
  </si>
  <si>
    <t>Se aborda al piloto de la unidad de bunker 187AFO Jose Herrera ya que se encontro alrededor de la unidad caminando y viendo su telefono. Reporto Rolando Gomez</t>
  </si>
  <si>
    <t>José Herrera</t>
  </si>
  <si>
    <t>Se aborda a piloto de Chevron, Carlos Vicente por no usar los pasamanos en caminamiento hacia cafetería. Reporto Rolando Gómez</t>
  </si>
  <si>
    <t>Carlos Vicente</t>
  </si>
  <si>
    <t>Se reporta a Cesar Quiñones de la empresa Afca, por trasladar placas de chiller sin guantes de protección, se corrige. Reporto Rolando Gomez</t>
  </si>
  <si>
    <t>Se reporta a Aroldo Midence de productos del aire por trasladar cilindros de acetileno mundialmente (rodandolos) se le pidió que usará troket, se corrige. Reporto Rolando Gómez</t>
  </si>
  <si>
    <t>Aroldo Midence</t>
  </si>
  <si>
    <t>Se le indica al colaborador de Solima John Rosales que debe usar sus lentes al momento de estar colocando cielo falso y realizar los cortes. Reporto Rolando Gomez</t>
  </si>
  <si>
    <t xml:space="preserve"> John Rosales </t>
  </si>
  <si>
    <t>Se aborda al piloto Daniel de Soprinsa por no poner topes al vehículo en la rampa entrada de almacén, de lo cual lo tomo positivamente</t>
  </si>
  <si>
    <t>Daniel de Soprinsa</t>
  </si>
  <si>
    <t xml:space="preserve">Se aborda al señor Harold Midence por transportar cilindros en almacén de repuestos sin utilizar la respectiva carreta. </t>
  </si>
  <si>
    <t xml:space="preserve">Harold Midence </t>
  </si>
  <si>
    <t>Se aborda al piloto Luis Cabrera de Transportes Kevy con unidad de bunker que procediera a parquearse bien. Reportó Rolando Gómez</t>
  </si>
  <si>
    <t>Luis Enrique Cabrera</t>
  </si>
  <si>
    <t>Rolando Gómez</t>
  </si>
  <si>
    <t>Eddyn Azurdia cepillando paredes con cepillo de alambre sin lentes de proteccion (polvo en los ojos) se detiene y se aborda positivamente reporta Carlos Coc</t>
  </si>
  <si>
    <t>Roy Loarca</t>
  </si>
  <si>
    <t>Se reporta a Byron Mendizábal equipo de Cadisa se abordó al encargado Byron Mendizábal para que todo el equipo utilice su protección auditiva. Reporto Roy Loarca</t>
  </si>
  <si>
    <t>Se reporta a Manuel García equipo de Cadisa se abordó al encargado Byron Mendizábal para que todo el equipo utilice su protección auditiva. Reporto Roy Loarca</t>
  </si>
  <si>
    <t>Manuel García</t>
  </si>
  <si>
    <t>Se reporta a Cristian Yaxón equipo de Cadisa se abordó al encargado Byron Mendizábal para que todo el equipo utilice su protección auditiva. Reporto Roy Loarca</t>
  </si>
  <si>
    <t>Cristian Yaxón</t>
  </si>
  <si>
    <t>Se aborda a César Hernández de acisa si protección audita en el área de llenado de la línea 1. Reporto Roy Loarca</t>
  </si>
  <si>
    <t>César Hernández</t>
  </si>
  <si>
    <t>se aborda a Hugo Gonzales de talleres Bart hablando por teléfono y caminando en el área de los condensadores evaporativos, se le aborda y se le indica la importancia de no realizar este acto inseguro. Reporto Roy Loarca</t>
  </si>
  <si>
    <t>Hugo Gonzales</t>
  </si>
  <si>
    <t>Se aborda a Denis de soprinsa están realizando limpieza en línea 3, el cual se encontraba trasegando banaclean, sin guantes y sin lentes, se le pidió que se colocará el equipo. Reporto Roy Luarca</t>
  </si>
  <si>
    <t>Dennis Soprinsa</t>
  </si>
  <si>
    <t>Se aborda a Hugo González de talleres barth ya que circulaba por equipos auxiliares y no se sujetó del barandal, Se le indica la importancia de poder sujetarse del barandal. Reporto Roy Luarca</t>
  </si>
  <si>
    <t>Se aborda a Bily Reyes de grupo Emasal, quien en el paso peatonal de equipos auxiliares no se agarra del barandal en la subida del paso peatonal de la caldera hacia compresores de amoniaco. Reporto Roy Loarca</t>
  </si>
  <si>
    <t>Bily Reyes</t>
  </si>
  <si>
    <t>Se aborda positivamente a Juan Ramon de INFYMS se encontraba cortando tubería sin equipo de protección. Reporto Selvin Pérez</t>
  </si>
  <si>
    <t>Juan Ramon</t>
  </si>
  <si>
    <t>Selvin Perez</t>
  </si>
  <si>
    <t>Se abordo a Jose Tupul de INFYMSA por no estar enganchado y al engancharse contestar el celular en alturas. Reporto Selvin Pérez</t>
  </si>
  <si>
    <t>Luis hernandez de barth en altura no contaba con guantes ni gavacha, solo tenia lentes se detuvo y se prohibio seguir con actividad, se corrigo. Reporto Selvin Perez</t>
  </si>
  <si>
    <t>Luis hernández</t>
  </si>
  <si>
    <t>Selvin Pérez</t>
  </si>
  <si>
    <t>Se aborda a Alexander Cristobal personal de Infymsa trabajando con pulidora y no contaba con tapones auditivos, se aborda y se corrige. Reporto Selvin Pérez</t>
  </si>
  <si>
    <t>Alexander Cristobal</t>
  </si>
  <si>
    <t>Se aborda a Víctor Silva Utilizando equipo de oxicorte sin guantes 🧤, lentes 👓 gogles para ese equipo, extintor 🧯 no se tenía en el área, utilizando audífonos como tapones auditivos. Reporto Selvin Pérez</t>
  </si>
  <si>
    <t>Jonatan Chún de la empresa Pollux Cranes ingresa al área de jarabes sala nueva sin hacer uso del pasamanos frente a oficinas. Reportó Adrián Santisteban</t>
  </si>
  <si>
    <t>Jhonatan Chún</t>
  </si>
  <si>
    <t>Personal de Iiisa estaba trabajando debajo de tanques de jarabes, arreglando tubería sín utilizar casco de protección.
Reporta: Leidy Vanesa Camey</t>
  </si>
  <si>
    <t>Adalid Salazar</t>
  </si>
  <si>
    <t>Vanesa Camey</t>
  </si>
  <si>
    <t>Se abordo a auxiliar de línea 4, sín equipo auditivo en paso peatonal en línea 3
Reporta: Leidy Vanesa Camey</t>
  </si>
  <si>
    <t>Personal de termosoluciones estaba trabajando en L4 en el área de llenadora, sin uso de protectores auditivo.
Reporta Leidy Vanesa Camey</t>
  </si>
  <si>
    <t xml:space="preserve">Anderson Agustín </t>
  </si>
  <si>
    <t>Se le aborda al auxiliar de línea 1, por bajar envases rotos durante la producción de mirinda sín uso de guantes anticorte.
Reporta: Leidy Vanesa Camey</t>
  </si>
  <si>
    <t>Personal trabajando en línea 2 sin uso de lentes de protección ocular, estaba ayudando a soldar. 
Reporta: Leidy Vanesa Camey</t>
  </si>
  <si>
    <t>Víctor Gonzales</t>
  </si>
  <si>
    <t xml:space="preserve"> Nilson Salam auxiliar de jarabe trasegaba químico para limpieza sin usar lentes, se le pide colocarselos para continuar. Reporto Vigler Ramos</t>
  </si>
  <si>
    <t>Se detiene a Adán Argueta, sin lentes de protección realizando la descarga de azúcar, material particulado puede afectar sus ojos. Reporto Vinicio Mendoza</t>
  </si>
  <si>
    <t>Adan Argueta</t>
  </si>
  <si>
    <t>Vinicio Mendoza</t>
  </si>
  <si>
    <t>Wilmer Itzol (SEINCO) parado sobre lámina de bodega de reciclaje si anclarse, se le solicita que se baje y se le indica la importancia de anclarse al realizar la tarea de pintura.</t>
  </si>
  <si>
    <t>Wilmer Itzol (SEINCO)</t>
  </si>
  <si>
    <t>Marvin Cifuentes (SEINCO) parado sobre lámina sin punto de anclaje para pintar vigas de nueva bodega de reciclaje, se detiene el trabajo y se pide que se reanude cuando estén bien asegurados.</t>
  </si>
  <si>
    <t>Marvin Cifuentes (SEINCO)</t>
  </si>
  <si>
    <t>Se detiene a Marlon Bladimir López usando el teléfono mientras caminaba, se le hace conciencia del mal uso mientras camina.</t>
  </si>
  <si>
    <t xml:space="preserve">Marlon Bladimir López </t>
  </si>
  <si>
    <t>Se detiene a Rafael Aguilar de la empresa Soluciones Analíticas quien estaba realizando una visita a planta por parte de medio ambiente, él estaba caminando y utilizando el teléfono al mismo tiempo. Se le indica los riesgos y que no debe hacerlo.</t>
  </si>
  <si>
    <t xml:space="preserve">Rafael Aguilar </t>
  </si>
  <si>
    <t>Se detiene a Lissette Luarca saliendo de oficinas administrativas caminando y viendo el teléfono a la vez, lo corrige de inmediato.</t>
  </si>
  <si>
    <t>Se detiene a Pedro Tumacaj sin utilizar cinturón de seguridad del montacargas, se corrige en el momento.</t>
  </si>
  <si>
    <t>Se detiene a Israel Cabinal sin utilizar cinturón de seguridad del montacargas, se corrige en el momento.</t>
  </si>
  <si>
    <t>Israel Cabinal</t>
  </si>
  <si>
    <t>Se detiene a Byron Mejia sin lentes de protección al realizar la descarga de cal en el área de tratamiento de agua, el indica que no es necesario pero si tenía puesto la mascarilla con filtros para partículas.</t>
  </si>
  <si>
    <t>Gilmar Mazariegos sin lentes de protección en línea 4.</t>
  </si>
  <si>
    <t>Javier Ixcot sin lentes de protección en línea 4.</t>
  </si>
  <si>
    <t>Selvin Godinez sin lentes de protección al clasificar residuos.</t>
  </si>
  <si>
    <t xml:space="preserve"> Se reporta a Roy Luarca ya que estaba utilizando el celular mientras caminaba en el taller de Mantto. Reporto Walfred Guzman</t>
  </si>
  <si>
    <t>Se reporta a César López de línea 5, Se encontró soldando mientras estaba encima del banco de trabajo sin el apoyo de nadie y con audífonos puestos, Se aborda y se concientiza. Reporto Walfred Guzmán</t>
  </si>
  <si>
    <t>Se reporta a Gerson Castañeda del área de calidad ya que andaba dentro de almacén sin casco, Se aborda y se le hace saber que tiene que tener el casco en todo memento dentro del almacén. Reporto Walfred Guzmán</t>
  </si>
  <si>
    <t>Se reporta a practicantes de mantenimiento Dayana y Elmer ya que se encontraba en el área de Compresores de amoniaco sin usar protección auditiva, un lugar donde es obligatorio se corrige. Reporto Walfred Guzmán</t>
  </si>
  <si>
    <t>Dayana Argueta</t>
  </si>
  <si>
    <t>Se reporta a practicantes de mantenimiento Emilio López ya que se encontraba en el área de Compresores de amoniaco sin usar protección auditiva, un lugar donde es obligatorio., se corrige. Reporto Walfred Guzmán</t>
  </si>
  <si>
    <t>Emilio López</t>
  </si>
  <si>
    <t>Se reporta a Cristian Yaxón de Cadinsa, ya que se encontraba trabajando en el área de caldera sin protección auditiva ni guantes mientras trabajaba. Reporto Walfred Guzman</t>
  </si>
  <si>
    <t>Se reporta a Maria Obregón del área de Paquetecnia ya que se encontró en planta en dos ocasiones sin calzado industrial, El día viernes. Reporto Walfred Guzman</t>
  </si>
  <si>
    <t>Maria Obregón</t>
  </si>
  <si>
    <t>Se aborda a Aron de aire sistemas, ya que estaba cruzando paso de camiones y estaba evitando usar el paso peatonal señalizado Esto para acortar espacio y tiempo, Se le aborda. Reporto Walfred Guzman</t>
  </si>
  <si>
    <t>Se aborda a Felipe Pérez de empresa Alkemy, ya que se encontraban ambos trabajando en el área de calderas sin protección auditiva, Se le aborda y se les concientiza. Reporto Walfred Guzman</t>
  </si>
  <si>
    <t>Se aborda a Eddy Godínez de empresa Alkemy, ya que se encontraban ambos trabajando en el área de calderas sin protección auditiva, Se le aborda y se les concientiza. Reporto Walfred Guzman</t>
  </si>
  <si>
    <t>Eddy Godínez</t>
  </si>
  <si>
    <t>Se reporta a William Pérez de proveedor Candinsa ya que al salir de calderas iba a hablando por su celular a la ves camino hacia el área de pipas, Se le aborda y se le hace saber el acto inseguro y se le explica el por qué. Reporto Walfred Guzman</t>
  </si>
  <si>
    <t>William Pérez</t>
  </si>
  <si>
    <t>Se aborda al practicante de mantenimiento Gerson Lopez, se encontraban manipulando un motor si usas guantes de seguridad, Se les hizo ver el acto inseguro y se colocaron guantes para seguir trabajando. Reporto Walfred Guzman</t>
  </si>
  <si>
    <t>Se aborda al practicante de mantenimiento Néstor López , se encontraban manipulando un motor si usas guantes de seguridad, Se les hizo ver el acto inseguro y se colocaron guantes para seguir trabajando. Reporto Walfred Guzman</t>
  </si>
  <si>
    <t>Se aborda a Adolfo Agustin ya que se encontraban en el área de compresores de amoniaco sin proctectores auditivos, Se les hace ver el acto inseguro cometido y se corrige en el momento. Reporto Walfred Guzman</t>
  </si>
  <si>
    <t>Adolfo Agustín</t>
  </si>
  <si>
    <t>Se aborda a Elvis Lavarreda ya que se encontraban en el área de compresores de amoniaco sin proctectores auditivos,Se les hace ver el acto inseguro cometido y se corrige en el momento. Reporto Walfred Guzman</t>
  </si>
  <si>
    <t>Se reporta a Gregorio Chaves de Kaeser, ya que estaba caminando y planticando por su celular,Se le aborda y se le hace ver el acto inseguro que estaba cometiendo para que no lo haga en el futuro. Reporto Walfred Guzman</t>
  </si>
  <si>
    <t>Gregorio Chavez</t>
  </si>
  <si>
    <t>Se aborda Luis Gilberto piloto de cabezal con placas G 280BLZ, ya que se encontraba platicando por su celular mientras se dirigía al área de CD, se le hace ver el acto inseguro que estaba cometiendo. Reporto Walfred Guzman</t>
  </si>
  <si>
    <t>Luis Gilberto</t>
  </si>
  <si>
    <t xml:space="preserve"> Se reporta a Anderson Chay ya que andaba usando equipo de soldadura sin usar guantes de protección Se aborda y se corrige. Reporto Walfred Guzman</t>
  </si>
  <si>
    <t>Anderson Chay</t>
  </si>
  <si>
    <t>Se reporta a Kevin  Lopez en el área de calderas estaba sin protectores auditivos Se corrige en el momento. Reporto Walfred Guzman</t>
  </si>
  <si>
    <t>Se reporta a Francisco Más ya que estaba autorizando pulidora en el área de taller de Mantto sin guantes, Se aborda y se corrige en el momento. Reporto Walfred Guzman</t>
  </si>
  <si>
    <t>Francisco Más</t>
  </si>
  <si>
    <t>Se reporta a Víctor González en el área de calderas estaba sin protectores auditivos Se corrige en el momento. Reporto Walfred Guzman</t>
  </si>
  <si>
    <t>Se reporta a Josué López de IISA en el área de calderas estaba sin protectores auditivos Se corrige en el momento. Reporto Walfred Guzman</t>
  </si>
  <si>
    <t>Josué López</t>
  </si>
  <si>
    <t>Se reporta a Josué Velásquez de SSO ya que se encontraba en ingreso a área de caldares sin protectores auditivos. Reporto Walfred Guzman</t>
  </si>
  <si>
    <t>Josué Velasquez</t>
  </si>
  <si>
    <t>Se reporta a Cesar de proveedor IISA ya que se encontraba en área de cardares sin protectores auditivos, se corrige. Reporto Walfred Guzman</t>
  </si>
  <si>
    <t>Cesar García</t>
  </si>
  <si>
    <t>Se aborda a Roy Luarca ya que estaba hablando por el celular mientras caminaba en todo el taller, se le comunica el acto que inseguro que estaba cometiendo. Reporto Walfred Guzmán</t>
  </si>
  <si>
    <t>Walfred Guzmán</t>
  </si>
  <si>
    <t>Se Aborda a Roy Luarca ya que sale de las oficinas hacia taller sin casco. Reporto Walfred Guzmán</t>
  </si>
  <si>
    <t>Se abordada a Denni de León (Autómata) ya que estaba en el área trabajando con camisa por fuera, se le hace ver el acto que podría poner en riesgo su integridad. Reporto Walfred Guzmán</t>
  </si>
  <si>
    <t>Danni de León</t>
  </si>
  <si>
    <t xml:space="preserve"> Estuardo Poma auxiliar de Soprinsa, se dirige a CD desde el pit de carga de rastras, sin utilizar el paso peatonal, poniendo en riesgo su integridad al pasar sobre la calle en donde transitan los montacargas. Reporto Jimmy Velásquez </t>
  </si>
  <si>
    <t>Estuardo Poma</t>
  </si>
  <si>
    <t>Se aborda a Francisco Mas soldador de líneas ya que se encontraba corriendo dentro del taller de mantenimiento, se le hace ver el acto inseguro que estaba cometiendo y se corrige. Reporto Walfred Guzmán</t>
  </si>
  <si>
    <t xml:space="preserve"> Se aborda William Pérez de proveedor Cadinsa, ya que se encontró hablando por celular mientras caminaba en el área de la caldera nueva. Se le hace saber por 2da ocasión. Reporto Walfred Guzmán</t>
  </si>
  <si>
    <t xml:space="preserve">Se reporta a Wilber Marcos ya que se encontraba jugando y corriendo en el área de taller de mantenimiento. Reportó Walfred Guzmán </t>
  </si>
  <si>
    <t>Wilber Marcos</t>
  </si>
  <si>
    <t>Se reporta al compañero Francisco Más ya que se encontraba jugando y corriendo en el área de taller de mantenimiento. Reportó Walfred Guzmán</t>
  </si>
  <si>
    <t>Se abordo a Byron Moran por utilizar audífonos él es auxiliares de operador lavadora de l1. Reporto William Galindo</t>
  </si>
  <si>
    <t>Byrón Moran</t>
  </si>
  <si>
    <t>William Galindo</t>
  </si>
  <si>
    <t>Se abordo a Byron Moran por utilizar el celular él es auxiliares de operador lavadora de l1. Reporto William Galindo</t>
  </si>
  <si>
    <t xml:space="preserve">Se abordo a Jorge Peña L4 no está usando su protección auditiva, Se corrige de inmediato. Reporto William Galindo
</t>
  </si>
  <si>
    <t>Dejo panel eléctrico abierto en l4, se corrigió. Reporto Fredy Fuentes</t>
  </si>
  <si>
    <t>Giovanny de Indusa, realizando corte de lámina con pulidora sin equipo de protección auditiva en L5, se corrige. Reporto William Galindo</t>
  </si>
  <si>
    <t>Giovani Indusa</t>
  </si>
  <si>
    <t xml:space="preserve"> Javier Alvarado L5 por uso de audífonos en el lugar de trabajo, Se aborda positivamente. Reporto William Galindo</t>
  </si>
  <si>
    <t xml:space="preserve"> Javier Alvarado </t>
  </si>
  <si>
    <t>operador de Javier Ixcot cortando botellas sin el uso del guantes con la navaja , se le abordo se le explico el uso y la protección de los guantes. Reporto William Galindo</t>
  </si>
  <si>
    <t>Joel Hernández Realizando trabajos en salida de planta sin protección ocular, se indica que debe usar su EPP. Reporto Hellen Consuelo</t>
  </si>
  <si>
    <t>Se abordo positivamente a Luis Sanchez de la empresa INAB realizando trabajos en altura en calderas sujetados de una canaleta electrica, se les indico se engancharan de una costanera. Reporto Yessi Guarcas</t>
  </si>
  <si>
    <t>Luis Sanchez</t>
  </si>
  <si>
    <t>Yessi Guarcas</t>
  </si>
  <si>
    <t>Se abordó a José, de Metrocal, en L5, por utilizar el último peldaño de la escalera, y se les reforzó el tema de sujetar la escalera con alguien de apoyo. Reporto Yessi Guarcas</t>
  </si>
  <si>
    <t>Jose Metrocal</t>
  </si>
  <si>
    <t xml:space="preserve">Se aborda a Jordan Sánchez, de Vaportec, por no utilizar respirador media cara en trabajos de mantenimiento a caldera, se visualizaba bastante hollín en el ambiente, procedió a colocarselo. Reporto Yessi Guarcas
</t>
  </si>
  <si>
    <t>Se aborda a Nestor Lopez, operador de llenadora, por manipulación de botellas de vidrio en L2. Procedió a colocarse los guantes. Reporto Yessi Guarcas</t>
  </si>
  <si>
    <t>Nelson Lopez</t>
  </si>
  <si>
    <t>Se aborda a Angel Gonzalez por uso de auriculares en L5. Reporto Yessi Guarcas</t>
  </si>
  <si>
    <t>Se aborda a compañeros en L5 por falta de protección auditiva y lentes. Reporto Yessi Guarcas</t>
  </si>
  <si>
    <t>Erickson Gonzalez</t>
  </si>
  <si>
    <t xml:space="preserve">Se aborda a compañeros en L5 por falta de protección auditiva y lentes. Reporto Yessi Guarcas
</t>
  </si>
  <si>
    <t>Martin Inocente</t>
  </si>
  <si>
    <t>Se aborda a Fernando Artiga por cruzar por el paso de montacargas de L4 a L3 por donde esta la volcadora de l3, se le indica que ese no es paso peatonal establecido. Reporto Yessi Guarcas</t>
  </si>
  <si>
    <t>Se aborda por uso de celular mientras conducía a Josué Oliva de trasnportes CLC dentro de planta. Reporto Yessi Guarcas</t>
  </si>
  <si>
    <t>Josué Oliva</t>
  </si>
  <si>
    <t>Se aborda a Diego de Krones por no utilizar el pasamanos en los lugares establecidos, se corrige. Reportó Luis Cabrera</t>
  </si>
  <si>
    <t>Diego Dominguez</t>
  </si>
  <si>
    <t>Ingresa al área de jarabes sin utilizar el pasamanos, Pablo Peralta de la empresa Pollux Cranes. Reportó Adrián Santisteban</t>
  </si>
  <si>
    <t>Pablo Peralta</t>
  </si>
  <si>
    <t>Dony García operador de tratamiento de agua disolviendo ingredientes sin hacer uso de guantes. Reportó Adrián Santisteban</t>
  </si>
  <si>
    <t xml:space="preserve">Se aborda a Cristofer Alvares por utilizar el teléfono mientras caminaba en paso peatonal hacia Línea 1. Reporto Alfonso Guatzin
</t>
  </si>
  <si>
    <t>Cristofer Alvares</t>
  </si>
  <si>
    <t xml:space="preserve">Se aborda a Rolfi de Jesús por pasar por Líneas GRB, Sin lentes de protección. Reporto A. Guatzin
</t>
  </si>
  <si>
    <t>Rolfi De Jesus</t>
  </si>
  <si>
    <t xml:space="preserve">Se Aborda a Pablo Reyes por pasar por Línea GRB, sin lentes de protección. Reporto A. Guatzin
</t>
  </si>
  <si>
    <t xml:space="preserve">Se aborda a Manuel Ixmata por no utilizar sus protección auditiva durante descarga de preforma en zona de flejadora. Reporto A. Guatzin
</t>
  </si>
  <si>
    <t>Se encuentra a Alan Ayala sin protección auditiva en línea 1, se le aborda y se corrige. Reportó Andrea González</t>
  </si>
  <si>
    <t>Alan Ayala</t>
  </si>
  <si>
    <t>Se aborda al compañero Esteban Apolonio de Nabla por estar descargando block sin casco. Reportó Bryan Rodas</t>
  </si>
  <si>
    <t>Esteban Apolonio</t>
  </si>
  <si>
    <t>Bryan Rodas</t>
  </si>
  <si>
    <t>Se abordó a la auditora de AIB Nallely por no utilizar el pasamanos en las rampas de garita y área administrativa. Reportó Bryan Rodas</t>
  </si>
  <si>
    <t>Nayelly</t>
  </si>
  <si>
    <t>Se abordó a Luz Rocha auditora de calidad por no utilizar los pasamanos en las rampas peatonales de garita y área administrativa. Reporto Bryan Rodas</t>
  </si>
  <si>
    <t>Luz Rocha</t>
  </si>
  <si>
    <t>Se aborda a Byron Chay para que utilice el pasamanos al momento de subir las gradas o rampas peatonales.</t>
  </si>
  <si>
    <t>Se abordó a David de NABLA colocados de puertas y ventanas de PVC por no encontrarse anclado con su arnés estando a una altura mayor a 1.5 mt. Reportó Bryan Rodas</t>
  </si>
  <si>
    <t>David</t>
  </si>
  <si>
    <t>Se aborda a Hellen practicante de calidad por andar en L5 con la camisa fuera del pantalón y tomando botellas del transporte de empacadora (riesgo de atrapamiento). Reportó Bryan Rodas</t>
  </si>
  <si>
    <t>Hellen</t>
  </si>
  <si>
    <t>Se abordó a Juan Chales por andar con audífonos en los pasillos hacia L1. Reportó Bryan Rodas</t>
  </si>
  <si>
    <t>Se abordó a Luis Mayen de NABLA por trabajar en andamio sin arnés. Reportó Bryan Rodas</t>
  </si>
  <si>
    <t>Luis Mayen</t>
  </si>
  <si>
    <t>Al momento de la descarga el piloto Cipriano Ventura Mota de la empresa Autotanques no hizo uso del casco, se aborda y se corrige. Reportó Byron Balux</t>
  </si>
  <si>
    <t>Cipriano Ventura</t>
  </si>
  <si>
    <t>Byron Balux</t>
  </si>
  <si>
    <t>Se aborda al compañero Adam del área de jarabes por el mal uso de la gorra casco, ya que estaba usándola al revés. Reportó Daniel Pineda</t>
  </si>
  <si>
    <t>Adam Cesar David Vásques Santos</t>
  </si>
  <si>
    <t>Se aborda positivamente a Otto Andrea de Línea 4 por detenerse a contestar una llamada en medio paso peatonal rojo/blanco. Reportó Denni DeLeón</t>
  </si>
  <si>
    <t>Otto Andrea</t>
  </si>
  <si>
    <t>Denni De León</t>
  </si>
  <si>
    <t>Se aborda positivamente a Roy Luarca por contestar el teléfono mientras caminaba frente a taller de mantenimiento. Reportó Denni De León</t>
  </si>
  <si>
    <t>No se agarró del pasamanos</t>
  </si>
  <si>
    <t xml:space="preserve">Fabrico Culajay </t>
  </si>
  <si>
    <t>Diana Pérez</t>
  </si>
  <si>
    <t>Operador de empacadora Marco Argueta de línea 4 sin protectores auditivos</t>
  </si>
  <si>
    <t>Dario Chacon se encontraba operando en línea 4 sin protectores auditivos</t>
  </si>
  <si>
    <t>Dario Chacon</t>
  </si>
  <si>
    <t>Se abordo positivamente Esdras Orozco de materia prima viendo el teléfono caminando con prisa se realiza frente a pipas de C02. Reportó Edson López</t>
  </si>
  <si>
    <t>Se aborda a Abimael por no usar guantes para tarea de mantenimiento de inyectores en SDJ</t>
  </si>
  <si>
    <t>Al momento de la descarga el piloto Darwin cruz no hace uso del paso peatonal por lo que se le aborda y se corrige de inmediato. Reportó Fredy Fuentes</t>
  </si>
  <si>
    <t xml:space="preserve"> Darwin Cruz</t>
  </si>
  <si>
    <t>Se aborda a Luis Chavac en Línea 5 sin protección auditiva en área de descarga de preforma. Reportó Hellen Estrada</t>
  </si>
  <si>
    <t>Luis Chavac</t>
  </si>
  <si>
    <t>Se aborda al señor Milton de Soprinsa de Línea 5 sin tapones auditivos y la línea funcionando. Reportó Hellen Estrada</t>
  </si>
  <si>
    <t>Milton</t>
  </si>
  <si>
    <t>Se aborda a Juan Rodas calderista, se encontraba en área de compresores de amoniaco sin utilizar sus protectores auditivos, se detiene el acto y se corrige. Reportó Jaime Chex</t>
  </si>
  <si>
    <t>Esteban Hernández Auxiliar de jarabes sin usar casco de protección en área de despacho de azúcar. Se le aborda positivamente y se corrige. Reportó Jaime Chex</t>
  </si>
  <si>
    <t xml:space="preserve">Piloto de bunker olvida colocar puesta a tierra a la unidad, se le indica la importancia de la conexión y se corrige de inmediato. Reporta Jason Calderón </t>
  </si>
  <si>
    <t>Edgar Rodriguez</t>
  </si>
  <si>
    <t>Se aborda a Randy Aguirre de la empresa JYR (nabla) por estar trabajando en el edificio nuevo sobre una sección de andamio con rodos y jalarse de los marcos para moverse; puede caerse del mismo.</t>
  </si>
  <si>
    <t>Randy Aguirre</t>
  </si>
  <si>
    <t>Se encuentra al operador de montacarga Mynor Hernández usando auriculares dentro de almacén de materia prima, se aborda y se corrige. Reportó Kelly Calderón</t>
  </si>
  <si>
    <t>Se abordo al auxiliar de limpieza para que utilizará sus tapones auditivos, debido a que la línea estaba produciendo.
Reporta: Leidy Vanesa Camey de León</t>
  </si>
  <si>
    <t>Natanael Valencia</t>
  </si>
  <si>
    <t>Se aborda a Fernando de IIISA quien caminaba en paso peatonal de L2 sin lentes de protección, reporta Luis Angel</t>
  </si>
  <si>
    <t xml:space="preserve">Fernando López </t>
  </si>
  <si>
    <t>Se reporta a Juan Rodas por falta de uso de pasamos frente a cafetería, reporta Luis Angel</t>
  </si>
  <si>
    <t>Se aborda a José de Ecolab por falta de uso de protección auditiva, se corrige, reporta Luis Angel</t>
  </si>
  <si>
    <t xml:space="preserve">José Esquila </t>
  </si>
  <si>
    <t>Se aborda a Felix por utilizar lentes oscuros no aprobados dentro de línea de producción y se corrige de inmediato.</t>
  </si>
  <si>
    <t>Se aborda a Byron por falta de uso de pasamanos y se corrige de inmediato</t>
  </si>
  <si>
    <t xml:space="preserve">Se abordo positivamente al operador de montacargas pedro tumacaj por no utilizar el cinturón de seguridad </t>
  </si>
  <si>
    <t xml:space="preserve">Se abordo positivamente al op de montacargas Ángel Mejía por no usar el cinturón de seguridad </t>
  </si>
  <si>
    <t xml:space="preserve">Ángel Mejía </t>
  </si>
  <si>
    <t>Se aborda al compañero Franklin Girón piloto de Logistic, ya que su playera no contaba con cinta reflectiva. Reportó Luis Pérez</t>
  </si>
  <si>
    <t>Franklin Girón</t>
  </si>
  <si>
    <t>Se aborda al compañero Henry Gutiérrez de Worldlogic por no tener calzado con punta de acero. Reportó Luis Pérez</t>
  </si>
  <si>
    <t>Henry Gutierrez</t>
  </si>
  <si>
    <t xml:space="preserve">Se refuerza con Otto Andrea la no utilización de herramienta hechiza en caja de llenadora L4. Reporta Mario Ramos </t>
  </si>
  <si>
    <t xml:space="preserve">Otto Andrea </t>
  </si>
  <si>
    <t>Uso de herramientas hechizas</t>
  </si>
  <si>
    <t xml:space="preserve">Se refuerza a Alan Pérez la importancia de uso de protección auditiva, no lo estaba usando </t>
  </si>
  <si>
    <t xml:space="preserve">Alan Pérez </t>
  </si>
  <si>
    <t xml:space="preserve">Se aborda positivamente a Juan Carlos de construcciones Nabla, se encuentra haciendo trabajos en altura sin anclarse a la escalera </t>
  </si>
  <si>
    <t xml:space="preserve">Juan Carlos </t>
  </si>
  <si>
    <t>Se detiene a José Chay auxiliar Soprinsa de jarabes por transportar lámina desde el almacén sin hacer uso de guantes, se corrige para continuar. Reportó Nery Rivera</t>
  </si>
  <si>
    <t>José Chay</t>
  </si>
  <si>
    <t>Se detiene a Ángel Paz auxiliar Soprinsa de jarabes por transportar lámina desde el almacén sin hacer uso de guantes, se corrige para continuar. Reportó Nery Rivera</t>
  </si>
  <si>
    <t>Se encuentra a Marco Argueta usando audífonos mientras manipulaba manualmente la etiquetadora. Se aborda al compañero y corrige el acto inseguro en el momento</t>
  </si>
  <si>
    <t>Se encuentra a Bayron Chay sin su EPP en linea dd producción</t>
  </si>
  <si>
    <t>Se aborda a Mario Toj auxiliar línea 1 por portar la camisa fuera del pantalón, el compañero procede a meterse la camisa. Reportó Oscar Ramírez</t>
  </si>
  <si>
    <t>Mario Toj</t>
  </si>
  <si>
    <t>Se aborda a Jaime Chex por no tener protección auditiva en línea 5, procedió a colocarse la protección. Reportó Oscar Ramírez</t>
  </si>
  <si>
    <t>Se aborda a José Cajas por no tener protección auditiva en línea 5 procedió a colocarse la protección. Reportó Oscar Ramírez</t>
  </si>
  <si>
    <t>Josué Cajas</t>
  </si>
  <si>
    <t>Se aborda al compañero Mario Pérez quien portaba la camisa fuera del pantalón en línea 2, procedió a usar la vestimenta correctamente. Reporta Oscar Ramírez</t>
  </si>
  <si>
    <t>Mario Pérez</t>
  </si>
  <si>
    <t>Se aborda al compañero Fredy Fuentes quien portaba la camisa fuera del pantalón en línea 2, procedió a usar la vestimenta correctamente.</t>
  </si>
  <si>
    <t xml:space="preserve"> Se aborda a Everardo Sanan por estar usando un auricular en línea de producción procede a guardarlo. Reportó Oscar Ramírez</t>
  </si>
  <si>
    <t>Se aborda a Esaú Segura por no estar utilizando la protección auditiva en línea de producción, se corrige. Reportó Oscar Ramírez</t>
  </si>
  <si>
    <t>Se aborda a Fernando Cáceres por no estar utilizando la protección auditiva en línea de producción y procedió a colocársela. Reportó Oscar Ramírez</t>
  </si>
  <si>
    <t>Fernando Caceres</t>
  </si>
  <si>
    <t>Se aborda a Luz Rocha de Livsmart, hacia recorridos en área de cisterna sin hace uso de reflectivo, se indica a acompañante María Obregón brindarle chaleco para continuar. Reportó Oscar Ramos</t>
  </si>
  <si>
    <t>Se aborda a Alejandra Castro de grupo CEN S.A. por hacer uso del celular mientras caminaba en visita en área de cisternas, se retroalimenta para detenerse al usar su teléfono y se continúa con la visita. Reportó Oscar Ramos</t>
  </si>
  <si>
    <t>Se aborda a Gustavo Saballos de la empresa CEN por no utilizar pasamanos al ingreso desde garita hasta el área. Se le aborda y se le explica la importancia de utilizarlo. Reporta Rodrigo Galindo</t>
  </si>
  <si>
    <t>Gustavo Saballos</t>
  </si>
  <si>
    <t>Se aborda a Alejandra Castro, por no usar el molinete y el camino destinado de ingreso de la carretera hacia ingreso de garita, se le detiene ya que iba fuera del encaminado eh iban saliendo tráileres. Reportó Rodrigo Galindo</t>
  </si>
  <si>
    <t>Se aborda a piloto Edgar Méndez de transporte de perfiles MAINCO por no portar casco, al momento de ingresar al almacén, procedió a ponérselo. Reportó Rolando Gómez</t>
  </si>
  <si>
    <t>Edgar Mendenz</t>
  </si>
  <si>
    <t>El piloto José García de la empresa las pipas, ingresa y hace un giro en área de estacionamiento donde no está autorizado girar por lo que se le aborda para que evite volver a hacerlo. Reportó Rolando Gómez</t>
  </si>
  <si>
    <t xml:space="preserve">Se aborda al compañero Jonathan Arreaga de Soprinsa ya que se encuentra ingresando al área de Ptar sin autorización. </t>
  </si>
  <si>
    <t>Jonatan Arreaga</t>
  </si>
  <si>
    <t>Yessica Luarca</t>
  </si>
  <si>
    <t>Se aborda positivamente a Nelson Saquic por tener la camisa de fuera riesgo de atrapamiento en el área de entarimado de línea 1. Reportó Abel Aguilar</t>
  </si>
  <si>
    <t>Nelson Saquic</t>
  </si>
  <si>
    <t>Se reporta Lizandro Sánchez en el área de entarimado por tener de fuera la camisa riesgo de atrapamiento. Reportó Abel Aguilar</t>
  </si>
  <si>
    <t>Se reporta a Selvin Santay por no usar sus tapones auditivos en el área de desentarimado de línea 2. Reportó Abel Aguilar</t>
  </si>
  <si>
    <t>Se reporta a Alex Rucun por tener la Camisa de fuera, peligro de atrapamiento en el área de lavadora de cajilla. Reportó Abel Aguilar</t>
  </si>
  <si>
    <t>Se aborda positivamente a Mario soto por tener la camisa de fuera riesgo de atrapamiento en el área de entarimado L1. Reportó Abel Aguilar</t>
  </si>
  <si>
    <t xml:space="preserve">Se aborda a Mario Dany Pons por no utilizar su protección auditiva durante descarga de preforma en Línea 3. Reporto A.Guatzin
</t>
  </si>
  <si>
    <t xml:space="preserve">Se aborda a Francisco Socop por no utilizar casco en área de tolva de preforma durante producción. Reporto A. Guatzin
</t>
  </si>
  <si>
    <t xml:space="preserve">Se aborda a Wiman López por no utilizar su equipo de protección auditiva durante descarga de preforma en línea 3. Reporta A. Guatzin
</t>
  </si>
  <si>
    <t xml:space="preserve">Se aborda a Jaeyner Caceres por cruzar en medio de la bodega de preforma de línea 3 y línea 4. Reporto A.Guatzin
</t>
  </si>
  <si>
    <t>Jayner Caceres</t>
  </si>
  <si>
    <t>Se encuentra a José Maria subiendo las gradas a reactor sin utilizar el pasamanos</t>
  </si>
  <si>
    <t>Jose María Sandoval</t>
  </si>
  <si>
    <t>Se aborda a Diego Estrada de Krones por no utilizar el casco en los pasillos y llevarlo en la mano. Reportó Bryan Rodas</t>
  </si>
  <si>
    <t>Diego Estrada</t>
  </si>
  <si>
    <t xml:space="preserve">Paudilio López Nabla se encontraba en una escalera en una altura mayor a 1.50 sin arnés y la escalera sin anclaje </t>
  </si>
  <si>
    <t xml:space="preserve">Paudilio López </t>
  </si>
  <si>
    <t xml:space="preserve">Rafael castro Nabla se encontraba limpiado vidrios en una escalera sin utilizar casco </t>
  </si>
  <si>
    <t xml:space="preserve">Rafael Castro </t>
  </si>
  <si>
    <t>Se aborda a Diana Pérez, quien se encontraba abriendo y extrayendo datos de panel eléctrico de CIP. Reportó Bryan Rodas</t>
  </si>
  <si>
    <t>Andrés Juxelic de transportes Isabel. Parqueo cabezal sobre paso peatonal y en vía contraria. Bryan Rodas</t>
  </si>
  <si>
    <t>Andrés Juxelic</t>
  </si>
  <si>
    <t xml:space="preserve">Traía un saco de material en el hombro y no venía agarrando la carga y tampoco hizo uso del pasamanos </t>
  </si>
  <si>
    <t xml:space="preserve">Misael </t>
  </si>
  <si>
    <t>Personal de ETA estaban apoyando a mantenimiento en colocar un tomacorriente.  En el área se necesita un punto de anclaje para poder realizar trabajo en alturas. Reporta Domingo Yac</t>
  </si>
  <si>
    <t>Personal de ETA y mantenimiento.</t>
  </si>
  <si>
    <t>Se detuvo a José Chay por hacer uso de la pulidora sin usar ambos guantes, se corrige y se continúa. Reportó Dony García</t>
  </si>
  <si>
    <t>Se aborda a Carlos Calel personal de Energuate, caminando atrás de oficinas administrativas sin usar el paso peatonal, se hace concientización y se corrige por uso obligatorio pasos peatonales. Reportó Edson Bonifacio</t>
  </si>
  <si>
    <t>Carlos Calel</t>
  </si>
  <si>
    <t>Edson Bonifacio</t>
  </si>
  <si>
    <t>Se aborda a Vinicio Mendoza caminando usando el teléfono de oficinas administrativas hacia garita. Reportó Edson Bonifacio</t>
  </si>
  <si>
    <t>Víctor Gómez de transporte GPB se encuentra caminando mientras utiliza el teléfono, se le aborda positivamente y se corrige el acto en el momento. Reportó Fredy Fuentes</t>
  </si>
  <si>
    <t>Víctor Gómez</t>
  </si>
  <si>
    <t>Se aborda al piloto Freddy David Curiales de transportes Kevi por girar unidad en un lugar no autorizado. Reportó Fredy Fuentes</t>
  </si>
  <si>
    <t>Fredy David Curiales</t>
  </si>
  <si>
    <t>Se aborda al compañero Marco López operador de L1, por agarrar envase de vidrio sin guantes anticorte. Reportó Fredy Fuentes</t>
  </si>
  <si>
    <t>Se aborda por manipulación de envase en transporte activo sin guantes anticorte.</t>
  </si>
  <si>
    <t>Carlos Miranda</t>
  </si>
  <si>
    <t>Se aborda al compañero Rony López ya que se encontraba manipulando envase de vidrio sin guantes anticorte. Reportó Gustavo Hernández</t>
  </si>
  <si>
    <t>Rony López</t>
  </si>
  <si>
    <t>Se aborda a Joel Hernández por llevar herramientas en ambas manos sin posibilidad de tomarse del pasamanos. Reportó Hellen Estrada</t>
  </si>
  <si>
    <t>Repellando pared en altura, pero sin ninguna base plana para pararse</t>
  </si>
  <si>
    <t>Juan Carlos</t>
  </si>
  <si>
    <t>Se detuvo al proveedor Kleber Murer de la empresa Henkel, quien iba a sujetar un envase de vidrio sin guantes anticorte. Reportó Jaime Chilel</t>
  </si>
  <si>
    <t>Kleber Murer</t>
  </si>
  <si>
    <t>Se aborda al compañero Dani Hernández de talleres BARTH quien laboraba expuesto a condiciones climáticas desfavorables, muy amablemente detiene labores y procede a resguardarse. Reportó Jason Calderón</t>
  </si>
  <si>
    <t>Dani Hernández</t>
  </si>
  <si>
    <t>Se aborda a Ronaldo López operador de pipa 4 CO2 por no utilizar sus guantes criogénicos para la descarga. Reportó Josué Vásquez</t>
  </si>
  <si>
    <t>Ronald López</t>
  </si>
  <si>
    <t>Emmanuel Solís caminando en almacén de materia prima sin el uso de su casco, se aborda de manera positiva. Reportó Kelly Calderón</t>
  </si>
  <si>
    <t>Emmanuel Solis</t>
  </si>
  <si>
    <t>Se aborda a Francisco Herrera de ProElectric, quien paso abajo de un transporte para cruzar en sala de llenado en L2, se le explica que debe tomar los pasos peatonales, reporta Luis Angel</t>
  </si>
  <si>
    <t>Francisco Herrera</t>
  </si>
  <si>
    <t>Se reporta a Ernesto Meza de L1 por falta de protección auditiva en paso cercano a generador cuando estaba en funcionamiento, lo hacía con sus manos, se corrige, reporta Luis Angel</t>
  </si>
  <si>
    <t>Ernesto Meza</t>
  </si>
  <si>
    <t xml:space="preserve">Se abordo positivamente al piloto de transporte clc José Guerra por no utilizar chaleco o camisa con reflectivo en sala de espera de cdc </t>
  </si>
  <si>
    <t xml:space="preserve">José Guerra </t>
  </si>
  <si>
    <t>Se aborda al compañero Carlos Cifuentes ya que se encontraba corriendo haciendo carreras dentro del área del CD junto con el compañero Alex Osorio. Reportó Luis Pérez</t>
  </si>
  <si>
    <t>Se aborda al compañero Alex Osorio por correr junto al compañero Carlos Cifuentes, estaban haciendo carreras dentro del área del CD. Reportó Luis Pérez</t>
  </si>
  <si>
    <t xml:space="preserve">Se abordo a José ramos de soprinsa ya que no contaba con lentes de protección en área de lavado manual de envase </t>
  </si>
  <si>
    <t>José ramos</t>
  </si>
  <si>
    <t xml:space="preserve">Se abordo al piloto Cesar García de clc por ingresar al pit de cargas sin las luces encendidas de la unidad </t>
  </si>
  <si>
    <t xml:space="preserve">Cesar García </t>
  </si>
  <si>
    <t xml:space="preserve">Se abordó a Carlos y Adalid de la empresa IISA, ellos pasan por línea 1 sin lentes y tapones auditivos, se les hace conciencia de la importancia de llevarlos siempre </t>
  </si>
  <si>
    <t>Se reporta a Luis Cruz de Solic por no hacer uso de su protección auditiva en área de reactores con el generador encendido. Reportó Nery Rivera</t>
  </si>
  <si>
    <t>Luis Cruz</t>
  </si>
  <si>
    <t>Se encuentra a Diego Estrada técnico de krones sin protección auditiva dentro de la sala de llenado en plena producción. Se aborda y se corrige acto inseguro.</t>
  </si>
  <si>
    <t>Diego estrada</t>
  </si>
  <si>
    <t>se encuentra al compañero Otto Andrea sin casco de protección, se aborda y se corrige acto</t>
  </si>
  <si>
    <t>Se aborda al compañero Manuel Escobar quien se encontraba dando mantenimiento en L1 sin camisa con reflectivo. Reporta Oscar Rampirez</t>
  </si>
  <si>
    <t>Se aborda al compañero Joel Pérez, se encontraba en mantenimiento de L1 sin camisa con reflectivo. Reportó Oscar Ramírez</t>
  </si>
  <si>
    <t>Se aborda a Josué Martínez auxiliar de sala de jarabes por hacer limpieza usando químico trasegado sin hacer uso de lentes. Reportó Oscar Ramos</t>
  </si>
  <si>
    <t>Josué Martínez</t>
  </si>
  <si>
    <t>Se aborda a Jenifer Castro de grupo CEN por hacer uso de su celular durante visita en tratamiento de aguas. Reporta Oscar Ramos</t>
  </si>
  <si>
    <t>Jenifer Castro</t>
  </si>
  <si>
    <t>Se aborda a José Ortiz piloto de transporte CPS por bajarse del camión de entrega de repuestos sin zapatos industriales, se los coloco. Reportó Rolando Gómez</t>
  </si>
  <si>
    <t>José Ortíz</t>
  </si>
  <si>
    <t>Se aborda al piloto Josué Guerra por acto inseguro, obstrucción de paso peatonal. Reportó Roy Luarca</t>
  </si>
  <si>
    <t>Josué Guerra</t>
  </si>
  <si>
    <t>Luis Ernesto Cruz de soluciones de ingeniería y construcción no se agarra del pasamanos para ingresar a oficinas de procesos. Reportó Adrián Santisteban</t>
  </si>
  <si>
    <t>Se aborda a Cesar Velasquez operador de tratamiento de aguas por no dejar cerrado con candado el brocal de cisterna de agua cruda luego de revisar los niveles. Reportó Dony García</t>
  </si>
  <si>
    <t>Álvaro Jiménez de grupo CEN realiza trabajos de rompimiento de brocal de pozo sin hacer uso de lentes. Reportó Adrián Santisteban</t>
  </si>
  <si>
    <t>Álvaro Jiménez</t>
  </si>
  <si>
    <t>Se aborda al compañero Marvin Alberto Cortez de grupo CEN ingresa a pozo 2 de planta hablando por teléfono y caminando. Reportó Adrián Santisteban</t>
  </si>
  <si>
    <t>Marvin Cortez</t>
  </si>
  <si>
    <t>Se aborda a Henry Linares auxiliar de jarabes por realizar limpieza lavando el piso sin señalización de piso mojado, se pidió colocarlos antes de continuar con la limpieza de piso. Reportó Nery Rivera</t>
  </si>
  <si>
    <t>Henry Linares</t>
  </si>
  <si>
    <t>Se aborda a Brandon Pérez, se encontraba caminando y hablando por teléfono en el ingreso a sala de jarabes nueva. Reportó Adrián Santisteban</t>
  </si>
  <si>
    <t>Brandon Pérez</t>
  </si>
  <si>
    <t>Se aborda al compañero auxiliar de carga de azúcar, se encontraba trasladando jumbos al bunker sin utilizar casco. Reportó Adrian Santisteban</t>
  </si>
  <si>
    <t>Auxiliar de carga</t>
  </si>
  <si>
    <t>Dixielis Ivon Marroquin de la empresa CEN se encontró caminando y hablando por teléfono en sala de jarabes vieja. Reportó Adrián Santisteban</t>
  </si>
  <si>
    <t>Dixielis Ivón Marroquin</t>
  </si>
  <si>
    <t>El auxiliar de turno Adam Vásquez se encontraba agregando ingredientes durante la formulación sin utilizar lentes de protección. Reportó Adrián Santisteban</t>
  </si>
  <si>
    <t>Adam Vásquez</t>
  </si>
  <si>
    <t xml:space="preserve">Se aborda a Cristofer Alvares por utilizar el teléfono mientras caminaba en paso peatonal hacia cabina Línea 4. Reporto A.Guatzin
</t>
  </si>
  <si>
    <t>Cristofer Álvarez</t>
  </si>
  <si>
    <t xml:space="preserve">Se aborda a Efrain García por cruzar en medio de la bodega de preforma de línea 3 y línea 4. Reporto A.Guatzin
</t>
  </si>
  <si>
    <t>Efrain García</t>
  </si>
  <si>
    <t xml:space="preserve">Se aborda a Rony Elías por no utilizar su equipo de protección auditiva durante descarga de preforma en línea 3. Reporta A. Guatzin
</t>
  </si>
  <si>
    <t>Se aborda a Isai López por no utilizar su equipo de protección auditiva en are de paletizadora durante descarga de preforma. Reporto A. Guatzin</t>
  </si>
  <si>
    <t>Isai López</t>
  </si>
  <si>
    <t>Se encuentra a Tony Caceres en preempacado de línea 1 sin mangas anticorte, se aborda y corrige en el momento</t>
  </si>
  <si>
    <t>Tony Caceres</t>
  </si>
  <si>
    <t>Se encuentra a Juan Poz sin protección auditiva en sala de llenado L5</t>
  </si>
  <si>
    <t>Juan Poz</t>
  </si>
  <si>
    <t xml:space="preserve">Se abordó a Rodrigo de Krones por andar en los pasillos con audífonos </t>
  </si>
  <si>
    <t xml:space="preserve">Rodrigo Krones </t>
  </si>
  <si>
    <t xml:space="preserve">Se aborda positivamente a Daniel Chan por dirigirse a SS generales y no tomarse del pasamanos en la rampa </t>
  </si>
  <si>
    <t xml:space="preserve">Daniel Chan </t>
  </si>
  <si>
    <t xml:space="preserve">Armando de construcciones Joel baja la rampa de área admon sin utilizar el pasamanos se abordó positivamente </t>
  </si>
  <si>
    <t>Armando López</t>
  </si>
  <si>
    <t xml:space="preserve">Se aborda a Javier Alvarado para q utilice sus tapones auditivos en la línea de producción </t>
  </si>
  <si>
    <t>Piloto de unidad de búnker Enrique Sarat Pastor no hace uso de los pasos peatonales, se aborda y se corrige. Reportó Byron Valux</t>
  </si>
  <si>
    <t>Enrique Sarat</t>
  </si>
  <si>
    <t xml:space="preserve">No se agarró del pasamanos </t>
  </si>
  <si>
    <t>Se indica a Edwin Santos colocarse protección auditiva en área de reactores mientras el generador estaba encendido. Reportó Dony García</t>
  </si>
  <si>
    <t>Se aborda a José Ordoñez de SEI por subir a reactores sin hacer uso del pasamanos, se corrige para continuar. Reportó Dony García</t>
  </si>
  <si>
    <t>José Ordoñez</t>
  </si>
  <si>
    <t>Se aborda a Edwin Palacios de segurity caminando sin casco por almacén de repuestos, se aborda positivamente que tiene que estar con epp por cualquier área de planta. Reportó Edson Bonifacio</t>
  </si>
  <si>
    <t>Edwin Palacios</t>
  </si>
  <si>
    <t>Se aborda positivamente a Elvis Oliva en área de compresores de amoniaco sin utilizar orejeras, se corrige en el momento. Reportó Edson Bonifacio</t>
  </si>
  <si>
    <t>Se aborda al compañero Daniel Chan, se encontraba con camisa con reflectivo deteriorado en L5. Reportó Elvis Oliva</t>
  </si>
  <si>
    <t>Se aborda al señor José Chacón de CPS por no informar al momento de hacer un giro en un lugar indebido, lo que podría provocar un accidente, se corrige en el momento. Reportó Fredy Fuentes</t>
  </si>
  <si>
    <t>José Chacón</t>
  </si>
  <si>
    <t>William de Constru Proyectos sin tomarse del pasamanos y llevando una cubeta de cemento. Reportó Hellen Estrada</t>
  </si>
  <si>
    <t>William Catalin</t>
  </si>
  <si>
    <t>Rodrigo Callejas realizando mantenimiento en L4 con playera sin reflectivo. Reportó Hellen Estrada</t>
  </si>
  <si>
    <t>Rodrigo Callejas</t>
  </si>
  <si>
    <t>El piloto de unidad de bunker, no respeta la delimitación del area de descarga, exponiendose a accidente contra  otra unidad en transito. Reporta Jason Calderón.</t>
  </si>
  <si>
    <t>Fredy Curiales</t>
  </si>
  <si>
    <t xml:space="preserve">Piloto que trae bunker sube a inspeccionar pipa sin arnes de seguridad, se detiene de inmediaro y explica la importancia del uso del arnes, reporta Jason Calderón </t>
  </si>
  <si>
    <t xml:space="preserve">Victor Gomes </t>
  </si>
  <si>
    <t>Auxiliar de bodega Carlos Moran caminaba viendo el teléfono, se le aborda de manera positiva. Reportó Kelly Calderón</t>
  </si>
  <si>
    <t xml:space="preserve">Personal operativo, se dirigía a línea 3 sín uso de tapones auditivos, cuando la línea está produciendo, se le aborda para que se coloque sus tapones.
Reporta: Leidy Vanesa Camey </t>
  </si>
  <si>
    <t>Se aborda a Jose Perez Ecolab por falta de uso de tapones auditivos en llenadora de L5, reporta Luis Angel</t>
  </si>
  <si>
    <t>Jose Perez</t>
  </si>
  <si>
    <t>Se aborda positivamente a Jose Godinez de IIISA quien se encontraba sin protección ocular en trabajo con herramienta manual, reporta Luis Angel</t>
  </si>
  <si>
    <t>Jose Godinez</t>
  </si>
  <si>
    <t>Se aborda positivamente a Don Jorge porque no había colocado las cuñas correspondientes en las llantas. Se encontraba parqueado porque se disponía a hacer la descarga de CO2. Se corrige de inmediato con buena actitud.</t>
  </si>
  <si>
    <t>Jorge Cuyun</t>
  </si>
  <si>
    <t>Se aborda a Daniel Chang por el uso de audifonos cuando se encuentra en moviendo en el pasillo hacía las cabinas de ingreso y se corrige de inmediato</t>
  </si>
  <si>
    <t>Daniel Chang</t>
  </si>
  <si>
    <t xml:space="preserve">A aborda positivamente al piloto Franklin Giron de WL ya que no contaba con camisa con cinta reflectiva en rampas de agencia </t>
  </si>
  <si>
    <t>Franklin Giron</t>
  </si>
  <si>
    <t>Se encuentra unidad encendida y sin piloto en unidad frente a almacén de repuestos.</t>
  </si>
  <si>
    <t>Se aborda al piloto Hernan Cardona de Transportes Medina por no tener botas industriales, se encontraba con tenis a la espera de documentos en CD. Reportó Luis Pérez</t>
  </si>
  <si>
    <t>Hernan Cardona</t>
  </si>
  <si>
    <t>Se encuentra al compañero Edgar Primero en tarea de enlonado de rastra sin equipo de protección para trabajos en altura. Reportó Luis Pérez</t>
  </si>
  <si>
    <t>Se encuentra al compañero Wilman Pelico en tarea de enlonado de rastra sin equipo de protección para trabajos en altura. Reportó Luis Pérez</t>
  </si>
  <si>
    <t>Wilman Pelicó</t>
  </si>
  <si>
    <t xml:space="preserve">Se abordo el operador de montacargas Cruz Herrera ya que estaba conduciendo el su montacargas con el candado de seguridad puesto en timón, indicando que no sabía la contraseña del mismo  
</t>
  </si>
  <si>
    <t xml:space="preserve">CRUZ HERRERA </t>
  </si>
  <si>
    <t xml:space="preserve">Se abordó a Mauricio Palacios de Security, los que ven el mantenimiento de las cámaras, se encontraba dándole mantenimiento a las cámaras en L2 sin tapones auditivos, se le hace ver la importancia de portarlos </t>
  </si>
  <si>
    <t xml:space="preserve">Mauricio Palacios </t>
  </si>
  <si>
    <t xml:space="preserve">Se aborda de Juan Pablo Samayoa no se toma del pasamanos enfrente de los lockers, se le hace conciencia del uso de ello </t>
  </si>
  <si>
    <t xml:space="preserve">Juan Pablo Samayoa </t>
  </si>
  <si>
    <t xml:space="preserve">se encontró a Otto Andrea sin casco y sin Camisa con reflectivo </t>
  </si>
  <si>
    <t xml:space="preserve">personal antes mencionado se encontraba sin camisa reflectivo en áreas de trabajo asignado </t>
  </si>
  <si>
    <t>Félix Pelico</t>
  </si>
  <si>
    <t xml:space="preserve">personal sin protección sin uso correcto de EPP y usando audífonos en línea de producción </t>
  </si>
  <si>
    <t xml:space="preserve">adonias </t>
  </si>
  <si>
    <t xml:space="preserve">personal sin protección auditivo en línea de producción </t>
  </si>
  <si>
    <t>Bayron Chay</t>
  </si>
  <si>
    <t xml:space="preserve">No aplico LOTO en tareas de mantenimiento en extractores L2, reporte para l1. Reportó Oscar Ramírez </t>
  </si>
  <si>
    <t>No aplico LOTO en tareas de mantenimiento en extractores L2, reporte para l1. Reportó Oscar Ramírez</t>
  </si>
  <si>
    <t>No aplicó LOTO en tareas de mantenimiento en extractores L2, reporte para l1. Reportó Oscar Ramírez</t>
  </si>
  <si>
    <t>Wilber Quiñonez</t>
  </si>
  <si>
    <t>Se aborda al compañero Edy Baten auxiliar de Soprinsa, se encontraba en línea 4 sin protección auditiva, procedió a colocársela. Reportó Oscar Ramírez</t>
  </si>
  <si>
    <t>Se aborda al compañero Manuel Escobar auxiliar de Soprinsa, se encontraba en línea 4 sin protección auditiva, procedió a colocársela. Reportó Oscar Ramírez</t>
  </si>
  <si>
    <t>Se aborda al compañero Eusebio Cal, se encontraba entarimando sin mangas anticorte, se corrige. Reportó Oscar Ramírez</t>
  </si>
  <si>
    <t>Se aborda al compañero Luis Pérez que transitaba de garita hacia CD sin camisa con reflectivo. Reportó Oscar Ramírez</t>
  </si>
  <si>
    <t>Se aborda a Edwin Díaz por hacer uso de navaja de mano sin guantes anticorte durante tarea de reparación de bomba de agua, se corrige y se continúa la tarea. Reportó Oscar Ramos</t>
  </si>
  <si>
    <t>Edwin Díaz</t>
  </si>
  <si>
    <t>Se aborda a Mario Galindo de Security por realizar trabajo de limpieza de cámaras en nave osmosis sin estar anclado a la estructura, se ancla y continúa la limpieza. Reportó Oscar Ramos</t>
  </si>
  <si>
    <t>Mario Galindo</t>
  </si>
  <si>
    <t>Agenda de Rutina</t>
  </si>
  <si>
    <t>Se aborda a Juan Santos de agencia Retalhuleu. Por ingreso al área sin autorización y sin EPP. Se aborda y se le solicita que se retire del área. Reportó Erwin Rodrigo</t>
  </si>
  <si>
    <t>Juan Santos</t>
  </si>
  <si>
    <t>Se aborda e indica a Edwin Santos colocarse protección auditiva en área de reactores mientras el generador estaba encendido. Reportó Oscar Ramos</t>
  </si>
  <si>
    <t xml:space="preserve">Se aborda y se detienen a Fernando Cáceres, se encontraba entarimando sin mangas anticorte. Reportó Oscar Ramírez
</t>
  </si>
  <si>
    <t>Fernando Cáceres</t>
  </si>
  <si>
    <t>Carlos Enrique Jocop de ADUE habla por teléfono y camina en nave de ósmosis. Reportó Adrián Santisteban</t>
  </si>
  <si>
    <t>Carlos Jocop</t>
  </si>
  <si>
    <t>Jonathan Itzol de MyG desarrollos constructivos no utiliza pasa manos al ingresar a planta. Reportó Adrián Santisteban</t>
  </si>
  <si>
    <t>Jonathan Itzol</t>
  </si>
  <si>
    <t>Ángel Paz operador de ETA sin casco en nave de ósmosis. Reportó Adrián Santisteban</t>
  </si>
  <si>
    <t>Nilson Salam no utiliza lentes de protección al agregar cal al calero de ETA. Reportó Adrián Santisteban</t>
  </si>
  <si>
    <t>Gender Puc de MyG desarrollos constructivos habla por teléfono mientras camina hacia ingreso oficinas de jarabes. Reportó Adrián Santisteban</t>
  </si>
  <si>
    <t>Gender Puc</t>
  </si>
  <si>
    <t>Brandon Pérez de MyG no utiliza el pasamanos mientras ingresa a sala de jarabes. Reportó Adrián Santisteban</t>
  </si>
  <si>
    <t xml:space="preserve">Gustavo de la Cruz no utilizaba casco mientras cargaba azúcar en sala de jarabes nueva. Reportó Adrián Santisteban
</t>
  </si>
  <si>
    <t>Gustavo De La Cruz</t>
  </si>
  <si>
    <t>Edwin Santos no utiliza lentes de protección mientras utilizaba la pulidora. Reportó Adrián Santisteban</t>
  </si>
  <si>
    <t xml:space="preserve">Se aborda a Francisco Socop por no utilizar lentes de protección en paso por líneas GRB. Reporto A.Guatzin
</t>
  </si>
  <si>
    <t xml:space="preserve">Se aborda a Pablo Reyes por no utilizar su equipo de protección auditiva durante descarga de preforma línea 3. Reporto A. Guatzin
</t>
  </si>
  <si>
    <t xml:space="preserve">Se aborda a Jeiner Caceres por cruzar entre bodegas de preforma. Reporto A. Guatzin
</t>
  </si>
  <si>
    <t xml:space="preserve">Se aborda a Yony Godinez por no utilizar su equipo de proteccion auditiva durante descarga de preforma en linea 3. Reporta A. Guatzin
</t>
  </si>
  <si>
    <t>Se encuentra a Rolfi en sala de llenado de L3 sin protección auditiva</t>
  </si>
  <si>
    <t>Rolfi Morales</t>
  </si>
  <si>
    <t>Marcos de aire sistemas sin utilizar el pasamanos en la rampa del nuevo edificio Admón.</t>
  </si>
  <si>
    <t xml:space="preserve">Marcos </t>
  </si>
  <si>
    <t xml:space="preserve">Christofer practicante de GyG subiendo gradas al área administrativa sin tomarse del pasamanos </t>
  </si>
  <si>
    <t xml:space="preserve">Christofer Rodríguez </t>
  </si>
  <si>
    <t xml:space="preserve">Fernando castro de security se encuentra en el área de jarabes realizando trabajos sin casco de protección </t>
  </si>
  <si>
    <t xml:space="preserve">Fernando Castro </t>
  </si>
  <si>
    <t xml:space="preserve">Edwin Palacios de security se encuentra trabajando en una escalera sin casco de protección </t>
  </si>
  <si>
    <t xml:space="preserve">Edwin Palacios </t>
  </si>
  <si>
    <t xml:space="preserve">Dimar Minzon durante el sismo y protocolos de evacuación e inspección de áreas no evacuó y se encontraba en el servicio sanitario. Se le indicó q debía evacuar </t>
  </si>
  <si>
    <t xml:space="preserve">Dimar Monzon </t>
  </si>
  <si>
    <t xml:space="preserve">Se abordó positivamente a César por falta de uso de gorra casco o casco en la línea de producción </t>
  </si>
  <si>
    <t>Se le indica a don Elvis Oliva q haga el uso de pasamanos en el nuevo edificio administrativo.</t>
  </si>
  <si>
    <t xml:space="preserve">Elvis Oliva </t>
  </si>
  <si>
    <t>Luis Cabrera, personal de calidad se encontraba en L5 sin protección auditiva. Reportó Bryan Rodas</t>
  </si>
  <si>
    <t>Se aborda al compañero Alex Primero de Soprinsa, no cuenta con barbiquejo se encuentra realizando trabajos en altura en área de carga. Reportó Daniel Pineda</t>
  </si>
  <si>
    <t>Alex Primero</t>
  </si>
  <si>
    <t>Se reporta a Brian Echeverría de Krones por usar la rampa del edificio nuevo sin usar el pasamanos. Reportó Denni DeLeón</t>
  </si>
  <si>
    <t>Brian Echeverria</t>
  </si>
  <si>
    <t>Fatima estaba lavando cristalería con Enforce sin su equipo de protección ocular . Reprta Domingo Ya</t>
  </si>
  <si>
    <t>Fatima de Consuroc</t>
  </si>
  <si>
    <t>Se aborda a Tomas Rosel auxiliar de línea, manipulando botellas sin guantes anticorte en lámpara de lleno. Reportó Edson Bonifacio</t>
  </si>
  <si>
    <t>Se aborda a Fernando Alvarado operador de Inspector L2, manipulando botellas sin guantes anticorte, se concientiza el uso cuando se manipula botellas. Reportó Edson Bonifacio</t>
  </si>
  <si>
    <t>Se detiene a Mynor Leiva de Vaportec caminando hablando por teléfono, se concientiza que debe detenerse cuando habla por teléfono. Reportó Edson López</t>
  </si>
  <si>
    <t xml:space="preserve">Personal de Cindu estaba realizando trabajos de almacenamiento de material sobre la cisterna de agua, se les indica que esa área no es adecuada por la capacidad de carga, se pide que retiren el material, y se les asigna un área adecuada </t>
  </si>
  <si>
    <t xml:space="preserve">Personal de Cindu </t>
  </si>
  <si>
    <t>Eliu Tello</t>
  </si>
  <si>
    <t xml:space="preserve">Jorge Juan (piloto proveedor de nitrógeno) ingresa por rampas de CD hablando por teléfono, se le hace saber que no se puede realizar dicha acción. </t>
  </si>
  <si>
    <t xml:space="preserve">Jorge Juan </t>
  </si>
  <si>
    <t>Se aborda positivamente al compañero Cristian Ruano de CPS, caminando contestando mensajes. Reportó Fredy Fuentes</t>
  </si>
  <si>
    <t>Se aborda al piloto Jorge Frai Morales ya que dio giro en unidad de bunker de forma incorrecta. Reportó Fredy Fuentes</t>
  </si>
  <si>
    <t>Jorge Frai Morales</t>
  </si>
  <si>
    <t>Se estaciona de forma incorrecta frente almacén de repuestos, por lo que se le solicita estacionarse dentro del área designada. Reportó Fredy Fuentes</t>
  </si>
  <si>
    <t>José Santos</t>
  </si>
  <si>
    <t>Camina mientras revisa el teléfono celular, se aborda y se corrige. Reportó Fredy Fuentes</t>
  </si>
  <si>
    <t>Jorge Benavente</t>
  </si>
  <si>
    <t>Se aborda al compañero Jaime Serech, dando mantenimiento en L5 sin utilizar casco de seguridad, se corrige. Reportó German Orozco</t>
  </si>
  <si>
    <t>Jaime Adolfo Serech</t>
  </si>
  <si>
    <t>German Orozco</t>
  </si>
  <si>
    <t>Se aborda al compañero Isaí Mulato, se encontraba en tareas de mantenimiento en L5 sin casco, se corrige. Reportó German Orozco</t>
  </si>
  <si>
    <t>Isaí Mulato</t>
  </si>
  <si>
    <t>Se aborda y corrige positivamente a Isaí Mulato, auxiliar de Soprinsa de L5, quien se encontraba sin tapones auditivos. Reportó Gerson Castañeda</t>
  </si>
  <si>
    <t>Emanuel Solís de MP, se encuentra en L1 área de etiquetadora sin lentes de protección; se aborda para concientizar. Reportó Gustavo Hernández</t>
  </si>
  <si>
    <t>Se aborda al compañero Bryan González de Ecolab, se encontraba en L2 sin protección auditiva, se corrige. Reportó Hellen Estrada</t>
  </si>
  <si>
    <t>Bryan González</t>
  </si>
  <si>
    <t>Se aborda positivamente a Malik Arcentales, proveedor de KHS utilizando auriculares. Reportó Hellen Estrada</t>
  </si>
  <si>
    <t>Malik Arcentales</t>
  </si>
  <si>
    <t xml:space="preserve">Se abordo positivamente al piloto Fredy Gonzales de transporte abscom por no utilizar zapatos punta de acero en área de rampas de agencia. Reportó Isabel Saquila </t>
  </si>
  <si>
    <t xml:space="preserve">Fredy Gonzales </t>
  </si>
  <si>
    <t>Se aborda al compañero Adam Vasquez auxiliar de jarabes sin gorra casco, cargando azúcar en área de jarabes de sala nueva. Se aborda positivamente y se corrige. Reportó Jaime Chex</t>
  </si>
  <si>
    <t>Se aborda al compañero Adam Vasquez auxiliar de jarabes sin camisa de uniforme, cargando azúcar en área de jarabes de sala nueva. Se aborda positivamente y se corrige. Reportó Jaime Chex</t>
  </si>
  <si>
    <t xml:space="preserve">Se aborda a Walfred Guzmán, por reflectivo dañado en su camisa; se le pide utilizar chaleco para mejorar la visibilidad. Reporto Josue Vasquez </t>
  </si>
  <si>
    <t>Se aborda de manera positiva al compañero Mynor Hernández operador de montacarga hablando por teléfono y en movimiento de montacarga. Reportó Kelly Calderón</t>
  </si>
  <si>
    <t>Personal tercerizado se encuentra trabajando, con la línea en producción sin uso de EPP.
Reporta: Leidy Vanesa Camey</t>
  </si>
  <si>
    <t>Julio Afre</t>
  </si>
  <si>
    <t xml:space="preserve">Personal tercerizado, se encuentra trabajando con la línea produciendo sin uso de EPP.
Reporta: Leidy Vanesa Camey </t>
  </si>
  <si>
    <t>Brandon Cinta</t>
  </si>
  <si>
    <t>Se aborda a Byron Leopoldo de Construproyecto por uso de celular mientras caminaba, se corrige la acción atentamente, reporta Luis Angel</t>
  </si>
  <si>
    <t>Byron Leopoldo</t>
  </si>
  <si>
    <t>Se aborda a Yelsin Cascante vaportec por no utilizar protección auditiva en área frente a calderas cuando el ruido estaba muy alto, procedio a colocarlos, reporta Luis Angel</t>
  </si>
  <si>
    <t>Yelsin Cascante</t>
  </si>
  <si>
    <t>Se aborda a Byron Chay por no contar con tapones auditivos dentro de línea</t>
  </si>
  <si>
    <t>Se aborda a Dany por utilizar su teléfono mientras caminaba en la rampa que va del paso de camiones hacía tratamiento de agua.</t>
  </si>
  <si>
    <t xml:space="preserve">Se abordo positivo al opM yoni soto por no utilizar el cinturón de seguridad </t>
  </si>
  <si>
    <t xml:space="preserve">Yoni soto </t>
  </si>
  <si>
    <t xml:space="preserve">Se abordo positivamente a Hellen Estrada de calidad ya que ingreso a bodegas del cdc sin previo aviso, portaba gorra casco en bodegas cdc está establecido casco </t>
  </si>
  <si>
    <t xml:space="preserve">Se aborda al piloto Lorenzo López por hablar por teléfono mientras caminaba frente a repuesto </t>
  </si>
  <si>
    <t>Lorenzo Lopez</t>
  </si>
  <si>
    <t xml:space="preserve">Se abordó o a Brandon Sinta, iba caminando en el paso de montacargas sin hacer uso de los pasos peatonales, se le hizo ver la importancia del uso correcto, para resguardar su integridad física 
</t>
  </si>
  <si>
    <t xml:space="preserve">Brandon Cinta </t>
  </si>
  <si>
    <t>Se aborda al compañero Aroldo Rucun, operador de línea de producción ya que se encontraba sin protección auditiva, se aborda y explica la importancia del uso del epp y procede a ponérselo. Reportó Oscar Ramírez</t>
  </si>
  <si>
    <t>Aroldo Rucun</t>
  </si>
  <si>
    <t>Se aborda al compañero Gaspar Sánchez, operador de línea de producción ya que se encontraba sin protección auditiva, se aborda y explica la importancia del uso del epp y procede a ponérselo. Reportó Oscar Ramírez</t>
  </si>
  <si>
    <t>Gaspar Sánchez</t>
  </si>
  <si>
    <t>Se detiene a Fernando Palacios por no tener su protección auditiva, el compañero procede a colocarse su protección auditiva. Reportó Oscar Ramírez</t>
  </si>
  <si>
    <t>Fernando Palacios</t>
  </si>
  <si>
    <t>Se detiene a Mario Toj auxiliar de línea por no tener protección auditiva en línea 2 el compañero procede a colocarse el epp. Reportó Oscar Ramírez</t>
  </si>
  <si>
    <t>Se aborda a Eusebio Ramírez por no hacer uso de su protección auditiva en L2, se corrige. Reportó Oscar Ramírez</t>
  </si>
  <si>
    <t>Eusebio Ramírez</t>
  </si>
  <si>
    <t>Se aborda a José Citan auxiliar de línea, se encontraba inspeccionando producto en línea uno sin mangas anticorte, se le explica la importancia del uso y procede a colocarse las mangas. Reportó Oscar Ramírez</t>
  </si>
  <si>
    <t>Se aborda a Tomas Psorio auxiliar de línea, se encontraba inspeccionando producto en línea uno sin mangas anticorte, se le explica la importancia del uso y procede a colocarse las mangas. Reportó Oscar Ramírez</t>
  </si>
  <si>
    <t>Se aborda a Víctor Chajón auxiliar de línea, se encontraba inspeccionando producto en línea uno sin mangas anticorte, se le explica la importancia del uso y procede a colocarse las mangas. Reportó Oscar Ramírez</t>
  </si>
  <si>
    <t>Víctor Chajón</t>
  </si>
  <si>
    <t>Se aborda a Josué Pastor auxiliar de línea, se encontraba inspeccionando producto en línea uno sin mangas anticorte, se le explica la importancia del uso y procede a colocarse las mangas. Reportó Oscar Ramírez</t>
  </si>
  <si>
    <t>Se aborda a Esdras Orozco, ya que no contaba con protección auditiva ni lentes de protección en área de L2, comenta que ya reportó al equipo de SSO</t>
  </si>
  <si>
    <t>Se reporta a Walfred Guzmán por usar una camisa sin reflectivo, indica que GyG no le ha proporcionado otra. Reportó Denni DeLeón</t>
  </si>
  <si>
    <t xml:space="preserve">Se aborda a Wagner Estrada ya que estaba caminando mientras usaba su teléfono en las líneas de producción </t>
  </si>
  <si>
    <t>Se aborda al compañero Javier Alvarado para que utilice sus tapones auditivos en L5. Reportó Wilber López</t>
  </si>
  <si>
    <t>Wilber López</t>
  </si>
  <si>
    <t>Se aborca a Francisco Socop, se encontraba sin su EPP durante mantenimiento de paletizadora, se corrite. Reportó Obdulio Saquic</t>
  </si>
  <si>
    <t xml:space="preserve">Francisco socop </t>
  </si>
  <si>
    <t>Personal de L4 sin EPP durante intervención de sopladora, se corrige. Reportó Obdulio Saquic</t>
  </si>
  <si>
    <t>Félix Pelicó</t>
  </si>
  <si>
    <t>Jorge Cerech se encontraba operando etiquetadora de L05 sin uso de protección auditiva. Se aborda y corrige positivamente. Reportó Gerson Castañeda</t>
  </si>
  <si>
    <t>Jorge Cerech</t>
  </si>
  <si>
    <t>Se aborda a Miguel Cabezas, personal de Krones ya que andaba sin reflectivo dentro de planta. Reportó Walfred Guzmán</t>
  </si>
  <si>
    <t>Miguel Cabezas</t>
  </si>
  <si>
    <t xml:space="preserve">Se reporta a Manuel Escobar por utilizar bodegas de preformas a un costado de Línea 3 como paso peatonal. Reporto A.Guatzin
</t>
  </si>
  <si>
    <t>Se abordó al colaborador Wilson Primero  de soprinsa por no utilizar los pasos peatonales  hacia los baños cd. Reportó Luis Pérez</t>
  </si>
  <si>
    <t>Wilson Primero</t>
  </si>
  <si>
    <t xml:space="preserve">Antonio de PVC central se encuentra sin anclaje realizando trabajos en altura sobre andamios. Se aborda pero no acata las indicaciones y no quería identificar  </t>
  </si>
  <si>
    <t xml:space="preserve">Antonio </t>
  </si>
  <si>
    <t>Se encuentra a Obdulio Saquic, subido en los últimos peldaños de escalera sin alguien quien la detenga. Al bajarse de la escalera, se le hace comentario de tener cuidado al realizar dicha acción.</t>
  </si>
  <si>
    <t>Se encuentra a Luis Hernandez sin protección auditiva en área de generadores</t>
  </si>
  <si>
    <t>Luis Hernandez</t>
  </si>
  <si>
    <t>Se aborda Jorge Méndez de Soprinsa pasando en área restringida enfrente de las nuevas oficinas, por los trabajos en techos de L3 está restringida.</t>
  </si>
  <si>
    <t>Jorge Méndez</t>
  </si>
  <si>
    <t>Se aborda a Julio Zacarías, personal de aire sistemas por no usar casco abajo del contenedor del generador de L3, se corrige en el mismo tiempo. Reportó Edson Bonifacio</t>
  </si>
  <si>
    <t>Julio Zacarias</t>
  </si>
  <si>
    <t xml:space="preserve">Se aborda a colaborador Byron Chay por falta de uso de equipo de protección personal (casco) </t>
  </si>
  <si>
    <t xml:space="preserve">Byron Chay </t>
  </si>
  <si>
    <t xml:space="preserve">Se abordo posiblemente al piloto Daniel Garcia de clc por no utilizar zapatos punta de acero </t>
  </si>
  <si>
    <t xml:space="preserve">Daniel garcia </t>
  </si>
  <si>
    <t xml:space="preserve">Se encontraba descargando carbón sin protección ocular así que se le detiene y se le solicita colocarse para evitar algún inconveniente. </t>
  </si>
  <si>
    <t xml:space="preserve">Selvin Godínez </t>
  </si>
  <si>
    <t xml:space="preserve">Se reporta a Isai López por no utilizar lentes de protección durante paso por Línea 2. Reporto A. Guatzin
</t>
  </si>
  <si>
    <t xml:space="preserve">Isai López </t>
  </si>
  <si>
    <t>Se valida procedimiento del piloto Benjamin Perez y al no hacer, se le indica que debe garantizar la puesta a tierra de la unidad, a lo cual atiende y ejecuta de manera pronta y amable. Reporta Jason Calderón.</t>
  </si>
  <si>
    <t>Benjamin Perez</t>
  </si>
  <si>
    <t xml:space="preserve">se aborda a colaborador por uso de celular estando sobre una escalera. </t>
  </si>
  <si>
    <t xml:space="preserve">Raúl Hernández </t>
  </si>
  <si>
    <t>Se abordo posiblemente al auxiliar de soprinsa Oscar Garcia por no utilizar lentes de protección en clasificación de envase 1.25</t>
  </si>
  <si>
    <t>Oscar garcia</t>
  </si>
  <si>
    <t>se aborta a Jesús Ajanel por el uso de audífonos dentro de la operación de etiquetadora y</t>
  </si>
  <si>
    <t xml:space="preserve">Jesús ajanel </t>
  </si>
  <si>
    <t>Se aborda al compañero Byron Velásquez ya que se encontraba en el almacén sin uso de casco, se le aborda de manera positiva y se corrige. Reportó Kelly Calderón</t>
  </si>
  <si>
    <t>Byron Velásquez</t>
  </si>
  <si>
    <t>Se abordó a Marcos López por ingresar por la puerta de salida de L1. Reportó Oscar Ramírez</t>
  </si>
  <si>
    <t>Se aborda a Dimar Monzón por ingresar por la puerta de salida de L1. Reportó Oscar Ramírez</t>
  </si>
  <si>
    <t>Se aborda a sergio soto, auxiliar de limpieza del Centro de Distribución el cual se encontraba en ingreso de bodega MP sin casco</t>
  </si>
  <si>
    <t>Sergio Soto</t>
  </si>
  <si>
    <t>Emmanuel Soliz</t>
  </si>
  <si>
    <t xml:space="preserve">Se abordo posiblemente al colaborador Sergio soto por estar realizando actividades de reparación de tarimas y hablando por teléfono </t>
  </si>
  <si>
    <t xml:space="preserve">Se aborda a Fredy Ajche por no utilizar su equipo de protección auditiva durante descarga de preforma en línea 3. Reporta A. Guatzin
</t>
  </si>
  <si>
    <t xml:space="preserve">Se aborda ya que estaba usando el esmeril sin guantes de protección. Se corrige </t>
  </si>
  <si>
    <t xml:space="preserve">Jorge Ixtacuy </t>
  </si>
  <si>
    <t>se aborda a Byron Chay por falta de gorra casco durante la operación de equipos en línea 4</t>
  </si>
  <si>
    <t xml:space="preserve">Se abordo posiblemente a Billy Lopez de prologistic por no última reflectivo en su uniforme en bodega 9 montaje de racks </t>
  </si>
  <si>
    <t>Billy lopez</t>
  </si>
  <si>
    <t>Se aborda a Ángel por el uso de su dispositivo mientras se encontraba caminando y no utilizar el pasamanos en la rampa del lado de ósmosis</t>
  </si>
  <si>
    <t>Se aborda a Marcos Aguilar por no tener puesta sus mangas anticorte en proceso de derrame producto en línea 1, se corrige. Reportó Oscar Ramírez</t>
  </si>
  <si>
    <t>Se aborda a Eusebio Cal por no tener puesta sus mangas anticorte en proceso de derrame de producto en línea 1, se corrige. Reportó Oscar Ramírez</t>
  </si>
  <si>
    <t>Se aborda a Tony Caceres por no tener puesta sus mangas anticorte en proceso de derrame de producto en línea 1, se corrige. Reportó Oscar Ramírez</t>
  </si>
  <si>
    <t>Se aborda a Wilmer Quiñonez por no tener puestas sus mangas anticorte en proceso de derrame de producto en línea 1, se corrige. Reportó Oscar Ramírez</t>
  </si>
  <si>
    <t>Se aborda a Yosvin Merida, auxiliar de Soprinsa CD en almacén MP sin utilizar casco industrial, se le aborda positivamente y se corrige. Reportó Jaime Chex</t>
  </si>
  <si>
    <t>Yosvin Mérida</t>
  </si>
  <si>
    <t>Se abordo al colaborador Guidman Pelicó de Soprinsa por no utilizar los pasos peatonales hacia los baños CD. Reportó Luis Pérez</t>
  </si>
  <si>
    <t>Guidman Pelicó</t>
  </si>
  <si>
    <t>Wilson primero en tareas de limpieza en plataforma elevadora sin utilizar correctamente el arnés de seguridad, se aborda y corrige. Reportó German Orozco</t>
  </si>
  <si>
    <t xml:space="preserve">No uso el pasamanos </t>
  </si>
  <si>
    <t>Angel B.</t>
  </si>
  <si>
    <t>Se aborda a Jose Rodas al no utilizar el paso peatonal entre L4 y L3 correctamente, acepta amablemente la observación y se corrige, reporta Luis Angel</t>
  </si>
  <si>
    <t>Jose Rodas</t>
  </si>
  <si>
    <t>Se aborda a personal de CINDU Pablo Samayoa sobre el uso de pasamos en planta al no tomarse pasando frente a L1, se corrige, reporta Luis Angel</t>
  </si>
  <si>
    <t>Pablo Samayoa</t>
  </si>
  <si>
    <t>Personal tercerizado, está ejecutando sus actividades en línea 2 sin uso del casco.
Reporta: Leidy Vanesa Camey</t>
  </si>
  <si>
    <t>Joel Chavez</t>
  </si>
  <si>
    <t>Se aborda a Selvin Santay en línea de producción el 28.08.2026 sin protección auditiva los compañeros procedieron a colocarse su protección. Reportó Oscar Ramírez</t>
  </si>
  <si>
    <t>Se aborda a Marcos López en línea de producción el 28.08.2026 sin protección auditiva los compañeros procedieron a colocarse su protección. Reportó Oscar Ramírez</t>
  </si>
  <si>
    <t xml:space="preserve"> El operador Mario Morales se encontraba trabajando sin casco en sala gatorade, se corrige. Reportó Adrián Santisteban</t>
  </si>
  <si>
    <t>Mario Morales</t>
  </si>
  <si>
    <t>Se aborda a Carlos Caal quien se encontraba utilizando pulidora sin lentes de protección en tanque 3 de sala gatorade, se corrige. Reportó Adrián Santisteban</t>
  </si>
  <si>
    <t>Carlos Caal</t>
  </si>
  <si>
    <t>Se aborda a Leonel Cruz de grupo INVE por hacer uso de su dispositivo durante recorrido en área de osmosis. Reportó Oscar Ramos</t>
  </si>
  <si>
    <t>Leonel Cruz</t>
  </si>
  <si>
    <t>Se solicita a William Chicoj de la empresa Bacsa usar guantes anticorte durante el uso de la navaja en pruebas de sensor de nivel de pozo 2. Reportó Dony García</t>
  </si>
  <si>
    <t>William Chicoj</t>
  </si>
  <si>
    <t>Alex Rafael González de MAINCO ingreso al área de jarabes caminando y hablando por teléfono celular. Reportó Adrián Santisteban</t>
  </si>
  <si>
    <t>Alex Rafael</t>
  </si>
  <si>
    <t>Se aborda a Adam Vasquez por realizar trasiego de químicos en área de reactores sin hacer uso de sus lentes. Reportó Dony García</t>
  </si>
  <si>
    <t>Iván Méndez técnico programador de INOXPA se encontraba en sala gatorade utilizando escalera y sin contar con permiso de trabajo en alturas se detuvo el trabajo. Reportó Adrián Santisteban</t>
  </si>
  <si>
    <t>Iván Méndez</t>
  </si>
  <si>
    <t>Se solicita a Ángel Paz colocar sus orejeras en área de filtros de carbón ya que la planta eléctrica se encuentra encendida y hay mucho ruido, corrige y continúa los retro lavados. Reportó Oscar Ramírez</t>
  </si>
  <si>
    <t>Se aborda a Fredy por no utilizar su protección auditiva dentro de sala de llenado de L3</t>
  </si>
  <si>
    <t xml:space="preserve"> Marlon Rosales auxiliar de limpieza de Soprinsa sin casco realizando limpieza en sala nueva de jarabes. Reportó Adrián Santisteban</t>
  </si>
  <si>
    <t>Marlon Rosales</t>
  </si>
  <si>
    <t>Milton Hernández auxiliar de jarabes de reciente ingreso caminando y hablando por celular frente a sala de jarabes. Reportó Adrián Santisteban</t>
  </si>
  <si>
    <t>Milton Hernández</t>
  </si>
  <si>
    <t>Valeria Ocheita de Talleres BARTH caminando y hablando por teléfono frente a sala de tratamiento de agua por floculación. Reportó Adrián Santisteban</t>
  </si>
  <si>
    <t>Andrea Ocheita</t>
  </si>
  <si>
    <t>Edwin Santos operador de tratamiento de agua sin casco en nave de ósmosis realizando trabajos. Reportó Adrián Santisteban</t>
  </si>
  <si>
    <t>Milton Cancinos auxiliar de reciente ingreso de jarabes apoyando en agregar ingredientes de formulación sin hacer uso de lentes de protección. Reportó Adrián Santisteban</t>
  </si>
  <si>
    <t>Milton Cancinos</t>
  </si>
  <si>
    <t>Marlon Rosales auxiliar de limpieza de jarabes y tratamiento de agua apoyado en escalera quitando una válvula sin permiso de trabajo. Reportó Adrián Santisteban</t>
  </si>
  <si>
    <t>Alejandra Monzón Castro de Grupo CEN ingresa a sala de jarabes sin hacer uso de casco. Adrián Santisteban</t>
  </si>
  <si>
    <t>Alejandra Monzón</t>
  </si>
  <si>
    <t xml:space="preserve"> Pablo García de PepsiCo no se agarra del pasamanos para acceder a sala de jarabes. Adrián Santisteban</t>
  </si>
  <si>
    <t>Pablo García</t>
  </si>
  <si>
    <t>Se encuentra a Eduardo Ramos sin protección auditiva en línea 1</t>
  </si>
  <si>
    <t>Eduardo Ramos</t>
  </si>
  <si>
    <t>Se detienen los trabajos a Marvin Arias, de Prologistic ya que este no se encontraba apto para realizar trabajos en altura, sin embargo, no atendieron la prohibición y se les encontró trabajando en los racks. Reportó Antony Ramos</t>
  </si>
  <si>
    <t>Marvin Arias</t>
  </si>
  <si>
    <t>Antony Ramos</t>
  </si>
  <si>
    <t>Se detienen los trabajos a Billy López, de Prologistic ya que este no se encontraba apto para realizar trabajos en altura, sin embargo, no atendieron la prohibición y se les encontró trabajando en los racks. Reportó Antony Ramos</t>
  </si>
  <si>
    <t>Billi López</t>
  </si>
  <si>
    <t>Se detiene trabajo de instalación de A/C a personal de DELTA E3, ya que no solicitaron permiso de trabajo. Reportó Antony Ramos</t>
  </si>
  <si>
    <t>Adonias Martínez</t>
  </si>
  <si>
    <t>José Contreras</t>
  </si>
  <si>
    <t>Se detiene a Alejandra Castro de CENSA por caminar mientras usaba su teléfono, se informa que es un acto inseguro y continua su recorrido. Dony García</t>
  </si>
  <si>
    <t>Diny García</t>
  </si>
  <si>
    <t>Apago las luces en sala de producción por unos minutos.  Reporta Domingo Yac</t>
  </si>
  <si>
    <t xml:space="preserve">Se aborda a Elmer García piloto de Carbox, Camino del area de pipas de Co2 hacia su unidad hablando por celular </t>
  </si>
  <si>
    <t>Elmer Garcia</t>
  </si>
  <si>
    <t>Se encontró a Eleazar Rojas subido sin acompañante en una escalera. aunque tenía su arnés, no contaba con alguien que detuviera la escalera. Se asignó a auxiliar de limpieza sujetar la escalera mientras terminaba trabajo.</t>
  </si>
  <si>
    <t>Eleazar Rojas</t>
  </si>
  <si>
    <t>Sin protección auditiva cerca de la empacadora</t>
  </si>
  <si>
    <t xml:space="preserve">Se aborda a Daniel Morales personal de Soprinsa, sin protección auditiva en L4. Reportó Hellen Estrada
</t>
  </si>
  <si>
    <t>Daniel Morales</t>
  </si>
  <si>
    <t>Se aborda a don Pedro Tumacaj, ingresa con yale a almacén sin registrarse, llevando las cuchillas a unos 50 cm de altura y sin cinturón de seguridad, se le aborda positivamente y se corrige. Reportó Jaime Chex</t>
  </si>
  <si>
    <t>Francisco Ronox Operador de L2 sin usar protección auditiva mientras ordenaba los envases estando adentro del área de llenado. Reportó Jaime Chex</t>
  </si>
  <si>
    <t>Francisco Ronox</t>
  </si>
  <si>
    <t>Practicante Marvin iba caminando por las bodegas viendo su celular. Se le corrige de manera positiva. Reportó Kelly Calderón</t>
  </si>
  <si>
    <t>Marvin Interiano</t>
  </si>
  <si>
    <t>Practicante de mantenimiento sin utilizar EPP en línea 4 cuando la línea estaba produciendo.
Reporta: Leidy Vanesa Camey</t>
  </si>
  <si>
    <t>Gustavo Ortiz</t>
  </si>
  <si>
    <t>Se aborda a Wilfredo por no utilizar las gradas mientras se encontraba cargando material ya que subió del lado resbaladizo.</t>
  </si>
  <si>
    <t>Wilfredo de Construproyectos</t>
  </si>
  <si>
    <t>Se aborda positivamente a Everardo por pasar por una zona donde se encuentra restringida por trabajos en techos.</t>
  </si>
  <si>
    <t xml:space="preserve">Se abordo a Carlos rojas de proyectos ya que se encontraba en patio del cdc , indicando que el portón de sus accesos estaba cerrado </t>
  </si>
  <si>
    <t>Carlos rojas</t>
  </si>
  <si>
    <t>Se aborda a albañil Carlos Rojas de contraproyectos por cruzarse por el CD porque el portón estaba cerrado, se corrige. Reporto Luis Pérez</t>
  </si>
  <si>
    <t>Carlos Rojas</t>
  </si>
  <si>
    <t>Se abordo positivamente al piloto Salvador Canil de CLC por no portar zapatos industriales en sala de espera CDC.</t>
  </si>
  <si>
    <t>Salvador canil</t>
  </si>
  <si>
    <t>se abordó positivamente al piloto Kevin Chinchilla de transporte de clc por no portar zapatos punta de acero en pit de cargas  cdc</t>
  </si>
  <si>
    <t>Kevin Chinchilla</t>
  </si>
  <si>
    <t xml:space="preserve">Se abordo positivamente al piloto Kevin Chinchilla de transporte CLC por no portar zapatos punta de acero en lobby cdc </t>
  </si>
  <si>
    <t xml:space="preserve">Se abordo positivamente al piloto Edgar Reyes de transporte CLC por no portar zapatos punta de acero en lobby cdc </t>
  </si>
  <si>
    <t>Edgar Reyes</t>
  </si>
  <si>
    <t xml:space="preserve">Se abordo positivamente al piloto Carlos Ovando de transporte WORLD LOGISTIC por no portar zapatos punta de acero en lobby cdc </t>
  </si>
  <si>
    <t>Carlos Ovando</t>
  </si>
  <si>
    <t>Se aborda al piloto Edgar Pérez de Transporte World Logistics por estacionarse en paso peatonal que conduce hacia taller de mantenimiento. Reportó Nelson Godínez</t>
  </si>
  <si>
    <t>Edgar Pérez</t>
  </si>
  <si>
    <t xml:space="preserve">se aborda a colaborador por falta de su equipo de protección personal </t>
  </si>
  <si>
    <t xml:space="preserve">se aborda al colaborar por falta de casco protector </t>
  </si>
  <si>
    <t>Se aborda a Luis Asip, Edgar Fuentes y Néstor Rodríguez por no portar su protección auditiva en sala de llenado L2, los 3 compañeros procedieron a colocarse su protección. Reportó Oscar Ramírez</t>
  </si>
  <si>
    <t>Néstor Rodríguez</t>
  </si>
  <si>
    <t>Egar Fuentes</t>
  </si>
  <si>
    <t>Se aborda a Alan Ayala quien se encontraba limpiando un ventilador en una plataforma inestable con escalera. Reportó Oscar Ramírez</t>
  </si>
  <si>
    <t>Se aborda a Nelson Mejía por utilizar una escalera sin el apoyo de otra persona. Reportó Oscar Ramírez</t>
  </si>
  <si>
    <t>Se aborda a Wilmer Chanchavac por no estar utilizando protección auditiva en sala pre empaque el compañero procede a colocarse el epp. Oscar Ramírez</t>
  </si>
  <si>
    <t>Se aborda a Alberto Saran por portar la camisa afuera del pantalón el compañero procede a corregir. Oscar Ramírez</t>
  </si>
  <si>
    <t>Alberto Saran</t>
  </si>
  <si>
    <t xml:space="preserve"> Se aborda a Belizario Chojolan por portar la camisa afuera el compañero procede a meterse la camisa. Reportó Oscar Ramírez</t>
  </si>
  <si>
    <t>Belizario Chojolán</t>
  </si>
  <si>
    <t>Se aborda a José Chay por hacer uso de pulidora sin hacer uso de careta, se corrige y se continúa con la tarea. Reportó Oscar Ramos</t>
  </si>
  <si>
    <t>Se solicita a Alejandra Castro de Grupo HBE no usar su dispositivo móvil mientras camina en visita técnica en sala de jarabes. Reportó Oscar Ramos</t>
  </si>
  <si>
    <t>Mario Morales operador de sala Gatorade realizando dilución de sales sin utilizar lentes de protección personal. Reportó Oscar Ramos</t>
  </si>
  <si>
    <t>Se aborda a Marlon Rosales por transitar en rampa frente tratamiento de aguas sin hacer uso del pasamanos. Reportó Oscar Ramos</t>
  </si>
  <si>
    <t>Se aborda a Gustavo De la Cruz por realizar dilución de químicos para limpieza en bodega de azúcar sin hacer uso de lentes. Oscar Ramos</t>
  </si>
  <si>
    <t xml:space="preserve">Estaba trabajando en altura al momento de trasladarse a otro punto se desancló, se aborda en el momento y se le explica el riesgo que puede tener. Se corrige y se envía con monitor para cambiar arnés de doble sujesion. </t>
  </si>
  <si>
    <t xml:space="preserve">Ezequias Kacok </t>
  </si>
  <si>
    <t xml:space="preserve">Se le aborda ya que iba para ósmosis sin casco. Se le aborda y se lo pone al momento </t>
  </si>
  <si>
    <t xml:space="preserve">Oscar Muhlberger </t>
  </si>
  <si>
    <t xml:space="preserve">Se abordo al auxiliar containers Gerardo Godinez por estas subido en furgón en movimiento si lugar para sujetarse 
Piloto del furgón José cante de trans chaveta 
Esto en rampas de agencia </t>
  </si>
  <si>
    <t>Gerardo Godinez</t>
  </si>
  <si>
    <t xml:space="preserve">Se aborda a Oliver de compañía Cindu caminar por paso peatonal de L4 con audífonos, se le hace ver la importancia de hacer uso de EPP </t>
  </si>
  <si>
    <t xml:space="preserve">Oliver </t>
  </si>
  <si>
    <t>Se aborda a Alexander Orantes, nuevo proveedor ya que se estacionó frente a almacén de repuestos, fuera de las áreas delimitadas para parqueo, se corrige. Reportó Fredy Fuentes</t>
  </si>
  <si>
    <t xml:space="preserve"> </t>
  </si>
  <si>
    <t>REPORTE DE CONDICIONES INSEGURAS ACUMULADAS 2026</t>
  </si>
  <si>
    <t>No.</t>
  </si>
  <si>
    <t>Descripción</t>
  </si>
  <si>
    <t>Área a la que se reporta</t>
  </si>
  <si>
    <t>Área que realiza el reporte</t>
  </si>
  <si>
    <t>Persona que reporta</t>
  </si>
  <si>
    <t>Fecha</t>
  </si>
  <si>
    <t>Prueba de funcionamiento calidad. Reporta Josué Vásquez</t>
  </si>
  <si>
    <t>Piso ó superficie de trabajo</t>
  </si>
  <si>
    <t>Sillas quebradas en el área de cafetería pueden provocar una caída a la hora que el personal se recuesta en ellas, podría tomarse también como oportunidad de mejora. Reporto Rodrigo Galindo</t>
  </si>
  <si>
    <t>Prensa de trabajo en mal estado, presentando rotura de su base en l4. Reporto Obdulio Saquic</t>
  </si>
  <si>
    <t>Piso mojado paso peatonal línea 2 frente a empacadora. Reporto Jaime Camey</t>
  </si>
  <si>
    <t>Cubeta con químico en paso peatonal atrás de empacadora línea 1. Reporto Jaime Camey</t>
  </si>
  <si>
    <t>Carretilla de etiquetadora fuera de lugar sin restricción en l1. Reporto Jaime Camey</t>
  </si>
  <si>
    <t>Orden y limpieza</t>
  </si>
  <si>
    <t>Tragaluz a punto de caer en baños generales de alrededores. Reporto Carlos Coc</t>
  </si>
  <si>
    <t>Tapadera de caja de bomba de baños generales abierta y sin delimitación. Reporto Carlos Coc</t>
  </si>
  <si>
    <t>Señalización ó rotulación deficientes</t>
  </si>
  <si>
    <t>Cuneta tapada al costado de campo de futbol. Reporto Carlos Coc</t>
  </si>
  <si>
    <t>Rejilla levantada de canaleta de drenaje puede provocar caidas en l1. Reporto Oscar Ramírez</t>
  </si>
  <si>
    <t>Escalera y grasa fuera de lugar en l2. Reporto Oscar Ramírez</t>
  </si>
  <si>
    <t>Control de acceso al taller sin restricción. Reporto Elvis Oliva</t>
  </si>
  <si>
    <t>Dispositivos de seguridad no funcionales</t>
  </si>
  <si>
    <t>Manguera sin delimitado sobre camina miento, puede provocar caídas. Reporto Rodrigo Galindo</t>
  </si>
  <si>
    <t>Se corrige residuos de limpieza de drenaje estan acumulados en bosas plásticas sobre esta tarima en el área cercana a la cisterna de CO2. Reporto William Galindo</t>
  </si>
  <si>
    <t>Rotulación de tubería de amoniaco dañada en el área de torre de enfriamiento de agua en equipos auxiliares. Reporto William Galindo</t>
  </si>
  <si>
    <t>Rombo nfpa no legible en etei. Reporto Rodrigo Galindo</t>
  </si>
  <si>
    <t>Puerta de L1 ingreso a sala de llenado cierra muy fuerte y de golpe, no cierra bien cuando ingresa personal se deja ir de un solo. Reporta Haydée Martínez</t>
  </si>
  <si>
    <t>Tarima mal estibada frente a rampa de Cd se procederá corregir. Reporto Carlos Poz</t>
  </si>
  <si>
    <t>Producto mal estibado</t>
  </si>
  <si>
    <t>Gotera constante y considerable, moja el paso peatonal y salpica bastante, paso peatonal atrás de L3. Reporto Oscar Ramos</t>
  </si>
  <si>
    <t>L1 protección de ventilador a punto de caer en área entarimado. Reporto Haydée Martínez</t>
  </si>
  <si>
    <t>Desperfecto mecánico</t>
  </si>
  <si>
    <t>L1 gotera enfrente de empacadora la cual cae sobre la pared y llega a paso peatonal. Reporta Haydée Martínez</t>
  </si>
  <si>
    <t>L1 gotera techo cae en pared y moja en paso peatonal frente a escaleras mesanini por lámpara 2. Reporto Haydée Martínez</t>
  </si>
  <si>
    <t>Gotera en bodega de preforma l3. Reporto Roger Rivas</t>
  </si>
  <si>
    <t>L3 goteras enfrente de transporte salida empacadora. Reporto Haydée Martínez</t>
  </si>
  <si>
    <t>Se corrige tarima de preforma quebrada en bodega de preforma de línea 4, puede ocasionar que alguien se lastime. Reporto Rebeca Morales</t>
  </si>
  <si>
    <t>Cielo falso por caer en las oficinas de mantenimiento. Reporto Roy Luarca</t>
  </si>
  <si>
    <t>Caneca con banaclean sin dique de contención y mal ubicada se procede a llevar a la jaula de químicos línea 1 Jaime Camey</t>
  </si>
  <si>
    <t>Grasa fuera de lugar se procede a llevar a jaula de químicos. Reporto Jaime Camey</t>
  </si>
  <si>
    <t>Cubeta con quimico en paso peatonal frente a llenadora linea 1 se procede a colocar en su lugar. Reporto Jaime Camey</t>
  </si>
  <si>
    <t>Tarima sin delimitar salida de línea 1. Reporto Jaime Camey</t>
  </si>
  <si>
    <t>Se encuentran tres soluciones buffer sin rombo de seguridad en el laboratorio de fisicoquímicos. Reporto AnaLucia Sánchez</t>
  </si>
  <si>
    <t>AnaLucia Sánchez</t>
  </si>
  <si>
    <t>Contenedor de PET con señalización rota, en laboratorio de paquetecnia. Reporto AnaLucia Sánchez</t>
  </si>
  <si>
    <t>Se reporta división de estantería en laboratorio fisicoquímico pandeada. Reporto Hellen Consuelo</t>
  </si>
  <si>
    <t>Se reporta lampara del baño general de mujeres mal colocada posible caída. Reporto Hellen Consuelo</t>
  </si>
  <si>
    <t>Químico utilizado en transportes de L3 se encuentra sin restricción.Reporto Edgar Cotí</t>
  </si>
  <si>
    <t>Aldaba dañada en panel de palet línea 3. Reporta Elvis Oliva</t>
  </si>
  <si>
    <t>Tarimas fuera de lugar en paso peatonal en bodega 8. Reporta Carlos Poz</t>
  </si>
  <si>
    <t>Pasillos peatonales / rutas obstaculizadas</t>
  </si>
  <si>
    <t>L1 empacadora sin guarda de protección, se instalará en cuanto no esté en movimiento. Reporto Haydée Martínez</t>
  </si>
  <si>
    <t>L1 aceite derramado cerca de empacadora se procede a limpiar y revisión. Reporto Haydée Martínez</t>
  </si>
  <si>
    <t>Acceso a sala de llenado puertas abiertas se cierran. Reporto Jaime Camey</t>
  </si>
  <si>
    <t>Paso peatonal mojado se secara sala de llenado línea 1. Reporto Jaime Camey</t>
  </si>
  <si>
    <t>Se corrige condición insegura escalera L3 sin restricción. Reporta Amílcar Ralda</t>
  </si>
  <si>
    <t>Se repara panel abierto empacadora L3, se tiene problemas con el aire acondicionado. Reporta Amílcar Ralda</t>
  </si>
  <si>
    <t>L1 manguera con fuga de agua frente lámpara 2 provoca piso mojado en paso peatonal. Reporto Haydée Martínez</t>
  </si>
  <si>
    <t>L4 escalera sin restricción de sala de llenado frente a checkmart llenadora. Reporto Haydée Martínez</t>
  </si>
  <si>
    <t>Condición insegura de envase quebrado paso peatonal llenadora L1. Reporta Amílcar Ralda</t>
  </si>
  <si>
    <t>Lamina levantada ingreso eta. Reporto Adrián Santisteban</t>
  </si>
  <si>
    <t>Paso peatonal no delimitado se estan realizando trabajos en isla de sosa. Reporto Adrián Santisteban</t>
  </si>
  <si>
    <t>En sala antigua de jarabes en el área de marmitas se encuentra sostenida por una cadena plástica, evaluar si soporta el peso. Reporto AnaLucia Sánchez</t>
  </si>
  <si>
    <t>Instalación eléctrica deficiente</t>
  </si>
  <si>
    <t>Producto mal ubicado obstaculizando paso peatonal y de montacargas en MP. Reporto Miguel Godínez</t>
  </si>
  <si>
    <t>Miguel Godínez</t>
  </si>
  <si>
    <t>Escalera Obstaculizando paso en almacén de repuestos. Reporto Miguel Godínez</t>
  </si>
  <si>
    <t>Tarima en mala posición área MP, Se corrige. Reporto Jaime Chex</t>
  </si>
  <si>
    <t>Tarima con devoluciones de aditivos en paso peatonal. Reporto Jasón Calderón</t>
  </si>
  <si>
    <t>Jasón Calderón</t>
  </si>
  <si>
    <t>Rotulación borrosa en pizeta de laboratorio de FQ, Se corrige rotulación.Reporto AnaLucia Sánchez</t>
  </si>
  <si>
    <t>Escalera sin restricción. Reporto Edgar Cotí</t>
  </si>
  <si>
    <t>agua estancada y bidones fuera de lugar. Reporto William Galindo</t>
  </si>
  <si>
    <t>rombo de seguridad deteriorado.Reporto William Galindo</t>
  </si>
  <si>
    <t>Rótulo de extintor en mal estado y caido en antigua oficina del CD. Reporto William Galindo</t>
  </si>
  <si>
    <t>Rombo de seguridad borrosa. Reporto William Galindo</t>
  </si>
  <si>
    <t>Falta de identificación de materiales en laboratorio de paquetecnia. Reporto William Galindo</t>
  </si>
  <si>
    <t>Se corrige producto químico sin identificación en área de transporte hacia inspector de vacio en l1. Reporta Haydée Martínez</t>
  </si>
  <si>
    <t>Se corrige, escalera fuera de lugar sin restricción en l3. Reporto Haydée Martínez</t>
  </si>
  <si>
    <t>se corrige, tarima fuera de lugar y sobre paso Peatonal y transporte en l4. Reporto Haydée Martínez</t>
  </si>
  <si>
    <t>Se corrige rejilla de drenaje en área de llenadora mal puesto puede provocar caída al personal bajando las gradas en l3. Reporto Haydée Martínez</t>
  </si>
  <si>
    <t>Bandeja caída transporte envase sucio, lubricante cae al piso en l1. Reporta Oscar Ramírez</t>
  </si>
  <si>
    <t>Piso mojado paso en peatonal sala de llenado linea 2. Reporto Jaime Camey</t>
  </si>
  <si>
    <t>extractor no funciona en sala de llenado frente a llenadora, afecta que hay mucho calor y puede generar golpe de calor en el personal en l1. Reporta Haydée Martínez</t>
  </si>
  <si>
    <t>Piso mojado en cabina sala de llenado línea 1. Reporta Jaime Camey</t>
  </si>
  <si>
    <t>Se tiene espacio reducido para operar montacargas cuando funciona L2. Reporta Alejandro Martínez</t>
  </si>
  <si>
    <t>Guardapolvo en mal estado ingreso a cuarto ibc en sala de jarabes.Reporto Adrián Santisteban</t>
  </si>
  <si>
    <t>Lava manos en mal estado cuarto desinfección sala nueva jarabe. Reporto Adrián Santisteban</t>
  </si>
  <si>
    <t>Rótulo de extintor caído afuera de taller de mantenimiento. Reporto Gerson Castañeda</t>
  </si>
  <si>
    <t>Condición insegura de L4 puerta de secador de botellas abierta. Reporto Fredy Fuentes</t>
  </si>
  <si>
    <t>Falta de colocación de acrílico en l3. Reporto Wilber López</t>
  </si>
  <si>
    <t>Se corrige tarima con envase a punto de caerse en alerón de muelles de carga CD. Reporto Otto Gonzales</t>
  </si>
  <si>
    <t>Vidrio rajado en puerta de acceso de punto de desinfección hacia nueva sala de jarabes. Reporto William Galindo</t>
  </si>
  <si>
    <t>Químicos sin rotulación de identificación. Reporto William Galindo</t>
  </si>
  <si>
    <t>Toldo de IIISA por los fuertes vientos se dio vuelta, se corrige. Reporto Selvin Pérez</t>
  </si>
  <si>
    <t>Se corrige equipo de seguridad para SEINCO la mayoría contaba con mal estado las playeras se les dio equipo adecuado. Reporto Selvin Pérez</t>
  </si>
  <si>
    <t>Se corrige a IIISA por usar tablones en rack no estaban asegurados y propensos a caerse. Reporto Selvin Pérez</t>
  </si>
  <si>
    <t>Vidrio en paso peatonal línea 2 se procede a limpiar. Reporto Jaime Camey</t>
  </si>
  <si>
    <t>Preforma en paso peatonal línea 4 se procede a limpiar. Reporta Jaime Camey</t>
  </si>
  <si>
    <t>Tarima obstaculizando paso de montacargas en bodega azúcar MP. Reporto Jaime chex</t>
  </si>
  <si>
    <t>Jaime chex</t>
  </si>
  <si>
    <t>Tarimas mal ubicadas en parqueo interno. Reporta Carlos Coc</t>
  </si>
  <si>
    <t>Montacarga no, 23 sin candado puesto en cd. Reporto Kelly Calderón</t>
  </si>
  <si>
    <t>Candado abierto en jaula de químicos línea 4 se procede a cerrar. Reporto Jaime Camey</t>
  </si>
  <si>
    <t>Ingreso al almacén de repuestos bloqueado por tarimas. Reporto Jimmy Velásquez</t>
  </si>
  <si>
    <t>Pizarra en lugar no establecido, reduce el paso en almacén de repuestos. Reporta Jimmy Velásquez</t>
  </si>
  <si>
    <t>Escaleras fuera del lugar establecido en almacén de materiales. Reporto Jimmy Velásquez</t>
  </si>
  <si>
    <t>Rejilla mal colocada área etei. Reporto Josué Lepe</t>
  </si>
  <si>
    <t>Panal de avispas área filtro final etei. Reporto Josué Lepe</t>
  </si>
  <si>
    <t>Se corrige envase 1.25 por caer en bodega 8 del cd. Reporto Luis Pérez</t>
  </si>
  <si>
    <t>Falta rotulación pasamanos en área de ETEI. Reporto Josué Vásquez</t>
  </si>
  <si>
    <t>Cable sin señalizar puede provocar caídas en mp. Reporto Wilber López</t>
  </si>
  <si>
    <t>Panel sin cerrar completamente área azúcar sala antigua. Reporto Oscar Ramos</t>
  </si>
  <si>
    <t>Escalera sin restringir en sala antigua de jarabes. Reporto Oscar Ramos</t>
  </si>
  <si>
    <t>Acumulación de desechos sin delimitar en l4. Reporto Fredy Fuentes</t>
  </si>
  <si>
    <t>Herramienta fuera de lugar y extensión con cables pelados en l3. Reporto William Galindo</t>
  </si>
  <si>
    <t>Mejorar delimitación, posible riesgo de caída. Reporto Luis Cabrera</t>
  </si>
  <si>
    <t>Químico sin restricción y fuera de su lugar. Reporto Luis Cabrera</t>
  </si>
  <si>
    <t>Señalizar límites de estacionamiento de mulita EN MP. Reporto Wilber López</t>
  </si>
  <si>
    <t>Equipo de protección sobre transporte L4. Reporto Fredy Fuentes</t>
  </si>
  <si>
    <t>Magneto de puerta en entrada de almacén de repuestos sin funcionar. Reporto Roger Rivas</t>
  </si>
  <si>
    <t>desengrasante sobre caja de herramientas sin antiderrames en l3. Reporto William Galindo</t>
  </si>
  <si>
    <t>Acumulación de residuos junto a rack de insumos L3. Reporto Jaime Chilel</t>
  </si>
  <si>
    <t>Mangueras pesadas sujetadas con pita en altura, pueden reventarse y golpear a alguien en la ETEI. Reporta Josué Vásquez</t>
  </si>
  <si>
    <t>Acumulación  de agua en l4. Reporto Fredy Fuentes</t>
  </si>
  <si>
    <t>lubricante sin rombo de seguridad en l3. Reporto William Galindo</t>
  </si>
  <si>
    <t>Lubricante en línea 1 no cuenta con rombo de seguridad. Reporto Otto Gonzales</t>
  </si>
  <si>
    <t>Equipo de posición de termo encogible no tiene área designada en l4. Reporto Fredy Fuentes</t>
  </si>
  <si>
    <t>Tarima sin delimitar bloqueando ingreso y salida en taller de mantenimiento. Reporta Pablo Donis</t>
  </si>
  <si>
    <t xml:space="preserve"> cinta antideslizante deteriorada en escaleras de l3. Reporto William Galindo</t>
  </si>
  <si>
    <t>Acumulación de documentos en escritorio de computadora llenadora L3. Reporto Jaime Chilel</t>
  </si>
  <si>
    <t>Falta protección para rack en estanteria e mp. Reporto Wilber López</t>
  </si>
  <si>
    <t>Químicos sin bandeja en armario de químicos L4. Reporto Fredy Fuentes</t>
  </si>
  <si>
    <t>Dispositivo de bloqueo dañado en mantenimiento. reporto Pablo Donis</t>
  </si>
  <si>
    <t>Envase con liquido sin ID, uso de envase no aprobado en l3. Reporto William Galindo</t>
  </si>
  <si>
    <t>Ducha de emergencia bloqueada por mesa, sala de jarabes. Reporto Vinicio Mendoza</t>
  </si>
  <si>
    <t>Reforzar pintura de pasos peatonales en el cd. Reporto Alejandro Martínez</t>
  </si>
  <si>
    <t>Peldaños de acceso al reactor 1 corroídos. Riesgo de un inminente desplome. Reporto Pablo Donis</t>
  </si>
  <si>
    <t>Entre materia prima y jarabes mucha nube de azúcar pulverizada riesgo de inflamación. Reporto Wilber López</t>
  </si>
  <si>
    <t>Mezzanine abierto y nadie está trabajando dentro en l2. Reporto Jaime Chilel</t>
  </si>
  <si>
    <t>Se corrigió tanque de relleno amoniaco no identificada su área de almacenamiento en equipos auxiliares. Reporto Daniel Corado</t>
  </si>
  <si>
    <t>Se reporta vidrio quebrado ingreso sala de lavado de manos entrada llenadora l1. Reporta Amílcar Ralda</t>
  </si>
  <si>
    <t>Se cerrará candado abierto en panel eléctrico etiquetadora 3 de l3. Reporto Gustavo Hernández</t>
  </si>
  <si>
    <t>Se cerrará candado en panel de mandos en empacadora L2. Reporta Gustavo Hernández</t>
  </si>
  <si>
    <t>Se instalará seguridad física a inversor L2. Reporto Gustavo Hernández</t>
  </si>
  <si>
    <t>Falta seguridad física a tanque prelavado lavadora de cajillas 1. Reporto Gustavo Hernández</t>
  </si>
  <si>
    <t>Puerta abatible caída en acceso a bodega 8. Reporta Luis Pérez</t>
  </si>
  <si>
    <t>Tarima mal estibada, frente a oficina nueva de CD. Reporta Kelly Calderón</t>
  </si>
  <si>
    <t>Escalera sin asegurar detrás de nave ósmosis. Reporta Oscar Ramos</t>
  </si>
  <si>
    <t>Quimico sin identificacion linea 1. Reporto Oscar Ramírez</t>
  </si>
  <si>
    <t>Revisar procedimiento para limpieza de sensor jarabe simple, estan subiendo constantemente a limpieza. Reporto Wilber López</t>
  </si>
  <si>
    <t>Exceso de agua en el piso por rebalse en bandejas, inversor L2. Reporto Yessi Guarcas</t>
  </si>
  <si>
    <t>Pieza desprendida también provoca caída de agua al piso, L2. Reporto Yessi Guarcas</t>
  </si>
  <si>
    <t>Rotulo solo personal autorizado caído en  portón Co2. Reporto Miguel Godínez</t>
  </si>
  <si>
    <t>Se cerrará candado mezanini L3. Reporto Gustavo Hernández</t>
  </si>
  <si>
    <t>Condensado en estrada a cabina linea 1. Reporto Jaime Camey</t>
  </si>
  <si>
    <t>Agua en paso peatonal sala de llenado línea 4. Reporto Jaime Camey</t>
  </si>
  <si>
    <t>Tarimas mal estibadas en bodega de azúcar, Se corregirá. Reporto Jaime Chex</t>
  </si>
  <si>
    <t>Fuga de vapor linea 4, se corrigio. Reporto Jaime Camey</t>
  </si>
  <si>
    <t>Láminas traslúcidas dañadas en bodega de reciclaje. Reporto Vinicio Mendoza</t>
  </si>
  <si>
    <t>Piso mojado en ingreso a cabina L3. Reporta Jaime Chex</t>
  </si>
  <si>
    <t>Tarima en lugar no indicado parqueo interno en alrededores. Reporta Carlos Coc</t>
  </si>
  <si>
    <t>En el laboratorio de fisicoquímicos se observa que el rombo de seguridad del frasco de fenoftaleína está mal etiquetado, ya que en el área de zona de riesgos está escrito un cero. Reporto AnaLucia Sánchez</t>
  </si>
  <si>
    <t>Frasco de alcohol etílico al 70% con rombo de seguridad mal etiquetado en laboratorio de fisicoquímico. Reporto AnaLucia Sánchez</t>
  </si>
  <si>
    <t>Piseta de agua biodestilada con rombo de seguridad borroso en laboratorio de fisicoquímicos. Reporto AnaLucia Sánchez</t>
  </si>
  <si>
    <t>La etiqueta del ácido sulfúrico, la parte del nombre se encuentra borrosa, al igual que el rombo de seguridad esta mal etiquetado.Reporto AnaLucia Sánchez</t>
  </si>
  <si>
    <t xml:space="preserve"> Frasco de ácido clorhídrico en la etiqueta aparece con fecha de vencimiento del 26-abril-2015. Reporto William Galindo</t>
  </si>
  <si>
    <t>Orden y limpieza en jaula de químicos no hay bandejas de contención, faltan fichas de seguridad y rombos de seguridad en l4. Reporto Mariana Xicara</t>
  </si>
  <si>
    <t>Mariana Xicara</t>
  </si>
  <si>
    <t>Se corrigió, acumulación de agua afuera de lab, fisico químico. Reporto Edgar Cotí</t>
  </si>
  <si>
    <t>Escalera sin restricción en sala nueva de jarabes. Reporto Edgar Cotí</t>
  </si>
  <si>
    <t>Atomizadores con rombo borroso en l4.Reporto Edgar Cotí</t>
  </si>
  <si>
    <t>Rejilla del drenaje cerca de prensa de tornillo deteriorada, puede causar caías. Reporto Ronald Chojolan</t>
  </si>
  <si>
    <t>Ronald Chojolan</t>
  </si>
  <si>
    <t>Drenaje destapado en paso peatonal enfrente de palet línea 3 se procederá a dejar cerrado. Reporto Oscar Ramírez</t>
  </si>
  <si>
    <t>Jaula de químicos sin candado y sin bandejas de contención, les falta rombo NFPA. Reporto William Galindo</t>
  </si>
  <si>
    <t>sala de llenado rótulo de extintor caído en l1. Reporto Haydée Martínez</t>
  </si>
  <si>
    <t>Rotulo de trampa tirado en paso peatonal entre materia prima y cafetería de agencia. Reporto Juan Poz</t>
  </si>
  <si>
    <t>Químicos fuera de lugar en área de equipos auxiliares. Reporto Elvis Oliva</t>
  </si>
  <si>
    <t>Químico sin sticker de seguridad, En taller de mantenimiento. Reporto Elvis Oliva</t>
  </si>
  <si>
    <t>Desechos químicos sin descartar en área de servicios auxiliares. Reporto Elvis Oliva</t>
  </si>
  <si>
    <t>Bandeja con acumulación de aceite sin descartar en el área de servicios auxiliares. Reporto Elvis Oliva</t>
  </si>
  <si>
    <t>Jaula 1con lubricantes grado alimenticio sin candados en almacén de repuestos. Reporto Jimmy Velásquez</t>
  </si>
  <si>
    <t>Jaula 2con lubricantes grado alimenticio sin candados en almacén de repuestos. Reporto Jimmy Velásquez</t>
  </si>
  <si>
    <t>Antideslizante de rampa hacia almacén de repuestos deteriorada. Reporto Daniel Corado</t>
  </si>
  <si>
    <t>se cerró candado abierto acceso a Mesanini paneles eléctricos en l1. Reporto Haydée Martínez</t>
  </si>
  <si>
    <t>Urbanolab se encontraba subiendo piezas de andamios y dañaron la lámpara de sala coordinadores. Reporto Karla Hintz</t>
  </si>
  <si>
    <t>Agua estancada en laboratorio FQ. Reporto Edgar Cotí</t>
  </si>
  <si>
    <t>Analizar secuencia de programa de PLC de compresores de amoniaco que tenga activos los bloqueos de máximas y mínimas presiones. Reporto Daniel Corado</t>
  </si>
  <si>
    <t>(Del lado de SSO) Entrenamiento de evacuación ante fugas de amoniaco, Entrenamiento de control de fugas de amoniaco a brigadista. Reporto Daniel Corado</t>
  </si>
  <si>
    <t>Incluir una segunda seguridad para el bloqueo de sobrepresión que detenga los compresores de amoniaco. Reporto Daniel Corado</t>
  </si>
  <si>
    <t>Revisar con el equipo de operadores las maniobras y verificar porque se golpean las bases. Reporto Miguel Godínez</t>
  </si>
  <si>
    <t>Realizar procedimiento loto para todas las máquinas de L4. Reporto Fredy Fuentes</t>
  </si>
  <si>
    <t>Puerta de sala de fraccionamiento cierra muy rápido, revisar el brazo. Reporto Mariana Xicara</t>
  </si>
  <si>
    <t>Químico sin bandeja de contención en sala de marmita. Reporto Mariana Xicara</t>
  </si>
  <si>
    <t>Se corrige tarima en mal estado frente a bodega de azúcar de MP. Reporto AnaLucia Sánchez</t>
  </si>
  <si>
    <t>Escalera sin restricción en bodega de azúcar MP, Se corrige. Reporto Jaime Chex</t>
  </si>
  <si>
    <t>Escalera sin restricción, a un costado de oficinas de CD. Reporto Jimmy Velásquez</t>
  </si>
  <si>
    <t>Pizeta sin identificar en transporte de paletizadora L3. Reporto Mariana Xicara</t>
  </si>
  <si>
    <t>Jumbos de azúcar inclinado, se está coordinando para corregir. Reporto Jaime Chex</t>
  </si>
  <si>
    <t>Candado cerrado en panel eléctrico pallet 3, le hace falta argolla de seguridad al mecanismo. Reporto Gustavo Hernández</t>
  </si>
  <si>
    <t>Se cerrará candado abierto en panel eléctrico lavadora de botellas L1. Gustavo Hernández</t>
  </si>
  <si>
    <t>Tarima en lugar no establecido, adicional debemos desecharlo. Reporto Jimmy Velásquez</t>
  </si>
  <si>
    <t>Falta de guarda en pieza giratoria salida de botellas de sala de llenado L3. Reporto Yessi Guarcas</t>
  </si>
  <si>
    <t>Manguera no se encuentra desfogando dentro de canaleta, ocasiona piso mojado en sala de llenado L3. Reporto Yessi Guarcas</t>
  </si>
  <si>
    <t>Lavaojos requiere limpieza, L3. Reporto Yessi Guarcas</t>
  </si>
  <si>
    <t>Equipo de emergencia deficiente</t>
  </si>
  <si>
    <t>Silla dañada en auxiliar de lampara en l1. Reporto Karla Hintz</t>
  </si>
  <si>
    <t>Falta traje y guantes para químicos en el kit de L3.Reporto Yessi Guarcas</t>
  </si>
  <si>
    <t>Rombo borroso en tratamiento de agua. Reporto Edgar Cotí</t>
  </si>
  <si>
    <t>Rombo borroso en cubeta de tratamiento de aguas. Reporto Edgar Cotí</t>
  </si>
  <si>
    <t>Fuga en filtro de tratamiento de aguas. Reporto Edgar Cotí</t>
  </si>
  <si>
    <t>Revisar almacenamiento de químicos en salida de lavadora L1, es necesario identificar el lugar adecuado para su almacenamiento. Reporto Samuel Tecún</t>
  </si>
  <si>
    <t>Samuel Tecún</t>
  </si>
  <si>
    <t>Base de escalera de reactor en mal estado en tratamiento de aguas. Reporto Edgar Cotí</t>
  </si>
  <si>
    <t>Equipo en área no adecuada en taller de mantto. Reporto Selvin Pérez</t>
  </si>
  <si>
    <t>Alfombras antideslizantes fuera de área en taller de mantto. Reporto Selvin Pérez</t>
  </si>
  <si>
    <t>Herramienta hechiza en taller de mantenimiento. Reporto Selvin Pérez</t>
  </si>
  <si>
    <t>Equipos conectados solos y sin bloqueo en taller de mantenimiento. Reporto Selvin Pérez</t>
  </si>
  <si>
    <t>Bomba a distinto nivel con riesgo de caída en taller de mantenimiento. Reporto Selvin Pérez</t>
  </si>
  <si>
    <t>No hay restricción de acceso a transformadores en área de subestación eléctrica. Reporto Jaime Chilel</t>
  </si>
  <si>
    <t>se corrigió, tarima fuera de lugar en acceso puerta de bodega área de preforma de l3. Reporto Haydée Martínez</t>
  </si>
  <si>
    <t>producto fuera de lugar y en acceso a gradas paso peatonal de l3. Reporto Haydée Martínez</t>
  </si>
  <si>
    <t>Jaula de preforma fuera de lugar  línea 4. Reporta Jaime Camey</t>
  </si>
  <si>
    <t>Candado en panel eléctrico de Etei abierto, se procede a cerrar.Reporto Emilo Cux</t>
  </si>
  <si>
    <t>Emilo Cux</t>
  </si>
  <si>
    <t>Calcomanías en mal estado, barandas hacia cafetería.Reporto Emilo Cux</t>
  </si>
  <si>
    <t>Reforzar todo el barandal del tazón de llenadora 1. Reporto Mario Ramos</t>
  </si>
  <si>
    <t>Vidrio paso peatonal sala de llenado linea 2. Reporto Jaime Camey</t>
  </si>
  <si>
    <t xml:space="preserve"> candado abierto de gradas hacia mesanini de paneles eléctricos cerca de lamapara de inspección de l1. Reporto Haydée Martínez</t>
  </si>
  <si>
    <t>tarima de insumo de tapón fuera de lugar en l4. Reporto Haydée Martínez</t>
  </si>
  <si>
    <t>Fuga de aceite en tubería de central hidráulica de empacadora y está generando piso resbaloso en l1. Reporto Mario Ramos</t>
  </si>
  <si>
    <t>Se abordará a operador de máquina para no arrancar sin protección de guarda colocados en inversor de l2. Reporto Mario Ramos</t>
  </si>
  <si>
    <t>Paso peatonal línea 1 sin señalización de precaución por piso mojado, se corrige la acción. Reporto Analucia Sánchez</t>
  </si>
  <si>
    <t>Analucia Sánchez</t>
  </si>
  <si>
    <t>Manómetro de producto terminado quebrado intermix linea 1. Reporto Jaime Camey</t>
  </si>
  <si>
    <t>se coloca, inversor en operación sin guarda de protección l2. Reporto Haydée Martínez</t>
  </si>
  <si>
    <t>se corrige, cajillas de envase obstruye acceso área de lavado de ojos l2. Reporto Haydée Martínez</t>
  </si>
  <si>
    <t>Pt por caer en alerón del cd. Reporto Luis Pérez</t>
  </si>
  <si>
    <t>Canecas sin bandeja de contención en eta. Reporto Adrián Santisteban</t>
  </si>
  <si>
    <t>Caja con repuestos en área no establecida en ADR. Reporto Jimmy Velásquez</t>
  </si>
  <si>
    <t>Tarima mal posicionada en área de desentarimado linea 2. Reporto Jaime Camey</t>
  </si>
  <si>
    <t>Rotulación no actualizada de autorizados para intervenir paneles eléctricos en bodega de soda MP. Reporto Luis Ángel</t>
  </si>
  <si>
    <t>se corrige, Rótulo de riesgo eléctrico por desprenderse en MP. Reporto Luis Ángel</t>
  </si>
  <si>
    <t>No se lleva checklist diario de control de máquinas (no hay foto de referencia porque es hallazgo documental). Reporto Mariana Xicara</t>
  </si>
  <si>
    <t>Indica Jorge Estacuy que no cuentan con procedimiento para trasiego de alcohol o de grasas (cuando aplique). Reporto Mariana Xicara</t>
  </si>
  <si>
    <t>No se encuentran MSDS de químicos que estaban en la jaula. Reporto Mariana Xicara</t>
  </si>
  <si>
    <t>Alarma de emergencia sin funcionar, no funciona el accionamiento en simulacro en taller de mantenimiento. Reporto Josué Vásquez</t>
  </si>
  <si>
    <t>Alarma de emergencia con ruido inusual al ser activada en simulacro, revisar el cambio de la sirena. Reporto Josué Vásquez</t>
  </si>
  <si>
    <t>Al activar en simulacro la alarma del CD se verifica que el botón para accionarla está en mal estado. Reporto Josué Vásquez</t>
  </si>
  <si>
    <t>No se cuenta con alarma de emergencia en L4. Reporto Josué Vásquez</t>
  </si>
  <si>
    <t>Personal de cafetería no evacuó al escuchar las alarmas de emergencia en simulacro. Reporto Josué Vásquez</t>
  </si>
  <si>
    <t>Al accionar alarma de ETEI en simulacro no se escucha en otras áreas, ampliar capacidad de alarma sonora. Reporto Josué Vásquez</t>
  </si>
  <si>
    <t>Falta de insumos en botiquines reportado en simulacro. Reporto Josué Vásquez</t>
  </si>
  <si>
    <t>Equipos de emergencia sucios y deficientes reportados en simulacro. Reporto Josué Vásquez</t>
  </si>
  <si>
    <t>El personal de garita dejó ingresar visitas al momento de la evacuación en simulacro. Reporto Josué Vásquez</t>
  </si>
  <si>
    <t>Acceso bloqueado hacia punto de emergencia frente a isla de soda por trabajos de tratamiento de aguas. Reporto Josué Vásquez</t>
  </si>
  <si>
    <t>No todos los brigadistas contaban con radio en el simulacro. Reporto Josué Vásquez</t>
  </si>
  <si>
    <t>No se cuentan con brigadistas en todas las áreas de planta reportado en simulacro. Reporto Josué Vásquez</t>
  </si>
  <si>
    <t>Comunicación de brigadistas con personal afectado no fue efectiva en simulacro. Reporta Josué Vásquez</t>
  </si>
  <si>
    <t>Personal tercero no conoce el protocolo de evacuación reportado en simulacro. Reporto Josué Vásquez</t>
  </si>
  <si>
    <t>pernos fuera de nivel de piso en área de caldera en equipos auxiliares. Reporto Daniel Corado</t>
  </si>
  <si>
    <t>fuga en calentadores en techo de ósmosis, cae en la entrada y afecta el ingreso al área. Reporto Karla Hintz</t>
  </si>
  <si>
    <t>Tubería de vapor sin aislamiento térmico, se corrige. Reporto Daniel Corado</t>
  </si>
  <si>
    <t>Rótulo personal autorizado en norma NFPA no actualizado en panel eléctrico de pipa CO2 MP. Reporto Luis Ángel</t>
  </si>
  <si>
    <t>candado abierto hacia techo de sala de llenado, se verifica y no hay nadie trabajando se cerró. Reporto Haydée Martínez</t>
  </si>
  <si>
    <t>se corrigió, vidrio en piso en paso peatonal hacia las gradas de empacadora. Reporto Haydée Martínez</t>
  </si>
  <si>
    <t>equipo fuera de lugar, orden y limpieza en equipos auxiliares. Reporta Elvis Oliva</t>
  </si>
  <si>
    <t>Químico sin rombo 💠 de seguridad en cuarto de bombas en ósmosis. Reporto Selvin Pérez</t>
  </si>
  <si>
    <t>Paso peatonal bloqueado, se recomienda reubicar lavamanos al otro extremo o cambiar señalización sala nueva de jarabes. Reporto Vinicio Mendoza</t>
  </si>
  <si>
    <t>Puerta de críbas abiertas en ETEI. Reporto Josué Lepe</t>
  </si>
  <si>
    <t>Espejo ya quedó en mala posición, dejo de ser funcional camino a sala de tratamiento de agua. Reporto Wilber López</t>
  </si>
  <si>
    <t>Desorden en banco de trabajo de taller de mantto. Reporto Daniel Corado</t>
  </si>
  <si>
    <t>Colocar barandal y delimitar con pintura amarilla. Reporto Wilber López</t>
  </si>
  <si>
    <t>Evaluar el cambio de tipo de escalera o colocar sensor para medición. Reporto Wilber López</t>
  </si>
  <si>
    <t>Montacargas 32 sin luz azul visto en matinal en el CD. Reporto Karla Hintz</t>
  </si>
  <si>
    <t>Desechar elementos de seguridad inservibles en MP. Reporto Wilber López</t>
  </si>
  <si>
    <t>Puerta de Panel eléctrico de lavadora de botellas no se encuentra cerrado correctamente en l1. Reporto Oscar Ramírez</t>
  </si>
  <si>
    <t>Rótulos de equipo autorizado para tableros eléctricos sin actualizar en el cd. Reporto Karla Hintz</t>
  </si>
  <si>
    <t>Epp fuera de lugar en equipos auxiliares. Reporto Elvis Oliva</t>
  </si>
  <si>
    <t>Asiento de banco de trabajo de etiquetadora L3 a punto de desprenderse, alguien se puede sentar y caer en l3. Reporto Jaime Chilel</t>
  </si>
  <si>
    <t>Exceso de vidrio en área de entarimado línea 1. Reporto Oscar Ramírez</t>
  </si>
  <si>
    <t>Piezas propensas a caidas en taladro de taller de mantenimiento. Reporto Daniel Corado</t>
  </si>
  <si>
    <t>Desorden de tubos pueden caerse y dañar a alguien en taller de mantenimiento. Reporto Daniel Corado</t>
  </si>
  <si>
    <t>Esmeril con acceso a uso de cualquier persona en taller de mantto. Daniel Corado</t>
  </si>
  <si>
    <t>Tarimas fuera de lugar, bodega 1 del cd. REporto Kelly Calderón</t>
  </si>
  <si>
    <t>Caja de registro sin tapa en exterior galera de apoyo 2 mala señalización en equipos auxiliares. Reporto Elvis Oliva</t>
  </si>
  <si>
    <t>Rotulo con poca visibilidad, remarcar nuevamente en equipos auxiliares. Reporto Josué Vásquez</t>
  </si>
  <si>
    <t>Cilindro sin rombo en equipos auxiliares. Reporto Josué Vásquez</t>
  </si>
  <si>
    <t>Escalera sin restricción y delimitación sin personal laborando en planta de tratamiento. Reporto Selvin Pérez</t>
  </si>
  <si>
    <t>Rejilla levantada en L5, se tienen trabajos en altura cerca. Reporto Yessi Guarcas</t>
  </si>
  <si>
    <t>Fuga de aceite en motor mr9 Se limpia y deja contenedor provisional, mientras llega el espacio de mantenimiento en l3. Reporto Amílcar Ralda</t>
  </si>
  <si>
    <t>se cierra, caja de drenaje sin rejilla en l4. Reporta Amílcar Ralda</t>
  </si>
  <si>
    <t>Personal en bodega de reciclaje utilizando un tipo de cuchilla no autorizada para sus tareas de rutina. Reporto Yessi Guarcas</t>
  </si>
  <si>
    <t>Magneto de puerta de salida de línea 1 desprendido de su base. Reporto Oscar Ramírez</t>
  </si>
  <si>
    <t>Tarima quebrada, almacén MP, Se corregirá. Reporto Jaime Chex</t>
  </si>
  <si>
    <t>Se reporte llanta pinchada del proveedor Word logístic, piloto franklin Giron, el transporte sale vacío. Reporto Kelly Calderón</t>
  </si>
  <si>
    <t>logistica</t>
  </si>
  <si>
    <t>Unidad encendida sin el piloto con placas C384BPP, frente a oficina CD, se le informa a verificador de turno para que regrese el piloto a la unidad cerrar boleta con el nombre del piloto. Reporto Vinicio Mendoza</t>
  </si>
  <si>
    <t>Andamio sin uso con las gradas puestas, no hay nadie en el punto VALIDAR SI SEGUIRA EN USO. Reporto Oscar Ramos Jarabes</t>
  </si>
  <si>
    <t>Ramos Jarabes</t>
  </si>
  <si>
    <t>Condición insegura, Transportador mr8 L3 Sin Guarda. Reporto Amílcar Ralda</t>
  </si>
  <si>
    <t>Panel eléctrico Contiflow abierto en l4. Reporta Amílcar Ralda</t>
  </si>
  <si>
    <t>Se encuentra candado abierto área superior sala de llenado L3 Preguntando a los operadores, indicaron que un proveedor estuvo trabajando En el área y al irse no dejó cerrado el candado. Reporto Amílcar Ralda</t>
  </si>
  <si>
    <t>Tarimas en carril paso montacargas, frente a bodega de azúcar. Reporto Gustavo Hernández</t>
  </si>
  <si>
    <t>Tornillos con las puntas expuestas lado peatonal L3, alguien puede lastimarse al momento de hacer limpieza; lo mejor es cortarlos. Reporto Gustavo Hernández</t>
  </si>
  <si>
    <t>Fuga de vapor en flanch tubería ingreso a lavadora de botellas 2. Reporto Jaime Camey</t>
  </si>
  <si>
    <t>Caja sin delimitar entrada a línea 3 se coloca cono para evitar accidente. Reporto Jaime Camey</t>
  </si>
  <si>
    <t>Levantamiento de llaves de paneles eléctricos. Reporto Karla Hintz</t>
  </si>
  <si>
    <t>Químico sin bandeja de contención. Reporto Jonathan Escobar</t>
  </si>
  <si>
    <t>linea 3</t>
  </si>
  <si>
    <t>Gaylor de preforma se encuentran apilados y con riesgo a caerse.Reporto Jonathan Escobar</t>
  </si>
  <si>
    <t>Escalera en el área de sala de jarabes nueva sin restricción. Reporto Edgar Cotí</t>
  </si>
  <si>
    <t>Transporte salida después del inversor, no tiene unión entre canaleta y canaleta el lubricante está cayendo ahí, se conseguirá. Reporto Mario Ramos</t>
  </si>
  <si>
    <t>Chatarra en acceso a campo de fútbol reporta alrededores. Reporta Carlos Coc</t>
  </si>
  <si>
    <t>equipo de INFYMSA dejaron colocadas escaleras sin ninguna restricción, se abordó y corrigió inmediatamente. Reporto Selvin Pérez</t>
  </si>
  <si>
    <t>Equipo de IIISA trabajando con pulidora cercade producto inflamables sin colocar mantas ignifugas, se corrigió de inmediato. Reporto Selvin Pérez</t>
  </si>
  <si>
    <t>Dispositivo para desactivar magneto de puerta de salida de linea 1 no funciona. Reporto Oscar Ramírez</t>
  </si>
  <si>
    <t>Se cerrará candado panel eléctrico sala de llenado 2. Reporto Gustavo Hernández</t>
  </si>
  <si>
    <t>Se cerró tanque prelavado lavadora de cajillas 1. Reporto Gustavo Hernández</t>
  </si>
  <si>
    <t>Se cerró candado hacia mezanini L3. Reporto Gustavo Hernández</t>
  </si>
  <si>
    <t>Se reporta reactivos sin bandeja de contención adecuada en laboratorio de microbiología. Reporto Hellen Consuelo</t>
  </si>
  <si>
    <t>Jabón neutro en el laboratorio de metrología sin bandeja de contención. Reporto Hellen Consuelo</t>
  </si>
  <si>
    <t>Respaldo de silla floja en área de llenadora L1. Reporta Amílcar Ralda</t>
  </si>
  <si>
    <t>Lámpara en mal estado en equipos auxiliares. reporto Karla Hintz</t>
  </si>
  <si>
    <t>Iluminación inadecuada</t>
  </si>
  <si>
    <t>Sistema de seguridad con reparación temporal, puerta ingreso a pallet 3. Reporto Gustavo Hernández</t>
  </si>
  <si>
    <t>Tarimas ocupando carril paso de yale, frente a bodega de azúcar. Reporto Gustavo Hernández</t>
  </si>
  <si>
    <t>Se colocará candado a escalera sopladora L3. Reporto Gustavo Hernández</t>
  </si>
  <si>
    <t>Panel de control de la llenadora abierto sin candado. Reporta Domingo Yac</t>
  </si>
  <si>
    <t>Se tiene tarima mal ubicada y mal posicionada en área de taller de mantenimiento. Reporto Roy Luarca</t>
  </si>
  <si>
    <t>Sin restriccion area de generadores eléctricos. Reporto Carlos Chávez</t>
  </si>
  <si>
    <t xml:space="preserve"> Conexión eléctrica en deficiente estado de instalación en lavado manual de envase del cd. Reporto Fredy Fuentes</t>
  </si>
  <si>
    <t>Kits antiderrames no cuentan con trajes, ya línea 3 compro un kit nuevo y no cuentan con traje validar de parte de sso la compra y abastecimiento en l3. Reporto Alejandro Martínez</t>
  </si>
  <si>
    <t>Cilindros de diferentes químicos sin rombo de seguridad. Reporto Carlos Chávez</t>
  </si>
  <si>
    <t>Presión de ducha/lava ojos insuficiente (Tratamiento de Agua). Reporta Byron Roldan</t>
  </si>
  <si>
    <t>Byron Roldan</t>
  </si>
  <si>
    <t>Esta es un área que se convirtió en bodega para el equipo de limpieza de alrededores considerarse hay necesidad de hacer una bodega. Reporto Wilber López</t>
  </si>
  <si>
    <t>El layout de lamparas de emergencia no está actualizado en sala de jarabes. Reporto Jaime Chilel</t>
  </si>
  <si>
    <t>Se deja abierta puerta de paletizadora por no estar funcionando el sistema de refrigeración en l3. reporto Amílcar Ralda</t>
  </si>
  <si>
    <t>Puerta sopladora abierta, Se le pregunta a especialista de turno, indica que así se encontro de turno anterior, No se reporto ningún inconveniente en cerrarla. Reporto Amílcar Ralda</t>
  </si>
  <si>
    <t>Compactador de etiqueta sin protector Indica operador que bomba no tiene suficiente fuerza para realizar la tarea automática, por lo que deben realizarlo manual. Reporto Amílcar Ralda</t>
  </si>
  <si>
    <t>Candado mezanine L1 abierto, No se encuentra nadie trabajando en el punto se cierra. Reporto Amílcar Ralda</t>
  </si>
  <si>
    <t>Jumbo inclinado y no centrado en la tarima, se corrige. Reporto Jaime Chex</t>
  </si>
  <si>
    <t>Panel eléctrico  bomba hidráulica empacadora L1 abierto. Reporto Amílcar Ralda</t>
  </si>
  <si>
    <t>Quimico sin identificacion en jaula quimicos linea 2. Reporto Oscar Ramírez</t>
  </si>
  <si>
    <t>Tornillos expuestos a nivel de piso en jaula de quimicos linea 2. Reporto Oscar Ramírez</t>
  </si>
  <si>
    <t>Fuga en tuberia de lubricante cayendo afuera de canaleta, se corrigio por ecolab. Reporto Oscar Ramírez</t>
  </si>
  <si>
    <t>Guarda mal colocada en transporte de envase vacio linea 1, se corrige. Reporto Oscar Ramírez</t>
  </si>
  <si>
    <t>Silla de escritorio de lámpara de envase lleno en mal estado salida del inversor l2. Reporto Edson López</t>
  </si>
  <si>
    <t>L2 panel eléctrico de sala de llenado sin candado puesto se cerró. Reporto Haydée Martínez</t>
  </si>
  <si>
    <t>Se colocará seguridad física a tanque enjuague lavadora de cajillas l2. Reporto Amílcar Ralda</t>
  </si>
  <si>
    <t>Tubería de drenaje incompleto en transporte hacia lavadora 1, mantiene el piso mojado. Reporto Gustavo Hernández</t>
  </si>
  <si>
    <t>Paso peatonal en sala de llenado de línea #4 obstaculizadas. Benedicto Barrios</t>
  </si>
  <si>
    <t>Benedicto Barrios</t>
  </si>
  <si>
    <t>lámpara no está funcionando en paso peatonal Línea 1. REPORTA Amílcar Ralda</t>
  </si>
  <si>
    <t>Rejilla de la ETEI con corrosión. Reporto Karla Hintz</t>
  </si>
  <si>
    <t>Tarima de gatorade uva con caja primera cama fuera de posición en bodega 2. Reporto Amílcar Ralda</t>
  </si>
  <si>
    <t>En sala de jarabes, área de azúcar se encontraban haciendo lavado de piso sin colocar señalización correspondiente de piso mojado. Reporto Oscar Ramos</t>
  </si>
  <si>
    <t>Rejilla a un costado de sala embajadores dañada, tiene un espacio flojo, Me tropecé porque esta desnivelado. Reporto María Obregón</t>
  </si>
  <si>
    <t>María Obregón</t>
  </si>
  <si>
    <t>Techo de pasillo de ingreso a L3 quebrado, de gradas hacia compresores. Reporto María Obregón</t>
  </si>
  <si>
    <t>Cilindro de pérgola sin identificación de rombo NFPA, Sería de rotular el punto de ubicación, no tanto el cilindro porque esos rotan. Reporto Yessi Guarcas</t>
  </si>
  <si>
    <t>Se corrigió escalera en el área de encajona dora fuera de lugar sin restricción. Reporto Haydée Martínez</t>
  </si>
  <si>
    <t>Escalera sin restricción cerca de tolva de preforma de l4. Reporto Haydée Martínez</t>
  </si>
  <si>
    <t>Candado abierto en escaleras hacia techo, se verifico no hay nadie trabajando, no hay hora de permiso en el área, se cerró. Reporto Haydée Martínez</t>
  </si>
  <si>
    <t>Tapa de drenaje levantada se procede a cerrar en l3. Reporto Jaime Camey</t>
  </si>
  <si>
    <t>Protección de inversor sin delimitar peligro de caída en l2. Reporto Jaime Camey</t>
  </si>
  <si>
    <t>Protección de palet sin delimitar y con riesgo de caída en l3. Reporto Jaime Camey</t>
  </si>
  <si>
    <t>Drenaje sin Rejillas línea 1. Reporto Jaime Camey</t>
  </si>
  <si>
    <t>Base y bote fuera de lugar obstruyendo el paso, Se corrige. Reporto Rodrigo Galindo</t>
  </si>
  <si>
    <t>Tarima de cartones obstaculizando paso de montacargas bodega azúcar MP, Se corrigió. Reporto Jaime Chex</t>
  </si>
  <si>
    <t>Fuga de vapor frente nave ósmosis de tratagua. Reporto Oscar Ramos</t>
  </si>
  <si>
    <t>Equipo de soldadura obstaculizando paso en taller de mantenimiento. Reporto Walfred Guzman</t>
  </si>
  <si>
    <t>Tubería sin enchaquetar en caldera manifold L5 en equipos auxiliares. Reporto Elvis Oliva</t>
  </si>
  <si>
    <t>Puerta salida de emergencia no activa para abrir puerta, se hace difícil salir en l1. Reporto Oscar Ramírez</t>
  </si>
  <si>
    <t>Piezas mal apiladas con riesgo de caída en taller de mantto. Reporto Elvis Oliva</t>
  </si>
  <si>
    <t>Tarimas y rejillas mal ubicadas en alrededores. Reporto Carlos Chávez</t>
  </si>
  <si>
    <t>Esmeriles sin restricciones de accionamiento en taller de mantto. Reporto Elvis Oliva</t>
  </si>
  <si>
    <t>Químicos y materiales fuera de su posición en L4. Reporto Luis Cabrera</t>
  </si>
  <si>
    <t>Panel abierto se procede a cerrar en equipos auxiliares. Reporto Daniel Corado</t>
  </si>
  <si>
    <t>Mangueras tiradas, riesgo de tropiezo en alrededores. Reporto Carlos Chávez</t>
  </si>
  <si>
    <t>Rotulación dañada por pintura, tratamiento de agua. Reporto Vinicio Mendoza</t>
  </si>
  <si>
    <t>Nos urge mejorar las condiciones de orden y limpieza en el cuarto eléctrico, Eliminar el andamio del área, según platicamos en matinal el proveedor ya no se encuentra en planta, pero dejó el andamio puesto. Reporto Karla Hintz</t>
  </si>
  <si>
    <t>Manguera fuera de lugar sobre escalera en llenadora. Reporto Haydée Martínez</t>
  </si>
  <si>
    <t>Se estaban realizado trabajos de pintura y tenían las rejillas abiertas sin delimitar, se corrigió en tratamiento de aguas. Reporto Adrián Santisteban</t>
  </si>
  <si>
    <t>empresa SEINCO había iniciado trabajos sin realizar antes el permiso de trabajo, se detuvo y corrigió. Reporto Selvin Pérez</t>
  </si>
  <si>
    <t>Jumbo inclinado en bodega de Mp, se corrigió. Reporto Jaime Chex</t>
  </si>
  <si>
    <t>Equipo de PROYECT tenían el área con demasiado desorden y falta de limpieza, se corrigió. Reporto Selvin Pérez</t>
  </si>
  <si>
    <t>Matinal se abordó falta de iluminación en área exterior que se está utilizando de parqueo. Reporto Jaime Chilel</t>
  </si>
  <si>
    <t xml:space="preserve"> IIISA área donde están trabajando no tenían puesto canceles para mitigar protección dE partículas con uso de pulidora, se corrigió. Reporto Selvin Pérez</t>
  </si>
  <si>
    <t>Se reporta una varilla que funciona como tope en una estantería del cuarto de contramuestras, esta se encuentra sobrepuesta no está atornillada. Reporto Hellen Consuelo</t>
  </si>
  <si>
    <t>Extractor 2 dañado de L1 se quebró aspa de ventilador, reviso mantto El cual puede afectarla personal con golpe de calor. Reporto Haydée Martínez</t>
  </si>
  <si>
    <t>Beaker roto en el laboratorio de metrología sin desecharse. Reporto Hellen Consuelo</t>
  </si>
  <si>
    <t>Fuga de agua filtro de carbón 2 genera piso mojado en tratagua. Reporto Adrián Santisteban</t>
  </si>
  <si>
    <t>Sobre stock de tarima en área de carga de reciclaje se estará liberado en el cd. Reporto Luis Pérez</t>
  </si>
  <si>
    <t>Lámparas led sobre área de búnker en mal estado dificultan la lectura de los combustibles. Reporto Gover Sologaistoa</t>
  </si>
  <si>
    <t>Tapadera sobre puesta y con golpe detrás de nave de osmosis. Reporto Juan Poz</t>
  </si>
  <si>
    <t>Se instalará candado a escalera sopladora 3. Reporto Gustavo Hernández</t>
  </si>
  <si>
    <t>Se va a cerrar candado de panel eléctrico sala de llenado 2. Reporto Gustavo Hernández</t>
  </si>
  <si>
    <t>Aceite en piso puede provocar caídas en entrada taller de mantenimiento. Reporto Edson López</t>
  </si>
  <si>
    <t>Se cerrará candado a mandos operativos eléctricos empacadora L2. Reporto Gustavo Hernández</t>
  </si>
  <si>
    <t>reclamo a proveedor por envió de material defectuoso, en derrame de ácido. Reporto Jessica Loarca</t>
  </si>
  <si>
    <t>Compra de bicarbonato para tenerlo como plan de contingencia para neutralizar el material, de ácido que se pueda derramar. Reporto Jessica Loarca</t>
  </si>
  <si>
    <t>Refuerzo par personal de ETEI para actuar en caso de derrame de ácido y/o otro químico. Reporto Jessica Loarca</t>
  </si>
  <si>
    <t>Jumbo de azucar inclinado com riesgo de caer en bodega de azucar mp. Reporto Jasón Calderón</t>
  </si>
  <si>
    <t>Tarima con producto mal estimado en bodega 2 del cd. Reporto Kelly Calderón</t>
  </si>
  <si>
    <t>Estructuras metálicas expuestas en silla frente a lámpara 2 línea 1, pueden provocar cortes en los brazos de los auxiliares. Reporto Gustavo Hernández</t>
  </si>
  <si>
    <t>Corredor de envase 12 onza labels con riegos a caer ubicado en bodega 7 del cd. Reporto Carlos Poz</t>
  </si>
  <si>
    <t>Tapadera mal colocada a un costado de área de calamity ÁREA ETEI. Reporto Josué Lepe</t>
  </si>
  <si>
    <t>Rejilla de críbas 2 fuera de lugar en la etei. Reporto Josué Lepe</t>
  </si>
  <si>
    <t>Lamina de cierre con riesgo de caer, nave de osmosis. Reporto Jasón Calderón</t>
  </si>
  <si>
    <t>Hallazgos en inspección de matinal en piso. Reporto Mariana Xicara</t>
  </si>
  <si>
    <t>Pata de mesa nini de etiquetadora línea 3 mal colocado. Reporto Wilber López</t>
  </si>
  <si>
    <t>Exceso de agua debajo de etiquetadora línea 3 el agua ya no está cayendo a la bomba que ayuda a que se vaya a drenaje. Reporto Wilber López</t>
  </si>
  <si>
    <t>Candado abierto de panel eléctrico de inversor, se cierra. Reporto Oscar Ramírez</t>
  </si>
  <si>
    <t>Tornillos expuestos a nivel de suelo en cuarto de químicos materia prima, puede provocar tropiezos Reporto Rebeca Morales</t>
  </si>
  <si>
    <t>Lámpara 1 de línea 2 en mal estado. Reporto Amílcar Ralda</t>
  </si>
  <si>
    <t>Varilla puede provocar accidente entre el límite de repuestos y taller de mantto, se corrige de inmediato. Reporto Gover Sologaistoa</t>
  </si>
  <si>
    <t>Seguridad física de selector eléctrico frente a lámparas sala de llenado 2, en malas condiciones. Reporto Gustavo Hernández</t>
  </si>
  <si>
    <t>Esta boquilla de lubricación para transporte debe de ser como aspersor, es tanta la lubricación que moja el piso; esto frente a llenadora 2, Puede ocasionar caída del operador. Reporto Gustavo Hernández</t>
  </si>
  <si>
    <t>Se encuentra candado a zona superior L3 abierta, no se ve personal trabajando en el área ni hoja de trabajo, se cierra. Reporto Amílcar Ralda</t>
  </si>
  <si>
    <t>Se encuentra aldaba de panel eléctrico transporte L3 quebrada. Reporto Amílcar Ralda</t>
  </si>
  <si>
    <t>Equipo de oxicorte no contaba con protección en válvulas de apertura, se corrige. Reporto Elvis Oliva</t>
  </si>
  <si>
    <t>Realizar evaluación: podríamos ver la opción de fabricarle una plancha y escalera fija y evitar el riesgo de caída al hacer algún mantenimiento. Reporto Yessi Guarcas</t>
  </si>
  <si>
    <t>1. Compra de mangueras sin uniones clamp-manguera exclusivas para realizar la operación de trasiego de jarabe entre salas. Reporto Adrián Santisteban</t>
  </si>
  <si>
    <t>2.Agregar al OPL de transferencia de jarabes el tipo de manguera que se debe utilizar para la operación. Reporto Adrián Santisteban</t>
  </si>
  <si>
    <t>3. Capacitar al personal sobre el OPL actualizado para transferencia de jarabe. Reporto Adrián Santisteban</t>
  </si>
  <si>
    <t>4. Supervisar la correcta ejecución de la aplicación del OPL (realizar DTO). Reporto Adrián Santisteban</t>
  </si>
  <si>
    <t>puerta se salida frente a etiquetadora no cierra, esta caída en l1. Reporto Haydée Martínez</t>
  </si>
  <si>
    <t>Cadenas de lavadora de botellas de línea 2, sobre el paso peatonal de jarabes. Reporto Nery Rivera</t>
  </si>
  <si>
    <t>Fuga de condensado ingreso a L5 frente a Materia Prima. Reporto Luis Angel</t>
  </si>
  <si>
    <t>Jaula de preforma con riesgo a caer en bodega de preforma de mp. Reporto Miguel Godinez</t>
  </si>
  <si>
    <t>Resultado monitoreo de iluminación estudio de higiene 2024. Reporto Karla Hintz</t>
  </si>
  <si>
    <t>Resultado monitorio de iluminación estudio de higiene 2024 anexo oficina de mantenimiento. Reporto Karla Hintz</t>
  </si>
  <si>
    <t>Resultado monitorio de iluminación estudio de higiene 2024 línea 4 llenadora. Reporto Karla Hintz</t>
  </si>
  <si>
    <t>Resultado monitorio de iluminación estudio de higiene 2024 laboratorio sala de llenado l4. Reporto Karla Hintz</t>
  </si>
  <si>
    <t>Resultado monitorio de iluminación estudio de higiene 2024 oficinas administrativas Jarabes y procesos. Reporto Karla Hintz</t>
  </si>
  <si>
    <t>Resultado monitoreo de iluminación estudio de higiene 2024 calidad laboratorio de microbiología. Reporto Karla Hintz</t>
  </si>
  <si>
    <t>Resultado monitoreo de iluminación (turno nocturno) estudio de higiene 2024 línea 1. Reporto Karla Hintz</t>
  </si>
  <si>
    <t>Resultado monitoreo de iluminación (turno nocturno) estudio de higiene 2024 línea 2. Reporto Karla Hintz</t>
  </si>
  <si>
    <t>Resultado monitoreo de iluminación (turno nocturno) estudio de higiene 2024 linea 3. Reporto Karla Hintz</t>
  </si>
  <si>
    <t>Resultado monitoreo de iluminación (turno nocturno) estudio de higiene 2024 línea 4. Reporto Karla Hintz</t>
  </si>
  <si>
    <t>Resultado monitoreo de iluminación (turno nocturno) estudio de higiene 2024 jarabes. Reporto Karla Hintz</t>
  </si>
  <si>
    <t>Resultado monitoreo de iluminación (turno nocturno) estudio de higiene 2024 materia prima bodega de azucar. Reporto Karla Hintz</t>
  </si>
  <si>
    <t>Resultado monitoreo de iluminación (turno nocturno) estudio de higiene 2024 osmosis tratamiento de aguas. Reporto Karla Hintz</t>
  </si>
  <si>
    <t>Resultado monitoreo de material particulado estudio de higiene 2024 vaciado de azucar sala nueva de jarabes. Reporto Karla Hintz</t>
  </si>
  <si>
    <t>Resultado monitoreo de ruido (dosimetría) estudio de higiene 2024 operador de llenadora l1. Reporto Karla Hintz</t>
  </si>
  <si>
    <t>Resultado monitoreo de ruido (dosimetria) estudio de higiene 2024 operador de llenadora l2. Reporto Karla Hintz</t>
  </si>
  <si>
    <t>Resultado monitoreo de estrés térmico estudio de higiene 2024 compresores de amoniaco, serivios auxiliares. Reporto Karla Hintz</t>
  </si>
  <si>
    <t>Resultado monitoreo de estrés térmico estudio de higiene 2024 área de calderas servicios auxiliares. Reporto Karla Hintz</t>
  </si>
  <si>
    <t>Resultado monitoreo de estrés térmico estudio de higiene 2024 salida de lavadora y llenadora l2. Reporto Karla Hintz</t>
  </si>
  <si>
    <t>Resultado monitoreo de estrés térmico estudio de higiene 2024 llenadora línea 4. Reporto Karla Hintz</t>
  </si>
  <si>
    <t>Resultado monitoreo de estrés térmico estudio de higiene 2024 entre etiquetadora y empacadora l4. Reporto Karla Hintz</t>
  </si>
  <si>
    <t>Resultado monitoreo de ruido puntual estudio de higiene 2024 en l1. Reporto Karla Hintz</t>
  </si>
  <si>
    <t>Resultado monitoreo de ruido puntual estudio de higiene 2024 en l2. Reporto Karla Hintz</t>
  </si>
  <si>
    <t>Resultado monitoreo de ruido puntual estudio de higiene 2024 en etiquetadora l3. Reporto Karla Hintz</t>
  </si>
  <si>
    <t>Resultado monitoreo de ruido puntual estudio de higiene 2024 vaciado de llenado de l4. Reporto Karla Hintz</t>
  </si>
  <si>
    <t>Resultado monitoreo de ruido puntual estudio de higiene 2024 en cuarto de bombas osmosis, tratamiento de aguas. Reporto Karla Hintz</t>
  </si>
  <si>
    <t>Resultado monitoreo de ruido puntual estudio de higiene 2024 en equipos auxiliares. Reporto Karla Hintz</t>
  </si>
  <si>
    <t>Puerta salida emergencia linea 1 no cierra por completo. Reporto Gustavo Hernández</t>
  </si>
  <si>
    <t>Puerta de ingreso al laboratorio de calidad no cierra completamente. Reporto Edgar Cotí</t>
  </si>
  <si>
    <t>Paso peatonal hacia rampas de age bloqueado por equipos de línea 2. Reporto Luis Pérez</t>
  </si>
  <si>
    <t>Encaminamiento hacia lavadora línea 1 con tubos de barandal quebrados. Reporto Edson López</t>
  </si>
  <si>
    <t>Motor sin guarda en trasporte de rechazo de lleno cerca de etiquetadora de l1. Reporto Oscar Ramírez</t>
  </si>
  <si>
    <t>Se reporta lámpara quemada en paso peatonal L3. Reporto Amílcar Ralda</t>
  </si>
  <si>
    <t>Equipo, están reportando esta fuga de vapor en el mezanine qué está en sala de jarabe. Reporto Haydée Martínez</t>
  </si>
  <si>
    <t>Lámpara de interior de llenadora Línea 3 presenta fallos. Reporto Juan Hernández</t>
  </si>
  <si>
    <t>Motor transporte salida empacadora 1 sin protección fisica. Reporto Gustavo Hernández</t>
  </si>
  <si>
    <t>Candado abierto hacia mezanini 3, se cerró. Reporto Gustavo Hernández</t>
  </si>
  <si>
    <t>No enciende iluminación en acceso de gradas hacia el salón de coordinadores. Reporto Haydée Martínez</t>
  </si>
  <si>
    <t>Paneles abiertos de lavadora de botellas de l1. Reporto Oscar Ramírez</t>
  </si>
  <si>
    <t>Piso mojado en laboratorio fisicoquimico por agua que ingresa de sala de jarabes ya que se encontraban lavando. Reporto Luis Cabrera</t>
  </si>
  <si>
    <t>Falta cinta antideslizante en gradas que se dirigen a las oficinas del segundo nivel.Reporto Luis Cabrera</t>
  </si>
  <si>
    <t xml:space="preserve">Espejo sucio en entrada de línea 1 se tiene poca visibilidad para montacargas del cd. Reporto Luis Pérez
</t>
  </si>
  <si>
    <t xml:space="preserve">Luis Pérez
</t>
  </si>
  <si>
    <t>Escalera fuera de lugar y sin restricción en l4. Reporto Fredy Fuentes</t>
  </si>
  <si>
    <t>Panel eléctrico abierto en l4. Reporto Fredy Fuentes</t>
  </si>
  <si>
    <t>Gaylord de preforma mal posicionado. Reporto Jonathan Escobar</t>
  </si>
  <si>
    <t>Es necesario colocar un espejo concavo en este ingreso para evitar accidentes. Reporto Alejandro Martínez</t>
  </si>
  <si>
    <t>Se evaluó al equipo de SERVIMONTAJES en l5 realizaban trabajos de soldadura y no tenian delimitada el área, se corrige de inmediato. Reporto Selvin Pérez</t>
  </si>
  <si>
    <t>No se cuenta con botiquín de emergencia en nuevas salas de embajadores. Reporto Karla Hintz</t>
  </si>
  <si>
    <t>Se observa utensilios de limpieza en lugar inadecuado.
Reporta: Leidy Vanesa Camey</t>
  </si>
  <si>
    <t>Rack inclinado permite que laminas se corran y puedan llegar a caer por la inclinación se corregirá. Reporto Jimmy Velásquez</t>
  </si>
  <si>
    <t>Se corrige inmediatamente al equipo de INFYMSA en lavadora de l2, se retiraron a almorzar y dejaron herramientas tiradas en el suelo. Reporto Selvin Pérez</t>
  </si>
  <si>
    <t>Candado Mezanine L1 abierto, no hay nadie trabajando en el área se cierra. Reporto Amílcar Ralda</t>
  </si>
  <si>
    <t>Fuga de condensado frente nave ósmosis, tratamiento de agua. Reporto Oscar Ramos</t>
  </si>
  <si>
    <t>Escalera sin asegurar paso peatonal frente jarabes, no hay nadie en el punto. Reporto Oscar Ramos</t>
  </si>
  <si>
    <t>Actualizar procedimiento Loto en etiquetadora de L3. Reporto Karla Hintz</t>
  </si>
  <si>
    <t>Extractor de vapores de lavadora deshabilitado provoca exceso de calor en el área de l1. Reporto Wilber López</t>
  </si>
  <si>
    <t>Por alta temperatura lo abrieron anoche, el equipo de refrigeración no tiene capacidad de mantener la temperatura de los dispositivos electrónicos en panel de paletizadora de l3. Reporto Amílcar Ralda</t>
  </si>
  <si>
    <t>Recipiente de laboratorio roto en Lab. De fisicoquímicos. Se recolecta y desecha correctamente. Ana Sanchez</t>
  </si>
  <si>
    <t>Ana Sanchez</t>
  </si>
  <si>
    <t>Cajas con repuestos bloqueando paso peatonal de almacén de repuestos. Reporto Jimmy Velásquez</t>
  </si>
  <si>
    <t>se corrige, Tarimas mal estibadas en materia prima. Reporta Jaime Chex</t>
  </si>
  <si>
    <t>se corrige al equipo de INFYMSA por extensiones se detectaron las cajas de conexión en mal estado, se retiraron. Reporto Selvin Pérez</t>
  </si>
  <si>
    <t>Condensado en bodega 8 se estará procediendo con limpieza. Reporto Luis Pérez</t>
  </si>
  <si>
    <t>Topes para vehículos en lugar no establecido en almacén de repuestos. Reporto Jimmy Velásquez</t>
  </si>
  <si>
    <t xml:space="preserve"> se corrige al equipo de IIISA en torre de enfriamiento montaje de andamio sin delimitación. Reporto Selvin Pérez</t>
  </si>
  <si>
    <t>Tarima operacional en pasillo bodega 3 y 4 reduce la calle para tránsito de montacarga. Reporto Jimmy Velásquez</t>
  </si>
  <si>
    <t>Se cerrará candado, puerta hacia mezanini L3. Reporto Gustavo Hernández</t>
  </si>
  <si>
    <t>Exceso de condensado en bodega 9 del CD. Reporto Kelly Calderón</t>
  </si>
  <si>
    <t>Cable de protección a tierra de los tanques de CO2 sin abrazadera a varilla de puesta a tierra, solo está enterrado en el suelo.Reporto Josué Vásquez</t>
  </si>
  <si>
    <t>Paso peatonal obstruido y químicos sin bandeja de contención en nueva torre de enfriamiento. Reporto Josué Vásquez</t>
  </si>
  <si>
    <t>Equipos fuera de lugar, falta de orden, limpieza. Reporto Wilber López</t>
  </si>
  <si>
    <t>Equipos fuera de lugar, falta de orden, limpieza en l4. Reporto Selvin Pérez</t>
  </si>
  <si>
    <t>Equipos fuera de lugar, falta de orden, limpieza en L1. Reporto María Obregón</t>
  </si>
  <si>
    <t>Cuchilla no autorizada en L3, cerrar esta boleta con el nombre de la persona dueña de la navaja. Reporto William Galindo</t>
  </si>
  <si>
    <t>Escalera sin restricción L3. Reporto William Galindo</t>
  </si>
  <si>
    <t>Paso peatonal bloqueado en bodega 8 cd se procede a liberar. Reporto Luis Pérez</t>
  </si>
  <si>
    <t>Buen día reportan agrietamiento de piso en tanque dentro de nave ósmosis, Posible riesgo de hundimiento de tanque. Reporto Elvis Oliva</t>
  </si>
  <si>
    <t>No se cuenta con luces de emergencia en galera de apoyo 3 (compresores de aire AF).Reporto Josué Vásquez</t>
  </si>
  <si>
    <t>Falta de iluminación en pergola, focos quemados. Reporto María Obregón</t>
  </si>
  <si>
    <t>Se reporta agujero en cuneta de desfogue frente a salida de laboratorio FQ. Reporto Efraín Valux</t>
  </si>
  <si>
    <t>Efraín Valux</t>
  </si>
  <si>
    <t>Cables expuestos en la nueva oficina de calidad en mesa de trabajo de calidad. Reporto Hellen Consuelo</t>
  </si>
  <si>
    <t>Se corrigió agua derramada en paso peatonal a la par de paletizadora de l3. Reporto Haydée Martínez</t>
  </si>
  <si>
    <t>Fuga de agua sobre linea 4, proveniente de tuberia de linea 5 con derivación a sala de jarabes. Reporto Obdulio Cap</t>
  </si>
  <si>
    <t>Fuga aceite empacadoras, provoca piso resbaloso en l1. Reporto Wilber López</t>
  </si>
  <si>
    <t>Ventilador con aspas quebrada, provoca exceso de calor en l1. Reporto Wilber López</t>
  </si>
  <si>
    <t>Cortina ignifuga dañada en taller de mantto. Reporto Pablo Donis</t>
  </si>
  <si>
    <t>Escalera de jarabes área de marmitas sin candado. Reporta D.Yac</t>
  </si>
  <si>
    <t>Reporta D.Yac</t>
  </si>
  <si>
    <t>Puerta del panel panel del CIP de los tanques 11 y 10 sin candado. Reporta D.Yac</t>
  </si>
  <si>
    <t>puertas abiertas de bodega de utensilios de limpieza en línea 3, reporta Benedicto Barrios</t>
  </si>
  <si>
    <t>Piso mojado sin señalar frente filtros precapa sala de jarabes. Reporto Oscar Ramos</t>
  </si>
  <si>
    <t>Escalera sin asegurar en sala nueva jarabes. Reporto Oscar Ramos</t>
  </si>
  <si>
    <t>Piso mojado frente premix en sala de jarabes. Reporto Oscar Ramos</t>
  </si>
  <si>
    <t>Manguera sobre paso peatonal frente mástermix en sala de jarabes. Reporto Oscar Ramos</t>
  </si>
  <si>
    <t>Panel sin cerrar correctamente área reactores en sala de jarabes. Reporto Oscar Ramos</t>
  </si>
  <si>
    <t>Escaleras sin candado costado bodega de don joel de alrededores. Reporto Carlos Coc</t>
  </si>
  <si>
    <t>L1 tarima obstruyendo parcialmente el paso peatonal. Reporto William Galindo</t>
  </si>
  <si>
    <t>Madera mal ubicada atrás del salón de alrededores. Reporto Carlos Coc</t>
  </si>
  <si>
    <t>Antideslizante mal estado en gradas acceso a cocina de alrededores. Reporto Carlos Coc</t>
  </si>
  <si>
    <t>Recipiente rebalsado atrás de oficina de mantenimiento provoca piso mojado. Reporto Rolando Gómez</t>
  </si>
  <si>
    <t>Tarima con sacos mal estibada, se detiene en gran parte por fleje, en materia prima, se bajará y estará corrigiendo. Reporto Luis Angel</t>
  </si>
  <si>
    <t>Jaula de químicos abierta en linea 4. Reporto Obdulio Saquic</t>
  </si>
  <si>
    <t>Paso peatonal obstruido en sala de llenado línea 4. Reporto Obdulio Saquic</t>
  </si>
  <si>
    <t>Falta de lámpara de emergencia en sala De coordinadores Amp.Reporto Gerson Castañeda</t>
  </si>
  <si>
    <t>Falta de lámpara de emergencia en Lab. De Micro. Reporto Gerson Castañeda</t>
  </si>
  <si>
    <t>Extintor de Lab. De fisicoquímicos sin información de controles de vigencia. Reporto Gerson Castañeda</t>
  </si>
  <si>
    <t>Lámpara sin funcionar en el área de empacadora de línea 1.
Reporta: Leidy Vanesa Camey</t>
  </si>
  <si>
    <t>Orden y limpieza de piezas en taller de mantenimiento. Reporto Elvis Oliva</t>
  </si>
  <si>
    <t>Se cierra candado abierto en panel electrico de l1. Reporto Gustavo Hernández</t>
  </si>
  <si>
    <t>Puerta de oficinas cd dañada sin su manecilla. Reporto Luis Pérez</t>
  </si>
  <si>
    <t xml:space="preserve"> panel abierto y sin restricción en bodega 2. Reporto Carlos poz</t>
  </si>
  <si>
    <t>Carlos poz</t>
  </si>
  <si>
    <t>Rejilla mal colocada en eta. Reporto Adrián Santisteban</t>
  </si>
  <si>
    <t>escalera en lugar no establecida y sin restricción en almacen de repuestos. Reporto Jimmy Velásquez</t>
  </si>
  <si>
    <t>pallet truck en lugar no establecido en almacenamiento de repuestos. Reporto Jimmy Velásquez</t>
  </si>
  <si>
    <t>Dimas Aguilar de transporte Wil paso topando la tubería de agua qué conecta a los baños del cd se procede a cerrar la llave de paso. Reporto Luis Pérez</t>
  </si>
  <si>
    <t>Vidrio  sobre paso peatonal en bodega 4 se procede a limpiar. Reporto Luis Pérez</t>
  </si>
  <si>
    <t>Tarima con riesgo caer en paso de montacarga bodega 1. Reporto Carlos Poz</t>
  </si>
  <si>
    <t>Piso mojado agua saliendo de debajo de la sopladora línea 4. Reporto Wilber López</t>
  </si>
  <si>
    <t>Buena tarde, por favor revisar esta fuga de vapor ingreso a L5 por rampa de MP. Reporto Byron Roldan</t>
  </si>
  <si>
    <t>Yumbo inclinado, con riesgo a caer en MP. Reporto Miguel Godínez</t>
  </si>
  <si>
    <t>Chapa en mal estado acceso a calderas de equipos aux. Reporto Elvis Oliva</t>
  </si>
  <si>
    <t>Tubería caliente sin señalización en equipos aux. Reporto Elvis Oliva</t>
  </si>
  <si>
    <t>Puerta y gabinete eléctrico sin restricción de bomba para CIP de producción. Reporto Josué Vásquez</t>
  </si>
  <si>
    <t>Fuga de condensado de vapor frente a ósmosis. Reporto Elvis Oliva</t>
  </si>
  <si>
    <t>Tubería en acero inox solicitada para línea 1 aún no es retirada por el solicitante obstaculizando acceso a láminas y salida de emergencía. Reporto Gover Sologaistoa</t>
  </si>
  <si>
    <t>Lámpara sobre tolva de preforma no enciende en l3. Reporta Amilcar Ralda</t>
  </si>
  <si>
    <t>Se encuentra escalera en L3 sin cadena y con candado cerrado se corrigió. Reporto Amílcar Ralda</t>
  </si>
  <si>
    <t>Jumbo inclinado con riesgo de caer en Mp. Reporto Jaime Chex</t>
  </si>
  <si>
    <t>Lampara paso de montacargas bodega 4 no enciende es necesaria reparación. Reporto Amilcar Ralda</t>
  </si>
  <si>
    <t>Puerta de ingreso a laboratorio de FQ no cierra correctamente. Reporto Edgar Cotí</t>
  </si>
  <si>
    <t>Cinta antideslizante desgastada en rampa de GyG. Reporto Carlos Chavez</t>
  </si>
  <si>
    <t>Alrededores</t>
  </si>
  <si>
    <t>Tarimas mal ubicadas atras de GyG. Reporto Carlos Chavez</t>
  </si>
  <si>
    <t>Marco de lampara en el techo de garita con desprendimiento y riesgo de caerse. Reporto Hellen Consuelo</t>
  </si>
  <si>
    <t>Validar si se necesita solicitar poda con proveedor de energía eléctrica por las ramas que están cerca de la subestación y otros puntos. Reporto Karla Hintz</t>
  </si>
  <si>
    <t>Ducha de emergencia sin agua en almacen de repuestos. Reporto Mario Marroquin</t>
  </si>
  <si>
    <t>Mario Marroquin</t>
  </si>
  <si>
    <t>Envases quebrados cerca de punto de hidratacion de l1 y l2. Reporto Oscar Ramírez</t>
  </si>
  <si>
    <t>Orden y limpieza para equipo que esta trabajando a la par de nueva torre de enfriamiento. Reporto Karla Hintz</t>
  </si>
  <si>
    <t>Tanque con riesgo a rodar en equipos auxiliares. Reporto Karla Hintz</t>
  </si>
  <si>
    <t>Candado nuevamente abierto en panel eléctrico de L1. Reporto Josué Vásquez</t>
  </si>
  <si>
    <t>Falta rótulo de extintor en el cd. Reporto Alejandro Martínez</t>
  </si>
  <si>
    <t>Falta colocar delimitacion por paso de montacargas en calle del cd. Reporto Alejandro Martínez</t>
  </si>
  <si>
    <t>Mal posicionado con riesgo de caida o girarse. Reporto Karla Hintz</t>
  </si>
  <si>
    <t>Falta de orden en laboratorio de paquetecnia. Reporto Lisseth Loarca</t>
  </si>
  <si>
    <t>Lisseth Loarca</t>
  </si>
  <si>
    <t>Área de descarga de preforma línea 3 sucio. Reporto Lisseth Loarca</t>
  </si>
  <si>
    <t>Cilindro no está asegurado con la cadena en nuevo proyecto l2. Reporto William Galindo</t>
  </si>
  <si>
    <t>Falta de orden y limpieza en algunos puntos de taller de mantto. Reporto Selvin Pérez</t>
  </si>
  <si>
    <t>Gabinete de químicos abierto, se procedió a cerrar en l3. Reporto Fredy Fuentes</t>
  </si>
  <si>
    <t>Condicion insegura candado panel transporte L3 abierto, se cierra. Reporto Amílcar Ralda</t>
  </si>
  <si>
    <t>Escalera sin restricción baranda acceso almacén de repuestos. Reporto Gover Sologaistoa</t>
  </si>
  <si>
    <t>Montacargas 22 y 31 estacionado sin bloqueo en el cd. Reporto Daniel Pineda</t>
  </si>
  <si>
    <t>Tarimas obstaculizando paso en taller de mantenimiento. Reporta Walfred Guzmán</t>
  </si>
  <si>
    <t>Candado hacia mesanine abierto de l3, se deja cerrado. Reporta Amílcar Ralda</t>
  </si>
  <si>
    <t>Puerta de ingreso a Lab. FQ caida  no cierra adecuadamente.  Reporto Edgar Cotí</t>
  </si>
  <si>
    <t>Aire acondicionado de sala de espera goteando provoca piso mojado de alrededores. Reporto Antony Ramos</t>
  </si>
  <si>
    <t>condición insegura en el área de cocina, tenemos un toma de electricidad la cual tiene dos puntos de agua cerca en la misma,mejorar condición. Reporto Daniel Pineda</t>
  </si>
  <si>
    <t>Tarimas obstruyendo en paso peatonal de bodega 8 del cd. Reporto Luis Pérez</t>
  </si>
  <si>
    <t>al medir el tanque de Diésel, hace falta iluminación en el área. Reporto Miguel Yes</t>
  </si>
  <si>
    <t>Miguel Yes</t>
  </si>
  <si>
    <t>Fuga de agua en techo sala de llenado de, cae sobre paso peatona de l3. Reporta Roger Rivas</t>
  </si>
  <si>
    <t>Falta mordaza en terminal de soldadura móvil de mantto. Reporto Elvis Oliva</t>
  </si>
  <si>
    <t>Lamina fuera de su estante obstaculiza paso en almacén de repuestos. Reporto Juan Cho</t>
  </si>
  <si>
    <t>Juan Cho</t>
  </si>
  <si>
    <t>gotera del aire acondicionado en sala coordinadores, está gotera está justo donde se encuentra equipo de cómputo de calidad. Reporto Efraín Valux</t>
  </si>
  <si>
    <t>Candado Mezanini Linea 1 abierto, se cierra. Reporto Amílcar Ralda</t>
  </si>
  <si>
    <t>Manguera fuera de lugar podría ocasionar tropiezo área etei ya se está corrigiendo. Reporto Josué Lepe</t>
  </si>
  <si>
    <t>Solicitar a distribuidora eléctrica la reubicación o elevación de las líneas eléctricas que pasan en la propiedad de planta. Reporto Josué Vásquez</t>
  </si>
  <si>
    <t>Solicitar el listado de herramientas al ingreso a planta y retirar cualquiera que tenga más de dos metros que sea metálica. Reporto Josué Vásquez</t>
  </si>
  <si>
    <t>Actualización de matriz de riesgo de ampliación de parqueo. Reporto Josué Vásquez</t>
  </si>
  <si>
    <t>Cualquier herramienta que tenga más de 2 metros de altura, comunicar a proveedores que debe tener aislamiento eléctrico o ser de un material no conductor. Reporto Josué Vásquez</t>
  </si>
  <si>
    <t>Modificar ARO y PTER para tener validación de Coord Mantto y Analista de SSO en actividades cercanas a líneas aéreas y paneles eléctricos. Reporto Josué Vásquez</t>
  </si>
  <si>
    <t>Charla de 5 minutos de analisis de riesgos previa al inicio de labores. Reporto Josué Vásquez</t>
  </si>
  <si>
    <t>Cinturón de montacargas sin funcionar, verificar montacargas del Cd. Reporto Daniel Pineda</t>
  </si>
  <si>
    <t>Tablero de eléctrico mal cerrado en l5. Reporta Abraham Tahual</t>
  </si>
  <si>
    <t>Abraham Tahual</t>
  </si>
  <si>
    <t xml:space="preserve"> SINDU trabajos en altura el personal no contaba con el barbuquejo más si lo tenía, se abordó con charla del encargado. Reporto Selvin Pérez</t>
  </si>
  <si>
    <t>MFYMSA utilizando careta para pulir en malas condiciones se cambio de forma inmediata. Reporto Selvin Pérez</t>
  </si>
  <si>
    <t xml:space="preserve"> HIMSA orden y limpieza en área argumentaron por la falta de espacio se coordinó espacio y orden. Reporto Selvin Pérez</t>
  </si>
  <si>
    <t>en sala de reunión en la nueva sala de jarabes no hay luces de emergía, reporta en matinal. Reporto Hellen Consuelo</t>
  </si>
  <si>
    <t>Lámpara en deterioro a punto de caer en el caminamiento de ETEI. Reporto Daniel Pineda</t>
  </si>
  <si>
    <t>Jumbo inclinado en bodega de azucar. Reporto Jaime Chex</t>
  </si>
  <si>
    <t>Botella quebrada sobre lockers de calidad de nueva sala de coordinadores</t>
  </si>
  <si>
    <t>Jalador en el ingreso a almacén de materia prima se encuentra flojo, propenso a caer al hacer uso. Reporto Luis Angel</t>
  </si>
  <si>
    <t>Aire acondicionado en mal estado en oficinas de cd. Reporto Carlos Poz</t>
  </si>
  <si>
    <t>Rebalse de agua en la tapadera de drenajes frente a calderas de equipos auxiliares. Reporto Edson López</t>
  </si>
  <si>
    <t>Se cerrará candado en panel eléctrico lavadora de botellas 1. Reporto Gustavo Hernández</t>
  </si>
  <si>
    <t>Escalera fuera de lugar y sin restricción, se corrige. Reporto Haydée Martínez</t>
  </si>
  <si>
    <t>Envases con posibles restos de producto evidencia de consumo en área no autorizada, atomizador sin etiqueta, escalera sin restricción el l4. Reporto William Galindo</t>
  </si>
  <si>
    <t>Rejilla fuera de lugar área en la etei, se corrige. Reporto Josué Lepe</t>
  </si>
  <si>
    <t>escalera sin restricción y fuera de lugar, se corrige en l4. Reporto Haydée Martínez</t>
  </si>
  <si>
    <t>Tableros en área de preforma sin tornillos. Reporto Miguel Godínez</t>
  </si>
  <si>
    <t>Escalera sin restricción área descarga nitrógeno L4. Reporto Miguel Godínez</t>
  </si>
  <si>
    <t>Fuga de vapor ingreso L5. Reporto Fredy Fuentes</t>
  </si>
  <si>
    <t>Se instalará tapadera física a tanque prelavado de cajillas de l1, se corrige. Reporto Gustavo Hernández</t>
  </si>
  <si>
    <t>preforma en suelo y obstruye paso peatonal frente a sopladora de l4, se corrige. Reporto Haydée Martínez</t>
  </si>
  <si>
    <t>Anclaje de red eléctrica interna en poste de ETEI flojo con riesgo a desprenderse y caer al suelo con líneas energizadas. Reporto Josué Vásquez</t>
  </si>
  <si>
    <t>Se encuentra que el soporte de pared del extintor está muy corto, representa riesgo de caida. Hellen Consuelo</t>
  </si>
  <si>
    <t>Tornillos expuestos a nivel del suelo cerca de punto de hidratación L2. Reporto Josué Vásquez</t>
  </si>
  <si>
    <t>por favor su apoyo con el orden y limpieza de este espacio en l2. Reporto Karla  Hintz</t>
  </si>
  <si>
    <t xml:space="preserve"> Hintz</t>
  </si>
  <si>
    <t>Asegurar que se habilite el dispositivo de seguridad de la lavadora L2. Reporto Karla Hintz</t>
  </si>
  <si>
    <t>Leve fuga de vapor sobre la lavadora L2. Reporto Karla Hintz</t>
  </si>
  <si>
    <t>Señalizar paso de montacargas y puertas abatibles en l2. Reporto Karla Hintz</t>
  </si>
  <si>
    <t>Asegurar que queden instaladas las guardas en lavadora de l2. Reporto Karla Hintz</t>
  </si>
  <si>
    <t>Asegurar la restricción de acceso a la lavadora de l2. Reporto Karla Hintz</t>
  </si>
  <si>
    <t>Lampara con posible desprendimiento en sala de espera de alrededores. Reporto Karla Hintz</t>
  </si>
  <si>
    <t>Escalera sin asegurar y sin personal en el área, sobre cisternas de trata gua. Reporto Oscar Ramos</t>
  </si>
  <si>
    <t>Candado abierto en panel eléctrico de cafetería, se corrige. Reporto Rodrigo Galindo</t>
  </si>
  <si>
    <t>Se reporta fuga de solución agua con soda sello mecánico tanque 1 lavadora de botellas. Reporto Amílcar Ralda</t>
  </si>
  <si>
    <t>Vidrio en patio del cd atrás de los baños generales cd. Reporto Luis Pérez</t>
  </si>
  <si>
    <t>Manguera rota en transporte de envase sucio Línea 2. Reporta Wilber López</t>
  </si>
  <si>
    <t>Carretilla de cilindros, sin llantas es equipo de taller de Mantto. Reporto Mario Ramos</t>
  </si>
  <si>
    <t>Cajón en lugar no establecido en almacén de repuestos. Reporto Jimmy Velásquez</t>
  </si>
  <si>
    <t>Conector en mal estado en bodega 4 se utiliza para conectar la plataforma elevadora. Reporto Luis Pérez</t>
  </si>
  <si>
    <t>Fuga de agua caliente en sistema recirculación de pasteurización L2. Reporto Elvis Oliva</t>
  </si>
  <si>
    <t>El condensado del aire acondicionado está generando mucha humedad sobre la mesa de trabajo puede provocar algún corto circuito por los instrumentos de medición en el área. Reporto Domingo Yac</t>
  </si>
  <si>
    <t>Nuevo panel de inversor de botellas no cuenta con aldaba ni candado maestro. Reporto Oscar Ramírez</t>
  </si>
  <si>
    <t>Paso peatonal sin restricción de piso mojado en equipos aux. Reporto Roy Loarca</t>
  </si>
  <si>
    <t xml:space="preserve"> tanque de etapa 2 de ETEI, se visualiza una fuga, consultando con los compañeros de trabajo comentan que dio inicio hoy. Reporto Daniel Pineda</t>
  </si>
  <si>
    <t>Se cerrará candado panel sistema neumático llenadora L2. Reporto Gustavo Hernández</t>
  </si>
  <si>
    <t>Es necesario hacer una extensión para que el agua se dirija por la canaleta y no al piso, con esto se evita riesgo eléctrico por el cpu que está cerca y caídas del mismo nivel, esto en codificador de L2. Reporto Gustavo Hernández</t>
  </si>
  <si>
    <t>Fuga de agua caliente en l2. Reporto Haydée Martínez</t>
  </si>
  <si>
    <t>fuga de agua cerca de animación de vapor, a un costado de lámpara de llenado l2. Reporto Haydée Martínez</t>
  </si>
  <si>
    <t>parqueo de motos, el canal se encuentra en un estado delicado por falta de soporte, en temporada de lluvia se verá más afectado por el cauce de las mismas. Reporto Daniel Pineda</t>
  </si>
  <si>
    <t>Fuga de vapor en brida de vapor cerca de actuado calentamiento. Reporto Haydée Martínez</t>
  </si>
  <si>
    <t>Cuarto de control eléctrico sin restricción de acceso y paneles abiertos en l2.  Haydée Martínez</t>
  </si>
  <si>
    <t xml:space="preserve"> Haydée Martínez</t>
  </si>
  <si>
    <t>Puerta de mueble de microbiología con tornillos flojos. Reporto Hellen Consuelo</t>
  </si>
  <si>
    <t>Se reporta piso mojado en L3, esto a raíz de una gotera que hay en el techo de línea de producción. Reporto Jonathan Escobar</t>
  </si>
  <si>
    <t>Se cerrará candado panel eléctrico lavadora de cajillas 1. Reporto Gustavo Hernández</t>
  </si>
  <si>
    <t>Panel abierto y sin guarda, a un costado de cooller entre línea 1 y línea 2, se cerrará. Reporto Gustavo Hernández</t>
  </si>
  <si>
    <t>Fuga de vapor en final de tubería de l4 frente a Mp. Reporto Josué Vásquez</t>
  </si>
  <si>
    <t>Puerta abierta de secador de botellas en l4. Reporto Fredy Fuentes</t>
  </si>
  <si>
    <t>Seguimos con la fuga de agua al final de L4. Reporto Fredy Fuentes</t>
  </si>
  <si>
    <t>Tarima de sal mal apoyada en su base en tratagua. Reporto Pablo Donis</t>
  </si>
  <si>
    <t>del monitor de fuga de amoniaco línea 1, esta apagado. Reporto Edson López</t>
  </si>
  <si>
    <t>Drenaje colapsado cuarto de bombas de tratagua. Reporto Pablo Donis</t>
  </si>
  <si>
    <t>Se cerrará candado abierto en panel eléctrico lavadora de botellas 1. Reporto Gustavo Hernández</t>
  </si>
  <si>
    <t>Panel abierto y sin candado en caja a un costado de lavadora de botellas 2. Reporto Gustavo Hernández</t>
  </si>
  <si>
    <t>Agua sobre el paso peatonal hacia L3, se enviará a alguien para limpiar. Reporto Gustavo Hernández</t>
  </si>
  <si>
    <t>Manguera en mal estado ingreso a llenadora l1 provoca piso mojado. Reporto Selvin Pérez</t>
  </si>
  <si>
    <t>Rechazo de etiqueta falta de ajustar en l1. Reporto Luis Pérez</t>
  </si>
  <si>
    <t>Fuga de agua que da a la bandeja eléctrica en l1. Reporto Selvin Pérez</t>
  </si>
  <si>
    <t>Fuga de agua en tubería tratamiento de agua, a un costado se encuentra un panel eléctrico, el riesgo aumenta. Reporto Gustavo Hernández</t>
  </si>
  <si>
    <t>Baliza con bombilla quemada en tanques de co2 de MP. Reporto Carlos Quan</t>
  </si>
  <si>
    <t>Vidrio en paso de unidades de rastras cd. Reporto Carlos Poz</t>
  </si>
  <si>
    <t>Esmeril sin guarda lateral en taller de mantto. Reporto Pablo Donis</t>
  </si>
  <si>
    <t>Sobrepresión de tubería de jarabes, provoca fuga. Reporto Wilber López</t>
  </si>
  <si>
    <t>Conexión temporal para computadora L2, debe dejarse permanente, y con mejor protección (prefere temente ip65 - ip68) ya que el lugar tiene alta cantidad de agua. Reporto Amílcar Ralda</t>
  </si>
  <si>
    <t>Escalera en paso de trabajo desempacadora linea 2, se corrige. Reporto Amílcar Ralda</t>
  </si>
  <si>
    <t>piso mojado en la oficina de CD por goteo de aire acondicionado. Reporto Miguel Yes</t>
  </si>
  <si>
    <t>Agua acumulada en paso peatonal  dentro de línea 4. Reporto Luis Pérez</t>
  </si>
  <si>
    <t>Tubería de vapor sin señalización y con salida inadecuada en l5. Reporto Karla Hintz</t>
  </si>
  <si>
    <t>Selector eléctrico transporte 5 después de lampara de llenado L2 en malas condiciones. Reporto Gustavo Hernández</t>
  </si>
  <si>
    <t>A estas barras roscadas las cortaron y no les pasaron lima o pulidora para quitar el filo, están en el transporte de rechazo sala de llenado. Reporto Gustavo Hernández</t>
  </si>
  <si>
    <t>Posiblemente el empaque se daño! Allí hay una unión, se está desperdiciando jarabe Pepsi para L1, se corrige. Reporto Gustavo Hernández</t>
  </si>
  <si>
    <t>Tarima con PT con riesgo a caer en bodega 8. Reporto Luis Pérez</t>
  </si>
  <si>
    <t>Varios fines de semana con reporte de montacargas estacionados en lugares no establecidos y sin bloqueo, favor apoyar con retroalimentar a equipos de pilotos. Reporto Josué Abraam</t>
  </si>
  <si>
    <t>Josué Abraam</t>
  </si>
  <si>
    <t>Tarima con envase con riegos a caer en paso de montacarga en bodega 8. Reporto Luis Pérez</t>
  </si>
  <si>
    <t>Insumos de mantenimiento es escalera hacia carrilera de preforma de sopladora, se corrige en L4. Reporto Haydée Martínez</t>
  </si>
  <si>
    <t>Reporto Haydée Martínez</t>
  </si>
  <si>
    <t>Agua paso peatonal frente a ingreso llenadora de l4, se corrige. Reporto Haydée Martínez</t>
  </si>
  <si>
    <t>Candado de seguridad para escaleras abierto, se cierra en la etei. Reporto Rodrigo Galindo</t>
  </si>
  <si>
    <t>En ingreso a lavador se encuera esta tubería caliente, se requiere de señalización, está pegado al pasamanos en l2. Reporto Selvin Pérez</t>
  </si>
  <si>
    <t>cableado eléctrico expuesto y fuera de canaleta, la cual no tiene tapadera, a la par de codificador l2. Reporto Haydée Martínez</t>
  </si>
  <si>
    <t>Eliminar tubería vieja de GLP detrás de oficinas de embajadores. Reporto Karla Hintz</t>
  </si>
  <si>
    <t>Magneto de puerta de salida con Riesco a caerse y golpear a alguien en l1. Reporto Karla Hintz</t>
  </si>
  <si>
    <t>Plataforma en paso peatonal de  bodega 4 CD. Reporto Luis Pérez</t>
  </si>
  <si>
    <t>Retractil fuera de lugar en escaleras de calderas de equipos aux. Reporto Karla Hintz</t>
  </si>
  <si>
    <t>Delimitar equipo de paso peatonal en l2. Reporto Samuel Tecún</t>
  </si>
  <si>
    <t>Lampara en mal estado en l3. Reporto Karla Hintz</t>
  </si>
  <si>
    <t>Cable sobre paso peatonal en escaleras puede provocar tropiezos en la ETEI. Reporto Rodrigo Galindo</t>
  </si>
  <si>
    <t>Escalera sin restricción a unos pasos de la entrada de la ETEI. Reporto Ronald Chojolan</t>
  </si>
  <si>
    <t>Paso peatonal en L2 sin señalización, ahora ya se tiene movimientos constantes de montacarga en esta zona. Reporto Gerson Castañeda</t>
  </si>
  <si>
    <t>Producto fuera de lugar en L3. Reporto Gerson Castañeda</t>
  </si>
  <si>
    <t>Guardas fuera de lugar en transportadores de L2. Reporto Gerson Castañeda</t>
  </si>
  <si>
    <t>Tarimas con envase vacío, mal estibadas Bodega 9. Reporto Kelly Calderón</t>
  </si>
  <si>
    <t>Racks de tornillería rodamientos y retenedores no cuentan con pernos de anclaje en almacén de repuestos. Reporto Gover Sologaistoa</t>
  </si>
  <si>
    <t>Se cerrará candado panel eléctrico L2 sala de llenado. Reporto Gustavo Hernández</t>
  </si>
  <si>
    <t>cableado expuesto a ingreso de sala de llenado a un costado lavadora botellas de l2. Reporto Haydée Martínez</t>
  </si>
  <si>
    <t>Cableado eléctrico tirado en piso frente acceso a escaleras de lavadora de botellas L2, se corrige. Reporto Haydée Martínez</t>
  </si>
  <si>
    <t>Se safo pata de base de transporte hacia inspector de vacío L1. Reporto Haydée Martínez</t>
  </si>
  <si>
    <t>Escalera sin delimitar en cuarto de descanso reporta alrededores. Reporto Carlos Coc</t>
  </si>
  <si>
    <t>Pared dañada en sala de espera reporta alrededores. Reporto Carlos Coc</t>
  </si>
  <si>
    <t>Jumbo de azúcar inclinado, propenso a caer, se corregirá. Reporto Jaime Chex</t>
  </si>
  <si>
    <t>Buen día, puerta de ingreso a L3 se encuentra caída, se soba con el piso y se queda trabada. Reporto María Obregón</t>
  </si>
  <si>
    <t>Reja con espacio falta pieza necesita ser soldadura. Reporta Carlos Coc</t>
  </si>
  <si>
    <t>Se filtra agua en pérgola y genera condición de piso mojado. Reporto Lissette Luarca</t>
  </si>
  <si>
    <t>Exceso de vidrio en piso   sala de llenado línea 1, se corrige. Reporto Oscar Ramos</t>
  </si>
  <si>
    <t>Base inestable por falta de un perno y ajuste en el cd. Reporto Daniel Pineda</t>
  </si>
  <si>
    <t>Desechos de vidrio en bodega 8 en paso de montacargas. Reporto Carlos Poz</t>
  </si>
  <si>
    <t>Guarda desbloqueada en lavadora de l2. Reporto Wilber López</t>
  </si>
  <si>
    <t>Caja eléctrica sin tapadera en empacadora línea 2. Reporto Oscar Ramírez</t>
  </si>
  <si>
    <t xml:space="preserve"> mobiliario, silla con falta de rodillos para una óptima movilización, en el área de jarabes antigua. Reporto Daniel Pineda</t>
  </si>
  <si>
    <t>Establecer este lugar para el kit de mochila ya que actualmente se encuentra ubicado detrás de canecas de químicos y eliminar el hechizo que almacena corrosión y se obstaculiza con objetos, jarabes antigua. Reporto Yessi Guarcas</t>
  </si>
  <si>
    <t>El área de paso para el gasolinero quedó bastante reducida por materiales que se sacaron del ingreso de calderas en proyecto. Reporto Astrid Macario</t>
  </si>
  <si>
    <t>Tapadera caída de bomba en tanque sala de jarabes antigua (tampoco hay rótulo de equipo en reparación). Reporto Yessi Guarcas</t>
  </si>
  <si>
    <t>Se cerrará candado panel eléctrico sala de llenado 2. Reporto Gustavo Hernández</t>
  </si>
  <si>
    <t>Paso de montacargas reducido en bodega de preforma de L4, se estará liberando el espacio con apoyo de nuestro operador. Reporto Luis Ángel</t>
  </si>
  <si>
    <t>Lavamanos sin ingreso a laboratorio de calidad no funciona. Reporto Jaime Chilel</t>
  </si>
  <si>
    <t>Repuestos en área no establecida (sobre calle principal de bodega), lo que nos está afectando son los repuestos de la ETI qué tenemos en el área de recepción. Reporto Jimmy Velásquez</t>
  </si>
  <si>
    <t>Vidrio y liquido en piso sin identificar, se coordina con auxiliar de limpieza y se procede a corregir.Reporto Leidy Camey</t>
  </si>
  <si>
    <t>Se cerrará candado en panel abierto sala de llenado 2. Reporto Gustavo Hernández</t>
  </si>
  <si>
    <t>Cansado abierto en ingreso de pipas de CO2- se cierra. Reporto Luis Ángel</t>
  </si>
  <si>
    <t>Buenos días, la fuga en ETEI está afectando al panel de control. Reporto Daniel Pineda</t>
  </si>
  <si>
    <t>Preforma mal ubicada, lo que hace que se reduzca el espacio para el paso de montacarga, se corregirá. Reporto Rebeca Morales</t>
  </si>
  <si>
    <t>Acumulación de condensado en bodega 3 y esto puede causar algún incidente en operación de cargas. Reporto Luis Pérez</t>
  </si>
  <si>
    <t>Selector de mr5 entrada empacadora línea 1 en mal estado. Reporto Oscar Ramírez</t>
  </si>
  <si>
    <t>Motorreductor  mr5 entrada a empacadora línea 1 sostenido con lazo ya que presenta riesgo de caída, se corrige de inmediato. Reporto Oscar Ramírez</t>
  </si>
  <si>
    <t>Dejaron jaladores de agua sobre pasillo peatonal, se encuentran dos. Reporto Maria Obregón</t>
  </si>
  <si>
    <t>Herramienta hechiza junto a machete. Reporto Maria Obregón</t>
  </si>
  <si>
    <t>Envase en el paso hacia el boulevard bloqueando paso de vehículos. Reporto Kelly Calderón</t>
  </si>
  <si>
    <t xml:space="preserve">Producto acumulado en cuarto de contramuestras, se ordena y se descarta lo innecesario. </t>
  </si>
  <si>
    <t>Exceso de muestras en gabinete de L3, se descartan.</t>
  </si>
  <si>
    <t>Gradas sin cinta antideslizante en sala cocimiento nueva de jarabes. Reporto Oscar Ramos</t>
  </si>
  <si>
    <t>Material muy cercano a lámpara UV sala cocimiento nueva puede quemarse. Reporto Oscar Ramos</t>
  </si>
  <si>
    <t>Bisagra quebrada de batea sala antigua jarabes. Reporto Oscar Ramos</t>
  </si>
  <si>
    <t>Empaque de tapa de filtro de carbón 1 roto. Reporto Oscar Ramos</t>
  </si>
  <si>
    <t>Jarabe derramado por purga sin limpiar en sala IBC. Reporto Oscar Ramos</t>
  </si>
  <si>
    <t>Rotuto de espacio confinado de filtro de arena de inox en mal estado. Reporto Oscar Ramos</t>
  </si>
  <si>
    <t>Tarima de pt en paso peatonal de bodega 8. Reporto Luis Pérez</t>
  </si>
  <si>
    <t>Jumbo de Azúcar en MP predomina más para el lado izquierdo, favor de tomar en cuenta que se puede caer. Reporto Antony Ramos</t>
  </si>
  <si>
    <t>Aire acondicionado derramando agua en oficina de materia prima, provoca piso mojado y área humedad cercano a conexiones eléctricas. Reporto Luis Angel</t>
  </si>
  <si>
    <t>Conexión inadecuada en bomba de agua Ósmosis en tratamiento de aguas. Reporto Oscar Ramos</t>
  </si>
  <si>
    <t>Tarima con riegos a caer en bodega 7, se corrige inmediatamente. Reporto Carlos Poz</t>
  </si>
  <si>
    <t>nuestros eléctricos no deberían de dejar una instalación así en lavadora. Reporto Mario Ramos</t>
  </si>
  <si>
    <t>Caja eléctrica por debajo de transporte salida empacadora 2 sin tapa. Reporto Gustavo Hernández</t>
  </si>
  <si>
    <t>Se cerrará candado panel eléctrico sala de llenado 2. Reporto Gustavo Hernández</t>
  </si>
  <si>
    <t>Puerta de quebrada en camina miento del CD. Reporto Abraham Tahual</t>
  </si>
  <si>
    <t>Manguera cruzada sobre paso peatonal sin señalización. Reporto Oscar Ramos</t>
  </si>
  <si>
    <t>Tarimas obstruyendo paso en cuarto de fraccionamiento. Reporto Oscar Ramos</t>
  </si>
  <si>
    <t>Tablero eléctrico sin rótulo de personal autorizado en taller de mantenimiento. Reporto Ronald Chojolan</t>
  </si>
  <si>
    <t>Mangueras con probabilidad de caída en rack de almacén de repuestos. Reporto Yessi Guarcas</t>
  </si>
  <si>
    <t>Troquet fuera de lugar en taller de mantenimiento. Reporto Ronald Chojolan</t>
  </si>
  <si>
    <t>Escalera fuera de lugar, línea 4. Reporto Obdulio Cap</t>
  </si>
  <si>
    <t>Condensado puede provocar un accidente en bodega 8. Reporto Kelly Calderón</t>
  </si>
  <si>
    <t>Se pondrá candado a escalera en sala de llenado 3. Reporto Gustavo Hernández</t>
  </si>
  <si>
    <t>Tarima obstruyendo el paso en bodega 8. Reporto Carlos Poz</t>
  </si>
  <si>
    <t>Guía del acceso a bodega de soda necesita ser enderezado y engrasado. Reporto Carlos Coc</t>
  </si>
  <si>
    <t>Portón caído necesita ser reparado se ubica frente garita. Reporto Carlos Coc</t>
  </si>
  <si>
    <t>Vidrio en piso de llenadora de L2, se corrige de inmediato. Reporto Efraín Valux</t>
  </si>
  <si>
    <t>Fuga de vapor sobre extractores de etiqueta L2. Reporto Byron Roldan</t>
  </si>
  <si>
    <t>No se encuentra funcionando bebedero L2. Reporto Yessi Guarcas</t>
  </si>
  <si>
    <t>Falta guarda a un costado y lateral de la lavadora L2. Reporto Yessi Guarcas</t>
  </si>
  <si>
    <t>Cables expuestos en motor de transporte en L3. Reporto Josué Vásquez</t>
  </si>
  <si>
    <t>Manguera con delimitación deficiente no se encuentra pegada complemente al piso y puede ocasionar una caída, es por el área de cafetería. Reporto Roy Loarca</t>
  </si>
  <si>
    <t>nos puedes apoyar con los extractores de calor de sala de llenado de L2 solo 1 está funcionando y se siente fuerte el calor 🔥. Reporto Josué Vásquez</t>
  </si>
  <si>
    <t>Guarda de protección de tornillo de prensa se encuentra desarmada, Con riesgo de caída o ingreso de objetos, se corrige. Reporto Rodrigo Galindo</t>
  </si>
  <si>
    <t>Montacargas sin seguridad y sin señales del piloto por el lado de oficina de bodega tiene cable de seguridad quebrado no tenemos el numero. Reporto Abraham Tahual</t>
  </si>
  <si>
    <t>Está cayendo agua sobre cableado eléctrico así lo dejo proyectos.  Reporto Oscar Ramírez</t>
  </si>
  <si>
    <t>Hay tarimas que ya están sobre el paso peatonal entre L3 y L4. Reporto Fredy Fuentes</t>
  </si>
  <si>
    <t xml:space="preserve"> falla en lámpara de iluminación en área de empacadora en l3. Reporto Haydée Martínez</t>
  </si>
  <si>
    <t>Para que tomen nota el piso de garita 1 se levanto. Reporto Antony Ramos</t>
  </si>
  <si>
    <t>Himsa deja tirado equipo y herramienta con desorden pueden provocar caídas, se corrige. Reporto Selvin Pérez</t>
  </si>
  <si>
    <t>Equipo de IIISA se retira a medio día dejando equipo y herramienta tirada, se les aborda y corrigen. Reporto Selvin Pérez</t>
  </si>
  <si>
    <t>Se quito el paso peatonal que se tenía provisional con conos en ingreso a planta. Reporto Carlos Chavez</t>
  </si>
  <si>
    <t>Lámpara quemada en área de lectura de laboratorio de microbiología. Reporta Andrea González</t>
  </si>
  <si>
    <t>Gotera en ingreso a garita provoca piso mojado y resbaloso. Reporto Mesias Santay</t>
  </si>
  <si>
    <t>Criba sin tapadera de protección. Reporto Emilio Cux</t>
  </si>
  <si>
    <t>Fuga de vapor en clamp tuberías de vapor de l2. Reporto Edson López</t>
  </si>
  <si>
    <t>Puerta de acceso a almacén de repuestos se queda atorada. Reporto Elvis Oliva</t>
  </si>
  <si>
    <t xml:space="preserve">No está colocado la regía entre transporte de rechazo salida de sala de llenado a tras de los serpentines, L2. Reporto Marco Tulio
</t>
  </si>
  <si>
    <t xml:space="preserve">Marco Tulio
</t>
  </si>
  <si>
    <t>Guarda no instalada en empacadora línea 2, operador indica sé que colocara antes de iniciar la producción. Reporto Oscar Ramírez</t>
  </si>
  <si>
    <t>Motor sin guarda en transporte de rechazo se corrige inmediatamente. Reporto Edson López</t>
  </si>
  <si>
    <t>Paso peatonal bloqueado en bodega 8, se coordinó con el equipo de CD para la corrección. Reporto Jimmy Velásquez</t>
  </si>
  <si>
    <t>Silla de operador de lavadora queda en el aire una de las patas. Reporto Maria Obregon</t>
  </si>
  <si>
    <t>Cables expuestos en sistema eléctrico de hor o de sopladora L3. Reporto Domingo Yac</t>
  </si>
  <si>
    <t>En pasos peatonales se estibará dos cajas/Jaulas como altura máxima. Reporto Miguel Godínez</t>
  </si>
  <si>
    <t>Se levantará reclamo al proveedor. Reporto Miguel Godínez</t>
  </si>
  <si>
    <t>Se consultará con el proveedor cantidad de veces que utilizan las cajas. Reporto Miguel Godínez</t>
  </si>
  <si>
    <t>Retroalimentación a operadores y analistas con inspección de integridad del empaque en descarga y levantamiento de inventario. Reporto Miguel Godínez</t>
  </si>
  <si>
    <t>Se reporta problemas con monitor para verificar cámaras ubicado en garita. Reporto Hellen Consuelo</t>
  </si>
  <si>
    <t>Reparar extractor de calor de salida de lavadora en el techo intermedio l2. Reporto Mario Ramos</t>
  </si>
  <si>
    <t>Motor de la mesa de lavadora línea 2 la conexión eléctrica no está sellada.  Reporta Domingo Yac</t>
  </si>
  <si>
    <t xml:space="preserve">Establecer la ruta de salida de unidades cargadas. Reporto Astrid Macario
</t>
  </si>
  <si>
    <t xml:space="preserve">Astrid Macario
</t>
  </si>
  <si>
    <t xml:space="preserve">Instalación de anclaje de cuerdas de línea de vida dañada. Reporto Astrid Macario
</t>
  </si>
  <si>
    <t xml:space="preserve">Retroalimentar a pilotos sobre cerrar las puertas del furgón al salir de rampa y pasar por CD a abastecer combustible. Reporto Astrid Macario
</t>
  </si>
  <si>
    <t>Solicitar al proveedor que se le coloque algún sello o seña cada vez que se utilice la caja, solicitado en SDG. Reporto José Fortín</t>
  </si>
  <si>
    <t>José Fortín</t>
  </si>
  <si>
    <t>Evaluar la opción si se puede migrar a cajas metálicas y no de cartón, solicitado en SDG. Reporto José Fortín</t>
  </si>
  <si>
    <t>Jumbo inclinado en corredor 21 de bodega de  azucar. Reporto Jasón Calderón</t>
  </si>
  <si>
    <t>Escalera sin delimitar frente a cuarto de compresores Kaeser. Reporto Luis Angel</t>
  </si>
  <si>
    <t>Condición insegura, escalera L3 sin candado y no hay nadie en el área usandola, se corrige. Reporto Amilcar Ralda</t>
  </si>
  <si>
    <t>Exceso de vidrio en piso de llenadora L2, se corrige de inmediato. Reporto Efraín Valux</t>
  </si>
  <si>
    <t>Candado abierto en panel jarabes antigua, se procede a cerrar. Reporto Yessi Guarcas</t>
  </si>
  <si>
    <t>escalera fuera de lugar si restricción en encajona dora de l1, se corrige. Reporto Haydée Martínez</t>
  </si>
  <si>
    <t>agua con lubricante en piso debido no hay bandejas de contención en transporte sala de llenado después de inspector de vacío de l2. Reporto Haydée Martínez</t>
  </si>
  <si>
    <t>Condensado en bodega 9, se pueden resbalar. Reporto Edgar Coti</t>
  </si>
  <si>
    <t>Tarimas fuera de lugar en el cd. Reporto Edgar Coti</t>
  </si>
  <si>
    <t>Manguera dentro de sala de llenado L2. Reporto Luis Cabrera</t>
  </si>
  <si>
    <t>Repuestos fuera de posición en sala de llenado L2. Reporto Luis Cabrera</t>
  </si>
  <si>
    <t>Stickers de riesgo eléctrico en panel de sala antigua ya se encuentra ilegible. Reporto Yessi Guarcas</t>
  </si>
  <si>
    <t>Pernos salidos podrían ocasionar caída, Sala antigua jarabes. Reporto Yessi Guarcas</t>
  </si>
  <si>
    <t>Fuga de agua tratada ocasiona piso mojado, adicional cerca se tiene una conexión eléctrica. Reporto Yessi Guarcas</t>
  </si>
  <si>
    <t>Sillas fuera de oficinas administrativas con bordes cortantes. Reporto Luis Cabrera</t>
  </si>
  <si>
    <t>Tonel de químico fuera del dique, se debe atacar la raíz, proporcionar ayuda mecánica para elevar toneles. Reporto Yessi Guarcas</t>
  </si>
  <si>
    <t>Cinta antideslizante de Jarabes antiguos ya no tienen adherencia. Reporto Antony Ramos</t>
  </si>
  <si>
    <t>Puerta hacia calderas sin restricción, no se bloquea automático. Reporto Rodrigo Galindo</t>
  </si>
  <si>
    <t>Montacarga sin candado, estacionado frente a taller de manto. Reporto Rodrigo Galindo</t>
  </si>
  <si>
    <t>Envase tirado y quebrado en bodega 7. Reporto Luis Pérez</t>
  </si>
  <si>
    <t>Colocar base para poner las mascarillas fuera de sala de llenado, para poder colocar ahí las mascarillas y no en el ingreso. Reporto Karla Hintz</t>
  </si>
  <si>
    <t>Cables de media cerca de extractores, es complicado hacerle mantenimiento porque pasan cerca las líneas y ahi ponen la PEM, evaluar colocar aisladores. Reporto Yessi Guarcas</t>
  </si>
  <si>
    <t>Extensiones eléctricas sin señalizar podrían ocasionar tropiezos en el peatonal en medio de las dos aclderas. Reporto Pablo Donis</t>
  </si>
  <si>
    <t>Puerta de Laboratorio mal calibrada, cierra bruscamente en su retorno. Reporto Gerson Castañeda</t>
  </si>
  <si>
    <t>Canaleta de cableado eléctrico de transporte de paquetes al divisor de paquetws de L3 abierta. Reporto Gerson Castañeda</t>
  </si>
  <si>
    <t>Exceso de Vidrio tirado en piso, frente a área de desentarimado de L2. Reporto Gerson Castañeda</t>
  </si>
  <si>
    <t>Escalera fuera de lugar sin restricción. Reporto Jimmy Velásquez</t>
  </si>
  <si>
    <t>Tenemos estos materiales obstaculizando el paso peatonal a la gasolinera y no cuenta con señalización. Reporto Miguel Yes</t>
  </si>
  <si>
    <t>fuga en Jarabes, provoca piso resbaloso Intermix L1. Reporto Wilber López</t>
  </si>
  <si>
    <t>Verificar área de mantto a extractores ya que al utilizar PEM quedan muy cerca los cables de media tensión y se puede sufrir arco eléctrico o electrocución. Reporto Yessi Guarcas</t>
  </si>
  <si>
    <t>Cámara entrada sala de llenado 2 colgando y con tapadera no en su lugar. Reporto Gustavo Hernández</t>
  </si>
  <si>
    <t>Se cerrará candado panel eléctrico transportes L1. Reporto Gustavo Hernández</t>
  </si>
  <si>
    <t>este cuarto eléctrico no cuenta con restricción y hay paneles abiertos en l2. Reporto Karla Hintz</t>
  </si>
  <si>
    <t>Pasamanos sin señalización de uso de pasamanos, en el área de pérgola. Reporto Daniel Pineda</t>
  </si>
  <si>
    <t>Acumulación de condensado en bodega 9. Reporto Carlos Poz</t>
  </si>
  <si>
    <t>no se cuenta con suministro de agua en la ducha de emergencia de bodega de soda. Reporto Jasón Calderón</t>
  </si>
  <si>
    <t>Condensado en bodega 3 CD. Reporto Carlos Poz</t>
  </si>
  <si>
    <t>Montacargas sin seguridad y sin señales del piloto por el lado de oficina de bodega. Reporto Abraham Tahual</t>
  </si>
  <si>
    <t>Pieza metálica a punto de caer en ingreso a garita alto tráfico de personas apoyar con la reparación. Reporto Josué Vásquez</t>
  </si>
  <si>
    <t>Aceite derramado en área de descarga tarima pallet L3, alguien puede tener una caída, Sería bueno revisar que yale es el que está derramando. Reporto Gustavo Hernández</t>
  </si>
  <si>
    <t>Tarima mal ubicada en parqueo interno. Reporto Carlos Coc</t>
  </si>
  <si>
    <t xml:space="preserve"> alto riesgo, escalera se encuentra en altura, no está sujeta a nada y el área no se encuentra delimitada, esto es en sala de Jarabes Nueva indicar quien procedió con este trabajo. Reporto Daniel Pineda</t>
  </si>
  <si>
    <t>Vidro tirando en área de bulevar del  cd se estará limpiando a la brevedad. Reporto Luis Pérez</t>
  </si>
  <si>
    <t>Rejilla abierta se cierra condición. Reporto Josué Lepe</t>
  </si>
  <si>
    <t>Falta de señalización Utilice pasamanos ingreso a ETEI. Reporto Josué Lepe</t>
  </si>
  <si>
    <t>Condición insegura riesgo de caída por tropiezo por distinto nivel. Reporto Josué Lepe</t>
  </si>
  <si>
    <t>Cuarto eléctrico sin llave, se deja cerrado. Reporto Josué Lepe</t>
  </si>
  <si>
    <t>con la iluminación auxiliar de precaución para el peatón en los montacargas, al momento de llevar las tarimas con producto la iluminación de precaución deja de ser visible. Reporto Daniel Pineda</t>
  </si>
  <si>
    <t>Pieza metálica mal ubicada puede caer sobre alguna persona en l1. Reporto Oscar Ramírez</t>
  </si>
  <si>
    <t>Falta de tornillo a guarda de motor en palet L3. Reporto Yessi Guarcas</t>
  </si>
  <si>
    <t>Vidrio tirado en piso aleron de patio a un costado de bodega 8. Reporto Jimmy Velásquez</t>
  </si>
  <si>
    <t>Tarima a piso dañada, esta genera inestabilidad en la estiba Alerón patio (a un costado de bodega 8). Reporto Jimmy Velásquez</t>
  </si>
  <si>
    <t>Tarima plástica quebrada, riesgo de caída de jumbos de azúcar se corrige. Reporto Jaime Chex</t>
  </si>
  <si>
    <t>Sobre stock en bodeguita G&amp;G. Reporto Miguel Godínez</t>
  </si>
  <si>
    <t>Acumulación de tarimas, grava y carbón en tratagua. Reporto Miguel Godínez</t>
  </si>
  <si>
    <t>Caja reductora de lavadora línea #2 sin guarda o protección metálica, reporto Benedicto Barrios</t>
  </si>
  <si>
    <t>Caja de registro eléctrico sin tapa, subida reactor 2 ETA. Reporto Oscar Ramos</t>
  </si>
  <si>
    <t>Goteo en tubería PVC área reactores provoca piso mojado. Reporto Oscar Ramos</t>
  </si>
  <si>
    <t>Escalera sin inhabilitación en sala llenado L4. Reporto Luis Angel</t>
  </si>
  <si>
    <t>Fuga de vapor arriba de lavadora de botellas a la par de cuarto eléctrico l2. Reporto Haydée Martínez</t>
  </si>
  <si>
    <t>Escaleras sin actualización de revisión mensuales La última realizada Diciembre 2024. Reporto Rodrigo Galindo</t>
  </si>
  <si>
    <t>Chumacera sin protección en l4, se corrige de inmediato. Reporto Efraín Valux</t>
  </si>
  <si>
    <t>Escalera fuera de lugar y sin delimitación en L4. Reporto Obdulio Cap</t>
  </si>
  <si>
    <t>lavadora de botellas fuga de vapor de tubería retorno l1. Reporto Haydée Martínez</t>
  </si>
  <si>
    <t>Panel abierto y sin delimitación L4. Reporto Obdulio Cap</t>
  </si>
  <si>
    <t>Vidrio tirado en bulevar del cd. Reporto Luis Pérez</t>
  </si>
  <si>
    <t>Tarima desarmada y con clavos a la vista en zona de gailor y jaulas de preforma. Reporto Roger Rivas</t>
  </si>
  <si>
    <t>Paso peatonal con agua esposada de L2 hacia L3, se corrige. Reporto Haydée Martínez</t>
  </si>
  <si>
    <t>Poder colocarles un lugar donde puedan lavar sus utensilios de limpieza, posiciones ergonómicas inadecuadas todos los días. Reporto Josué Vásquez</t>
  </si>
  <si>
    <t>Carretilla para transportar producto en mal estado, tiene reparaciones inadecuadas que pueden provocar caída y rotura de producto al transportarlo en lab FQ. Reporto Eliú Tello</t>
  </si>
  <si>
    <t>Silla en mal estado, laboratorio de Paquetecnia. Reporto Eliú Tello</t>
  </si>
  <si>
    <t>Tarima con riesgo a caer en bodega 2 tarima mal estibada. Reporto Carlos Poz</t>
  </si>
  <si>
    <t>Luminaria en mal estado, se enciende y apaga constantemente laboratorio micro. Reporto Eliú Tello</t>
  </si>
  <si>
    <t>Químico sin rombo y no está en msds. Reporto Eliú Tello</t>
  </si>
  <si>
    <t>Silla inadecuada, no cuenta con apoyabrazos, laboratorio micro. Reporto Eliú Tello</t>
  </si>
  <si>
    <t>Se reporta una malla protectora de una rejilla frente al área de calderas con los alambres levantados. Reporto Hellen Consuelo</t>
  </si>
  <si>
    <t>Agua estancada frente a L3, generación de moho y mal olor en la zona. Reporto Mario Ramos</t>
  </si>
  <si>
    <t>Mangueras safada provoca piso mojado en salida de producto lleno en l1. Reporto Josué Vásquez</t>
  </si>
  <si>
    <t>Conexiones eléctricas en mal estado, lampara inspección L2. Reporto Fredy Fuentes</t>
  </si>
  <si>
    <t>Canaleta abierta en transporte L2. Reporto Fredy Fuentes</t>
  </si>
  <si>
    <t>condición insegura paso peatonal entre oficina gyg y nave osmosis, se corrige. Reporto Juan Poz</t>
  </si>
  <si>
    <t>Conexión eléctrica en mal estado salida Cooler L2. Reporto Fredy Fuentes</t>
  </si>
  <si>
    <t>está tubería de drenaje, ampliarlo para que la caída sea en el canal del drenaje para evitar esta condición. Reporto Mario Ramos</t>
  </si>
  <si>
    <t>vidrio en piso frente a transporte hacia inspector de vacío L1. Reporto Haydée Martínez</t>
  </si>
  <si>
    <t>Rejilla mal colocada puede ocasionar tropiezo en L3. Reporto Yessi Guarcas</t>
  </si>
  <si>
    <t>Panel eléctrico de empacadora L3 no está cerrado herméticamente. Reporto Yessi Guarcas</t>
  </si>
  <si>
    <t>Tapa sobre nivel de piso ocasionando tropiezos frente equipos auxiliares. Reporto Pablo Donis</t>
  </si>
  <si>
    <t>Proporcionar 03 bolsas para desechos bioinfecciosos, hallazgo derivado en inspección de botiquines L4, CD y oficina coordinadores. Reporta Yessi Guarcas</t>
  </si>
  <si>
    <t>Pt con riesgo de caer en bodega 8 se coordina bajar. Reporto Luis Pérez</t>
  </si>
  <si>
    <t>Sensor de la puerta de salida línea uno hay necesidad de colocar la mano de una manera muy especial para que abra la puerta. Reporto Wilber López</t>
  </si>
  <si>
    <t>Botes de basura mal posicionados restringen el paso de montacargas. Reporto Wilber López</t>
  </si>
  <si>
    <t>Instalación eléctrica deficiente en sala de llenado de l2. Reporto Karla Hintz</t>
  </si>
  <si>
    <t>Soldadora eléctrica le hacen falta las llantas para ergonomía. Reporto Wilber López</t>
  </si>
  <si>
    <t>Escalera sin restricción en linea 4. Reporto Roger Rivas</t>
  </si>
  <si>
    <t>Espiga de máquina de soldar en mal estado en taller de mantenimiento. Reporto Vinicio Mendoza</t>
  </si>
  <si>
    <t>Tablero sin Candado taller de mantenimiento. Reporto Vinicio Mendoza</t>
  </si>
  <si>
    <t>Peatonal dañado luego del ingreso del generador. Reporto Pablo Donis</t>
  </si>
  <si>
    <t>Falta delimitar cuneta en sala de jarabes nueva. Reporto Josué Vásquez</t>
  </si>
  <si>
    <t>Tarima en mal estado en MP, Se observa durante inspección PPR. Reporto Miguel Godínez</t>
  </si>
  <si>
    <t>Clavos expuestos en tablas, detrás de nave ósmosis. Reporto Oscar Ramos</t>
  </si>
  <si>
    <t>Silla no sirve el respaldo se va para atras y no se puede detener. Reporto Nelson Godínez</t>
  </si>
  <si>
    <t>Candado abierto panel eléctrico lavadora de botellas 1. Reporto Gustavo Hernández</t>
  </si>
  <si>
    <t>fuga de lubricante en transporte de encajona dora afecta paso peatonal riesgo de caída en l1,se corrige. Reporto Haydée Martínez</t>
  </si>
  <si>
    <t>Fuga de vapor sobre rampa de cabina de ingreso a L1. Reporto Byron Roldan</t>
  </si>
  <si>
    <t>Fuga de agua en rampa de ETEI. Reporto Josué Lepe</t>
  </si>
  <si>
    <t>Iluminación fallidas sobre paso peatonal desde cabina ingreso hasta empacadora L1. Reporto Gustavo Hernández</t>
  </si>
  <si>
    <t>Fuga en bomba de CIP L3. Reporto Jaime Chilel</t>
  </si>
  <si>
    <t>Si tiene una filtración de agua en el techo de la nave de ósmosis y está cayendo sobre una caja eléctrica y sobre un transformador seco. Reporto Eliú Tello</t>
  </si>
  <si>
    <t>Filtracion de agua en techo en parte superior de pallet linea 3. Reporto Oscar Ramírez</t>
  </si>
  <si>
    <t>Borde afilado en tapadera de canaleta electrica en transporte frente a lavadora L1. Reporto Efraín Valux</t>
  </si>
  <si>
    <t>Gotera en techo, se filtra agua en la esquina de base del pasillo de paso peatonal, área cercana ha empacadora de línea 1.
Reporta: Leidy Vanesa Camey</t>
  </si>
  <si>
    <t>Se observa abajo de la banda de transporte de botellas, área cercana a la salida del codificador goteo de agua en el suelo, debido a que la tubería no esta correctamente colocada. 
Reporta: Leidy Vanesa Camey</t>
  </si>
  <si>
    <t>Arnés de Bodega soda cáustica sin checklist de inspección. Reporto Luis Angel</t>
  </si>
  <si>
    <t>Condición insegura, falta de rejilla área de entarimado L2. Reporto Amilcar Ralda</t>
  </si>
  <si>
    <t>Pallet manual en lugar no establecido, cerrar acción con imagen de lugar establecido. Reporto Jimmy Velásquez</t>
  </si>
  <si>
    <t>Recepción de repuestos colocados sobre calle principal del almacén. Reporto Jimmy Velásquez</t>
  </si>
  <si>
    <t>Desecho de vidrio en bodega 1. Reporto Carlos Poz</t>
  </si>
  <si>
    <t>Acumulación  de condensado en bodega 8. Reporto Carlos Poz</t>
  </si>
  <si>
    <t>Escalera sin restricción y desorden de piezas en chiler de L4. Reporto Obdulio Cap</t>
  </si>
  <si>
    <t>Kit se encuentra deteriorado, mal ubicado, se debe colocar fuera del área de químicos, falta rotulación y traje para químicos. Reporta Daniel Pineda</t>
  </si>
  <si>
    <t>Se tiene derrame de lubricante de caja reductora entre almacén de repuestos y taller de mantenimiento, se procederá a limpiar con apoyo de mantenimiento. Reporto Juan Chó</t>
  </si>
  <si>
    <t>Juan Chó</t>
  </si>
  <si>
    <t>Varilla de inoxidable fuera de lugar, en acceso peatonal hacia transporte rechazo. Reporto Haydée Martínez</t>
  </si>
  <si>
    <t>Acumulación de condensado en bodega 3. Reporto Carlos Poz</t>
  </si>
  <si>
    <t>Candado techo intermedio L3 abierto, se cierra. Reporto Amilcar Ralda</t>
  </si>
  <si>
    <t>Implementar hongo de seguridad centralizado para bloqueo automático de energía peligrosa (Vapor, Soda). Reporto Mario Ramos</t>
  </si>
  <si>
    <t>Establecer plan mantenimiento preventivo y calibración de válvula moduladora de tanques cáusticos. Reporto Mario Ramos</t>
  </si>
  <si>
    <t>Instalación de valvula on/of con señal de termocupla de tanque para aseguranza de bloqueo de vapor cuando exceda límite superior. Reporto Mario Ramos</t>
  </si>
  <si>
    <t>Control de bloqueo de válvulas bypass de tanques cáusticos a cargo de técnicos calderitas. Reporto Mario Ramos</t>
  </si>
  <si>
    <t>Trasladar pantalla de operación de maquina al area de entrada de lavadora  garantizando la integración de todo los controles de ajustes y seteos de operación de maquina. Reporto Mario Ramos</t>
  </si>
  <si>
    <t>Actualizar y capacitar procedimiento de calentamiento de tanques de lavadora a operadores y técnicos calderistas. Reporto Mario Ramos</t>
  </si>
  <si>
    <t>Campaña “Yo produzco seguro”. Reporto Mario Ramos</t>
  </si>
  <si>
    <t>Falta traje para químicos y rotulación al kit antiderrame de la nueva sala de jarabes. Reporta Daniel Pineda</t>
  </si>
  <si>
    <t>Kit antiderrame de ETA se encuentra deteriorado, EPP del kit se encuentra usado y en mal estado, falta rotulación y hay obstáculos para acceder a él. Reporta Daniel Pineda</t>
  </si>
  <si>
    <t>Kit antiderrame L1 se encuentra sujeto con pitas, al momento de retirarlo por emergencia se dificulta, también falta rotulación y traje para químicos. Reporta Daniel Pineda</t>
  </si>
  <si>
    <t>Kit antiderrame de sala antigua de jarabes se encuentra con agujeros en bolsa, obstaculizado por químicos, se debe reubicar, no se encuentra identificado. Reporta Daniel Pineda</t>
  </si>
  <si>
    <t>Kit antiderrame de L3 no cuenta con guantes de nitrilo ni traje para químicos. Reporta Daniel Pineda</t>
  </si>
  <si>
    <t>Falta rotulación del kit antiderrame en almacén de repuestos. Reporta Daniel Pineda</t>
  </si>
  <si>
    <t>Kit antiderrame en área de calidad no cuenta con traje, se encuentra dentro de gavetas sin rotulación. Reporta Daniel Pineda</t>
  </si>
  <si>
    <t>Instalación de extractores de calor en empacadora de l4. Reporto Karla Hintz</t>
  </si>
  <si>
    <t>Químico sin restricción en transporte curvo, previo a etiquetadora L3. Reporto Gerson Castañeda</t>
  </si>
  <si>
    <t>Golpe de ariete en tuberías de vapor, con riesgo que se safe alguna tubería, el golpe es fuerte, abajo de mesanini línea 2. Reporto Edson López</t>
  </si>
  <si>
    <t>Caneca de gasolina ⛽ inflada por vapores por exposición al sol en parqueo interno bodega de alrededores. Reporto Josué Vásquez</t>
  </si>
  <si>
    <t>Se colocará cadena de restricción de escalera sala de llenado 3. Reporto Gustavo Hernández</t>
  </si>
  <si>
    <t xml:space="preserve"> vidrio en piso y área peatonal hacia lavadora de botellas en l2. Reporto Haydée Martínez</t>
  </si>
  <si>
    <t>Acumulación de condensado en bodega 8. Reporto Carlos Poz</t>
  </si>
  <si>
    <t>Condensado bodega 2. Reporto Kelly Calderón</t>
  </si>
  <si>
    <t>Cinta antideslizante gradas ingreso a cocina mal estado. Reporto Carlos Coc</t>
  </si>
  <si>
    <t xml:space="preserve"> en lavadora de botella L1 frente al área donde guardan las guías, corregir antes posible. Reporto Denny León</t>
  </si>
  <si>
    <t>Denny León</t>
  </si>
  <si>
    <t>Cableado suelto en el peatonal de calderas, propenso a tropiezos. Reporto Pablo Donis</t>
  </si>
  <si>
    <t>Se encuentra en bodega de preforma de línea cuatro jaulas de preforma en área de paso de montacargas, lo que puede dificultar el paso correcto del mismo y provocar algún accidente. Reporto Rebeca Morales</t>
  </si>
  <si>
    <t>Tarima en rampa de taller bloqueando salida. Reporto Pablo Donis</t>
  </si>
  <si>
    <t>Químicos sin bandejas de contención en taller. Reporto Pablo Donis</t>
  </si>
  <si>
    <t>Cj de Pt de 1.25 por caer en bodega 1 se estará corrigiendo. Reporto Luis Pérez</t>
  </si>
  <si>
    <t>Riesgo de atrapamiento Lavadora L2, colocar guardas. Reporto Yessi Guarcas</t>
  </si>
  <si>
    <t>Falta de cinta antideslizantes escaleras de paso muy resbaladizas, en sala de jarabes antigua. Reporto Josué Vásquez</t>
  </si>
  <si>
    <t>Se desconectó bomba y no se dejó aislado los cables eléctricos en cuarto de bombas de tratagua. Reporto Josué Vásquez</t>
  </si>
  <si>
    <t>Equipo en deshuso fuera de taller de Mantto sin sujetar puede caerse. Reporto Josué Vásquez</t>
  </si>
  <si>
    <t>producto caído sobre paso peatonal de transporte curva salida empacadora de l4. Reporto Haydée Martínez</t>
  </si>
  <si>
    <t>En paso peatonal de L3 hacia L2 problemas gotera y crea poza de agua puede provocar caídas. Reporto Haydée Martínez</t>
  </si>
  <si>
    <t>Escalera sin restricción en jarabe nueva. Reporto Daniel Pineda</t>
  </si>
  <si>
    <t>gotera del techo cae en área peatonal para operación de personal en paletizadora genera posa agua puede provocar caída de personal de l3. Reporto Haydée Martínez</t>
  </si>
  <si>
    <t>Tarima mal ubicada, obstruye paso peatonal hacía línea 3.
Reporta: Leidy Camey</t>
  </si>
  <si>
    <t>Se identifica la presencia de una mulita hidraulica en ubicación incorrecta, propiciabdo el riesgo que el yale en operacion tope con ella. Reporto Jason Calderon</t>
  </si>
  <si>
    <t>Rotulos de kit antiderrame ya detereorados en ETEI. Reporta Ronald Chojolan</t>
  </si>
  <si>
    <t>piso mojado en el área de polipreparador, se corrige. Reporto Ronald Chojolan</t>
  </si>
  <si>
    <t>Canal en mal estado provoca piso mojado en pérgola de cafetería. Reporto Carlos Chávez</t>
  </si>
  <si>
    <t>Derrame de aceite de caja entre taller de mantto y almacén de repuestos. Reporto Gover Sologaistoa</t>
  </si>
  <si>
    <t>Pasamanos cerca de ingreso a cabina de L1, sin stikers de utiilece pasamanos. Reporto Rodrigo Galindo</t>
  </si>
  <si>
    <t>Antideslizante en ingreso a garita muy desgastado y partes sin el mismo. Reporto Rodrigo Galindo</t>
  </si>
  <si>
    <t>Escalera fuera de lugar en almacén de repuestos, se corrige. Reporto Gover Sologaistoa</t>
  </si>
  <si>
    <t>Acumulación de agua y sin señalizar en paso peatonal desde L2 hacia L3, se corrige de inmediato. Reporto Elvis Oliva</t>
  </si>
  <si>
    <t>ayer como parte de pruebas de instalaciones de equipo de osmosis hubo rebalse de carbón se procedío a limpiar. Reporto Adrián Santisteban</t>
  </si>
  <si>
    <t>Acumulación de condensado en bodega 2 se procede a extraer. Reporto Luis Pérez</t>
  </si>
  <si>
    <t>la puerta de la para entrar a la sala de llenado de línea 1, se corrige. Reporto Gilmar Mazariegos</t>
  </si>
  <si>
    <t>Acumulación de condensado en bodega 2 se procede a retirar. Reporto Isabel Saquila</t>
  </si>
  <si>
    <t>Selector en mal estado al final de transporte de entarimado linea 2. Reporto Oscar Ramirez</t>
  </si>
  <si>
    <t>Se reporta candado de mezanine L4 abierto, se corrige. Reporto Amílcar Ralda</t>
  </si>
  <si>
    <t>vidrio en paso peatonal frente inspector de botellas vacias en l1. Reporto Haydée Martínez</t>
  </si>
  <si>
    <t>Silla en sala de llenado de l2 con rodos en mal estado. Reporto Oscar Ramirez</t>
  </si>
  <si>
    <t>tenemos acumulación de agua frente a cuarto de compresores Equipos auxiliares. Reporto Elvis Oliva</t>
  </si>
  <si>
    <t>Candado abierto de panel electrico de mando de luces linea 1, se corrige. Reporto Oscar Ramirez</t>
  </si>
  <si>
    <t>Se cerrarran candados en panel eléctrico lavadora de botellas 1. Reporto Gustavo Hernández</t>
  </si>
  <si>
    <t>Fuga de vapor en calderas, se corrigió. Reporto Josué Vásquez</t>
  </si>
  <si>
    <t>Lámpara sin funcionar en área de chorros de enjuague de lavadora de L1, es esencial para revisión de los chorros. Reporto Efrain Valux</t>
  </si>
  <si>
    <t>Contar con los certificados de análisis estructural de los racks de Materia Prima. Reporto Karla Hintz</t>
  </si>
  <si>
    <t>contar con los certificados de análisis estructural de los racks en jarabes. Reporto Karla Hintz</t>
  </si>
  <si>
    <t>contar con los certificados de análisis estructural de los racks de almacén de repuestos. Reporto Karla Hintz</t>
  </si>
  <si>
    <t>Desorden en el área de ECOLAB reporta Andrea González</t>
  </si>
  <si>
    <t>En nuevo parqueo externo no hay espejo concavo para visualizar si algún peaton/vehículo está por ingresar cuando se está por salir del mismo. reporta Andrea González</t>
  </si>
  <si>
    <t>Actualizar procedimientos Lototo en l1. Reporto Karla Hintz</t>
  </si>
  <si>
    <t>Actualizar procedimiento Lototo en línea 2. Reporto Karla Hintz</t>
  </si>
  <si>
    <t>Instalación de topes para tarimas en área de entarimado l2. Reporto Josué Vásquez</t>
  </si>
  <si>
    <t>Instalación de puertas abatibles en paso de montacargas de entarimado l2. Reporto Josué Vásquez</t>
  </si>
  <si>
    <t>Tubería dañada provoca piso mojado en L1 en trasnsporte. Reporto Genesis Santos</t>
  </si>
  <si>
    <t>Genesis Santos</t>
  </si>
  <si>
    <t>Instalación de topes para protección de personal en área de tarimas de rechazo en l2. Reporto Josué Vásquez</t>
  </si>
  <si>
    <t>Drenaje tapado de lavadora de L1 provoca piso mojado y es agua caliente. Reporto Genesis Santos</t>
  </si>
  <si>
    <t>Escalera en lugar no establecido sin restricción, Jimmy si se sigue reportando esta condición se tomara como acto inseguro a las personas que esten en almacen. Reporto Jimmy Velásquez</t>
  </si>
  <si>
    <t>Silla en mal estado en laboratorio de paquetecnia, no cuenta con respaldo. Reporto Yessi Guarcas</t>
  </si>
  <si>
    <t>Fuga en SDJ antigua, válvula nueva, probablemente sea el empaque, provoca piso mojado. Reporto Carlos Quan</t>
  </si>
  <si>
    <t>Gradas con aceite o químico las vuelve resbalosas en l4. Reporto Josué Vásquez</t>
  </si>
  <si>
    <t>Las lámparas están con las bases vencidas, validar la reparación. Reporto Wilber López</t>
  </si>
  <si>
    <t>Manguera sobre paso peatonal sin señalización y puede provocar tropiezos. Reporto Oscar Ramos</t>
  </si>
  <si>
    <t>Lubricante derramado en puerta acceso a oficina de mantenimiento. Reporto Carlos Chávez</t>
  </si>
  <si>
    <t>Filtración de agua en Data Center oficina de coordinadores. Reporto Carlos Chávez</t>
  </si>
  <si>
    <t>Fuga de agua en reactor 1 por tubería dañada. Reporto Oscar Ramos</t>
  </si>
  <si>
    <t>Pasillo llenador L1 con envase quebrado. Reporto Amílcar Ralda</t>
  </si>
  <si>
    <t>Esto en entrada principal a ósmosis y cuarto de bombas, canaletas en mal estado. Gustavo Hernández</t>
  </si>
  <si>
    <t>Magneto con riesgo de caida en puerta de ingreso de materiales sala de llenado linea 1. Reporto Oscar Ramirez</t>
  </si>
  <si>
    <t>En dispensador de jabón de cafetería se encontró un líquido aceitoso con olor a thiner el mismo ya fue cambiado por Soprinsa solo validar que químico se había colocado no sea el mismo se esté colocando en otras jaboneras. Reporto Gover Sologaistoa</t>
  </si>
  <si>
    <t>Esquinero de plataforma dañada  en Empacadora de linea 4. Reporto Obdulio Cap</t>
  </si>
  <si>
    <t>fuga de lubricante en transporte de salida desencajona dora hacia lavadora de botellas de l1, se corrige.Reporto Haydée Martínez</t>
  </si>
  <si>
    <t>ersonal de Soprinsa trabajando 8’horas diarias, no tienen punto de hidratación cercano, no toman descansos para evitar insolación, se corrigió. Reporto Emilio Cux</t>
  </si>
  <si>
    <t>Tarimas fuera de lugar linea 4. Reporto Obdulio Cap</t>
  </si>
  <si>
    <t>gotera frente a encajonadora, agua empezada en paso peatonal de l1. Reporto Haydée Martínez</t>
  </si>
  <si>
    <t>Parrilla quebrada del Montacargas 22 ya se reportó con el proveedor y se baja al taller. Reporto Luis Pérez</t>
  </si>
  <si>
    <t>Canaleta tapada atrás almacén de repuestos, puede provocar taponamiento. Reporto Carlos Coc</t>
  </si>
  <si>
    <t>Excavación no delimitada en la ETEI puede provocar caidas. Reporto Emilio Cux</t>
  </si>
  <si>
    <t>fuga de vapor frente a cuarto eléctrico en l2. Reporto Haydée Martínez</t>
  </si>
  <si>
    <t>Tarimas plásticas mal estiba, Propensa a caer en Bodega de azúcar MP. Reporto Jaime Chex</t>
  </si>
  <si>
    <t>inconveniente con aire acondicionado de físico químicos, goteo continuo de condensado, Es necesario colocar bomba de succión. Reporto Edgar Cotí</t>
  </si>
  <si>
    <t>Caja de Conexiones eléctricas expuestas, no se cerro la puerta de protección, se intento cerrar pero se deben manipular los cables para que cierre correctamente en  Sala AMP. Reporto Hellen Estrada</t>
  </si>
  <si>
    <t>Se tiene gotera dentro de sala de llenado junto a panel neumático de sopladora de l3. Reporto Amílcar Ralda</t>
  </si>
  <si>
    <t>Rejilla quebrada y riesgo que alguien se le atore el pie, En rampa hacia sala de supervisores. Reporto Rodrigo Galindo</t>
  </si>
  <si>
    <t>Puertas de ingreso a pipas de CO2 abiertas,Se cierra y se coloca seguro. Reporto Luis Angel</t>
  </si>
  <si>
    <t>Materiales sobre paso peatonal, en almacén de Repuestos. Reporto Jimmy Velásquez</t>
  </si>
  <si>
    <t>Tarimas mal posicionadas, se pueden caer. Reporto Roger Rivas</t>
  </si>
  <si>
    <t>Guarda de cadena del horno fuera de lugar, se intalara linea 4. Reporto Obdulio Cap</t>
  </si>
  <si>
    <t>en lavadora de L2, la tapa no se encuentra bien colocada lo cual puede provocar atasco en egranajes de lavadora. Reporto Daniel Pineda</t>
  </si>
  <si>
    <t xml:space="preserve"> en el área de jarabes antiguo puerta de acceso se encuentra dañada a punto de caer. Reporto Daniel Pineda</t>
  </si>
  <si>
    <t>Tarimas desordenadas en bodega 4. Reporto Bladimir López</t>
  </si>
  <si>
    <t>Condensado en bodega 3 paso de montacargas. Reporto Bladimir López</t>
  </si>
  <si>
    <t>Tarima mal ubicada en el paso peatonal frente a L4. Reporto Bladimir López</t>
  </si>
  <si>
    <t xml:space="preserve">Se encontró manguera rota en sala de jarabes entre tanques, 10 y 11  </t>
  </si>
  <si>
    <t>Arnés con serie: 10072479, de SSO, se encuentra en mal estado, tiene argollas corroidas. Reporta Antony Ramos</t>
  </si>
  <si>
    <t>Puerta abatible dañada en ingreso al CD. Reporto Luis Pérez</t>
  </si>
  <si>
    <t>Selector eléctrico semi abierto transporte hacia lavadora de cajilla 2. Reporto Gustavo Hernández</t>
  </si>
  <si>
    <t>Renovar pintura de paso cruce de cebra hacia bodega 2. Reporto Yessi Guarcas</t>
  </si>
  <si>
    <t>Tarimas fuera de lugar, frente a l3 y l4. Reporto Antony Ramos</t>
  </si>
  <si>
    <t>Falla en lámpara de iluminación en L3. Reporto Antony Ramos</t>
  </si>
  <si>
    <t>Renovar pintura de paso peatonal hacia L4. Reporto Yessi Guarcas</t>
  </si>
  <si>
    <t xml:space="preserve"> fuga de lubricante en transporte hacia encajonadora, ya se reportoa Ecolab para que sea corregido de inmediato en l1. Reporto Haydée Martínez</t>
  </si>
  <si>
    <t>En el laboratorio de microbiología en el cuarto de siembra la lámpara se encuntra en mal estado ya que ilumina de forma intermitente y a veces enciende bien y se opaca por ratos. Reporto Ana lucia</t>
  </si>
  <si>
    <t>Restringir acceso a subestación eléctrica de planta. Reporto Karla Hintz</t>
  </si>
  <si>
    <t>Tarimas en paso peatonal de bodega 8. Reporto Luis Pérez</t>
  </si>
  <si>
    <t>Vidrio en piso alrededor de empacadora línea 2. Reporto Oscar Ramos</t>
  </si>
  <si>
    <t>Seccionador de envase de rechazo caído, en área de alto riesgo por trabajo manual. Indica el equipo de mantenimiento que se necesita una lámina de 1/4 mínimo adicional para proteger este apagador. Reporto Amílcar Ralda</t>
  </si>
  <si>
    <t>Riesgos de caída por humedad. Se está observando que estos transportes de L2 no tienen drenaje y el líquido de lubricación va directo a L1. Reporto Amílcar Ralda</t>
  </si>
  <si>
    <t>Riesgo de choque eléctrico, estos cables están en contacto con el chasis del transporte, y para ajustar le esta cayendo el agua del drenaje en l2. Reporto Amílcar Ralda</t>
  </si>
  <si>
    <t>Vidrio quebrado en bodega 2 del cd. Reporto Kelly Calderón</t>
  </si>
  <si>
    <t>Demasiado condensado, bodega 9, se corrige. Reporto Kelly Calderón</t>
  </si>
  <si>
    <t>Cables expuestos en cercanías del portón de ingreso hacia ETEI. Reporto Rodrigo Galindo</t>
  </si>
  <si>
    <t>Botellas caídas en sala de llenado. Reporto Amílcar Ralda</t>
  </si>
  <si>
    <t>Tubo de metal en lugar no indicado acceso a vestidores. Reporto Carlos Coc</t>
  </si>
  <si>
    <t>Puertas de secador de botellas abierta en L4, validar porque se esta realizando esta operación. Reporto Obdulio Cap</t>
  </si>
  <si>
    <t>Desorden de equipos y tarimas detrás de tratamiento de aguas. Reporto Carlos Chávez</t>
  </si>
  <si>
    <t>Tapadera de drenaje abierto, sin delimitación en alrededores. Reporto Carlos Chávez</t>
  </si>
  <si>
    <t>Estante con daño en estructura de soporte, puede provocar que se caiga en taller de mantenimiento. Reporto Elvis Oliva</t>
  </si>
  <si>
    <t>Piezas mal apiladas puede caerse y rodar en taller de mantto. Reporto Elvis Oliva</t>
  </si>
  <si>
    <t>Cables expuestos en el ingreso a sala de llenado L2. Reporto Yessi Guarcas</t>
  </si>
  <si>
    <t>Se reporta condición insegura mochila encima de horno microondas, puede ocasionar sobrecalentamiento a equipo en cafetería. Reporto Roy Loarca</t>
  </si>
  <si>
    <t>Tonel mal ubicado y puede caer y lastimar a alguien si esta cerca en alrededores. Reporto Carlos Chávez</t>
  </si>
  <si>
    <t>Manguera y extensión sobre peatonal al lado del chiller de L3. Reporto Pablo Donis</t>
  </si>
  <si>
    <t>Manguera tirada en el piso, fuera de lugar en slj nueva. Reporto Wilber López</t>
  </si>
  <si>
    <t>Acceso restringido a TQ reactor 2 deshabilitado. Reporto Byron Roldan</t>
  </si>
  <si>
    <t>Desnivel sin protección sala de jarabes. Reporto Wilber López</t>
  </si>
  <si>
    <t>Piso de Jarabe resbaloso por fuga en el tanque de Jarabe simple 2. Reporto Wilber López</t>
  </si>
  <si>
    <t>Fuga en TQ de arena provoca piso mojado en tratagua. Reporto Byron Roldan</t>
  </si>
  <si>
    <t>Acceso bloqueado, puerta de ingreso a la de paquetecnia. Reporto Edgar Cotí</t>
  </si>
  <si>
    <t>nos apoya con el retiro (mal ubicado) en alrededores. Reporto Carlos Chávez</t>
  </si>
  <si>
    <t>Manipulación de soda al 50% para el sip evaluar los riesgos y ver acciones de ingeniería para poder evitar el traslado manual. Reporto Wilber López</t>
  </si>
  <si>
    <t>Producto fuera de filas por sobre stock en el cd. Reporto Mario Amner</t>
  </si>
  <si>
    <t>Mario Amner</t>
  </si>
  <si>
    <t>Pasamanos pendiente de instalar en el cd. Reporto Mario Amner</t>
  </si>
  <si>
    <t>Acumulación de agua en CIP L4. Reporto Fredy Fuentes</t>
  </si>
  <si>
    <t>Silla sin respaldo almacén de repuestos. Reporto William Galindo</t>
  </si>
  <si>
    <t>Falta guarda en este lado del inversor L2. Reporto Yessi Guarcas</t>
  </si>
  <si>
    <t>Riesgo de caída de cajas de papelería en almacén de repuestos. Reporto William Galindo</t>
  </si>
  <si>
    <t>Tarima mal ubicada, obliga a pasar por la rejilla dañada. Reporto Pablo Donis</t>
  </si>
  <si>
    <t>Pintar camina miento antiguo hacia gasolinera desde gradas. Reporto Carlos Quan</t>
  </si>
  <si>
    <t>Evaluar Rack sala de jarabes golpeado. Reporto Wilber López</t>
  </si>
  <si>
    <t>una gran cantidad de agua está saliendo de sala ósmosis. Reporto Roger Rivas</t>
  </si>
  <si>
    <t>Doble estiba de Tarimas de madera sobre paso peatonal frente a sanitarios CD. Reporto Vinicio Mendoza</t>
  </si>
  <si>
    <t>Envase de área de jarabes antigua fuera de lugar desentarimado. Reporto Haydée Martínez</t>
  </si>
  <si>
    <t>Modificar puerta, abrir para afuera. Reporto Karla Hintz</t>
  </si>
  <si>
    <t>motor inicio de transporte rechazo vacío saliendo de inspector de vacío sala de llenado 1, no se encuentra bien instalado por falta de tornillo. Reporto Gustavo Hernández</t>
  </si>
  <si>
    <t>Acumulación de agua en etiquetadora L3. Reporto Roger Rivas</t>
  </si>
  <si>
    <t>Escalera fuera de lugar y sin restricción en empacadora de l1. Reporto Haydée Martínez</t>
  </si>
  <si>
    <t>Cartones obstruyendo paso peatonal, bodega 4. Reporto Kelly Calderón</t>
  </si>
  <si>
    <t>Tarimas fuera de lugar en L4. Reporto Obdulio Cap</t>
  </si>
  <si>
    <t>Camilla en ETEI se encuentra sucia y con polvo, hallazgo derivado en inspección mensual. Reporta Daniel Pineda</t>
  </si>
  <si>
    <t>Paso peatonal donde se toman las muestras de soda caustica (TQ1, TQ2), se encuentra total mente obstruido de basura que pueden provocar algún resbalón para el analista de microbiología al momento de tomar muestra para su análisis. Reporta Domingo Yac</t>
  </si>
  <si>
    <t>Camilla en sala de espera no cuenta con señalización, hallazgo derivado de inspección mensual. Reporta Daniel Pineda</t>
  </si>
  <si>
    <t>Las correas inmovilizadoras de camilla en ETEI se están cristalizando por la exposición del sol, hallazgo derivado de inspección mensual. Reporta Daniel Pineda</t>
  </si>
  <si>
    <t>No se cuenta con inmovilizador de cabeza en camilla del CD, hallazgo derivado de inspección mensual. Reporta Daniel Pineda</t>
  </si>
  <si>
    <t>escalera en almacén de repuestos con código 36199 se encuentra muy sucia, hallazgo reportado en inspección mensual. Reporta Abraham Quiej</t>
  </si>
  <si>
    <t>Abraham Quiej</t>
  </si>
  <si>
    <t>Mesita portaherramientas en mal estado, pertenece a escalera con código 36194 del área de empacadora L1, hallazgo reportado en revisión de escaleras. Reporta Abraham Quiej</t>
  </si>
  <si>
    <t>Se detectan rayas en el visor del EPRAC y el regulador de presión tiene fuga de aire, hallazgo reportado en revisión mensual. Reporta Antony Ramos</t>
  </si>
  <si>
    <t>lamina de peldaño safada de gradas en sala de llenado de inspector hacia llenadora de l1. Reporto Haydée Martínez</t>
  </si>
  <si>
    <t>Lámpara de emergencia en almacén de repuestos únicamente funcionando con un foco, cambiar o reparar. Reporto Gover Sologaistoa</t>
  </si>
  <si>
    <t>Fuga de lubricante L2 en salida lavadora botellas, ya se informó a Ecolab, se repara. Reporto Haydée Martínez</t>
  </si>
  <si>
    <t>Lámpara en almacén de repuestos no funciona en corte de energía, cambiar. Reporto Gover Sologaistoa</t>
  </si>
  <si>
    <t>Tarima con producto terminado, en paso peatonal bodega 4. Reporto kelly Calderón</t>
  </si>
  <si>
    <t>kelly Calderón</t>
  </si>
  <si>
    <t>Fuga de vapor enfrente de calderas. Reporto Antony Ramos</t>
  </si>
  <si>
    <t>Magneto salida de línea 1 con riesgo de caer, hay que realizar apriete. Reporto Edson López</t>
  </si>
  <si>
    <t>Gotera de agua sobre campan de sopladora de l3, cae sobre equipos. Reporto Haydée Martínez</t>
  </si>
  <si>
    <t>en sala de llenado gotera en extractor, cae en piso genera poza de agua puede provocar caída en l1. Reporto Haydée Martínez</t>
  </si>
  <si>
    <t>lámpara con problemas de iluminación a un costado de paletizadora de l3. Reporto Haydée Martínez</t>
  </si>
  <si>
    <t>Bandeja no tiene caída direccionamiento hacia drenaje, cae hacia paso peatonal entre L2 y L1, esto en transporte salida cooller hacia transporte alimentación etiquetadora L2. Reporto Gustavo Hernández</t>
  </si>
  <si>
    <t>Lámpara de iluminación no funciona en L1, 3 lámparas no están funcionando. Reporto Antony Ramos</t>
  </si>
  <si>
    <t>anaquel de químicos abierto sin candado en l4, se corrige. Reporto Haydée Martínez</t>
  </si>
  <si>
    <t>Jaulas mal ubicadas linea 4. Reporto Obdulio Cap</t>
  </si>
  <si>
    <t>Palet fuera de lugar línea 4. Reporto Obdulio Cap</t>
  </si>
  <si>
    <t>Tarimas en lugar no indicado en l3. Reporto Roger Rivas</t>
  </si>
  <si>
    <t>Condición insegura Unidad obstaculizando vía peatonal, se corrige moviendo unidad. Reporto Roy Loarca</t>
  </si>
  <si>
    <t>Manguera tirada, enredada y con la llave abierta en paso de personas. Reporto Roger Rivas</t>
  </si>
  <si>
    <t>Toldo con riesgo de caerle los tubos a alguien encima. Reporto Ronald Chojolan</t>
  </si>
  <si>
    <t>Cilindros sin cadena para evitar caídas, Reporto Selvin Pérez</t>
  </si>
  <si>
    <t>Escalera de acceso a lavadora de l1 mal diseñada en huella y contrahuella. Reporto Daniel Pineda</t>
  </si>
  <si>
    <t>Mochila de aire de panel electrico de etiquetadora bota condensado manteniendo el piso mojado alrededor de etiquetadora. Reporto Oscar Ramirez</t>
  </si>
  <si>
    <t>Falta de manecia para bloqueo de energía en panel eléctrico de empacadora linea 1. Reporto Oscar Ramirez</t>
  </si>
  <si>
    <t>Linea 1</t>
  </si>
  <si>
    <t>Tarimas y productos en parqueo interno. Reporto Carlos Coc</t>
  </si>
  <si>
    <t>Rampas de cargas inhabilitadas en el CD, causan congestionamiento en rampas de agencia. Reporto Josué Vásquez</t>
  </si>
  <si>
    <t>Producto sobre el paso peatonal de bodega 9. Reporto Luis Pérez</t>
  </si>
  <si>
    <t>Lubricante cayendo al piso en sala preempaque linea 3, se encuentra muy resbaloso. Reporto Oscar Ramirez</t>
  </si>
  <si>
    <t>Racks con óxido y daños estructurales, falta de rotulación de capacidad de carga en bodega de ambiente. Reporto Josué Vásquez</t>
  </si>
  <si>
    <t>Escalera en mal estado en rampas de agencia. Reporto Luis Pérez</t>
  </si>
  <si>
    <t>Se encuentra preformas de envasado PET, tiradas en paso peatonal de sopladora, línea 4. Reporto Nelson Godinez</t>
  </si>
  <si>
    <t>Limpiar canal o asegurar ya que está desbordando el agua generando condiciones inseguras en trata gua. Reporto Daniel Pineda</t>
  </si>
  <si>
    <t>Fuga en el techo sala de llenado 1, posiblemente sea de alguna tubería del CIP, no está lloviendo, pero; si se está haciendo CIP. Reporto Gustavo Hernández</t>
  </si>
  <si>
    <t>tarima de producto terminado con riesgo de caída en L5. Se observa que recibió un golpe y empieza a presentar inclinación la tarima. Reporto Jaison Orozco</t>
  </si>
  <si>
    <t>Jaison Orozco</t>
  </si>
  <si>
    <t>Bandeja caida en finalde  transporte de rechazo de etiquetadora provoca que el lubricante caiga a piso. Reporto Oscar Ramirez</t>
  </si>
  <si>
    <t>Puerta de acceso al laboratorio de fisicoquímicos se encuentra caída Por ello, no cierra correctamente y no habilita el magneto. Reporto Luis Cabrera</t>
  </si>
  <si>
    <t>Rótulo de alto en pit de cargas cd dañado se estará corrigiendo. Reporto Luis Pérez</t>
  </si>
  <si>
    <t>Acumulaciom de condensado en bodega 2 del cd. reportó Carlos Poz</t>
  </si>
  <si>
    <t>Derrame de aceite en L3, verificar si es de algún montacargas. Reporto Eliú Tello</t>
  </si>
  <si>
    <t>Pt sobre el paso peatonal de bodega 4. Reportó Luis Pérez</t>
  </si>
  <si>
    <t>Condición insegura base para izaje de carga con pernos fuera de lugar en ETEI. Reportó Josué Lepe</t>
  </si>
  <si>
    <t>ventilador de lavadora de botellas colocado en paso peatonal en plataforma, mala ubicación por el espacio y afecta  la movilidad de la operación en l1. Reporto Haydée Martínez</t>
  </si>
  <si>
    <t>Vidrio en paso peatonal en bodega 8, se corrige. Reportó Carlos Poz</t>
  </si>
  <si>
    <t>manguera de aire comprimido mal ubicada sobre paso peatonal en llenadora puede provocar caídas en l2.Reporto Haydée Martínez</t>
  </si>
  <si>
    <t>Lámpara intermitente en el techado que ilumina la paletizadora, reporta Benedicto Barrios</t>
  </si>
  <si>
    <t>Envase inclinado con riego a caer en patio del cdc se estará corrigiendo. Reporto Luis Pérez</t>
  </si>
  <si>
    <t>PT Lipton labels mal estibado. Reporto Santos Hernández</t>
  </si>
  <si>
    <t>Santos Hernández</t>
  </si>
  <si>
    <t>Acumulación de moho en paso peatonal detrás del nuevo cuarto eléctrico y falta de limpieza en equipos auxiliares. Reporto Yessi Guarcas</t>
  </si>
  <si>
    <t>Buen día, condición insegura: desechos utilizados por el derrame obstaculizando el paso para dar ingreso a unidades. Reporto Rebeca Morales</t>
  </si>
  <si>
    <t>Pernos del Montacargas 31 quebrados llanta trasera lado izquierdo se bajo al taller para su corrección. Reporto Luis Pérez</t>
  </si>
  <si>
    <t>Puerta caída en sala de llenado L3, no deja que se active el control de acceso. Reporto Alejandro Martínez</t>
  </si>
  <si>
    <t>Escalera mal ubicada en almacén de repuestos (se corrije). Reporto Gover Sologaistoa</t>
  </si>
  <si>
    <t>Mal manejo y colocación de procedimiento LOTOTO, capacitar a este colaborador. Reporto Josué Lepe</t>
  </si>
  <si>
    <t>Guarda de seguridad caído en transporte de rechazó línea 1. Reporto Obdulio Cap</t>
  </si>
  <si>
    <t xml:space="preserve"> escalera sin restricción en la ETEI. Reporto Emilio Cux</t>
  </si>
  <si>
    <t>Ingreso a calderas sin restricción, inhabilitada. Reporto Rodrigo Galindo</t>
  </si>
  <si>
    <t>Caja de registro sin delimitación detrás de cuarto eléctrico. Reportó Yessi Guarcas</t>
  </si>
  <si>
    <t>Se detiene trabajo en alturas a Armando Ramírez y Salomón Girón de Const. Joel por realizar trabajos sobre el techo de l1 y l2 sin estar anclados, se detiene la actividad inmediatamente. Reporto Josué Vásquez</t>
  </si>
  <si>
    <t>Laminas fuera de su sitio sin delimitación. Reporto Juan Chó</t>
  </si>
  <si>
    <t xml:space="preserve"> puerta salida L1 no está asegurado el cierre automático. Reporto Amílcar Ralda</t>
  </si>
  <si>
    <t>Tablero eléctrico sin restricción área etei, se corrige. Reporto Josué Lepe</t>
  </si>
  <si>
    <t>Desorden y débil delimitación en producto terminado de la linea 4. Reporto Obdulio Cap</t>
  </si>
  <si>
    <t>Cables fuera de lugar y sin conectar línea 4. Reporto Obdulio Cap</t>
  </si>
  <si>
    <t>Tablones de madera mal ubicados en parqueo interno. Reporto Carlos Coc</t>
  </si>
  <si>
    <t>Ducha de emergencia con baja presión de agua, validar que no estén obstruidos en almacén de repuestos. Reporto Daniel Pineda</t>
  </si>
  <si>
    <t>No se cuenta con ducha de emergencia y lava ojos para línea 4. Reporto Daniel Pineda</t>
  </si>
  <si>
    <t>Retráctil de descarte de vidrio en mal estado, es necesario realizar su cambio inmediato. Reporto Daniel Pineda</t>
  </si>
  <si>
    <t>Derrame de jarabe simple en piso de área de tanques de acumulo de jarabe simple en nueva sala de jarabes. Reporto Gerson Castañeda</t>
  </si>
  <si>
    <t>Banco de trabajo fuera de lugar linea 4. Reporto Obdulio Cap</t>
  </si>
  <si>
    <t>Derrame de químico y agua caliente en CIP tanque 10 sala de jarabe. Reporto Adrián Santisteban</t>
  </si>
  <si>
    <t>Producto para muestras de calidad está caído en cuarto de contramuestras de calidad. Reporto Josué Vásquez</t>
  </si>
  <si>
    <t>Envase con riego a caer en patio del cd, se corrige. Reporto Luis Pérez</t>
  </si>
  <si>
    <t>Herramientas acumuladas y sin delimitar en garita, son de talleres barth nos apoyan con el desalojo, se corrigio. Reporto Carlos Chávez</t>
  </si>
  <si>
    <t>Puerta abatible Aleron (ingreso a bodega 8) dañada. Reporto Jimmy Velásquez</t>
  </si>
  <si>
    <t xml:space="preserve"> vidrio en paso peatonal en sala de llenado cerca inspector de vacío en l1. Reporto Haydée Martínez</t>
  </si>
  <si>
    <t>En área de lavado manual de envase se encuentra el kit antiderrame con objetos encima y los equipos de emergencia no pueden estar bloquedos ni obstruidos. Reporto William Galindo</t>
  </si>
  <si>
    <t>Ducha del Cd presenta fallos en el flujo del agua, validar porque es este inconveniente si no existe una llave que restrinja el paso de agua. Reporto William Galindo</t>
  </si>
  <si>
    <t>Transporte obstaculiza paso peatonal, se corrige. Reporto Deni León</t>
  </si>
  <si>
    <t>Deni León</t>
  </si>
  <si>
    <t>Montacarga sin seguridad en bodega de preforma. Reporta Abraham Quiej</t>
  </si>
  <si>
    <t>Protección quebrada, llenadora L1. Reporto Amílcar Ralda</t>
  </si>
  <si>
    <t>Falta de rotula extintor L4, se corrige. Reporto Mario Ramos</t>
  </si>
  <si>
    <t>Prensa de mesa no está anclado puede caerse encima. Reporto Mario Ramos</t>
  </si>
  <si>
    <t>Restringir acceso en esta área. Reporto Karla Hintz</t>
  </si>
  <si>
    <t>Extintor de montacargas eléctrico en mal estado, Se requiere cambio. Reporto Karla Hintz</t>
  </si>
  <si>
    <t>Exceso de botellas en el piso sala de llenado L3. Reporto Yessi Guarcas</t>
  </si>
  <si>
    <t>Sobre stock de muestras en módulo aéreo de Lab, De paquetecnia,
Riesgo de caída y golpe a personal de laboratorio. Reporto Gerson Castañeda</t>
  </si>
  <si>
    <t>Se reporta falta de paso de cebra para cruzar hacia el nuevo parqueo. Reporta Hellen Consuelo</t>
  </si>
  <si>
    <t>Tope de estantería caído, este evita que pueda caerse el producto en caso de algún sismo, Se corrige de inmediato la condición. Luis Cabrera</t>
  </si>
  <si>
    <t>Se encuentra manguera de aire rota en sala de jarabes, entre tanques 10 y 11, en ese mismo momento se reporta a jarabes y de inmediato se corrige la acción. Reporta Nelson Godinez</t>
  </si>
  <si>
    <t>Químico fuera de dique de contención antiderrame y manguera tirada en suelo. Reporto Roger Rivas</t>
  </si>
  <si>
    <t>Químicos sin bandeja de contención en eta. Reporto Adrián Santisteban</t>
  </si>
  <si>
    <t>Escalera sin restricción frente a condensadores evaporativos. Reporto Pablo Donis</t>
  </si>
  <si>
    <t>Escalera mal ubicada en sala de jarabe. Reporto Adrián Santisteban</t>
  </si>
  <si>
    <t>Iluminación en mal estado L4. Reporto Luis Angel</t>
  </si>
  <si>
    <t>Manguera en el piso de nave de ósmosis sin delimitación. Reporto Adrián Santisteban</t>
  </si>
  <si>
    <t>Lámparas de iluminación de bodega de l5 en mal estado. Reporto Antony Ramos</t>
  </si>
  <si>
    <t>Toldo propenso a caer y hay personal derramando producto en el Cd. Reporto Josué Lepe</t>
  </si>
  <si>
    <t>Panel solar ubicando en oficinas de CD con riesgo de caer, se procede a girar las indicaciones para corregir de una vez. Reporto Jimmy Velásquez</t>
  </si>
  <si>
    <t>Manguera suelta en tratamiento de agua, está haciendo piso mojado y se está desperdiciando de agua. Reporto Vinicio Mendoza</t>
  </si>
  <si>
    <t>puerta de la cabina entre L1 y L2, a un costado de lavadora de botellas para ingresar a sala de llenado, el vidrio este flojo y puede caerse en l1. Reporto Haydée Martínez</t>
  </si>
  <si>
    <t>Escalera posicionada en chimenea de caldera Hurst, sin restricción. Reporto Pablo Donis</t>
  </si>
  <si>
    <t>Techo dañado en tratamiento de aguas por lluvias y viento, nos deja ingreso de agua. Reporto Adrián Santisteban</t>
  </si>
  <si>
    <t>Goteo constante de A/C en cafetería provoca piso mojado en paso peatonal. Reporto Roger Rivas</t>
  </si>
  <si>
    <t>Escalera sin restricción en área de generador 1. Reporto Pablo Donis</t>
  </si>
  <si>
    <t>Panel de lavadora línea 1 no se encuentra correctamente cerrado. Reporto Oscar Ramos</t>
  </si>
  <si>
    <t>vidrio en piso y sobre acceso paso peatonal en sala de llenadora hacia inspector de vacío en l1. Reporto Haydée Martínez</t>
  </si>
  <si>
    <t>Jumbo de azúcar inclinado propenso a caerse, Bodega de azúcar MP, se corrige de inmediato. Reporto Jaime Chex</t>
  </si>
  <si>
    <t>Acceso a mezzanine sin bloqueo,Se procedio a cerrar con su candado respectivo (identificar que técnico está dejando abierto para abordarlo. Reporto obdulio Cap</t>
  </si>
  <si>
    <t>obdulio Cap</t>
  </si>
  <si>
    <t>Piso mojado por fuga de agua en laboratorio de línea 4. se le avisa al auxiliar para proceder a limpiar.  
Reporta: Leidy Vanesa Camey</t>
  </si>
  <si>
    <t>Pulsador de elevador de preforma se encuentra dentro de pánel eléctrico de L04, lo q no permite su libre y segura manipulación ante una anomalía. Esto requiere la apertura del pánel eléctrico y retrasos de producción. Gerson Castañeda</t>
  </si>
  <si>
    <t>Lámpara con mal contacto, parpadea constantemente. Reporto Gerson Castañeda</t>
  </si>
  <si>
    <t>Panel eléctrico no se encuentra cerrado candado se encuentra cerrado, no se pudo cerrar. Reporto Oscar Ramírez</t>
  </si>
  <si>
    <t>Acumulación de agua con lubricante en piso cerca de empacadora línea 3, se corrigió. Reporto Oscar Ramírez</t>
  </si>
  <si>
    <t>Acumulación de agua con lubricante en piso salida empacadora línea 2 por bandeja caída. Reporto Oscar Ramírez</t>
  </si>
  <si>
    <t>Escalera sin restricción frente a sopladora en l4, se corrigió. Reporto Haydée Martínez</t>
  </si>
  <si>
    <t>Tarima sobre paso peatonal línea 1, se corrige. Reporto Oscar Ramírez</t>
  </si>
  <si>
    <t>Repuestos en paso peatonal en almacén por tarimas, liberar. Reporto Rolando Gómez</t>
  </si>
  <si>
    <t>Selector de punto de bloqueo en mal estado panel electrico de pallet linea 3. Reporto Oscar Ramírez</t>
  </si>
  <si>
    <t>Escaleras si restricción y/o fuera de lugar, se corrige. Reporto Roger Rivas</t>
  </si>
  <si>
    <t>Acumulación de agua entrada a sala de llenado línea 4. Reporto Obdulio Cap</t>
  </si>
  <si>
    <t>agua empezada en piso sobre paso peatonal a un costado sopladora, se corrige en l4. Reporto Haydée Martínez</t>
  </si>
  <si>
    <t>Manguera en piso sin señalizado, obstruyendo el paso, se corrige. Reporto Roger Rivas</t>
  </si>
  <si>
    <t>Panel de elevador de preforma no cuenta con el mando externo para esta eventual operación del equipo por lo q se debe corregir para evitar esta acción. Reporto Gerson Castañeda</t>
  </si>
  <si>
    <t>el montacargas 26 tiene dañada la canasta el seguro para asegurar el cilindro, se reparara. Reporto Luis Pérez</t>
  </si>
  <si>
    <t>Módulo base de equipo de presión interna de L03 demasiado pequeño, hay alto riesgo q el equipo se caiga al piso o sobre un operador. Reporto Gerson Castañeda</t>
  </si>
  <si>
    <t>Puerta de ingreso de personal de cafeteria esta por caer, reporta en matinal. Reporto Carlos Chavez</t>
  </si>
  <si>
    <t>Herramienta fuera de lugar en ingreso a l1 por 5´s. Reporto Josué Vásquez</t>
  </si>
  <si>
    <t>Equipo estaba a punto de caer yo lo descolgué para evitar que cayera lo dejaré en el piso ingreso a l1. Reporto Josué Vásquez</t>
  </si>
  <si>
    <t>Guarda de seguridad de caida de tapón abierta en linea 4, Se corrige condición. Reporto Obdulio Cap</t>
  </si>
  <si>
    <t>Guarda de seguridad del inspector de tapón abierta. Se corrige condición. Reporto Obdulio Cap</t>
  </si>
  <si>
    <t>Banqueta quebrada con la grua para mover generador de equipos auxiliares, se corre reisgo que el agua que va de la cuneta lave otras partes y se genere un agujero. Reporto Carlos Chavez</t>
  </si>
  <si>
    <t>Escalera sin restricción en sala de jarabes, se corrigió. Reporto William Galindo</t>
  </si>
  <si>
    <t>Cables expuestos y reparación temporal jalando en sala de jarabes. Reporto William Galindo</t>
  </si>
  <si>
    <t>Acumulación de agua en lab FQ. Reporto Alejandro Martínez</t>
  </si>
  <si>
    <t>Antideslizante en mal estado, se pueden resbalar. Reporto Carlos Chavez</t>
  </si>
  <si>
    <t>Base de soporte para tubería desprendida del suelo en Sala de jarabes. Reporto William Galindo</t>
  </si>
  <si>
    <t>Cable eléctrico sobre el piso en sala de jarabes. Reporto William Galindo</t>
  </si>
  <si>
    <t>Manecillas de válvula dañada en sala de jarabes, al parecer falta tornillo. Reporto William Galindo</t>
  </si>
  <si>
    <t>Estiba no adecuada sobre paso peatonal de L4 a L5. Reporto Vinicio Mendoza</t>
  </si>
  <si>
    <t>Colocarle silla a lámpara de llenado en L2 se está sentando sobre cajillas, validar si lo necesitan o no menciona Oscar Ramirez que ya les a colocado y que les es incomodo. Reporto Josué Vásquez</t>
  </si>
  <si>
    <t>Tarima con envase vacío mal estibado, bodega 8. Reporto Kelly Calderón</t>
  </si>
  <si>
    <t>Candado abierto en sala de jarabes, se corrigio. Reporto William Galindo</t>
  </si>
  <si>
    <t>Las mangueras que no están en uso deben estar almacenados adecuadamente, 5´s. Reporto Carlos Quan</t>
  </si>
  <si>
    <t>Vidrio tirado en el cd, se corrige. Reporto Ronald Chojolan</t>
  </si>
  <si>
    <t>Gotera en paso peatonal de bodega 4. Reporto Ronald Chojolan</t>
  </si>
  <si>
    <t>Tubería caliente sin sujetar amarrada con lazo cruza la l1 y L2 sobre lámpara de L2. Reporto Josué Vásquez</t>
  </si>
  <si>
    <t>Candado abierto en acceso a escaleras de lavadora l1 lo intentamos cerrar pero está trabado. Reporto Josué Vásquez</t>
  </si>
  <si>
    <t>Químicos en lugar inadecuado (5's)  Sala de llenado L3. Reporto Yessi Guarcas</t>
  </si>
  <si>
    <t>Pinza y porta electrodo dañados por uso pinza ya no sujeta en l1. Reporto Josué Vásquez</t>
  </si>
  <si>
    <t>Exceso de botellas en piso de sala de llenado L3. Reporto Yessi Guarcas</t>
  </si>
  <si>
    <t>Falta sticker de riesgo eléctrico panel llenadora L3. Reporto Yessi Guarcas</t>
  </si>
  <si>
    <t>Kit antiderrames incompleto entre L1 y L2. Reporto Rolando Gómez</t>
  </si>
  <si>
    <t>Lámina de jarabes caída puede cortar a alguien. Reporto Miguel Godinez</t>
  </si>
  <si>
    <t>Engrasadora con rodos dañados, puede alguien girarla y que le caiga en el pie. Reporto Oscar Ramírez</t>
  </si>
  <si>
    <t>Panel con candado maestro abierto en oficinas de almacen de repuesto. Reporto Oscar Ramírez</t>
  </si>
  <si>
    <t>Selector electrico de transporte Salida de sala de llenado linea 2 en mal estado. Reporto Oscar Ramírez</t>
  </si>
  <si>
    <t>Jaula de quimicos abierta, se procede a cerrar linea 4. Reporto Obdulio Cap</t>
  </si>
  <si>
    <t>Dispositivo de seguridad (hongo) mal sujetado en empacadora linea 4. Reporto Obdulio Cap</t>
  </si>
  <si>
    <t>Candado abierto en panel eléctrico en pipas de CO2. Reporto Rodrigo Galindo</t>
  </si>
  <si>
    <t>Buenas noches reportan candado en mal estado del montacarga 31. Reporto Luis Pérez</t>
  </si>
  <si>
    <t>agua con aceite empozada en área de horno sopladora en l4. Reporto Haydée Martínez</t>
  </si>
  <si>
    <t>Se reporta condición de cables expuestos en panel de caldera 400, se corrige. Reporto Walfred Guzman</t>
  </si>
  <si>
    <t>Manguera y extensión sobre paso peatonal al costado lavadora L1, se corrigio. Reporto Andrea Gonzalez</t>
  </si>
  <si>
    <t>Piso mojado en area de escritorio de etiquetadora linea 4, se corrigo. Reporto Obdulio Cap</t>
  </si>
  <si>
    <t>Area de marmitas inundado decimos de vapor, no están funcionando los extractores e inyectores de aire, se corrigio. Reporto Edson López</t>
  </si>
  <si>
    <t>Condición insegura válvula de amoniaco sin restricción. Reporto Nery Rivera</t>
  </si>
  <si>
    <t>Árbol seco a un cotado de contenedores de reciclaje, les puede caer encima. Reporto   Luis Pérez</t>
  </si>
  <si>
    <t>Aceite en piso alrededor de empacadora cerca de paso peatonal L1, se corrigio. Reporto Andrea Gonzalez</t>
  </si>
  <si>
    <t>Lámpara oficina almacen de repuestos, con riesgo de caida sobre los compañeros. Reporta Edson López</t>
  </si>
  <si>
    <t>Se instalara candado a escalera sala de llenado 3. Reporto Gustavo Hernández</t>
  </si>
  <si>
    <t>Jaula mal estibada en bodega de preforma L4. Reporto Luis Angel</t>
  </si>
  <si>
    <t>Se reportan varios insumos faltantes en los kits antiderrame de varias áreas de Planta, hallazgo derivado de inspecciones mensuales. Reporta Daniel Pineda</t>
  </si>
  <si>
    <t>Falta traje de químicos en kit antiderrame ETEI, hallazgo derivado de inspección mensual. Reporta Daniel Pineda</t>
  </si>
  <si>
    <t>Falta traje de químicos en kit antiderrame de L1, hallazgo derivado de inspecciones mensuales. Reporta Daniel Pineda</t>
  </si>
  <si>
    <t>Ambos arneses del área de carga de rastras CD se encuentran dañados, con hebillas oxidadas y desgaste en tejido, hallazgo derivado de inspecciones mensuales. Reporta Antony Ramos</t>
  </si>
  <si>
    <t>Solicitar reemplazo del Arnés de RECIPA se encuentra con demasiado óxido en las argollas, ya no está apto para carga de reciclaje, hallazgo derivado de inspección mensual. Reporta Antony Ramos</t>
  </si>
  <si>
    <t>Tomacorrientes sin tapaderas dejan cables expuestos con riesgo de descarga eléctrica al conectar ventiladores en l2. Reporto Oscar Ramírez</t>
  </si>
  <si>
    <t>Se observo que kits antiderrames esta un lugar poco visible y sin rotulación. Reporto Ronald Chojolan</t>
  </si>
  <si>
    <t>Silla en mal estado le falta una pata y puede provocar caídas en l4. Reporto Elvis Días</t>
  </si>
  <si>
    <t>Elvis Días</t>
  </si>
  <si>
    <t>se tiene fuga de agua en aire acondicionado de almacén de repuestos, el agua se está filtrando sobre los tomacorrientes. Reporto Juan Chó</t>
  </si>
  <si>
    <t>Vidrio quebrado, bodega 2. Reporto Kelly Calderón</t>
  </si>
  <si>
    <t>anaquel de insumos de químicos y lubricación abierto sin candado en l4, se corrige. Reporto Haydée Martínez</t>
  </si>
  <si>
    <t>Puerta de almacén de repuestos no cierra correctamente la base está dañada y caída. Reporto Juan Chó</t>
  </si>
  <si>
    <t>Escalera sin restricción en el acceso a medidores de Calderas. Reporto Pablo Donis</t>
  </si>
  <si>
    <t>Escalera sin restricción, atras del taller de mantenimiento. Reporto Jimmy Velásquez</t>
  </si>
  <si>
    <t>Tubería en mal estado con rebalse de agua, se riega hacia el paso peatonal y el pasamanos y provoca piso mojado en rampa. Reporto Maria Obregón</t>
  </si>
  <si>
    <t>Gotera sobre transporte y paso peatonal de L3. Reporto Maria Obregón</t>
  </si>
  <si>
    <t>Candado abierto en panel electrico desempacadora, se cierra. Reporto Oscar Ramírez</t>
  </si>
  <si>
    <t>Tuberia sin su debida limitación sobre pasl peatonal de linea 4. Reporto Obdulio Cap</t>
  </si>
  <si>
    <t>tarima fuera lugar a un costado de sopladora en l4, se corrigió. Reporto Haydée Martínez</t>
  </si>
  <si>
    <t>Acumulacion de vidrio en bodega 2. Reporto Carlos Poz</t>
  </si>
  <si>
    <t>Tarima quebrada en bodega de azúcar en materia prima. Reporto Ana Sánchez</t>
  </si>
  <si>
    <t>Ana Sánchez</t>
  </si>
  <si>
    <t>Tarima de pt sobre el paso peatonal de bodega 8. Reporto Luis Pérez</t>
  </si>
  <si>
    <t>Acumulacion de condensado en bodega 3. Reporto Carlos Poz</t>
  </si>
  <si>
    <t>Falta señalización a varios kits de Planta, hallazgo derivado de inspecciones mensuales. Reporta Daniel Pineda</t>
  </si>
  <si>
    <t>Escalera sin restricción en L5. Reporto Antony Ramos</t>
  </si>
  <si>
    <t>fuga de aceite en motoreductor de elevador de tapa en l3, sobre camina miento.Reporto Haydée Martínez</t>
  </si>
  <si>
    <t>Rombos de Msds y hoja técnica no coinciden en quimico Acido Sulfurico de materia prima, colocar msds correcta. Reporto Wilber López</t>
  </si>
  <si>
    <t>Falta de mantenimiento a hornillas de mesa caliente en cafetería. Reporto Josué Vásquez</t>
  </si>
  <si>
    <t xml:space="preserve"> válvula de cilindro dañada (solicitar cambio de cilindro o reparación de válvula). Reporto Josué Vásquez
</t>
  </si>
  <si>
    <t xml:space="preserve">Josué Vásquez
</t>
  </si>
  <si>
    <t>Piso mojado frente a chiler linea 4, se corrigio. Reporto Obdulio Cap</t>
  </si>
  <si>
    <t>Válvula de paso de gas en mal estado de mesa caliente de cafetería. Reporto Josué Vásquez</t>
  </si>
  <si>
    <t>Uniones de manguera de GLP para mesa caliente puede provocar fuga, se recomienda una solo manguera directa y evitar uniones. Reporto Josué Vásquez</t>
  </si>
  <si>
    <t>Estallo la manguera de presión en el área de desairado la manguera de presión, la presión alta ocasiono un desorden en el laboratorio al igual un ruido fuerte (molesto al oído) por la fuga. Reporta domingo Yac</t>
  </si>
  <si>
    <t>domingo Yac</t>
  </si>
  <si>
    <t>Candado abierto en pale eléctrica paletizadora, se cierra. Reporto Roger Rivas</t>
  </si>
  <si>
    <t>Candado de tablero eléctrico abierto en tratagua se deja cerrado. Reporto Edson López</t>
  </si>
  <si>
    <t>Puerta de ingreso a tratamiento de agua, Sin restricción. reporto Rodrigo Galindo</t>
  </si>
  <si>
    <t>Riesgo eléctrico por fuga de agua. Reporto Rodrigo Galindo</t>
  </si>
  <si>
    <t>Tabla con clavos expuestos en bodega 2. Reporto Astrid Macario</t>
  </si>
  <si>
    <t>Kit antiderrame en nuevo cuarto eléctrico, el recipiente está totalmente vacío y con olor a diesel, rellenar con los insumos. Reporto Yessi guarcas</t>
  </si>
  <si>
    <t>Yessi guarcas</t>
  </si>
  <si>
    <t>Panel eléctrico sin candado de restricción, no se observa a nadie trabajando en el punto. Antigua sala de jarabes. Reporto Yessi Guarcas</t>
  </si>
  <si>
    <t>Candado abierto a mezanine L4, se corrige. Reporto Amílcar Ralda</t>
  </si>
  <si>
    <t>Exceso de acumulación de agua, Se limpia y delimita para evitar caídas. Reporto Rodrigo Galindo</t>
  </si>
  <si>
    <t>Se encuentran cables con cinta debajo de panel eléctrico pero existe acumulación de agua en esta parte en sala antigua de jarabes. Reporto Yessi Guarcas</t>
  </si>
  <si>
    <t>Se procede a cerrar candado en panel eléctrico de sala antigua de jarabes. Reporto Yessi Guarcas</t>
  </si>
  <si>
    <t>Tableros con candados abiertos en tratagua, verificar que está sucediendo. Reporto Edson López</t>
  </si>
  <si>
    <t xml:space="preserve"> panel eléctrico sin restricción, El candado está cerrado, pero no está dentro de la aldaba, Sala antigua de jarabes. Reporto Yessi Guarcas</t>
  </si>
  <si>
    <t>Colocar candado maestro y aldaba. Reporto Edson López</t>
  </si>
  <si>
    <t>En bodega de PT No,4. Reporto Astrid Macario</t>
  </si>
  <si>
    <t>Derrame de agua caliente afuera de calderas de equipos aux, evaluar porque no hay flote para detener esta fuga. Reporto Rodrigo Galindo</t>
  </si>
  <si>
    <t>Riesgo de caida en cuarto de bombas de tratagua. Reporto Edson López</t>
  </si>
  <si>
    <t>Fuga de en juntas en el área de ósmosis cae sobre tablero eléctrico, debajo cuentan con un nylon para proteger el tablero. Reporto Rodrigo Galindo</t>
  </si>
  <si>
    <t>Escaleras a cuarto de bombas con agua y barandales sin stiker de usar pasamanos en tratagua. Reporto Rodrigo Galindo</t>
  </si>
  <si>
    <t>Paso peatonal ya no está bien marcado en Bodega 9. Reporto Astrid Macario</t>
  </si>
  <si>
    <t>Piso mojado en área de compresores de amoniaco, se corrige. Reporto Rolando Gómez</t>
  </si>
  <si>
    <t>Fuga de líquidos en laboratorio de paquetecnia de l3. Reporto Josué Vásquez</t>
  </si>
  <si>
    <t>Tonel fuera de dique, se debe considerar la ayuda mecánica como un elevador de toneles para que el personal los coloque dentro del dique en sala de jarabes. Reporto Yessi Guarcas</t>
  </si>
  <si>
    <t>Hay que poner protección baterías generador 1. Reporto Edson López</t>
  </si>
  <si>
    <t>Acceso hacia mezanninni Linea 4 sin restricción. Reporto Andrea Gonzalez</t>
  </si>
  <si>
    <t>Escalera sin restricción y sin estar siendo utilizada. Reporto Andrea Gonzalez</t>
  </si>
  <si>
    <t>Tarimas con aditivos obstaculizando acceso a extintor. Reporto  Jason Calderon</t>
  </si>
  <si>
    <t>Jumbo mal estibado con riesgo a caer.Reporta jason calderon</t>
  </si>
  <si>
    <t>jason calderon</t>
  </si>
  <si>
    <t>Extensión eléctrica directamente sobre el piso en contacto con agua puede causar corto circuito o descarga eléctrica. Reporto William Galindo</t>
  </si>
  <si>
    <t>Gotera cae sobre la cabina qué están fabricando en L2. Reporto Gustavo Hernández</t>
  </si>
  <si>
    <t>Caída de agua de bodega de reciclaje genera esta condición de motos y suelo mojado. Reporto William Galindo</t>
  </si>
  <si>
    <t>Riesgo de caída de tarimas en bodega de reparación de tarimas. Reporto William Galindo</t>
  </si>
  <si>
    <t>Condición insegura en silla de paletizador de linea 3 dañada. Reporto Roger Rivas</t>
  </si>
  <si>
    <t>Tablero eléctrico con candado abierto ETEI, se corrige. Reporto Josué Lepe</t>
  </si>
  <si>
    <t>se tiene carreta abandonada en tanques de soda de línea 1, se corrige. Reporto Gilmar Mazariegos</t>
  </si>
  <si>
    <t>Sala de llenado Gotera cae en paso peatonal hacia llenadora L1. Reporto Haydée Martínez</t>
  </si>
  <si>
    <t>Escaleras sin restricción, se corrige de inmediato. Reporto Obdulio Cap</t>
  </si>
  <si>
    <t>Envase obstaculizando paso peatonal pit de cargas, se corrige de inmediato. Reporto Carlos Poz</t>
  </si>
  <si>
    <t>Buena tarde, se evidencia una fuga de agua en un tanque de la ETEI, se corrige. Reporto Maria Obregón</t>
  </si>
  <si>
    <t>Tarima de PT con riesgo de caer, bodega 1. Reporto Kelly Calderón</t>
  </si>
  <si>
    <t>Tarima obstaculizando paso peatonal entre lavado linea 1 y cooler linea 2, se corrige. Reporto Edson López</t>
  </si>
  <si>
    <t>Extintor de montacargas No 29 descargado. Reporto Antony Ramos</t>
  </si>
  <si>
    <t>Tarima mal ubicada en paso peatonal bodega8, se corrige. Reporto Bladimir López</t>
  </si>
  <si>
    <t>Sección de canal a punto de caer en paso peatonal en a la par de sala de descanso. Reporto Fredy Fuentes</t>
  </si>
  <si>
    <t>Silla en mal estado en sala de espera, se pueden caer. Reporto Antony Ramos</t>
  </si>
  <si>
    <t>Acumulación de agua frente a chiler de linea 4 por drenaje tapado, destapar drenaje. Reporto Obdulio Cap</t>
  </si>
  <si>
    <t>Tarimas mal hubicadas atrás de osmosis, obstruyen la salida. Reporto Carlos Coc</t>
  </si>
  <si>
    <t>Corregir chapa de ingreso a sala de jarabes, impide que se active la restricción de acceso. Reporto Byron Roldan</t>
  </si>
  <si>
    <t>Tubo fuera de lugar y sin delimitación en sala de llenado linea 4. Reporto Obdulio Cap</t>
  </si>
  <si>
    <t>Candado abierto panel trat agua, se corrige. Reporto Vinicio Mendoza</t>
  </si>
  <si>
    <t>Herramienta fuera de lugar, propenso a caer trat agua. Reporto Vinicio Mendoza</t>
  </si>
  <si>
    <t>Descartar silla de mantto en mal estado. Reporto Karla Hintz</t>
  </si>
  <si>
    <t>Obstrucción de drenaje pluvial en ETEI provoca inundación en caminamiento. Reporto Jessica Loarca</t>
  </si>
  <si>
    <t>Extensión mal colocada línea 5, sobre trasnpsortes. Reporto Wilber López</t>
  </si>
  <si>
    <t>Camion de lodos sin topes, se corrige de inmediato. Reporto Jessica Loarca</t>
  </si>
  <si>
    <t>Falta traje de protección para derrames en bodega de químicos. Reporto William Galindo</t>
  </si>
  <si>
    <t>Identificar piso con desnivel ya que provoca tropiezo en l5. Reporto Wilber López</t>
  </si>
  <si>
    <t>Bomba de L5 con goteo de agua de enfriamientoy sucia, mantiene el piso mojado. Reporto Byron López</t>
  </si>
  <si>
    <t>Byron López</t>
  </si>
  <si>
    <t>Panel eléctrico sin candado del área de carbonatador sala de llenadora l1. Reporto Haydée Martínez</t>
  </si>
  <si>
    <t>Orden y limpieza en SDJ nueva. Reporto Carlos Quan</t>
  </si>
  <si>
    <t>Portón de acceso a ETI Se salió de su base se puede caer, se corrige de inmediato. Reporto Carlos Coc</t>
  </si>
  <si>
    <t>Paneles sin ninguna restricción en nuevo cuarto eléctrico de equipos auxiliares. Reporto Yessi Guarcas</t>
  </si>
  <si>
    <t>Condición insegura bandeja propensa a caer en evaporador de CO2   Servicios Auxiliares. Reporto Elvis Días</t>
  </si>
  <si>
    <t>Tarima mal ubicada en parque interno, se corrige. Reporto Edson López</t>
  </si>
  <si>
    <t>Caja eléctrica sin tornillos, exposicion a cables, Nuevo cuarto eléctrico. Reporto Yessi Guarcas</t>
  </si>
  <si>
    <t>Corredor inclinado propenso a caer en aleron de cargas, se corrige bajando las tarimas. Reporto Bladimir López</t>
  </si>
  <si>
    <t>Destapador de cámara de bebidas sin mango. Reporto Maria Obregón</t>
  </si>
  <si>
    <t>Tarima dañada con azúcar en mp. Reporto Luis Pérez</t>
  </si>
  <si>
    <t xml:space="preserve"> envase apunto de caer en Bodega 8, se corrige de inmediato. Reporto Bladimir López</t>
  </si>
  <si>
    <t>Tarimas plásticas de azúcar mal estibadas Propensa a caer, se corrige. Reporto Jaime Chex</t>
  </si>
  <si>
    <t>Termosoluciones L4, personal se disponía a soldar a la par de las cajas de preforma, se da la indicación de realizar esta actividad a un costado de L5 libre de material inflamable, evidenciar nueva área para soldar. Reporto Yessi Guarcas</t>
  </si>
  <si>
    <t>Tarima mal posicionada en paso peatonal del cd, se corrige. Reporto Bladimir López</t>
  </si>
  <si>
    <t>Se cerrará candado en panel eléctrico sala de llenado 2. Reporto Gustavo Hernández</t>
  </si>
  <si>
    <t>Vibrador con base de botella colocada ya que indican los compañeros que sobrecalienta y al momento que quieren destrabar botellas en transportes sufren leves quemaduras en l2. Reporto Oscar Ramírez</t>
  </si>
  <si>
    <t>Tapadera de drenaje levantada puede ocasionar tropiezo en l1, se corrige. Reporto Oscar Ramírez</t>
  </si>
  <si>
    <t>Piso mojado y sobre paso en sala de llenado línea 4, se corrige. Reporto Obdulio Cap</t>
  </si>
  <si>
    <t>Cielo falso con riesgo de caida oficina de mantenimiento. Reporto Edson López</t>
  </si>
  <si>
    <t>Paso peatonal mojado en CD, puede provocar caídas, se corrige. Reporto Vinicio Mendoza</t>
  </si>
  <si>
    <t>1. Informar a seguridad física sobre el procedimiento ante una emergencia, para no permitir el ingreso y salida de vehículos y personal a planta. Reporto Karla Hintz</t>
  </si>
  <si>
    <t>2. Deficiencia en sistema de alarma, no se cuenta con alarma en laboratorio de microbiología y fisicoquímicos. Reporto Karla Hintz</t>
  </si>
  <si>
    <t>2. Deficiencia en sistema de alarma, Instalación de alarma de emergencia en L5. Reporto Karla Hintz</t>
  </si>
  <si>
    <t>2. Deficiencia en sistema de alarma,no se cuenta con alarma en Materia Prima. Reporto Karla Hintz</t>
  </si>
  <si>
    <t>2. Deficiencia en sistema de alarma, al accionar alarma en simulacro no funciono en l2. Reporto Karla Hintz</t>
  </si>
  <si>
    <t>2. Deficiencia en sistema de alarma,no se cuenta con alarma en galera 2 de equipos auxiliares. Reporto Karla Hintz</t>
  </si>
  <si>
    <t>3. Agregar al grupo de gente y gestión al número de monitores SSO para estar enterados de lo que se reporta en alguna emergencia. Reporto Karla Hintz</t>
  </si>
  <si>
    <t>2. Deficiencia en sistema de alarma, no se cuenta con alarma en sala de jarabes nueva. Reporto Karla Hintz</t>
  </si>
  <si>
    <t>5. Falta de conocimiento del personal para actuar en primeros auxilios en simulacro. Reporto Karla Hintz</t>
  </si>
  <si>
    <t>4. Reforzar con brigadistas el plan para respuesta ante emergencia, capacitación externa para búsqueda y rescate. Reporto Karla Hintz</t>
  </si>
  <si>
    <t>2. Deficiencia en sistema de alarma, equipo de alarma instalado pero no esta energizado al accionar en simulacro no sono. Reporto Karla Hintz</t>
  </si>
  <si>
    <t>reforzar las inducciones para que sepan cómo actuar los practicantes al momento de una emergencia. Reporto Karla Hintz</t>
  </si>
  <si>
    <t>6. Asignar a practicantes tarjetas de acceso, tomarlo en cuenta en su matriz para que los practicantes tengan acceso a áreas definidas en simulacro no podían evacuar porque algunas puertas piden llave de acceso. Reporto Karla Hintz</t>
  </si>
  <si>
    <t>7. Comunicación deficiente con brigada por falta de radios. Reporto Karla Hintz</t>
  </si>
  <si>
    <t>Candado abierto panel bombas ósmosis, se corrige. Reporto Oscar Ramos</t>
  </si>
  <si>
    <t>Tarimas en lugar inadecuado frente a l3. Reporto Roger Rivas</t>
  </si>
  <si>
    <t>Caja eléctrica con tapadera mal colocada en parqueo interno. Reporto Rodrigo Galindo</t>
  </si>
  <si>
    <t>Agua derramado en piso, paso peatonal línea 3, se corrige. Reporto Roger Rivas</t>
  </si>
  <si>
    <t xml:space="preserve"> agua esposas en en paso peatonal, frente a sopladora en l4. Reporto Haydée Martínez</t>
  </si>
  <si>
    <t>equipo de mantto nos apoyan con retirar este cilindro ya que nos genera una condición insegura para el abasto de nuestros Montacargas. Reporto Luis Pérez</t>
  </si>
  <si>
    <t>candado abierto acceso hacia cabina paneles eléctricos, se verifica y no hay ninguno trabajando en el área en l1. Reporto Haydée Martínez</t>
  </si>
  <si>
    <t>Acumulacion de condensado en bodega 2, se corrige. Reporto Bladimir López</t>
  </si>
  <si>
    <t>Tapadera y guarda de motor mal colocadas en motor de transporte entrada de lavadora de botellas linea 2. Reporto Oscar Ramírez</t>
  </si>
  <si>
    <t>Condición insegura en el parqueo nuevo, rama a punto de quebrar. Reporto Daniel Pineda</t>
  </si>
  <si>
    <t>Soldadura quebrada en varios puntos de union de malla en la parte superior de lavadora de cajillas linea 1. Reporto Oscar Ramírez</t>
  </si>
  <si>
    <t>Se cerrará candado panel eléctrico mixer sala de llenado 3.Reporto Gustavo Hernández</t>
  </si>
  <si>
    <t>Tarima con envase vacío sin pita a punto de caer. Área de bulevar. Reporto Kelly Calderón</t>
  </si>
  <si>
    <t>Paso de cebra en ingreso a bodega 1 en mal estado. Reporto Luis Pérez</t>
  </si>
  <si>
    <t>Tapa de cisterna sin el candado asegurado. Reporto Hellen Consuelo</t>
  </si>
  <si>
    <t>Piso mojado en Línea 5 sin el rotulo de precaución, se procede a colocar el Rotulo correspondiente. Reporto Hellen Consuelo</t>
  </si>
  <si>
    <t>Tarima quebrada obsevada en Linea 4. Reporto Hellen Consuelo</t>
  </si>
  <si>
    <t>Escalera sin cinta antideslizante. Reporto Hellen Consuelo</t>
  </si>
  <si>
    <t>Botellas sobre mueble dentro de oficinas de sala de coordinadores sin dispositivo de seguridad, están sueltas. Reporto Maria Obregón</t>
  </si>
  <si>
    <t>Se reporta silla en laboratorio de fisicoquímicos con una de las ruedas dañadas. Reporto Hellen Estrada</t>
  </si>
  <si>
    <t>Se cerrará candado puerta hacia mezanine L3. Reporto Gustavo Hernández</t>
  </si>
  <si>
    <t>Tubos obstaculizando la salida de tarimas de mp, se corrigio. Reporto Miguel Godinez</t>
  </si>
  <si>
    <t>Buenos días, tarimas en riesgo de caída en bodega 2, se corrigió. Reporto Bladimir López</t>
  </si>
  <si>
    <t>Tarima de pads con pestaña de cartón obstaculizando paso peatonal. Reporto Miguel Godinez</t>
  </si>
  <si>
    <t>Candado panel eléctrico abierto lavadora de botellas en l2. Reporto Andrea Gonzalez</t>
  </si>
  <si>
    <t>Agua empozada en Piso Detrás de Mixer L4. Reporto Alfonso Guatzin</t>
  </si>
  <si>
    <t>Condición insegura fuera de los equipos auxiliares tubería y cilindro de gas sin delimitación. Reporto Roy Loarca</t>
  </si>
  <si>
    <t>Buenos días, tarimas en riesgo de caída en bodega 2. Reporto Bladimir López</t>
  </si>
  <si>
    <t>Fuga en tubería de soda caustica de salida tq sobre lavadora L2. Reporto Haydée Martínez</t>
  </si>
  <si>
    <t>Kit transroscado intentamos abrirlo y no se pudo en almacén de repuestos intentamos con Mario abrirlo pero no se pudo. Reporto Josué Vásquez</t>
  </si>
  <si>
    <t xml:space="preserve"> escalera fuera de lugar y sin restricción a un costado de lavadora de botellas en l1 escalera tiene etiqueta de almacén de repuestos. Reporto Haydée Martínez</t>
  </si>
  <si>
    <t>Escalera Sin restricción L4, se corrige. Reporto Alfonso Guatzin</t>
  </si>
  <si>
    <t>Cable en suelo sin señalización Sala antigua de jarabes antigua. Reporto Roger Rivas</t>
  </si>
  <si>
    <t>Ducha de emergencia obstruida, establecer el lugar para el banco de metal en Sala nueva de jarabes. Reporto Yessi Guarcas</t>
  </si>
  <si>
    <t>Alguien podría caerse aquí por el espacio que existe en SDJ antigua. Reporto Roger Rivas</t>
  </si>
  <si>
    <t>¡¡¡Escalera en mal estado!!! Se podría caer el personal que lo utiliza a diario, se corrige de inmediato. Reporto Roger Rivas</t>
  </si>
  <si>
    <t>Tarima mal apilada en Mp. Reporto Astrid Macario</t>
  </si>
  <si>
    <t>Falta extintor en taller de mantenimiento. Reporto William Galindo</t>
  </si>
  <si>
    <t>Se encuentra escalera desanclada, detrás del área de coolet de línea 5, recostada sobre tuberías, cerca del paso peatonal. Reporta: Nelson Godinez</t>
  </si>
  <si>
    <t>Se encontró carreta con contenedor de químico en paso peatonal de línea 4 hacia línea 5, obstruyendo el paso peatonal que conecta entre ambas líneas, provocando así una posible caída de algún peatón. Reporta: Nelson Godinez</t>
  </si>
  <si>
    <t>Escalera fuera de Lugar L4 y sin restricción. Reporto Alfonso Guatzin</t>
  </si>
  <si>
    <t>Buenos dias, acumulacion de condensado en bodega 2. Reporto Bladimir López</t>
  </si>
  <si>
    <t>Piso con derrame de jarabe en sala nueva de jarabes IBC, se corrige. Reporto Oscar Ramos</t>
  </si>
  <si>
    <t>Se encuentra una escalera en el área de tratamiento de agua sin candado, se corrige. Reporto Oscar Ramos</t>
  </si>
  <si>
    <t>Arnés 10108772 de jarabes, con bordes deshilachados, desgaste anormal en argollas y hebillas, se requiere descarte, hallazgo derivado de inspección junio. Reporta Antony Ramos</t>
  </si>
  <si>
    <t>arnés 937289 de bodega de reciclaje con tejidos cristalizados, argollas con exceso corrosión, requiere descarte, hallazgo derivado de inspección de junio. Reporta Antony Ramos</t>
  </si>
  <si>
    <t>arnés 10072479 con desgaste en argollas, corrosión, y el tejido se encuentra cristalizado por pintura, necesita descartarse, hallazgo derivado de inspección. Reporta Antony Ramos</t>
  </si>
  <si>
    <t>se reporta arnes 1058022214 por falta de limpieza para mantener las óptimas condiciones del equipo, hallazgo derivado de inspección mensual. Reporta Antony Ramos</t>
  </si>
  <si>
    <t>falta de limpieza del arnes de SSO 1055685339227, se requiere eliminar polvo para mantener equipo en óptimas condiciones, hallazgo derivado de inspeccion. Reporta Antony Ramos</t>
  </si>
  <si>
    <t>Guarda quebrado de motor que realiza extracción de lodos, solo le dieron vuelta a la guarda realizar el cambio. Reporto Yessi Guarcas</t>
  </si>
  <si>
    <t>Fuerte fuga de agua cae en techo intermedio entre cables eléctricos de cámaras y oficinas de almacén de repuestos. Reporto Rolando Gómez</t>
  </si>
  <si>
    <t>Ducha de emergencia obstruida con cajilla en área de lavado manual se corrigió en su momento y se abordó al supervisor de soprinsa y se corrige. Reporto Luis Pérez</t>
  </si>
  <si>
    <t>Tarima quebrada en bodega 3, se tiene que corregir. Reporto Ana Sánchez</t>
  </si>
  <si>
    <t>Caja de drenaje sin tapadera debajo de transporte extrator de etiqueta linea 2. Reporto Oscar Ramírez</t>
  </si>
  <si>
    <t>Está fallando la lámpara fuera de equipos auxiliares frente a generadora. Reporto Josué Vásquez</t>
  </si>
  <si>
    <t xml:space="preserve"> no tiene drenaje y a la hora de sacar muestras de soda salpica en los zapatos y en el pantalón y alta temperatura. Reporto Oscar Ramírez</t>
  </si>
  <si>
    <t>Jumbo inclinado propenso a caer, se corrige de inmeidato. Reporto Jaime Chex</t>
  </si>
  <si>
    <t>Camilla en L1 se encuentra sucia, se necesita limpieza, hallazgo derivado de inspección mensual. Reporta Daniel Pineda</t>
  </si>
  <si>
    <t>Camilla en L3 se encuentra sucia, se necesita limpieza, hallazgo derivado de inspección mensual. Reporta Daniel Pineda</t>
  </si>
  <si>
    <t>oxígeno del EPRAC L3 se encuentra bajo, llegando al 10%, se realizó prueba con agua y jabón para verificar si existía fuga pero no se observó, requiere llenado. Reporta Antony Ramos</t>
  </si>
  <si>
    <t>le falta cuerda a la escalera extensible de ETA, hallazgo derivado de inspección mensual. Reporta Abraham Quiej</t>
  </si>
  <si>
    <t>le falta cuerda a la escalera extensible de Equipos Auxiliares, hallazgo derivado de inspección mensual. Reporta Abraham Quiej</t>
  </si>
  <si>
    <t>botiquines del taller de mantto y de MP se encuentran dañados, hallazgo derivado de inspección mensual. Reporta Abraham Quiej</t>
  </si>
  <si>
    <t>En ingreso a L3 no hay canales para retención de lluvia, se moja el pasillo y las personas entran con los pies mojados al cuarto de lavado de L3, provocando lodo y piso mojado. Reporto Maria Obregón</t>
  </si>
  <si>
    <t>Material de empaque fuera de su posición, no se cumple estándar de 5s. Se procede a ordenar de inmediato. Luis Cabrera</t>
  </si>
  <si>
    <t>Paso peatonal mojado por gotera de techo, se procede a señalizar. Luis Cabrera</t>
  </si>
  <si>
    <t>Tarimas fuera de su lugar, sobre ruta de monta cargas. Se reubican. Luis Cabrera</t>
  </si>
  <si>
    <t>Utensilios de limpieza en lugar inapropiado durante producción. Puede provocar un incidente y piso mojado en el área de llenadora.
Reporta: Leidy Camey</t>
  </si>
  <si>
    <t>Cables expuestos en sala de jarabes hacia bunker de azúcar. Reporto Oscar Ramos</t>
  </si>
  <si>
    <t>Piso mojado paso peatonal hacia calero. Reporto Oscar Ramos</t>
  </si>
  <si>
    <t>Toldos de Cadinsa dañados por la lluvia y viento. Reporto Pablo Donis</t>
  </si>
  <si>
    <t>proyectos</t>
  </si>
  <si>
    <t>Por parqueo de motos, sin cubrir, agua en la caja y sin señalización, tratar de dejar el codo viendo hacia abajo. Reporto Carlos Quan</t>
  </si>
  <si>
    <t>Desorden y acumalación de residuos de personal iisa en equipos auxiliares, se corrige. Reporto Selvin Pérez</t>
  </si>
  <si>
    <t>Personal de IISA trabajando en l5 con soldadura sin su delimitación, se corrige. Reporto Selvin Pérez</t>
  </si>
  <si>
    <t>infymsa en l5 tenian escalera de acceso al mesanine sin asegurar, se corrigio. Reporto Selvin Pérez</t>
  </si>
  <si>
    <t>Andamio sin restricción en nave ósmosis, no hay nadie y tiene las gradas para acceder, se corrige. Reporto Oscar Ramos</t>
  </si>
  <si>
    <t>Rejilla a distinto nivel sin señalización y tornillos expuestos hilting. Reporto Josué Vásquez</t>
  </si>
  <si>
    <t>Lámpara defectuosa, parpadea constantemente. Reporto Gerson Castañeda</t>
  </si>
  <si>
    <t>Panel Eléctrico abierto Mixer L4, se procede a cerrar. Reporto Alfonso Guatzin</t>
  </si>
  <si>
    <t>Brazo hidráulico dañado, puerta ingreso a oficinas de CD, se puede caer. Reporto Jimmy Velasquez</t>
  </si>
  <si>
    <t>Ampliación de bodega de reciclaje sin repello, se solicitará a NABLA el remozamiento del mismo. Reporto Vinicio Mendoza</t>
  </si>
  <si>
    <t>Pintura de paso peatonal del CD en mal estado. Reporto Karla Hintz</t>
  </si>
  <si>
    <t>Agua emposada Paso peatonal L4, se corrige. Reporto Alfonso Guatzin</t>
  </si>
  <si>
    <t>Condicion, tarima con riesgo de caida, se corrige de inmediato. Reporto Bladimir López</t>
  </si>
  <si>
    <t>Cilindros sin restricción se pueden caer. Reporto Josue Vasquez</t>
  </si>
  <si>
    <t>Escalera sin restricción EN L5. Reporto Astrid Macario</t>
  </si>
  <si>
    <t>Cilindro con válvula dañana urge cambiarla la válvula o descartarlo al parecer era el que estaba en cafetería, encontrado en equipos auxiliares. Reporto Josue Vasquez</t>
  </si>
  <si>
    <t>Control de acceso sin funcionar sala de llenado L3. Reporto Alejandro Martinez</t>
  </si>
  <si>
    <t>Tapa de drenaje abierto en tratagua se corrige. Reporto Jaime Chex</t>
  </si>
  <si>
    <t>Extintor sin base ni rotulación para colocarlo línea 5. Reporto Astrid Macario</t>
  </si>
  <si>
    <t>Control de acceso sin funcionar laboratorio de Paquetecnia. Reporto Alejandro Martinez</t>
  </si>
  <si>
    <t>Completar protección a un costado de lavadora l2. Reporto Karla Hintz</t>
  </si>
  <si>
    <t>Preforma inclinada en mp. Reporto Alejandro Martinez</t>
  </si>
  <si>
    <t>Lámparas de iluminación en L1 no están funcionando correctamente. Reporto Antony Ramos</t>
  </si>
  <si>
    <t xml:space="preserve"> fuga de vapor en válvulas de lavadora L2. Reporto Karla Hintz</t>
  </si>
  <si>
    <t>Tarima con envase vacío inclinada, área de clasificado, se corrige. Reporto Kelly Calderon</t>
  </si>
  <si>
    <t>Condición insegura, falta de instalación de barandilla ni señalización en l5. Reporto Selvin Perez</t>
  </si>
  <si>
    <t>Excedente en el retorno de condensado en el área de calderas, darle fin a este conveniente recurrente en calderas. Reporto Elvis Oliva</t>
  </si>
  <si>
    <t>Fuga de vapor en tanques de saneamiento, explicar que sucedio y cerrar boleta. Reporto Gustavo Hernandez</t>
  </si>
  <si>
    <t>Se reporta que tornillos de caminamiento L3 están flojos, lo que hace que barandal se mueba. Reporto Amilcar Ralda</t>
  </si>
  <si>
    <t>Se cerrará candado panel eléctrico mixer L3.G.H., se cierra. Reporto Gustavo Hernandez</t>
  </si>
  <si>
    <t>Tablero abierto en panel eléctrico sopladora 3, se cierra. Reporto Gustavo Hernandez</t>
  </si>
  <si>
    <t>Reciclaje preformas tirado en paso peatonal cerca de bod 5. REporto Santos Hernandez</t>
  </si>
  <si>
    <t>Tm de madera sobre el paso peatonal de bodega 3 cerca de L3. Reporto Luis Perez</t>
  </si>
  <si>
    <t>Luminaria en baños generales en mal estado. Reporto Gover Sologaistoa</t>
  </si>
  <si>
    <t>Tarima con riegos a caer en bodega 8. reporto Carlos Poz</t>
  </si>
  <si>
    <t>Unidad pegado a rampas sin calzas, favor colocar nombre de piloto y de que empresa es para cerrar acción. Reporto Santos Hernandez</t>
  </si>
  <si>
    <t>Condición insegura en rampa de ETEI, debido a la humedad la rampa se encuentra resbalosa por crecimiento de musgo, es necesario poder colocar cinta antideslizante, por el momento si se cuenta señalizada el área de piso mojado. Reporto Antony Ramos</t>
  </si>
  <si>
    <t>PT con riesgo de caída en bod 1. Reporto Santos Hernandez</t>
  </si>
  <si>
    <t xml:space="preserve"> la luz de obstrucción aérea se ve caída o mal colocada, dicha torre está frente a la torre de enfriado o los tanques de CO2. Reporto Daniel Pineda</t>
  </si>
  <si>
    <t>Agua reposada junto a palet de L3. Reporto Efrain Valux</t>
  </si>
  <si>
    <t>Condición insegura por desprendimiento de lámina en el techo de calderas. reporto Daniel Pineda</t>
  </si>
  <si>
    <t xml:space="preserve"> el espejo convexo en CD se encuentra dañado logrando generar un punto ciego para el montacargas que pueda venir cargado de producto. Reporto Daniel Pineda</t>
  </si>
  <si>
    <t>inmovilizador de cabeza de camilla L1 se dañó, se detecta deficiencia en simulacro. Reporta Daniel Pineda</t>
  </si>
  <si>
    <t>Candado abierto panel de filtro final área ETEI, se cerro. Reporto Josué Lepe</t>
  </si>
  <si>
    <t>Panel  eléctrico abierto tratamiento de agua con candado abierto y mal cerrado, se corrige. Reporto Jaime Chex</t>
  </si>
  <si>
    <t>También en b2 del cd hay producto mal estibado. Reporto Luis Perez</t>
  </si>
  <si>
    <t>Personal estaba realizando trabajo sin delimitar su área de trabajo utilizando escalera en una área de paso hacia salida de línea 2. 
Reporta: Leidy Camey</t>
  </si>
  <si>
    <t>Tarimas mal ubicadas en alrededores. Reporto Carlos Chavez</t>
  </si>
  <si>
    <t>Tm de envase en malas condiciones en b2 en el CD. Reporto Luis Perez</t>
  </si>
  <si>
    <t>Malla de drenaje en mal estado, puede provocar caídas/ cortadura al pasar. Reporto Jorge Ixtacuy</t>
  </si>
  <si>
    <t>Colocar restricción en sub estación eléctrica de planta. Reporto Fredy Fuentes</t>
  </si>
  <si>
    <t>corredor de envase inclinado con riesgo de caer en area de bulevar, se corrige. Reporto Bladimir López</t>
  </si>
  <si>
    <t>Agujeros a nivel de piso podrían ocasionar tropiezo, a un costado de bodega de soda. Reporto Yessi Guarcas</t>
  </si>
  <si>
    <t>Tarima con riesgo de caída en bodega 8. Reporto Abraham Tahual</t>
  </si>
  <si>
    <t>Drenaje destapado falta de señalizacion. Reporto Oscar Ramirez</t>
  </si>
  <si>
    <t>Tarima sobre paso peatonal en bodega 8. Reporto Abraham Tahual</t>
  </si>
  <si>
    <t>Manguera tirada en suelo sin señalización puede provocar caidas. Reporto Roger Rivas</t>
  </si>
  <si>
    <t>Tarima con ventilador dañado ubicado en área de cooler , obstaculiza el paso Se retira tarima para eliminar la condición. Reporto Mario Ramos</t>
  </si>
  <si>
    <t>Tarima quebrada en bodega de azucar, puede caer el jumbo. Reporto Edgar Coti</t>
  </si>
  <si>
    <t>Contención llena recibe gotera de tubería aérea en Ósmosis nueva, al suceder un derrame no va a funcionar el dique. Reporto William Galindo</t>
  </si>
  <si>
    <t>Reparación temporal en trata agua. Reporto William Galindo</t>
  </si>
  <si>
    <t>Delimitar toda el área de almacenamiento frente a la linea 5. Reporto Karla Hintz</t>
  </si>
  <si>
    <t>Atomizador sin rombo E identificación, favor verificar las MSDS. Reporto Miguel Godinez</t>
  </si>
  <si>
    <t>Delimitar área de trabajos en l2. Reporto Karla Hintz</t>
  </si>
  <si>
    <t>Condición insegura de soldadora de línea 1. Reporto Roy Loarca</t>
  </si>
  <si>
    <t>Rejilla levantada  puede provocar tropiezos cerca de secador de botellas L4. Reporto Fredy Fuentes</t>
  </si>
  <si>
    <t>Caja de conexiones en mal estado y sin tapadera, a la par de isla de químico L4. Reporto Fredy Fuentes</t>
  </si>
  <si>
    <t>Panel con la chapa abierta Etiqutadora L4, se corrige. Reporto Fredy Fuentes</t>
  </si>
  <si>
    <t>Poste flojo en ingreso al CD. Reporto Josue Vasquez</t>
  </si>
  <si>
    <t>Agua derramada en área de calderas, se pueden resbalar. Reporto Genesis Santos</t>
  </si>
  <si>
    <t>Escalera mal ubicada y sin restricción. Reporto Genesis Santos</t>
  </si>
  <si>
    <t>Hallazgos de orden y limpieza de matinal en piso. Reporto Selvin Perez</t>
  </si>
  <si>
    <t>Canaleta eléctrica con tapadera caída. Sala de llenado L1. Reporto Yessi Guarcas</t>
  </si>
  <si>
    <t>Instalar puerta abatible en este punto en área de CD. Reporto Jaime Chex</t>
  </si>
  <si>
    <t>Tapadera de lavadora de botellas L1 se encuentra abierta, ya tiene desperfectos al cerrar. Reporto Yessi Guarcas</t>
  </si>
  <si>
    <t>Ducha de emergencía sin agua, ya se reporto que se encontro 2 veces sin agua al parecer existe una valvula o algo que cierran y obstruye el paso de agua de la misma, favor verificar la tuberia sobre el techo y subir evidencia. Reporto Selvin Perez</t>
  </si>
  <si>
    <t>Acumulacion de condensado en bodega 2. Reporto Carlos Poz</t>
  </si>
  <si>
    <t>Tarima quebrada PT con riesgo de caída en bod 1, se corrige. Reporto Isabel Saquila</t>
  </si>
  <si>
    <t>Tarima con riegos a caer en bodega 2. Reporto Abraham Tahual</t>
  </si>
  <si>
    <t>Se cerrará candado en panel mixer 3 sala de llenadoo, se cierra. Reporto Gustavo Hernandez</t>
  </si>
  <si>
    <t>Se cerrará panel eléctrico contiflow sala de llenado L4. Reporto Gustavo Hernandez</t>
  </si>
  <si>
    <t>Manejos obstaculizando paso  en rampa L3. Reporto Efrain Valux</t>
  </si>
  <si>
    <t>Manguera en paso peatonal de llenadora L3. Reporto Efrain Valux</t>
  </si>
  <si>
    <t>Magneto de puerta de ingreso materiales sala de llenado linea  linea 2 con riesgo de caida. Reporto Oscar Ramirez</t>
  </si>
  <si>
    <t>Desprendimiento del limitador de velocidad en el ingreso a planta. Reporto Carlos Chavez</t>
  </si>
  <si>
    <t>Falta rejilla o señalización en cuarto atemperado en MP. Reporto Luis Cabrera</t>
  </si>
  <si>
    <t>Buenas tardes, condición insegura corredor de salutaris 12oz con riego de caer, se corrige. Reporto Bladimir López</t>
  </si>
  <si>
    <t>Lampara parpadeando, en sala antigua de jarabes. Reporto Oscar Ramos</t>
  </si>
  <si>
    <t>Panel mal cerrado en área antigua de azúcar, sala de jarabes. Reporto Oscar Ramos</t>
  </si>
  <si>
    <t>Tarima quebrada en cuarto frío de MP. Reporto Edgar Coti</t>
  </si>
  <si>
    <t>Inyectores de airre en sala de llenado linea 1  sin funcionar. Reporto Oscar Ramirez</t>
  </si>
  <si>
    <t>Escalera sin restricción en línea 5. Reporto Edgar Coti</t>
  </si>
  <si>
    <t>Tarima en paso peatonal, en Línea 5. Reporto Edgar Coti</t>
  </si>
  <si>
    <t>Carrito de carga obstaculiza paso peatonal en línea 5. Reporto Ana Sanchez</t>
  </si>
  <si>
    <t>Se encuentra candado abierto de estantería químicos L4.Reporto Andrea Gonzalez</t>
  </si>
  <si>
    <t>Motor sin Guarda en divisor de paquetes L3. Reporto Roger Rivas</t>
  </si>
  <si>
    <t>Puerta abatible se quebró la soldadura entrada bod 2. Reporto Isabel Saquila</t>
  </si>
  <si>
    <t>Caja de registro agua potable abierta a un costado del parqueo, se corrige. Reporto Carlos Coc</t>
  </si>
  <si>
    <t>tubería conduit sujetada únicamente por un alambre de amarre, el alambre se encuentra oxidado esto en parqueo general. Reporto Daniel Pineda</t>
  </si>
  <si>
    <t>Tarima obstruyendo el paso peatonal  bodega 8. Reporto Abraham Tahual</t>
  </si>
  <si>
    <t>Candado abierto en panel de lavadora de botellas línea 1, se cierra. Reporto Abel Aguilar</t>
  </si>
  <si>
    <t>Falta extintor en ingreso a cuarto eléctrico galera 1. Reporto Elvis Oliva</t>
  </si>
  <si>
    <t>Tomacorriente sin tapadera en escritorio de sala embajadores. Reporto Yessi Guarcas</t>
  </si>
  <si>
    <t>Empacadora sin guardar de seguridad previo al arranque, se comunica al operador y se corrige. Reporto Abel Aguilar</t>
  </si>
  <si>
    <t>se reporta una filtración de agua que afecta a toma corriente en la oficina Gatorade de IT. Reporto Hellen Consuelo</t>
  </si>
  <si>
    <t>Químico usado para limpieza trasegado en cubeta sin colocar la tapadera, sin nadie en el punto. Reporto Oscar Ramos</t>
  </si>
  <si>
    <t>Químicos sin bandeja de contención en sala antigua de jarabes. Reporto Oscar Ramos</t>
  </si>
  <si>
    <t>Cambio de componentes en mal estado por incidente en bombas de tratagua. Reporto Oscar Ramos</t>
  </si>
  <si>
    <t>Cambio del cable TSJ alimentación de equipo de conato de incendio incidente en tratagua. Reporto Oscar Ramos</t>
  </si>
  <si>
    <t>Acondicionamiento correcto de bombas de incidente en tratagua. Reporta Oscar Ramos</t>
  </si>
  <si>
    <t>Señalización con línea blanca para dividir la calle que viene de bodega #2 en dos vías. Reporto Jimmy Velasquez</t>
  </si>
  <si>
    <t>Revisar la funcionalidad del espejo cóncavo que tenemos en el área por incidente en el cd. Reporto Jimmy Velasquez</t>
  </si>
  <si>
    <t>Capacitación Manejo seguro de Montacargas por incidente en el cd. Reporto Jimmy Velasquez</t>
  </si>
  <si>
    <t>Reducir la cantidad de palets que se estiban en el corredor pegado a la calle que viene de bodega #3. Reporto Jimmy Velasquez</t>
  </si>
  <si>
    <t>Reforzar la comunicación con agencias del correcto estibado del envase de incidente en el cd. Reporto Jimmy Velasquez</t>
  </si>
  <si>
    <t>Reforzar la verificación en cada recepción por el incidente en cd. Reporto Jimmy Velasquez</t>
  </si>
  <si>
    <t>Evaluar el diseño de la tarima por incidente de desplome en el cd. Reporto Jimmy Velasquez</t>
  </si>
  <si>
    <t>Cuando se tengan temas por falta de espacio y se tome la decisión de estibar con 8 posiciones en producto de 12 onzas labels, se incrementará la frecuencia de verificación por incidente desplome en el cd. Reporto Jimmy Velasquez</t>
  </si>
  <si>
    <t>Verificar con producción el procedimiento actual para el posicionamiento de las cajillas en el área de entarimado por incidente de desplome en el cd. Reporto Jimmy Velasquez</t>
  </si>
  <si>
    <t>Concientizar a operadores de montacargas sobre el manejo seguro de activos de giro por incidente en el cd. Reporto Jimmy Velasquez</t>
  </si>
  <si>
    <t>Sacar los switches para accionar los extractores de las lavadoras afuera de los gabinetes para cuando se necesiten encender no se tenga que llamar a el eléctrico para abrir los mismos. Reporto Wilber López</t>
  </si>
  <si>
    <t>Colocar procedimiento de descarga de CO2 en carga de pipas. Reporto Luis Perez</t>
  </si>
  <si>
    <t>Limpiar el piso de condensadores evaporativos ya que presenta moho o aceite y es resbalozo, se reporto en matinal. Reporto Fredy Fuentes</t>
  </si>
  <si>
    <t>Buenos dias, tarima de PT inclinada en bodega 2 con riesgo de caer. Reporto Bladimir López</t>
  </si>
  <si>
    <t>PT mal ubicado en bod 9, se corrige de inmediato. Reporto Isabel Saquila</t>
  </si>
  <si>
    <t>Acceso a techos abierto sin permiso de trabajo a la vista, se cierra. Reporto Luis Angel</t>
  </si>
  <si>
    <t>Se cerrará candado panel eléctrico llenadora 3. Reporto Gustavo Hernandez</t>
  </si>
  <si>
    <t>Se cerrará candado panel CIP sala de llenado 3. Reporto Gustavo Hernandez</t>
  </si>
  <si>
    <t>Se cerrará candado panel mixer sala de llenado 3. Reporto Gustavo Hernandez</t>
  </si>
  <si>
    <t>No cuenta con sistema de bloqueo de puertas en L1. Reporto Roger Rivas</t>
  </si>
  <si>
    <t xml:space="preserve"> se encuentra dañado el seccionador del inversor de botellas de l2. Reporto  Edson Bonifacio</t>
  </si>
  <si>
    <t>Rollo fuera de lugar puede caer en palet de l3. Reporto Josue Vasquez</t>
  </si>
  <si>
    <t>No tiene una pin la pata de mesa de lavadora L1. Reporto Roger Rivas</t>
  </si>
  <si>
    <t>Goteo constante de agua en lavadora L1, puede ser tapadera floja provoca piso mojado. Reporto Roger Rivas</t>
  </si>
  <si>
    <t>SNJ piso mojado sobre paso peatona. Reporto Vinicio Mendoza</t>
  </si>
  <si>
    <t>Puerta abatible en ingreso a bodegas nuevas CD se encuentra golpeada. Reporto Yessi Guarcas</t>
  </si>
  <si>
    <t>Rotulos de uso de arnés y guantes Borroso en mal estado en Área ETEI. Reporto Jaime Chex</t>
  </si>
  <si>
    <t>SNJ escalera sin restricción. Reporto Vinicio Mendoza</t>
  </si>
  <si>
    <t>Tarima mal ubicado materia prima, a la par de cuarto frio. Reporto Edson Bonifacio</t>
  </si>
  <si>
    <t>Puerta de acceso cabina L3, se quedó sin energía y quedó bloqueado, validar con Andy que sucedió. Reporto Mario Ramos</t>
  </si>
  <si>
    <t>Lámpara de Lab. De fisicoquímicos parpadea constantemente. Reporto Gerson Castañeda</t>
  </si>
  <si>
    <t>se reporta lampara de laboratorio de fiscoquimicos con falla, esta no esta funcionando adecuadamente. Reporto Hellen consuelo</t>
  </si>
  <si>
    <t>Jumbo inclinado con riesgo de caer en almacen de azúcar de MP,  reporta Jason Calderón</t>
  </si>
  <si>
    <t>Se cerrará puerta 3 sopladora linea 3.Reporto Gustavo Hernandez</t>
  </si>
  <si>
    <t>Envase mal estibado, riesgo de derrumbe, se coordinará la corrección en el cd. Reporto Jimmy Velasquez</t>
  </si>
  <si>
    <t>Cajilla con riesgo de caída en corredor del cd. Reporto Jimmy Velasquez</t>
  </si>
  <si>
    <t>Puerta acceso a sala de jarabe vieja bloqueada con un trapo para que no cierre la puerta.Reporto Gustavo Hernandez</t>
  </si>
  <si>
    <t>Paso peatonal obstruido en bodega 4. Reporto Isabel Saquila</t>
  </si>
  <si>
    <t>Fuerte caída pluvial por canal en mal estado cerca al detector de ingreso y egreso electrónico (personal de mantto ) cerca a oficina de almacén. Reporto Gover Sologaistoa</t>
  </si>
  <si>
    <t>Envase con riesgo de derrumbe en patio CD. Reporto Isabel Saquila</t>
  </si>
  <si>
    <t>Panel solar caído en tratagua le puede caer a alguien encima. Reporto Jorge Ixtacuy</t>
  </si>
  <si>
    <t>Tm de envase con riesgo de caída se corrige a la brevedad  en área de bulevar. Reporto Luis Perez</t>
  </si>
  <si>
    <t>Tapadera de circuito eléctrico de condensador, fuera de lugar, el equipo actualmente está energizado y funcionando, se corrigio por mantto. Reporto Emilio Cux</t>
  </si>
  <si>
    <t>Soporte en mal estado en l1. Reporto Abel Aguilar</t>
  </si>
  <si>
    <t>Candado abierto panel eléctrico bodega de químicos ecolab,se cierra. Reporto Abel Aguilar</t>
  </si>
  <si>
    <t>Tarima fuera de Lugar Mesanini L4, se corrige. Reporto Alfonso Guatzin</t>
  </si>
  <si>
    <t>Productos obstaculizando el paso peatonal entre l3 y l4, se corrige. Reporto Luis Perez</t>
  </si>
  <si>
    <t>Guarda de paletizadora recostado en pared sin delimieacion alguna y sin algo que evite que se resbale en l3. Reporto Roger Rivas</t>
  </si>
  <si>
    <t>Cable en paso peatonal sopladora sin señalizacion en l3. Reporto Roger Rivas</t>
  </si>
  <si>
    <t>La protección de cabales fuera de lugar sin asegurar, también hay un cable que alimenta a una bomba el cual no se sabe si está energizado, se debe verificar y señalizar, se le comunicó a Rodrigo ETI. Reporto Selvin Perez</t>
  </si>
  <si>
    <t>Aires acondicionados de cafetería están sin funcionar por más de un mes peovocan demasiado calor en comedor. Reporto Karla Hintz</t>
  </si>
  <si>
    <t>Lámpara mal cocada con riesgo a caer en el área de lockers de alrededores. Reporto Edgar Coti</t>
  </si>
  <si>
    <t>Brazo hidráulico dañado se puede caer, puerta ingreso a hacia techo de L3. Reporto Abraham Tahual</t>
  </si>
  <si>
    <t>Puerta de salida línea 1 abierta y magneto con riesgo de caída. Reporto Oscar Ramirez</t>
  </si>
  <si>
    <t>Tarimas obstaculizando paso de montacargas, bodega MP. Reporto Jaime Chex</t>
  </si>
  <si>
    <t>Se cerrará panel eléctrico sopladora L3. Reporto Gustavo Hernandez</t>
  </si>
  <si>
    <t>Transporte no está asegurado con riesgo de caída, se asegura. Reporto Abel Aguilar</t>
  </si>
  <si>
    <t>Tarimas y producto en paso de yalero en bodega frente a linea 4, estan fuera del limite. Reporto Roger Rivas</t>
  </si>
  <si>
    <t>Goteo de aire acondicionado provoca piso mojado en sala antigua de jarabes. Reporto Josue Vasquez</t>
  </si>
  <si>
    <t>Escalera sin restricción bodega en bodega de Joel. Reporto Jessica Loarca</t>
  </si>
  <si>
    <t>Tarima en mala posición bodega MP, se corrige. Reporto Jaime Chex</t>
  </si>
  <si>
    <t>Puerta con rotulación dañada a punto de caerse, se corrige de inmediato en el cd. Reporto Carlos Poz</t>
  </si>
  <si>
    <t>Manguera de trasvase de Advantis 330 en línea 3 presenta deformaciones, a punto de romperse. Reporto Jaime Chilel</t>
  </si>
  <si>
    <t>Colocar cinta antideslizante faltante, escalera junto a mixer L3. Reporto Jaime Chilel</t>
  </si>
  <si>
    <t>Retráctil de tanque 13 no tiene que permanecer estirado se le tiene que colocar una pita o calbe inoxidable para regresarlo en sala de jarabes antigua. Reporto Josue Vasquez</t>
  </si>
  <si>
    <t>Bomba de soda y panel sin restricción. Reporto Pablo Donis</t>
  </si>
  <si>
    <t>Desorden en nuevo cuarto electrico de equipos auxiliares. Reporto Yessi Guarcas</t>
  </si>
  <si>
    <t>Cilindro de argón sin asegurar con cadena, no se observa personal trabajando cerca. Cuarto electrico de equipos auxiliares. Reporto Yessi Guarcas</t>
  </si>
  <si>
    <t>Calzas para unidades de rampas cd  en mal estado , se cambian inmediatamente. Reporto Luis Perez</t>
  </si>
  <si>
    <t>Sala nueva de jarabes escalera sin restricción. Reporto Amilcar Ralda</t>
  </si>
  <si>
    <t>Manguera no Señalizada a un costado de Lavadora de L1. Reporto Antony Ramos</t>
  </si>
  <si>
    <t>Tapadera de conexión de sensores le falta tornillo y cerrar correctamente. Reporto Rodrigo Galindo</t>
  </si>
  <si>
    <t>Rejilla de drenaje levantada. Reporto Andrea Gonzalez</t>
  </si>
  <si>
    <t>Paso peatonal obstruido con caja de preforma. Reporto Andrea Gonzalez</t>
  </si>
  <si>
    <t>Colocarle guarda a esta parte expuesta en la divisora de paquetes de de l3. Reporto Karla Hintz</t>
  </si>
  <si>
    <t>Tarima obstruyendo paso peatonal en Bodega 9. Reporto Antony Ramos</t>
  </si>
  <si>
    <t>Revisando con AE-NEXT validamos que no existe un extintor en cuarto electrico de inversores de paneles solares por alguna emergencia, se reporto en matinal. Reporto Jaime Chilel</t>
  </si>
  <si>
    <t>Fuga de agua caliente con soda en lavadora de l1, se corrige. Reporto Karla Hintz</t>
  </si>
  <si>
    <t>Fuga de condensando en tuberia lavadora de botellas linea 2. Reporto Oscar Ramirez</t>
  </si>
  <si>
    <t>Falta una pieza en la rejilla de entarimado de la l1, se corrige. Reporto Karla Hintz</t>
  </si>
  <si>
    <t>Cajilla mal colocada podría caer al momento de retirar tarima, exterior a bodega 8. Reporto Yessi Guarcas</t>
  </si>
  <si>
    <t>Se encuentra el arnés 1055685339227, perteneciente a SSO con falta de limpieza, Hallazgo de inspección mensual. Reporta Antony Ramos</t>
  </si>
  <si>
    <t>Se encuentra tarima para producto terminado obstaculizando el paso peatonal de línea 5, específicamente enfrente de paletizadora. Reporto Nelson Godinez</t>
  </si>
  <si>
    <t>Tarima quebrada en MP. Reporto Edgar Coti</t>
  </si>
  <si>
    <t>Paso peatonal hacia gasolinera obstruido por caja de objetos de equipos auxiliares. Reporto Miguel Yes</t>
  </si>
  <si>
    <t>Se cerrará candado panel auxiliar sala de llenado 2. Reporto Gustavo Hernandez</t>
  </si>
  <si>
    <t>equipos de desecho de L3 frente a rampa de evacuación obstaculizando en taller de mantenimiento. Reporto Elvis Oliva</t>
  </si>
  <si>
    <t>Condensado cae de este AC cerca del equipo de expansión en laboratorio paquetecnia de l3. Reporto Gustavo Hernandez</t>
  </si>
  <si>
    <t>Magneto puerta salida linea 1 a punto de caer. Reporto Gustavo Hernandez</t>
  </si>
  <si>
    <t>Producto terminado y tarimas fuera de lugar, reduce el espacio de circulación de montacargas y afecta la seguridad en el paso peatonal de L3 hacías L4 y L5. Reporto Haydée Martínez</t>
  </si>
  <si>
    <t>Se cerrará candado panel eléctrico sala de llenado 2.Reporto Gustavo Hernandez</t>
  </si>
  <si>
    <t>Se va a cerrar candado panel eléctrico sala de llenado 2. Reporto Gustavo Hernandez</t>
  </si>
  <si>
    <t>Se cierra candado abierto de mezanine en l3. Reporto Gustavo Hernandez</t>
  </si>
  <si>
    <t>Lámparas de servicios sanitarios de hombres en malas condiciones, estan fallando varias. Reporto William Galindo</t>
  </si>
  <si>
    <t>Muestras de calidad, bloquean el paso peatonal hacia l4 y l5. Reporto Eliú Tello</t>
  </si>
  <si>
    <t>Identificar y rotular donde se encuentran las chumpas para poder ingresar a los cuartos frios de materia prima ya que se han reportado varias veces personal ingresando al cuarto frio sin este equipo. Reporto Josue Vasquez</t>
  </si>
  <si>
    <t>Se reporta lampara de baños generales de mujeres mal colocada. Reporto Hellen Consuelo</t>
  </si>
  <si>
    <t>Tubería desechos que dejaron del pozo parqueo interno. Reporto Carlos Coc</t>
  </si>
  <si>
    <t>Colocarle restricción a las puertas de la sub estación electrica (candado). Reporto Karla Hintz</t>
  </si>
  <si>
    <t>Dejar caminamiento libre en cuarto de contramuestras, se corrige. Reporto Karla Hintz</t>
  </si>
  <si>
    <t xml:space="preserve"> Es necesario un espejo cóncavo para tener mejor visibilidad de los montacargas que van a ingresar al área de entarimado de l2. Reporto Karla Hintz</t>
  </si>
  <si>
    <t>Acceso a extintor obstruido por tarimas en L5. Reporto Josue Vasquez</t>
  </si>
  <si>
    <t>Exceso de Condensado en bodega 3 del cd. Reporto Luis Perez</t>
  </si>
  <si>
    <t>Lampara defectuosa en sala de embajadores. Reporto Carlos Chavez</t>
  </si>
  <si>
    <t>L1 sala de embotellado sucio aceitoso del condensado del ventilador en piso de paso peatonal de llenadora hacia inspector de vacío. Reporto Haydée Martínez</t>
  </si>
  <si>
    <t>Tarimas de producto terminado obstaculizando paso peatonal. Reporto Rebeca Morales</t>
  </si>
  <si>
    <t>Puerta abierta cuarto paneles solares por ae next, se corrige. Reporto Andrea Gonzalez</t>
  </si>
  <si>
    <t>Escalera fuera de posición y sin cadena de restricción. Luis Cabrera</t>
  </si>
  <si>
    <t>Escalera fuera de posición y sin cadena cerca de pasteurizador. Reporto Luis Cabrera</t>
  </si>
  <si>
    <t>Lava ojos sin conexión de agua y deshabilitado. Reporto Luis Cabrera</t>
  </si>
  <si>
    <t>Guarda mal colocada en motor de agua, en cuarto de bombas. Reporto Oscar Ramos</t>
  </si>
  <si>
    <t>Hallazgos en inspección matinal en l2. Reporto Fredy Fuentes</t>
  </si>
  <si>
    <t>Escalera sin restricción en sala de jarabes nueva. Reporto Adrian Santisteban</t>
  </si>
  <si>
    <t>Rejilla le falta cubrir el agujero en la ETEI. Reporto Rodrigo Galindo</t>
  </si>
  <si>
    <t>Lámpara de emergencia en L3 no funciona. Reporto Vinicio Mendoza</t>
  </si>
  <si>
    <t>Actualizar rotulo de riesgo electrico en sala de llanado de l3. Reporto Karla Hintz</t>
  </si>
  <si>
    <t>Revisar conexión electrica de motor en sala antigua de jarabes. Reporto Wilber Lopez</t>
  </si>
  <si>
    <t>Jumbos de azúcar en paso peatonal de la bodega de mp, se corrige de inmediato. Reporto Jaime Chex</t>
  </si>
  <si>
    <t>Falta cinta antideslizante en gradas de l5. Reporto Eliú Tello</t>
  </si>
  <si>
    <t>Extensión sobre paso peatonal sin delimitar ni señalizada, se corrige. Reporto Adrian Santisteban</t>
  </si>
  <si>
    <t>Dispositivo de seguridad del inspector L1 no funciona, una de las puertas se encontraba abierta. Reporto Yessi Guarcas</t>
  </si>
  <si>
    <t>Agua caliente del tanque de enjuague final de lavadora linea 2 rebalsa y salpica en paso de  salida de sala llenado. Reporto Amilcar Ralda</t>
  </si>
  <si>
    <t>Piso con derrame de jarabe en tanques de sala de jarabes nueva. Reporto Adrian Santisteban</t>
  </si>
  <si>
    <t>Renovar las cintas anti-deslizantes en escalera de Sala de llenado L3. Reporto Karla Hintz</t>
  </si>
  <si>
    <t>Falta guarda en final de carrera después de salida de lavadora L1. Reporto Yessi Guarcas</t>
  </si>
  <si>
    <t>Cuál es el eléctrico abierto por exceso de temperatura en sala de llenado. Reporto Eliú Tello</t>
  </si>
  <si>
    <t>Transmisión de motor sin protección en l3. Reporto Karla Hintz</t>
  </si>
  <si>
    <t>Lámpara de emergencia al ingreso de L3 no funciona. Reporto Andrea Gonzalez</t>
  </si>
  <si>
    <t>Arnés Cod. 1191391, con grasa, pertenece a repuestos, requiere limpieza, hallazgo derivado de inspección mensual. Reporta Antony Ramos</t>
  </si>
  <si>
    <t>Camilla 2, perteneciente a línea 2, se encuentra sucia, hallazgo mediante inspección mensual. Reporta Daniel Pineda</t>
  </si>
  <si>
    <t>Puertas de sub estación electrica sujetadas con alambre de amarre pueden caer. Reporto Fredy Fuentes</t>
  </si>
  <si>
    <t xml:space="preserve">Proyectos </t>
  </si>
  <si>
    <t>Cilindro sujetado con pita y área sin orden y limpieza. Reporto Karla Hintz</t>
  </si>
  <si>
    <t>sobre el techo de calderas, cable de tensión se encuentra safado de su punto de anclaje, la caldera ya no cuenta con la estabilidad necesaria. Reporto Daniel Pineda</t>
  </si>
  <si>
    <t>CADINSA ralizando ranuras para acoples no tenian área delimitada para l1, se corige de inmediato. Reporto Selvin Pérez</t>
  </si>
  <si>
    <t>NFYMSA en calderas, se hizo modificación de tubería viene de 6 pulgadas con válvula y para sostener solo tenía el lazo, se podía romper se corrigió con una faja. Reporto Selvin Pérez</t>
  </si>
  <si>
    <t xml:space="preserve"> IIISA trabajos que se realizaban en equipos auxiliares el compañero estaba en altura pero estaba enganchado gancho con gancho, se utilizo bandola para corregir. Reporto Selvin Perez</t>
  </si>
  <si>
    <t>Personal de Iiisa con falta de orden y limpieza se les solicita y corrigen de inmediato en sala de jarabes nueva, se reporta en matinal. Reporto Selvin Perez</t>
  </si>
  <si>
    <t>En EQUIPOS AUXILIARES iiisa tenia botella de acetileno sin asegurar, se le dio cierre y correxión de inmediato. Reporto Selvin Perez</t>
  </si>
  <si>
    <t>El equipo de proyectos retiro la tubería de drenaje pluvial y ahora cae sobre un panel eléctrico el agua, se tiene que corregir. Reporto Pablo Donis</t>
  </si>
  <si>
    <t>Paso peatonal hacia gasolinera bloqueado por laminas retiradas de proyecto en calderas. Reporto Miguel Yes</t>
  </si>
  <si>
    <t xml:space="preserve">Se encuentra el arnés con el Cod. 19610496 perteneciente a Iiisa, Proyectos, se observan oxido, también desgaste y un poco sucio, hallazgo de inspección mensual. Reporta Antony Ramos
</t>
  </si>
  <si>
    <t>Arnes con código 22010304583354, perteneciente a proyectos Iiisa, falta de limpieza, hallazgo de inspección mensual. Reporta Antony Ramos.</t>
  </si>
  <si>
    <t>Sensor de amoniaco L1 se encuentra en mal estado, se revisa en conjunto al proveedor e indica que se filtró el agua, lo que provocó el daño en el equipo. Reporta Yessi Guarcas</t>
  </si>
  <si>
    <t>Sensor de amoniaco del cuarto de compresores no se encuentra completo, le falta un cable para su correcto funcionamiento indica el proveedor que realiza calibraciones. Reporta Yessi Guarcas</t>
  </si>
  <si>
    <t>Tapa frontal del evaporador del aire acondicionado presenta sujeción inadecuada y se encuentra a punto de desprenderse, generando riesgo de caída sobre personas u objetos en la zona. Reporto Antony Ramos</t>
  </si>
  <si>
    <t>Fuga de vapor en flanch cerca de escalera hacia mesanini linea 2. Reporto Oscar Ramos</t>
  </si>
  <si>
    <t>Tarima con riesgo de caer en bodega 2. Reporto Bladimir López</t>
  </si>
  <si>
    <t>Tarimas de materia prima mal estibadas y fuera del límite de altura. Reporto Emanuel Soliz</t>
  </si>
  <si>
    <t>Tubería de vapor línea 3 sin recubrimiento térmico ni rotulación de seguridad de superficie caliente. Reporto Ana Sánchez</t>
  </si>
  <si>
    <t>Candado abierto en panel electrico de lavadora linea 1. Reporto Oscar Ramírez</t>
  </si>
  <si>
    <t>Tapa dañada en peatonal detras de la cafe, se pueden caer y no tiene señalización. Reporto Pablo Donis</t>
  </si>
  <si>
    <t>Escalera fuera de lugar y sin Restricción L4. Reporto Alfonso Guatzin</t>
  </si>
  <si>
    <t>Tenemos goteras dentro del cuarto de llenado de L3 generando acumulación de agua en el piso es demasiado.  Reporto Maria Obregón</t>
  </si>
  <si>
    <t>Investigar con el diseñador de la máquina de Krones el procedimiento correcto del mantenimiento de válvulas. Reporto Mario Ramos</t>
  </si>
  <si>
    <t>Generar el procedimiento para el mantenimiento de las válvulas. Reporto Mario Ramos</t>
  </si>
  <si>
    <t>Definir el área segura para evitar el atrapamiento en el movimiento manual de la máquina. Reporto Mario Ramos</t>
  </si>
  <si>
    <t>Diseñar una barrera física desmontable cercano a la transferencia de botellas en l4. Reporto Mario Ramos</t>
  </si>
  <si>
    <t>Concientización con personal de mantenimiento por accidente en l4. Reporto Mario Ramos</t>
  </si>
  <si>
    <t>Concientización con personal de operadores línea 4. Reporto Mario Ramos</t>
  </si>
  <si>
    <t>Revisar QLP de mantenimiento para evaluar la ocupación técnica. Reporto Mario Ramos</t>
  </si>
  <si>
    <t>Cambio inmediato del equipo para soldar afectados(guantes). Reporto Yessi Guarcas</t>
  </si>
  <si>
    <t>Inspección y limpieza de todo el EPP, asegurando que no tenga recubrimientos no adecuados. Reporto Yessi Guarcas</t>
  </si>
  <si>
    <t>Cambio inmediato del extintor utilizado. Reporto Yessi Guarcas</t>
  </si>
  <si>
    <t>Charla de 5 minutos para concientizar con el equipo de AE-NEXT. Reporto Yessi Guarcas</t>
  </si>
  <si>
    <t>Luminaria en mal estado a un costado de cafetería y frente a gasolinera. Reporto Gover Sologaistoa</t>
  </si>
  <si>
    <t>Manguera obstaculizando plataforma en L3. Reporto Efrain Valux</t>
  </si>
  <si>
    <t>Contenedor de rechazados de botellas con soldadura defectuosa. Reporto Roger Rivas</t>
  </si>
  <si>
    <t>Puerta caída en ingreso a cabina L3. Reporto Yessi Guarcas</t>
  </si>
  <si>
    <t>Tarugos caídos en tubería de descarga de búnker, se puede aflojar y caer. Reporto Gover Sologaistoa</t>
  </si>
  <si>
    <t>Inundación en el parqueo externo, limpiar drenajes. Reporto Pablo Donis</t>
  </si>
  <si>
    <t>Escalera sin restricción sobre el tanque No. 5 de ETEI. Reporto Daniel Pineda</t>
  </si>
  <si>
    <t>Cilindro no se encuentra sujetado en almacén de repuestos. Reporto Oscar Ramírez</t>
  </si>
  <si>
    <t>Baranda desprendida área de cilindros GLP detras de cafeteria. Reporto Carlos Coc</t>
  </si>
  <si>
    <t>Cinta antideslizante en mal estado en rampa que viene de los baños generales hacia oficinas administrativas, hace un momento un compañero iba a sufrir una caida debido a que se resbalo. Reporto Oscar Ramírez</t>
  </si>
  <si>
    <t>Condición insegura: Toma corriente sin anclarse en sala de analistas de SSO. Reporto Bryan Neftaly</t>
  </si>
  <si>
    <t>Antideslizante mal estado rampa a un costado de  pipa co2. Reporto Carlos Coc</t>
  </si>
  <si>
    <t xml:space="preserve"> acumulacion de condensado en bodega 2. Reporto Bladimir López</t>
  </si>
  <si>
    <t>Tm de pt dañada sobre paso peatonal de bodega 8. Reporto Luis Pérez</t>
  </si>
  <si>
    <t>Puerta de ingreso a sala de jarabes antigua no cierra correctamente. Reporto Edgar Coti</t>
  </si>
  <si>
    <t>Escalera de trabajo sín delimitar y en área inapropiada cerca de la puerta de ósmosis. Reporto Leidy Camey</t>
  </si>
  <si>
    <t>Tarima de tapón quebrada almacén MP, se corrige de inmediato. Reporto Jaime Chex</t>
  </si>
  <si>
    <t>Tapadera de seguridad Apunto de caer, en la ETEI. Reporto Rodrigo Galindo</t>
  </si>
  <si>
    <t>Vidrios quebrados en encaminamiento de la ETEI. Reporto Rodrigo Galindo</t>
  </si>
  <si>
    <t>¿Las instrucciones de seguridad, están publicadas junto a la herramienta en el taller de mantenimiento?, (Checklist GOPs). Reporta Yessi Guarcas</t>
  </si>
  <si>
    <t>¿La planta cuenta con un control de personal competente (líder de bloqueo) para realizar LOTO y este es comunicado a personal propio y contratista? (Checklist GOPs). Reporta Yessi Guarcas</t>
  </si>
  <si>
    <t>¿Existe señalización visual para advertir la presencia de haz de luz  y de esta manera evitar  entrar en contacto con las máquinas y paros en el proceso? (Checklist GOPs). Reporta Yessi Guarcas</t>
  </si>
  <si>
    <t>¿Está la brigada de emergencias entrenada en rescate en espacios confinados incluido los medios de comunicación? (Checklist GOPs). Reporta Yessi Guarcas</t>
  </si>
  <si>
    <t>¿Hay un kit de rescate para espacios confinados ( al menos equipo de respiración autónoma, linterna (apta para Ex zonas) y escalera de soga (o similar) disponible? (Checklist GOPs). Reporta Yessi Guarcas</t>
  </si>
  <si>
    <t>¿Está todo el equipo de izaje debidamente etiquetado (identificación individual, carga máxima indicada, fecha de ultima o próxima inspección)? (Checklist GOPs). Reporta Yessi Guarcas</t>
  </si>
  <si>
    <t>¿Hay una clara separación visual entre las partes baja y alta tensión dentro de los armarios eléctricos? (Checklist GOPs). Reporta Yessi Guarcas</t>
  </si>
  <si>
    <t>Tarima mal ubicada en transporte de L3. Reporto Efrain Valux</t>
  </si>
  <si>
    <t>Tarima mal ubicada y con riesgo de caída en L3. Reporto Efrain Valux</t>
  </si>
  <si>
    <t>Luz del Montacargas 24  en mal estado,  Lado derecho ya se paso la información al proveedor para la corrección. Reporto Luis Pérez</t>
  </si>
  <si>
    <t>Bancas con filo, se le cayó la protección que tenían. Reporto Josué Vásquez</t>
  </si>
  <si>
    <t>Silla dañada en sala de espera, le falta tornillos para sujetar la base. Reporto Daniel Pineda</t>
  </si>
  <si>
    <t>Se cerrará candado panel eléctrico sala llenado 2. Reporto Gustavo Hernández</t>
  </si>
  <si>
    <t>Escalera sin restricción área etei. Reporto Josué Lepe</t>
  </si>
  <si>
    <t>Falta de limitación de trabajo en Área  de la etei. Reporto Josué Lepe</t>
  </si>
  <si>
    <t>la madera tiene clavos expuestos y no tenemos delimitada el área, nos apoyan por favor, SE CORRIGE DE INMEDIATO. Reporto Yessi Guarcas</t>
  </si>
  <si>
    <t>Buena tarde, tarimas con riesgo de caer en bodega 2, se corrige de inmediato. Reporto Bladimir López</t>
  </si>
  <si>
    <t>No tiene candado de restricción panel eléctrico de control lavadora de botellas línea 1. Reporto Edson Bonifacio</t>
  </si>
  <si>
    <t>Tarimas de Tapón sobre paso Peatonal Línea 4, se corrige. Reporto Alfonso Guatzin</t>
  </si>
  <si>
    <t>Mochila de aire acondicionado con condensadores expuestos, No se encuentra delimitado el área en el parqueo de motos. Reporto Rodrigo Galindo</t>
  </si>
  <si>
    <t>Puerta sin restricción en sub-estación transformadores, alguien puede acceder. Reporto  Carlos Coc</t>
  </si>
  <si>
    <t>Pasillo obstaculizado con palet, se corrige. Reporto Eliú Tello</t>
  </si>
  <si>
    <t>porta pallet hidráulico obstruye frente acceso a gradas de empacadora L2.Reporto Haydée Martínez</t>
  </si>
  <si>
    <t>L3 agua esposada en acceso a transporte de curva hacia empacadora, puede provocar caidas.Reporto Haydée Martínez</t>
  </si>
  <si>
    <t>Lubricante de transporte sobre el piso de sala de llenado de línea 2,Bandejas no contienen el lubricante. Reporto Edgar Coti</t>
  </si>
  <si>
    <t>Lazo sin delimitar ni función, se corrige. Reporto Adrian Santisteban</t>
  </si>
  <si>
    <t>Masking tape colocada sobre electroimán en ingreso a sala de jarabes nueva, se tiene que quitar. Reporto Jaime Chilel</t>
  </si>
  <si>
    <t>Rotura de empaque hidráulico volteador de vidrio quebrado. Reporto Amilcar Ralda</t>
  </si>
  <si>
    <t>Esmeril no se encuentra bloqueado con hongo de seguridad taller de mantenimiento. Reporto Edson Bonifacio</t>
  </si>
  <si>
    <t>Escalera sin restricción y bloqueando el paso peatonal entre pasillo de estantería esto en el área de almacén de repuestos. Reporto Daniel Pineda</t>
  </si>
  <si>
    <t xml:space="preserve"> acumulacion de condensado en bod 3, es necesario limpiar. Reporto Bladimir López</t>
  </si>
  <si>
    <t>Se encuentran escaleras de plataformas de línea 5 sin antideslizante. Reporto Andrea Gonzalez</t>
  </si>
  <si>
    <t>Acumulación de agua en equipos Auxiliares, compresores nh3. Reporto Fredy Fuentes</t>
  </si>
  <si>
    <t>Tarima mal estibado en bodega 4. Reporto Carlos Quan</t>
  </si>
  <si>
    <t>Quimico sin MSDS en taller mantto. Reporto Fredy Fuentes</t>
  </si>
  <si>
    <t>Delimitar área de manejos en l2. Reporto Edgar Coti</t>
  </si>
  <si>
    <t>Conector de pulidora en malas condiciones, taller de mantenimiento. Reporto Daniel Pineda</t>
  </si>
  <si>
    <t>Corredor de 12 Oz salutaris propenso a caer en bodega 8 se esta corrigiendo como prioridad. Reporto Luis Pérez</t>
  </si>
  <si>
    <t>Panel eléctrico sin señalizacion de riesgo eléctrico, aldaba y candado en nuevo cuarto eléctrico. Reporto Yessi Guarcas</t>
  </si>
  <si>
    <t>Se encuentra estantería en línea 4 con candado abierto. Reporto Andrea Gonzalez</t>
  </si>
  <si>
    <t>Se encuentra abierto candado hacia mezanini linea 4.  Reporto Andrea Gonzalez</t>
  </si>
  <si>
    <t>No se cuenta con lámparas de emergencia en el laboratorio de L4. Reporto Luis Cabrera</t>
  </si>
  <si>
    <t>Hallazgos en matinal en piso jarabes. Reporto Selvin Pérez</t>
  </si>
  <si>
    <t>Candado abierto de panel eléctrico en sala de llenado de línea 2. Reporto Edgar Coti</t>
  </si>
  <si>
    <t>Paneles eléctricos nuevos de L2 no cuentan con candado bloqueo de paneles ni rotulación de peligro electrico. Reporto Amilcar Ralda</t>
  </si>
  <si>
    <t>Extintor bodega de reciclaje última revisión fue en el mes de mayo. Reporto Miguel Godinez</t>
  </si>
  <si>
    <t>Extintor de bodega de reciclaje queda muy pequeño el agarre de sujeción riesgo a caer con el mínimo toque, se deja en el suelo. Reporto Rodrigo Galindo</t>
  </si>
  <si>
    <t>Buenas noches  tarima con riesgo  a caer en bodega 8, se corrige de inmediato. Reporto Carlos Poz</t>
  </si>
  <si>
    <t>Material despachado a L1 obstaculizando peatonal, ingreso a repuestos, reporta Jason Calderón</t>
  </si>
  <si>
    <t>Mangueras y agua reposada en pasos peatonales de línea 3. Reporto Roger Rivas</t>
  </si>
  <si>
    <t>Se cerrará candado escalera sopladora 3. Reporto Gustavo Hernández</t>
  </si>
  <si>
    <t>Caja de producto de vidrio con botellas sobrepuestas.  Reporto Maria Obregón</t>
  </si>
  <si>
    <t>Cartón mal colocado con riesgo de caída sobre paso peatonal.  Reporto Maria Obregón</t>
  </si>
  <si>
    <t>Candado para ingreso a cuarto eléctrico de Línea 1 no está cerrado correctamente. Reporta Antony Ramos</t>
  </si>
  <si>
    <t>Montacarga sin restricción correcta. Reporta Antony Ramos</t>
  </si>
  <si>
    <t>Tarimas apiladas en carril paso de yale, frente a antigua bodega de azúcar. Reporto Gustavo Hernández</t>
  </si>
  <si>
    <t>Caja eléctrica sin seguridad fija, sala de análisis llenadora línea 5. Reporto Gustavo Hernández</t>
  </si>
  <si>
    <t>Candado abierto hacia mezanini Línea 1. Gustavo Hernández</t>
  </si>
  <si>
    <t>Puerta caída salida de Línea 1, bisagra dañada, cerca de etiquetadora. Reporto Haydée Martínez</t>
  </si>
  <si>
    <t>Panel abierto sin trabajos en CIP línea 1. Reporta Fredy Fuentes</t>
  </si>
  <si>
    <t>Restricción de entrada o colocación de candado. Reporta Mario Ramos</t>
  </si>
  <si>
    <t>Andamios armados sin restricción en equipos auxiliares. Reporto Josué Vásquez</t>
  </si>
  <si>
    <t>Cuarto nuevo de compresores y generador sin acceso restringiendo. Reporta Mario Ramos</t>
  </si>
  <si>
    <t>Falta rótulo de extintor en área de compresores af. Reporto Josué Vásquez</t>
  </si>
  <si>
    <t>Tablero eléctrico abierto en la nave de ósmosis. Edson Bonifacio</t>
  </si>
  <si>
    <t>señalización de puntos bajos. Josué Vásquez</t>
  </si>
  <si>
    <t>andado abierto panel eléctrico visor de temperatura lavadora de botella Línea 2. Gustavo Hernández</t>
  </si>
  <si>
    <t>Tapaderas abiertas tanques CIP retorno por falta de respiradero Línea 2. Gustavo Hernández</t>
  </si>
  <si>
    <t>Colocar guarda a este equipo en calderas equipos auxiliares. Reporto Josué Vásquez</t>
  </si>
  <si>
    <t>Cambiar de punto el tablero porque alguien puede estar apuntando y que purgue y también señalizar u delimitar como área de purga con vapor. Reporto Josué Vásquez</t>
  </si>
  <si>
    <t>Bodega con falta de orden y limpieza. Reporto Josué Vásquez</t>
  </si>
  <si>
    <t>Una botella sin carreta y sin asegurar expuesta al sol, los andamios in ninguna protección y expuesto a los cambios del clima. Reporto Selvin Pérez</t>
  </si>
  <si>
    <t>Conexión de ventilador inadecuada, L5. Reporto Eliú Tello</t>
  </si>
  <si>
    <t>Drenaje con Rejillas fuera de lugar en l3, se pueden caer. Reporto Roger Rivas</t>
  </si>
  <si>
    <t>Tarima dañada de pt en alerón del cdc. Se procede a corregir. Reporto Luis Pérez</t>
  </si>
  <si>
    <t>al ingreso a la planta, Espejo cóncavo caído. Reporto Daniel Pineda</t>
  </si>
  <si>
    <t>Puerta corrediza en mal estado en el área de loker de cafetería (Riesgo ⚠ por vidrio). Reporto Bryan Neftaly</t>
  </si>
  <si>
    <t>Tragante pluvial sin Regilla, ya hay acumulación de basura existe riesgo de caida. Reporto Elvis Oliva</t>
  </si>
  <si>
    <t>Tonel de advantis 330 con riesgo de caída y obstruyendo paso. Reporto Andrea Gonzalez</t>
  </si>
  <si>
    <t>Escalera hacia área de empacadora de Línea 1 con cintas antideslizantes desgastadas. Reporto Hellen Consuelo</t>
  </si>
  <si>
    <t>Paso peatonal en Línea 4 obstruido. Reporto Hellen Consuelo</t>
  </si>
  <si>
    <t>Malla desprendida del portón corredizo que va de línea 2 a línea 3. Reporto Hellen Consuelo</t>
  </si>
  <si>
    <t>Concientización sobre "Ritmo de trabajo". Reporto Josué Vásquez</t>
  </si>
  <si>
    <t>Charla " Identificación de peligros y riesgos". Reporto Josué Vásquez</t>
  </si>
  <si>
    <t>Mantener distancia segura para el halado, enrollado y almacenado de carrete de cable. Reporto Josué Vásquez</t>
  </si>
  <si>
    <t>Modificar las bases donde se colocan los carretes de cable y para hacer más anchas. Reporto Josué vásquez</t>
  </si>
  <si>
    <t>No posicionar al personal en los frentes de los carretes de cable. Reporto Josué Vásquez</t>
  </si>
  <si>
    <t>Dejaron envase en el suelo y mal estibado aun costado del refrigeradorEnvase roto dentro de cajilla. Reporto Maria Obregón</t>
  </si>
  <si>
    <t>gotera genera agua esposada frente a transporte salida etiquetadora paso peatonal al operado de l3. Reporto Haydée Martínez</t>
  </si>
  <si>
    <t>Falta de orden y limpieza en Área taller de mantenimiento. Reporto Fredy Fuentes</t>
  </si>
  <si>
    <t xml:space="preserve"> almacen de quimicos sin luces de emergencia en MP. Reporto Amilcar Ralda</t>
  </si>
  <si>
    <t>Lámparas en mal estado en MP solo la mitad enciende. Reporto Josué Vásquez</t>
  </si>
  <si>
    <t>Falta rótulo de extintor en la sala de MP. Reporto Josué Vásquez</t>
  </si>
  <si>
    <t>Caminamiento de cuartos frios sin luces de emergencía. Reporto Amilcar Ralda</t>
  </si>
  <si>
    <t>Candado abierto en etiquetadora L1, se cierra. Reporto Rodrigo Galindo</t>
  </si>
  <si>
    <t>Puerta de cuarto de controles de amoniaco sin restricción. Reporto Rodrigo Galindo</t>
  </si>
  <si>
    <t>Puerta sin limitación a cuarto eléctrico de L1. Reporto Rodrigo Galindo</t>
  </si>
  <si>
    <t>Hallazgos de inspección matinal en piso. Reporto Selvin Pérez</t>
  </si>
  <si>
    <t>Condicion insegura candado abierto ingreso superior L3, se corrige. Reporto Amilcar Ralda</t>
  </si>
  <si>
    <t>Panel eléctrico abierto frente a paletizadora L3, se procede a cerrar.Reporto Haydée Martínez</t>
  </si>
  <si>
    <t>Perno si funcion en pared dentro de almacén de repuestos, puede cortar o golpear a alguien. Reporto Gover Sologaistoa</t>
  </si>
  <si>
    <t>Mejora las delimitaciones de equipos y herramientas, escalera sin restricción, L4. Reporto Selvin Pérez</t>
  </si>
  <si>
    <t>Tubo de drenaje, condición insegura con riesgo de tropezones al subir o bajar de las escaleras L4. Reporto Selvin Pérez</t>
  </si>
  <si>
    <t>Sobre stock de materiales de reciclaje en pasos peatonales. Reporto Luis Pérez</t>
  </si>
  <si>
    <t>Falta rótulo de extintor en ingreso a equipos auxiliares, se corrige. Reporto Josué Vásquez</t>
  </si>
  <si>
    <t>Tonel fuera de lugar en parqueo interno. Reporto Carlos Coc</t>
  </si>
  <si>
    <t xml:space="preserve"> tarima mal posicionada y fuera de lugar en l4, se corrige.Reporto Haydée Martínez</t>
  </si>
  <si>
    <t>Magneto con riesgo de caida puerta ingreso materiales sala llenado  linea 2. Reporto Oscar Ramírez</t>
  </si>
  <si>
    <t>gradas hacia tolva de preforma con pata torcida en l3, se corrige de inmedito. Reporto Haydée Martínez</t>
  </si>
  <si>
    <t>Toma de corriente en mal estado, área cafetería donde se conecta la cafetera. Reporto Eliú Tello</t>
  </si>
  <si>
    <t xml:space="preserve"> escalera sin restricción frente a sopladora de l4. Reporto Haydée Martínez</t>
  </si>
  <si>
    <t>Equipos muy sucios, parece que no tienen una rutina de limpieza. Reporto Eliú Tello</t>
  </si>
  <si>
    <t>aja de sistema eléctrico de elevador hidráulico abierta en l1, se cerro pero no tiene candado. Reporto Haydée Martínez</t>
  </si>
  <si>
    <t>Sin restricción galera 3 equipos auxiliares. Reporto Andrea Gonzalez</t>
  </si>
  <si>
    <t>Bodega a un costado de bodega de soda sin candado. Reporto Carlos Coc</t>
  </si>
  <si>
    <t>Condensado en piso galera 3. Reporto Edson Bonifacio</t>
  </si>
  <si>
    <t>Fuga en filtro.de carbón provoca piso mojado en el área. Reporto William Galindo</t>
  </si>
  <si>
    <t>Jog de la lavadora está deshabilitado en la l2. Reportó Elvis Oliva</t>
  </si>
  <si>
    <t>Capacitación constante sobre el Manejo seguro de Montacargas. Reporto Jimmy Velásquez</t>
  </si>
  <si>
    <t>Establecer y hacer cumplir límites de velocidad según las condiciones del piso y las áreas peatonales. Reporto Jimmy Velásquez</t>
  </si>
  <si>
    <t>Señalización disminuir velocidad en pendiente pronunciada. Reporto Jimmy Velásquez</t>
  </si>
  <si>
    <t>Reparar estructura de puerta dañada por el montacargas. Reporto Josué Vásquez</t>
  </si>
  <si>
    <t>Se encontró una escalera sin restricción obstaculizando el paso peatonal de línea 5, inmediatamente se corrige la acción ubicándola nuevamente a su lugar.  Reportó: Nelson Godinez</t>
  </si>
  <si>
    <t>Se encontró un tubo por el paso peatonal de sala de llenado de línea 4 hacía línea 5, obstaculizando la salida, riesgo de caídas. inmediatamente se corrige la acción. Reportó: Nelson Godinez</t>
  </si>
  <si>
    <t>Caja de cartón grande con riesgo de caída sobre tarima en rack superior, a un costado de paso peatonal, reporta Luis Angel</t>
  </si>
  <si>
    <t>Soporte de filtro de panel eléctrico cuarto de bombas mal instalado, riesgo de caída durante manipulación de pantalla de bombas. Reporto Oscar Ramos</t>
  </si>
  <si>
    <t>Bandeja de contención llena de agua, evitando así cumplimiento de su capacidad de retención. Reporto Oscar Ramos</t>
  </si>
  <si>
    <t>Tarima sin delimitar en paso de cuarto de fraccionamiento sala antigua jarabes. Reporto Oscar Ramos</t>
  </si>
  <si>
    <t>Químico fuera de lugar de almacenamiento y sin contención en sala de especialistas en oficina de jarabes. Reporto Oscar Ramos</t>
  </si>
  <si>
    <t>Rejilla mal colocada en cuarto de concentrados sala antigua de jarabes, no cubre totalmente rejilla. Reporto Oscar Ramos</t>
  </si>
  <si>
    <t>Exigir extintores con fecha de revisión legibles a la unidad 187 de bunker. Reporto Gover Sologaistoa</t>
  </si>
  <si>
    <t>Demasiado vidrio en piso sala llenado linea 1. Reporto Oscar Ramírez</t>
  </si>
  <si>
    <t>Paso peatonal mojado debido a condensado de mezanini linea 1, se corrige. Reporto Oscar Ramírez</t>
  </si>
  <si>
    <t>Candado de puerta Mezanini Abierto L4, se corrige. Reporto Alfonso Guatzin</t>
  </si>
  <si>
    <t>Químico sin rotular ni delimitar Atrás de cooler de L05. Reporto Gerson Castañeda</t>
  </si>
  <si>
    <t>Piso mojado en Lab, De Fisicoquímicos, se corrige. Reporto Gerson Castañeda</t>
  </si>
  <si>
    <t>Lámparas en mal estado enfrente de cuarto de compresores. Reporto Antony Ramos</t>
  </si>
  <si>
    <t>Pánel eléctrico abierto sin delimitar, Atrás de sopladora L05, se corrige. Reporto Gerson Castañeda</t>
  </si>
  <si>
    <t>Magneto puerta sala de llenado 1 a punto de caer. Reporto Gustavo Hernández</t>
  </si>
  <si>
    <t>Jaula De Preformas Fuera de Lugar L4, se corrigio. Reporto Alfonso Guatzin</t>
  </si>
  <si>
    <t>Escalera línea 3 sin restriccion, se corrige. Reporto Roger Rivas</t>
  </si>
  <si>
    <t>Tarima quebrada, jumbo de azúcar propenso a caer Se da seguimiento para corrección y se cambia de inmediato. Reporto Jaime Chex</t>
  </si>
  <si>
    <t>no está habilitado el control de acceso en equipos auxiliares. Reporto Karla Hintz</t>
  </si>
  <si>
    <t>Revisar equipo debido a que una de las 3 reglas que tiene de soporte se encuentra quebrada y dañada en esta epoca de lluvia pudiera ceder por el peso. Reporto Rodrigo Galindo</t>
  </si>
  <si>
    <t>Extintor sin revisiones frente a cabina ingreso L1 o en pared de equipos auxiliares. Reporto Andrea Gonzalez</t>
  </si>
  <si>
    <t>Jaula de químicos abierta, se cierra en L4. Reporto Roger Rivas</t>
  </si>
  <si>
    <t>Se observa una cajilla colocada cerca del ventilador y herramientas de trabajo en el área de etiquetadora, podría provocar un accidente cuando se quite la cajilla del lugar inadecuado.
Reporta: Leidy Vanesa Camey</t>
  </si>
  <si>
    <t>Fuga en el condensado de la tubería de la sala de jarabe y esto mantiene húmedo el paso peatonal de la línea 2.  Reporta Domingo Yac</t>
  </si>
  <si>
    <t>Depósito para espumeo de la llenadora fuera del salón de llenado, reporta
 Benedicto Barrios</t>
  </si>
  <si>
    <t>Se aborda a Roger Rivas ya que la paletizadora de L3 se encuentra con la seguridad de la puerta falseada, indica que el operador de turno está almorzando y que al regresar le realizará la observación correspondiente. Reporto Eliú Tello</t>
  </si>
  <si>
    <t>Fuga en tubería de vapor, por entrada de cabina L1.  Reporto Jheisón Orozco</t>
  </si>
  <si>
    <t>fuga de vapor en cooler de la l2. Reporto Haydée Martínez</t>
  </si>
  <si>
    <t>Paso peatonal a un costado de lavadora de botellas con productos químicos resbaloso, se corrige con ecolab.  Reporto Haydée Martínez</t>
  </si>
  <si>
    <t>Tarima con reciclaje de cartón en paso peatonal bodega de preforma L4, se corrige. Reporto Luis Angel</t>
  </si>
  <si>
    <t xml:space="preserve"> tarima fuera de lugar frente a paletizadora en l3. Reporto Haydée Martínez</t>
  </si>
  <si>
    <t>Se reporta condición insegura en linea 5, Tubería mal posicionada, Puede provocar un accidente. Reporto Gilmar Mazariegos</t>
  </si>
  <si>
    <t>Candado abierto panel visor de temperatura a un costadonlavadora de botellas 1,se cierra. Reporto Gustavo Hernández</t>
  </si>
  <si>
    <t>Magneto ingreso sala de llenado línea1 a punto de caer. Reporto Eliú Tello</t>
  </si>
  <si>
    <t>Tarimas entrada al campo de fútbol obstaculizando el paso, se corrige. Reporto Carlos Coc</t>
  </si>
  <si>
    <t xml:space="preserve"> se reporta que pantalla chiller linea 1 da toques el electricos, Ya se reportó a mantenimiento. Reporto Amilcar Ralda</t>
  </si>
  <si>
    <t>Condición  insegura fuga de agua sobre techo de mezanini de línea 1. Reporto Obdulio Cap</t>
  </si>
  <si>
    <t>Bote y cartón que utilizaron para pintar pipas sobre paso peatonal frente Pia c.o.2. Reporto Carlos Coc</t>
  </si>
  <si>
    <t>Acceso a techos L3 sin restricción, no se observa PTR en el punto, se corrige. Reporto Luis Angel</t>
  </si>
  <si>
    <t>Jaula de Preforma fuera de Lugar Linea 4. Reporto Alfonso Guatzin</t>
  </si>
  <si>
    <t>tarima en mal estado expuesta en paso peatonal bod 4 del CD. Reporto Isabel Saquila</t>
  </si>
  <si>
    <t>Fuga de vapor en tubería retorno de condensado, sobre paso peatonal en dirección a cabina acceso L1. Reporto Gustavo Hernández</t>
  </si>
  <si>
    <t xml:space="preserve"> camara sujeta con pitas acceso puede caer en la cabeza de alguien en la salida de línea 3. Reporto Daniel Pineda</t>
  </si>
  <si>
    <t>Se cerrará candado panel eléctrico mixer 3. Reporto Gustavo Hernández</t>
  </si>
  <si>
    <t>Tarima en mala posición. Bodega MP, se corrige. Reporto Jaime Chex</t>
  </si>
  <si>
    <t>Panel de división en baños de hombres con un lado flojo, en cualquier momento le cae en la espalda a alguien. Reporto Oscar Ramos</t>
  </si>
  <si>
    <t>Se cerrará puerta panel eléctrico sopladora 3. Reporto Gustavo Hernández</t>
  </si>
  <si>
    <t>Lampara dañada en sala jarabes nueva. Reporto Fredy Fuentes</t>
  </si>
  <si>
    <t>Se corrigió corredores de envase con riego a caer en patio cd. Reporto Luis Pérez</t>
  </si>
  <si>
    <t>Se cerrará candado hacia mezanini L1, no se encuentra nadie trabajando. Reporto Gustavo Hernández</t>
  </si>
  <si>
    <t>Escalera fuera de lugar y propensa a caerse, reporta Jason Calderón</t>
  </si>
  <si>
    <t>Paso de cebra requiere pintura en bodega del CD. Reporto Yessi Guarcas</t>
  </si>
  <si>
    <t>Ducha de emergencia con conductos tapados en bodega de quimicos materia prima. Reporto Daniel Pineda</t>
  </si>
  <si>
    <t>Selector eléctrico abierto transporte entarimado línea 2 . Reporto Gustavo Hernández</t>
  </si>
  <si>
    <t xml:space="preserve"> lámina de inoxidable fuera de lugar, obstruye gradas de acceso a roscadora de l4.  Reporto Haydée Martínez</t>
  </si>
  <si>
    <t>Tarimas plástica mal apiladas en mp. Reporto Miguel Godinez</t>
  </si>
  <si>
    <t>Asegurar restricción o cerrado de puerta de mesanine en l2, puerta da al vacio y es necesario su cierre. Reporto Antony Ramos</t>
  </si>
  <si>
    <t>Paso peatonal de línea 5 obstruido por tarima con producto. Reporto Daniel Pineda</t>
  </si>
  <si>
    <t>Tarima con producto obstruyendo el paso peatonal en sala de Jarabes Nueva. Reporto Daniel Pineda</t>
  </si>
  <si>
    <t>Tarima obstruyendo paso peatonal en CD. Reporto Yessi Guarcas</t>
  </si>
  <si>
    <t>ventilador sobre paso peatonal entrada llenaodora L4. Reporto Haydée Martínez</t>
  </si>
  <si>
    <t>No funcionarón los sensores, colcocar guarda de seguridad en l5. Reporto Gustavo Hernández</t>
  </si>
  <si>
    <t>Escalera sin restricción en sala de Jarabes Nueva. Reporto Daniel Pineda</t>
  </si>
  <si>
    <t xml:space="preserve"> puerta de acceso dañada a la bodega 3 CD, paso peatonal. Reporto Daniel Pineda</t>
  </si>
  <si>
    <t>Se observa piso mojado en paso peatonal de jarabe hacia línea 2. Reporta Leidy Camey</t>
  </si>
  <si>
    <t>Se encontró un cono de precaución por los pasillo que conectan a línea 2 obstaculizando el paso en la entrada de calidad. Reportó: Nelson Godinez</t>
  </si>
  <si>
    <t>Tarima de azúcar en paso peatonal obstruyendolo en MP. Reporto Kelly Calderón</t>
  </si>
  <si>
    <t>Rejilla de canaleta levantada puede ocasionar tropiezos en l1. Reporto Oscar Ramirez</t>
  </si>
  <si>
    <t>Paso de cebra hacia bodega 3 ya no es visible, pintar. Reporto Yessi Guarcas</t>
  </si>
  <si>
    <t>Tubería con fuga de jarabe en pasteurizador L5 puede provocar caidas. Reporto Eliú Tello</t>
  </si>
  <si>
    <t>falta de iluminación en el paso de las rampas de cafetería. Reporto Daniel Pineda</t>
  </si>
  <si>
    <t>Se encuentra agua en paso peatonal de línea 5, ingreso a sala de llenado. Reporto Nelson Godinez</t>
  </si>
  <si>
    <t>Químicos sin bandeja de contención en tratagua. Reporto Adrian Santisteban</t>
  </si>
  <si>
    <t>Se cerrará candado panel sala llenado 2. Reporto Gustavo Hernández</t>
  </si>
  <si>
    <t>Puerta abierta con candado cerrado hacia mezanini L3,se corrige. Reporto Gustavo Hernández</t>
  </si>
  <si>
    <t>Quimicos sin bandeja de contención en l1, se corrige. Reporto Jaime Chex</t>
  </si>
  <si>
    <t>Herramienta de martillo echiza y fuera de lugar en taller de mantenimiento. Reporto Carlos Quan</t>
  </si>
  <si>
    <t>Reubicación de punto de reunión isla de sodas a otro lugar. Reporto Karla Hintz</t>
  </si>
  <si>
    <t>Fuga de mezcla aditivos para lavadora, Ya se le aviso a ecolab para corregir. Reporto Amilcar Ralda</t>
  </si>
  <si>
    <t>Revisar el sistema de inyección ya que el operador indica que sube la temperatura al momento de activarlos. Reporto Wilber López</t>
  </si>
  <si>
    <t>Retocar pintura de señal de alto para trafico de garita 1. Reporto Karla Hintz</t>
  </si>
  <si>
    <t>Carretes en paso peatonal en repuestos, verificar que no se usen como instrumento para alcanzar piezas. Reporto  Elvis Oliva</t>
  </si>
  <si>
    <t>Cable pelado en alarma de lavadora de l2. Reporto Josué Vásquez</t>
  </si>
  <si>
    <t>Piso mojado, Laboratorio De paquetecnia L03, se corrige. Reporto Gerson Castañeda</t>
  </si>
  <si>
    <t>Se cerrará candado panel etiquetadora 3.Reporto Gustavo Hernández</t>
  </si>
  <si>
    <t>Exceso de reciclaje sin señalizar, reduce espacio para rastras CD. Reporto Yessi Guarcas</t>
  </si>
  <si>
    <t>Cilindro de argón no esta sujetado, se corrige. Reporto Elvis Oliva</t>
  </si>
  <si>
    <t>Golpe en cajilla, riesgo de caída de producto, en aleron. Reporto Jimmy Velásquez</t>
  </si>
  <si>
    <t>Puerta a sala de Gatorade no abre hacia afuera y todas las puertas deben abrir hacia afuera por alguna emergencia. Reporto Wilber López</t>
  </si>
  <si>
    <t>PT con riesgo de caída en pit de cargas. Reporto Isabel Saquila</t>
  </si>
  <si>
    <t xml:space="preserve"> en bodega de soda, techo se encuentra dañado provoca piso mojado en el área. Reporto Daniel Pineda</t>
  </si>
  <si>
    <t xml:space="preserve"> Gotera en sala de llenado frente a inspector de envase vacío. Reporto Haydée Martínez</t>
  </si>
  <si>
    <t>Lámparas en mal estado en Bodega 4. Reporto Antony Ramos</t>
  </si>
  <si>
    <t>Filtración de agua en paso peatonal de L1. Reporto Antony Ramos</t>
  </si>
  <si>
    <t>bandola con desgastes en bodega de soda, se observa óxido en la parte metálica. Reporto Daniel Pineda</t>
  </si>
  <si>
    <t>fuga en retorno de condensado, sala de jarabes vieja provoca exceso de agua y piso mojado en pasillo de l2. Reporto Amilcar Ralda</t>
  </si>
  <si>
    <t>baranda de tanque de soda se encuentra partida. Reporto Daniel Pineda</t>
  </si>
  <si>
    <t>Tarimas mal ubicadas en parqueo interno, se corrige. Reporto Carlos Coc</t>
  </si>
  <si>
    <t>Fuga de vapor en tuberia serpentín  pasteurizador L2. Reporto Edson Bonifacio</t>
  </si>
  <si>
    <t>Fuga de amoniaco en valvula de techo intermedio. Reporto Ariel Cua</t>
  </si>
  <si>
    <t>fuga de condensado de vapor a un costado de lavadora de botellas, frente a lavadora de cajillas. Reporto Haydée Martínez</t>
  </si>
  <si>
    <t>Buen día, vidrio y envase tirado cerca de bod1. Reporto Isabel Saquila</t>
  </si>
  <si>
    <t>Colocar bandeja o mover de ubicación quimico, se corrige. Reporto Jessica Loarca</t>
  </si>
  <si>
    <t>Fuga de agua en cubículo de informática. (Oficinas de cordinadores). Reporto Obdulio Cap</t>
  </si>
  <si>
    <t>Hallazgos inspección matinal en piso. Reporto Mario Marroquin</t>
  </si>
  <si>
    <t>Hallazgos en inspección matinal en piso a la ETEI. Reporto Wilber López</t>
  </si>
  <si>
    <t>Hallazgos de matinal en piso en el taller de mantenimiento. Reporto Selvin Pérez</t>
  </si>
  <si>
    <t>Falta de cinta antideslizante, plataforma al costado de etiquetadora linea 1. Reporto Oscar Ramirez</t>
  </si>
  <si>
    <t>Exceso de vidrio quebrado transporte monofilar L1, se corrige. Reporto Amilcar Ralda</t>
  </si>
  <si>
    <t>Polipastro con óxido excesivo, descartar se encontro en taller de mantto. Reporto Selvin Pérez</t>
  </si>
  <si>
    <t>Falta cinta antideslizante en grada de etiquetadora L1. Reporto Yessi Guarcas</t>
  </si>
  <si>
    <t>Pipeta con rombo en mal estado, No legible. Reporto Rodrigo Galindo</t>
  </si>
  <si>
    <t>tarima quebrada en area de MP con riesgo de caer frente a paso peatonal. Reporto Bladimir López</t>
  </si>
  <si>
    <t>Acceso a línea 3 sin funcionar,  ninguna tarjeta funciona, la puerta esta cerrada, hay que tomar otro ingreso por línea 1. Reporto Roger Rivas</t>
  </si>
  <si>
    <t>Exceso de vidrio sobre paso peatonal en l2. Reporto Efrain Valux</t>
  </si>
  <si>
    <t>Acceso libre a parte superior de lavadora de botellas linea 1, se corrige. Reporto Oscar Ramirez</t>
  </si>
  <si>
    <t>Colocarle restricción para que no se pueda acceder a la escalera de equipos auxiliares. Reporto Mario Marroquin</t>
  </si>
  <si>
    <t>Escalera sin restricción en almacén de repuestos y no estaba nadie. Reporto Ronald Chojolan</t>
  </si>
  <si>
    <t>Sin guarda puesta y con excesiva vibración corregir de inmediato en cuarto de bombas de tratagua. Reporto Carlos Quan</t>
  </si>
  <si>
    <t>Lámina sobre tuberías sala de llenado puede caerle a alguien encima en L5. Reporto Yessi Guarcas</t>
  </si>
  <si>
    <t>Está bloqueado pero con el flipón activado no sé si por alguna emergencia esto repercuta para poder bajarlo de manera más rápida, evaluar porque fue colocado este dispositivo y quitarlo. Reporto Wilber López</t>
  </si>
  <si>
    <t>Escalera, cosas y basura fuera de lugar en tratagua. Reporto Carlos Quan</t>
  </si>
  <si>
    <t>Escalera fuera de lugar en la ETEI. Reporto Rodrigo Galindo</t>
  </si>
  <si>
    <t>Escaleras sin registro de apto para uso en ETEI. Reporto Rodrigo Galindo</t>
  </si>
  <si>
    <t>Se reporta techo desprendiéndose en oficina Gatorade de IT. Reporto Hellen Consuelo</t>
  </si>
  <si>
    <t>Se encuentra tarima fuera de lugar y con peligro de caida. Reporto Alfonso Guatzin</t>
  </si>
  <si>
    <t>Manguera fuera de lugar. Reporto Oscar Ramos</t>
  </si>
  <si>
    <t>Quimicos sin bandeja de contencion en area de jarabes. Reporto Nery Rivera</t>
  </si>
  <si>
    <t>Filtración de agua en pared y toma corriente cercano a dispensador de agua, oficinas administrativas segundo nivel. Reporto Andrea Gonzalez</t>
  </si>
  <si>
    <t>Residuos de agua en el  piso en area rotativo. Reporto Oscar Ramos</t>
  </si>
  <si>
    <t>Se tiene gotera en skype notes, provoca piso mojado. Reporto Alejandro Martínez</t>
  </si>
  <si>
    <t>falta de cubrimiento en gradas camino a Materia Prima, provoca gradas resbaladizas colocar cinta antideslizante. Reporto Daniel Pineda</t>
  </si>
  <si>
    <t>Cables expuestos atrás de desempacadora L1. Reporto Obdulio Cap</t>
  </si>
  <si>
    <t>Lámina traslúcida safada en techo de bodega de Soda MP, puede caer en cualquier momento. Reporto Josué Vásquez</t>
  </si>
  <si>
    <t>Panel abierto pallet L3, se cerrará. Reporto Gustavo Hernández</t>
  </si>
  <si>
    <t xml:space="preserve"> guarda de seguridad abierta en desempacadora línea 1. Reporto Obdulio Cap</t>
  </si>
  <si>
    <t>Gancho de carga sin pestillo de retención en grua de azucar en snj. Reporto Antony Ramos</t>
  </si>
  <si>
    <t>Gancho que no cierra el pestillo por completo en Grúa de sala nueva dé jarabes. Reporto Antony Ramos</t>
  </si>
  <si>
    <t>Jog no bimanual roscadora L1, evaluar el cambio. Reporto Eliú Tello</t>
  </si>
  <si>
    <t>Acceso no restringido a filtros de carbon NO HABILITADO. Reporto Mario Edilzer</t>
  </si>
  <si>
    <t>Acceso restringido NO HABILITADO a calderas. Reporto Mario Edilzer</t>
  </si>
  <si>
    <t>Acceso restringido a compresores NO HABILITADO. Reporto Mario Edilzer</t>
  </si>
  <si>
    <t>No funcionan los controles de acceso de L3. Reporto Alejandro Martínez</t>
  </si>
  <si>
    <t>Guarda mal instalada, transporte botellas L1. Reporto Eliú Tello</t>
  </si>
  <si>
    <t>Conexión eléctrica deficiente y con cables sin aislamiento, puerta acceso sala de llenado L1. Reporto Eliú Tello</t>
  </si>
  <si>
    <t>Dispensador de papel le falta un tornillo se encuentra flojo, le puede caer a alguien. Reporto Rodrigo Galindo</t>
  </si>
  <si>
    <t>Vidrio tirado en paso de unidades en pit de cargas cd. reporto Carlos Poz</t>
  </si>
  <si>
    <t>Se cerrará candado panel eléctrico pallet 3. Reporto Gustavo Hernández</t>
  </si>
  <si>
    <t>Condición insegura puertas de equipo de L4 abiertas. Reporto Maria Obregón</t>
  </si>
  <si>
    <t>Motor sin guarda transporte pallet 3, se corrige de inmediato. Reporto Gustavo Hernández</t>
  </si>
  <si>
    <t>Se cerró candado panel eléctrico sala de llenado 2. Reporto Gustavo Hernández</t>
  </si>
  <si>
    <t>Tarima quebrada con clavos expuestos en área de retención línea 2. Reporto Ana Sanchez</t>
  </si>
  <si>
    <t>Regleta eléctrica amarrada al transporte de botellas, le cae lubricante, área de inspector de lleno L1. Reporto Eliú Tello</t>
  </si>
  <si>
    <t>Paso peatonal obstruido, camino a pilas de lavado en el CD. Reporto Daniel Pineda</t>
  </si>
  <si>
    <t>Tarimas sobre paso peatonal entre L3 y L4 en área super transitada. reporto Efrain Valux</t>
  </si>
  <si>
    <t>Lodo a un lado de paso peatonal frente a sala de jarabes, con riegos qué alguien resbale. Reporto Roger Rivas</t>
  </si>
  <si>
    <t>Aire acondicionado del escritorio de calidad goteando. Reporto Hellen Consuelo</t>
  </si>
  <si>
    <t>Químicos de ecolab debajo de transporte etiquetadora y sin contenedor de derrame. Personal de ecolab no se encuentra en el lugar. Reporto Roger Rivas</t>
  </si>
  <si>
    <t>Candado abierto, sin restricción hacia techo lavadora línea 1. Reporto Andrea Gonzalez</t>
  </si>
  <si>
    <t>Panel eléctrico de lavadora L1, no cerrado correctamente. Reporto Andrea Gonzalez</t>
  </si>
  <si>
    <t>Gotera en ducto, condensado, etiquetadoras Línea 5. Reporto Eliú Tello</t>
  </si>
  <si>
    <t>Guarda deficiente en inversor de botellas cabe una mano. Reporto Karla Hintz</t>
  </si>
  <si>
    <t>Salida de lavadora, sin restricción en l2. Reporto Karla Hintz</t>
  </si>
  <si>
    <t>Acumulacion de desechos y suciedad atras de taller de mantenimiento, falta de orden y limpieza. Reporto Carlos Chávez</t>
  </si>
  <si>
    <t>No funciona control de accesos a sala de jarabe antigua. Reporto Alejandro Martínez</t>
  </si>
  <si>
    <t>Gabinete de premix y agitadores de tanques sin restricción. Reporto Josué Vásquez</t>
  </si>
  <si>
    <t>Falta señalizacion de riesgo eléctrico en nuevo cuarto eléctrico. Reporto Yessi Guarcas</t>
  </si>
  <si>
    <t>Hallazgos en matinal en piso en llanadora de l1. Reporto Elvis Oliva</t>
  </si>
  <si>
    <t>Levantar barandillas y ampliar espacio donde se encuentra colaborador, Faltan rodapiés en empacadora de l2. Reporto karla Hintz</t>
  </si>
  <si>
    <t>Falta dispositivo de seguridad en empacadora de l2. Reporto Karla Hintz</t>
  </si>
  <si>
    <t>Hallazgos en sala de jarabes nueva en matinal. Reporto Selvin Pérez</t>
  </si>
  <si>
    <t>Tarima mal apiladas riesgo de caerse en el CD. Reporto Lisseth Luarca</t>
  </si>
  <si>
    <t>Punto de mejora: Cubrir contactor por cables en cuarto de compresores Kaeser. Reporto Yessi Guarcas</t>
  </si>
  <si>
    <t>L2 en extractor de etiqueta, reubicar tubería. Reporto Karla Hintz</t>
  </si>
  <si>
    <t>Se observa preformas tiradas en paso peatonal de línea 4 hacia línea 5. Nelson Godinez</t>
  </si>
  <si>
    <t>Tarima fuera de Lugar en Mezanini Linea 4, se corrigio. Reporto Alfonso Guatzin</t>
  </si>
  <si>
    <t>inversor sin guarda en l2. Reporto Karla Hintz</t>
  </si>
  <si>
    <t>Escaleras sin delimitacion ni restriccion. Reporto Carlos Chávez</t>
  </si>
  <si>
    <t>Tarima en mal estado en l1. Reporto Elvis Oliva</t>
  </si>
  <si>
    <t xml:space="preserve"> se tiene piso mojado en el laboratorio de paquetecnia por una fuga que se encuentra en el techo del laboratorio en l3. Reporto Maria Obregón</t>
  </si>
  <si>
    <t>se tiene problemas con el compresor de ventilación de panel de control de etiquetadora, para que no se dispare el equipo se debe dejar abierto con ventilador se dejó señalizado en l4. Reporto Haydée Martínez</t>
  </si>
  <si>
    <t>Paso peatonal bloqueado en bodega 8 del cd. Reporto Luis Pérez</t>
  </si>
  <si>
    <t>Tarima quebrada en L5. Reporto Efrain Valux</t>
  </si>
  <si>
    <t>Cabina de ingreso linea 1 lado de lavadora de envase vidrio quebrado, se dejará con cinta. Reporto Amilcar Ralda</t>
  </si>
  <si>
    <t>Dispositivo de seguridad puerta acceso a sala de llenado 1 en malas condiciones. Reporto Gustavo Hernández</t>
  </si>
  <si>
    <t>Goteras en esta zona sellar porque provocan que la rampa este resbaloza. Reporto Maria Obregón</t>
  </si>
  <si>
    <t>volcador de vidrio en L1, sufrió rotura en uno de los cargadores quedando en posición de descarga. Reporto Gustavo Hernández</t>
  </si>
  <si>
    <t>Caja de Panel eléctrico fuera de lugar  en área de entarimado L2 de sala de jarabes. Reporto Haydée Martínez</t>
  </si>
  <si>
    <t>Tarima mal estiba en bodega de químicos MP,Riesgo de caída. Reporto Luis Angel</t>
  </si>
  <si>
    <t>Soporte en mal estado en oficina de jarabes sala nueva. Reporto Edson Bonifacio</t>
  </si>
  <si>
    <t xml:space="preserve"> exceso se vidrio acceso a lavadora de botellas en l2, se corrige. Reporto Haydée Martínez</t>
  </si>
  <si>
    <t xml:space="preserve"> acumulacion de condensado Bod3, se corrige. Reporto Bladimir López</t>
  </si>
  <si>
    <t>Gabinete de cables abierto y expuesto a área donde lavan constantemente alto riesgo de corto eléctrico en sala de jarabes antigua. Reporto Josué Vásquez</t>
  </si>
  <si>
    <t>Falta guarda en el transporte en l2. Reporto Karla Hintz</t>
  </si>
  <si>
    <t>Panel de llenadora de l3, le falta la base para capuchon de bloqueo. Reporto Daniel Pineda</t>
  </si>
  <si>
    <t>Mezanini Linea 4 sin restricción, se corrige. Reporto Alfonso Guatzin</t>
  </si>
  <si>
    <t>Panel eléctrico abierto, se deja cerrado. Reporto Alejandro Martínez</t>
  </si>
  <si>
    <t>reductores de velocidad en mal estado en salida de planta, portón principal. Reporto Daniel Pineda</t>
  </si>
  <si>
    <t xml:space="preserve"> lámpara quemada sobre robopac en l3. Reporto Haydée Martínez</t>
  </si>
  <si>
    <t>Escalera fuera de lugar sin restricción ETEI, se corrige. Reporto Josué Lepe</t>
  </si>
  <si>
    <t>cinta antideslizante en mal estado en gradas para acceso a etiquetados de línea 5. Reporto Daniel Pineda</t>
  </si>
  <si>
    <t>gotera provoca piso resbaladizo en paso peatonal de bodega 4 CD. Reporto Daniel Pineda</t>
  </si>
  <si>
    <t>Acumulacion de condensado en ingreso de bodega 2 del cd. Reporto Carlos Poz</t>
  </si>
  <si>
    <t>Fuga de vapor entrada túnel etiquetadora 1 línea 5. Reporto Gustavo Hernández</t>
  </si>
  <si>
    <t xml:space="preserve"> consensadora ubicada en parqueo de motos sin protección para caja eléctrica. Reporto Emilio Cux</t>
  </si>
  <si>
    <t>Falta de lámparas de emergencia en área de lockers. Reporto Luis Cabrera</t>
  </si>
  <si>
    <t>Piso mojado  frente a la etiquetadora de línea 2. Reporto Ana Sanchez</t>
  </si>
  <si>
    <t>Escalera en el suelo en área de almacén de preforma, se corrige. Reporto Maria Obregón</t>
  </si>
  <si>
    <t>Tarima en paso de montacargas, se corrige. Reporto Rebeca Morales</t>
  </si>
  <si>
    <t>Escalera sin restricción en L5. Reporto Edgar Coti</t>
  </si>
  <si>
    <t>Definir y delimitar área para tener el porta power Para evitar que se coloque sobre el paso peatonal. Reporto Edgar Coti</t>
  </si>
  <si>
    <t>Tarima operacional en área carga de desechos. Reporto Jimmy Velásquez</t>
  </si>
  <si>
    <t>Tarima en paso peatonal bodega MP, se corrige. Reporto Jaime Chex</t>
  </si>
  <si>
    <t>Máquina Magazine de línea 5 se encuentra muy cerca del paso peatonal, puede ocurrir algún tipo de atrapamiento fabricar guarda de protección. Reporto Daniel Pineda</t>
  </si>
  <si>
    <t>No hay lámparas de emergencia en Skype nooks, instalar. Reporto Maria Obregón</t>
  </si>
  <si>
    <t>espejo quebrado en sanitario de hombres ubicado en baño de hombre sala de embajadores. Reporto Daniel Pineda</t>
  </si>
  <si>
    <t>Madera con clavos expuestos en bodega 8. Reporto Luis Cabrera</t>
  </si>
  <si>
    <t>En sala de espera y clínica las luces de emergencia no funcionan. Reporto Jheisón Orozco</t>
  </si>
  <si>
    <t>Guarda de seguridad caida. Reporto Hellen Consuelo</t>
  </si>
  <si>
    <t>Puerta de lavadora sin seguro o candado. Reporto Hellen Consuelo</t>
  </si>
  <si>
    <t>Lampara sobrepuesta en rack con riesgo a caer, por instalacion de cielo falso. Reporta Jason Calderón</t>
  </si>
  <si>
    <t>Se encuentra una manguera de aire rota, riesgo de rotura de manguera en su totalidad. Reporto Oscar Ramos</t>
  </si>
  <si>
    <t>Se encuentra cubeta con químico trasegado sin nadie en el punto y sin señalización. Reporto Oscar Ramos</t>
  </si>
  <si>
    <t>Malla perimetral de bodega 1 rota. Reporto Gerson Castañeda</t>
  </si>
  <si>
    <t>Manguera sobre paso peatonal en sala nueva de jarabes. Reporto Oscar Ramos</t>
  </si>
  <si>
    <t>Quitar silla giratoria, sustituirla por un banco fijo anclado al suelo. Reporto Amílcar Ralda</t>
  </si>
  <si>
    <t>Corregir guías rectas en lavadora de botellas que provocan se caigan botellas en el transporte. Reporto Amílcar Ralda</t>
  </si>
  <si>
    <t>Modificar plataforma y colocar baranda de seguridad. Reporto Amílcar Ralda</t>
  </si>
  <si>
    <t>Brazo hidraulico de ingreso a calderas safado le puede caer a alguien en la cabeza. Reporto Edson Bonifacio</t>
  </si>
  <si>
    <t>Herramientas de trabajo sobre escalera de lavadora de botellas linea 1. Reporto Oscar Ramirez</t>
  </si>
  <si>
    <t>Nuevamente agua en el área de carga de montacargas eléctrico es agua pluvial, se corrige. Reporto Efrain Valux</t>
  </si>
  <si>
    <t>Pasillo hacia líneas de producción colapsado ( programar limpieza a drenajes o instalar trampas para que no se tapen). Reporto Jasón Orozco</t>
  </si>
  <si>
    <t>Aspersor de lubricacion  mal posicionado hace que lubricacion caiga a piso sobre paso peatonal linea 2. Reporto Oscar Ramirez</t>
  </si>
  <si>
    <t>Cabina y paso peatonal en entrada a L3 mojado,. Precaución al caminar por el lugar, se corrige. Reporto Jonathan Escobar</t>
  </si>
  <si>
    <t>Acumulación de agua y luz apagada en cabina L3 Se prende luz y limpia. Reporto Hugo Oliva</t>
  </si>
  <si>
    <t>Se cerrará candado en panel eléctrico sala de llenado 2. Reporto Gustavo Hernández</t>
  </si>
  <si>
    <t>Piso con aceite hidráulico por fuga en bomba principal empacadora 1,  cerca hay una escalera para uso operativo. Reporto Gustavo Hernández</t>
  </si>
  <si>
    <t>Tarima con envase riesgo de caer, por boulevar (bajo techo),se corrige. Reporto Jimmy Velásquez</t>
  </si>
  <si>
    <t>Tarima fuera de lugar Línea 4, se corrige. Reporto Alfonso Guatzin</t>
  </si>
  <si>
    <t>Fuga de condensado en AC de laboratorio de paquetecnia L03. Reporto Gerson Castañeda</t>
  </si>
  <si>
    <t>Colocar de nuevo el rotulado oficina de la ETEI. Reporto Astrid Macario</t>
  </si>
  <si>
    <t>Se cerrará candado en panel eléctrico CIP L3. Reporto Gustavo Hernández</t>
  </si>
  <si>
    <t>Acumulacion de condensado en bodega 8, se corrige. Reporto Jimmy Velásquez</t>
  </si>
  <si>
    <t>Tarima de PT sobre paso peatonal, bodega 8, se corrige. Reporto Jimmy Velásquez</t>
  </si>
  <si>
    <t>Daños en puerta, ya no permite que regrese, Aleron se necesita reparar en el CD. Reporto Jimmy Velásquez</t>
  </si>
  <si>
    <t>Envase tirado en alerón nuevo. Reporto Isabel Saquila</t>
  </si>
  <si>
    <t>Portón caído o safado de su guía en MP. Reporto Rodrigo Galindo</t>
  </si>
  <si>
    <t>Formalizar recibidor de aceite en l2. Reporto Karla Hintz</t>
  </si>
  <si>
    <t>Falta acrílico en volcadora de l3. Reporto Josué Vásquez</t>
  </si>
  <si>
    <t>Lampara con riesgo de caer en oficina almacen de repuestos reporta jason Calderón</t>
  </si>
  <si>
    <t>Caja de registro eléctrica llena de lodo la humedad puede provocar un corto, esto es a un lado de la bodega de soda en alrededores, realizar limpieza y recubrimiento de cinta. Reporto Oscar Ramos</t>
  </si>
  <si>
    <t>Falta de protección en tornillo de prensa en la ETEI. Reporto Rodrigo Galindo</t>
  </si>
  <si>
    <t>Manguera en paso peatonal lavadora línea 1, se corrige. reporto Abel Aguilar</t>
  </si>
  <si>
    <t>Tarima de tapas obstruyendo paso peatonal bod 4 MP. Reporto Isabel Saquila</t>
  </si>
  <si>
    <t>Cansado abierto en panel eléctrico bodega químicos línea 2, se cierra. REporto Abel Aguilar</t>
  </si>
  <si>
    <t>Escalera sin Restricción Línea 4, se corrige. Reporto Alfonso Guatzin</t>
  </si>
  <si>
    <t>Jaula de preformas mal estibada Bodega MP L3, Se corrige. Reporto Jaime Chex</t>
  </si>
  <si>
    <t>De L2 hacia L4 tarimas sobre paso peatonal, así como ingresa el operador gira al salir de L4 con   producto es un riesgo para el peatón, se corrige. Reporto Haydée Martínez</t>
  </si>
  <si>
    <t>Piso resbaloso en L3 y producto fuera de lugar. Reporto Roger Rivas</t>
  </si>
  <si>
    <t>Puerta de vidrio de cafetería presenta desperfectos en las bisagras. Reporto Bryan Neftali</t>
  </si>
  <si>
    <t>Tarimas mal ubicadas y colocadas, sin señalizar espacio en bodega frente a línea 5, con piezas de madera, cajilla pueden provocar un incidente. 
Reporta: Leidy Vanesa Camey</t>
  </si>
  <si>
    <t>Hallazgos de matinal en piso con soldadura electrica. Reporto Yessi Guarcas</t>
  </si>
  <si>
    <t>Quimicos sin bandeja de contencion Linea 2. Reporto Edson Bonifacio</t>
  </si>
  <si>
    <t>Hallazgos en matinal de piso en l4. Reporto Rodrigo Galindo</t>
  </si>
  <si>
    <t>Hallazgos en inspección en matinal de piso. Reporto Selvin Pérez</t>
  </si>
  <si>
    <t>Fuga de vapor en etiquetadora de L5 Creando condensado puede caer en sistemas eléctricos y en personal. Reporto Rodrigo Galindo</t>
  </si>
  <si>
    <t>Camilla sin inmovilizador cervical En L5. Reporto Rodrigo Galindo</t>
  </si>
  <si>
    <t>Canaleta con rejilla mal colocada en sala de llenado de l3. Reporto Oscar Ramirez</t>
  </si>
  <si>
    <t>Colocar guarda o stiker de superficie caliente en este equipo de L5. Reporto Rodrigo Galindo</t>
  </si>
  <si>
    <t>Falta de guarda en motor de mesa de entrada a lavadora de botellas linea 1. Reporto Oscar Ramirez</t>
  </si>
  <si>
    <t>Maguera sobre escalera cerca de llenadora linea 3. Reporto Oscar Ramirez</t>
  </si>
  <si>
    <t>Plataforma de empacadora con tornillos que pueden ocacionar tropiezo en l3. Reporto Oscar Ramirez</t>
  </si>
  <si>
    <t>Escalera no se encuentra bien nivelada al pasar es inestable revisar en l3. Reporto Oscar Ramirez</t>
  </si>
  <si>
    <t>Tarima con sacos de azucar mal estibada, a apunto de caer materia prima. Reporto Kely Calderón</t>
  </si>
  <si>
    <t>Escalera sin restricción. Se coordinar para corregir lo más pronto posible. Reporto Kely Calderón</t>
  </si>
  <si>
    <t>Escalera sin restricción en sala de llenado de L5. Reporto Edgar Coti</t>
  </si>
  <si>
    <t>Escalera sin restricción detrás del cooler de L5.Reporto Edgar Coti</t>
  </si>
  <si>
    <t>Se presenta conato por posible corto circuito, En fotocelda de iluminación, se actua en el instante y se detiene. Reporto Jonathan Escobar</t>
  </si>
  <si>
    <t>Colocarle cinta reflectiva en este punto  para que el op de Montacargas tenga más visibilidad al momento de ingresar la tarima op suelta al transporte. Reporto Luis Pérez</t>
  </si>
  <si>
    <t>Sin restricción de acceso a techo de Llenadora L1, se corrige. Reporto Alejandro Martínez</t>
  </si>
  <si>
    <t>Tarima mal armada en B3. Reporto Abraham Tahual</t>
  </si>
  <si>
    <t>tarimas en paso peatonal y con peligro de caer, se corrige. Reporto Jorge Ixtacuy</t>
  </si>
  <si>
    <t>Tarimas mal posicionadas, están muy inclinadas con riesgo de caída. Reporto Efrain Valux</t>
  </si>
  <si>
    <t>ava ojos almacén de repuestos sin presión y con agua turbia. Reporto Jessica Loarca</t>
  </si>
  <si>
    <t>Tarima de PT con riesgo de caida, en el cd, se corrige. Reporto Isabel Saquila</t>
  </si>
  <si>
    <t>Tarima de preforma en línea 4 quebrada. Reporto Hellen Consuelo</t>
  </si>
  <si>
    <t>Escalera en el área de empacado Línea 4 sin cintas antideslizantes. Reporto Hellen Consuelo</t>
  </si>
  <si>
    <t>Rótulo mal ubicado ingreso a línea 3. Reporto Bryan Neftali</t>
  </si>
  <si>
    <t>Difusor de iluminación mal colocado con riesgo de caída en servicio sanitario. Reporto Bryan Neftali</t>
  </si>
  <si>
    <t>Reparar laminas quebradas en bodegas  entre l4 y hacia l5 del CD, por las fuertes lluvias. Reporto Haydée Martínez</t>
  </si>
  <si>
    <t>Lámparas dañadas en equipos auxiliares al encenderlas una de las dos esta mala. Reporto Josué Vásquez</t>
  </si>
  <si>
    <t>Lámina desprendida en techo de pipas CO2. Reporto Yessi Guarcas</t>
  </si>
  <si>
    <t>Puerta de Lab paquetecnia con redesilla en bloque de puerta. Reporto Maria Obregón</t>
  </si>
  <si>
    <t>Lámpara de emergencia en sala de concentrados sala antigua sin funcionar. Reporto Efrain Valux</t>
  </si>
  <si>
    <t>Escalera de airesistemas tirada detrás de micro sin restricción. Reporto Maria Obregón</t>
  </si>
  <si>
    <t>Lámina apunto de caer sobre el paso peatonal para sala nueva de jarabes. Reporto Nery Rivera</t>
  </si>
  <si>
    <t>Cambiar toma corriente de plataforma elevadora se encuentra en mal estado. Reporto Josué Vásquez</t>
  </si>
  <si>
    <t>aja de registro llena de agua y abierta atras de tanques de soda. Tomar en cuenta que van cableados eléctricos, delimitar. Reporto Rodrigo Galindo</t>
  </si>
  <si>
    <t>Guarda de elevador de preforma linea 3 no se encuentra instalada solo sobrepuesta. Reporto Oscar Ramirez</t>
  </si>
  <si>
    <t>Lámina traslúcida quebrada en pasillo de gabinetes electricos de calderas, cuando llueva se entrará el agua. Reporto Josué Vásquez</t>
  </si>
  <si>
    <t>Tarima con riego a caer en area del vulevar. Reporto Carlos Poz</t>
  </si>
  <si>
    <t>Puerta no cierra bien y no deja que pegue el iman de restricción. Reporto Oscar Ramirez</t>
  </si>
  <si>
    <t>Lamina caida en tratamiento de aguas por fuertes lluvias, reemplazar. Reporto Josué Vásquez</t>
  </si>
  <si>
    <t>Reparación de sombreros de protección para extractores de las lineas, dañados por las lluvias. Reporto Josué Vásquez</t>
  </si>
  <si>
    <t>Cajilla tirada  en el area del vulevar. Reporto Carlos Poz</t>
  </si>
  <si>
    <t>tarima de envase quebrada con riesgo de caer en bodega 8. Reporto Bladimir López</t>
  </si>
  <si>
    <t>Panel eléctrico de lavadora linea 1 no se encuentra cerrado correctamente. Reporto Andrea Gonzalez</t>
  </si>
  <si>
    <t>Escalera sin restricción en acceso a llenadora L4. Reporto Nelson Godinez</t>
  </si>
  <si>
    <t>Lámpara de emergencia de gradas a coordinadores no sirve, reemplazar. Reporto Josué Vásquez</t>
  </si>
  <si>
    <t>Agua reposada cerca a compresores de amoniaco en equipos auxiliares.Reporto Amílcar Ralda</t>
  </si>
  <si>
    <t>Reparar laminas dañadas por lluvias en bodega de soda caustica de MP. Reporto Josué Vásquez</t>
  </si>
  <si>
    <t>Hallazgos en inspección matinal en equipos auxiliares. Reporto Jaime Chilel</t>
  </si>
  <si>
    <t>Hallazgos en inspección en piso en galera 3 de equipos auxiliares. Reporto Oscar Ramirez</t>
  </si>
  <si>
    <t>Faltan rejillas para evitar caidas en cuneta de cableado en generadores galera 3. Reporto Oscar Ramirez</t>
  </si>
  <si>
    <t>Hallazgos en inspección matinal en calderas. Reporto Bryan Neftali</t>
  </si>
  <si>
    <t>Hallazgos en inspección matinal en piso en calderas. Reporto Bryan Neftali</t>
  </si>
  <si>
    <t>Señalización de superficie caliente en mal estado en compresores de amoniaco. Reporto Josué Vásquez</t>
  </si>
  <si>
    <t>Escalera a acceso superior de calderas sin restricción. Reporto Roger Rivas</t>
  </si>
  <si>
    <t>falta rejilla en canal de alrededores. Reporto Carlos Chavez</t>
  </si>
  <si>
    <t>Lámina mal puesta, con riesgo de caída en galera 3. Reporto Rodrigo Galindo</t>
  </si>
  <si>
    <t>No se encuentra rotulación de equipo en mantenimiento o restricción de área. Reporto Bryan Neftali</t>
  </si>
  <si>
    <t>Químico sin rombo de seguridad. Reporto Nelson Godinez</t>
  </si>
  <si>
    <t>Área de bomba sin restricción habilitada. Reporto Mario Edilzer</t>
  </si>
  <si>
    <t>Rejilla en mal estado puede caerse alguien por ahi. Reporto Oscar Ramirez</t>
  </si>
  <si>
    <t>Área de Carga de Cilindros GLP sin restricción, no se encontraba nadie trabajando. Reporto Mario Edilzer</t>
  </si>
  <si>
    <t>Montacargas 23 sin restricción habilitada. Reporto Mario Edilzer</t>
  </si>
  <si>
    <t>Transporte pesado obstaculizando paso peatonal. Reporto Mario Edilzer</t>
  </si>
  <si>
    <t>Montacarga 26 sin restricción habilitada. Reporto Mario Edilzer</t>
  </si>
  <si>
    <t>Retirar postes quedan a una altura muy baja se pueden golpear la cabeza. Reporto  Jaime Chilel</t>
  </si>
  <si>
    <t>Extintor obstaculizado en garita por sillón, reubicarlo. Reporto Jaime Chilel</t>
  </si>
  <si>
    <t>Puerta dañada en sala de descanso se puede caer. Reporto Carlos Chavez</t>
  </si>
  <si>
    <t>Goteras en sala de jarabes antigua. Reporto Maria Obregón</t>
  </si>
  <si>
    <t>Desprendimiento de lamina sobre el techo de tratamiento de agua puede caer. Reporto Daniel Pineda</t>
  </si>
  <si>
    <t>Lámina sobrepuesta podría volar en caso de fuertes vientos, y materiales sin señalizar. Reporto Yessi Guarcas</t>
  </si>
  <si>
    <t>se encuentra puerta dañada de ingreso a L1. Reporto Maria Obregón</t>
  </si>
  <si>
    <t>Pasamanos sin stikers de uso de pasamanos. Reporto Rodrigo Galindo</t>
  </si>
  <si>
    <t>Jalador de tapadera salido puede provocar caidas en alrededores camino a bajada de tanques de co2. Reporto Alejandro Martínez</t>
  </si>
  <si>
    <t>Se encuentra caja de drenaje  con tapadera mal colocada. Reporto Andrea Gonzalez</t>
  </si>
  <si>
    <t>Pasamanos de gradas en mal estado de tanque pulmón de tratagua. Bryan Neftali</t>
  </si>
  <si>
    <t>Colocar rodapies para evitar que alguien se lastime y pueda irse en este espacio. Reporto Miguel Godinez</t>
  </si>
  <si>
    <t>Guarda mal colocada en motorreeductor en transporte de envase limpio hacia inspector linea 1. Reporto Oscar Ramirez</t>
  </si>
  <si>
    <t>Pánel eléctrico sin restricción en área de carga de azúcar en Sala de Jarabes Nueva. Reporto Gerson Castañeda</t>
  </si>
  <si>
    <t>Guarda de protección transparente rocadora abierta, se corrige. Reporto Haydée Martínez</t>
  </si>
  <si>
    <t>silla dañada de lámpara de inspección salida etiquetadora en l1. Reporto Haydée Martínez</t>
  </si>
  <si>
    <t>gradas sin cinta antideslizante hacia etiquetadora en l4. Reporto Haydée Martínez</t>
  </si>
  <si>
    <t>gradas sin cinta antideslizante hacia cuarto paneles eléctricos en l4. Reporto Haydée Martínez</t>
  </si>
  <si>
    <t>debajo de sopladora agua con aceite en acceso peatonal a pantalla en l4. Reporto Haydée Martínez</t>
  </si>
  <si>
    <t>Escalera fuera de lugar de almacenamiento en l5. Reporto Maria Obregón</t>
  </si>
  <si>
    <t>Escalera sin restricción en L3. Reporto Efrain Valux</t>
  </si>
  <si>
    <t>lamima suelta del techo de la la nave de tratamiento de agua, se puede volar y caerle encima a alguien. reporta jason Calderón</t>
  </si>
  <si>
    <t>Extintor de carretilla fuera de lugar, se corrige. Reporto Pablo Donis</t>
  </si>
  <si>
    <t>cajillas vacias fuera de lugar enfrente lámpara de inspección en l1.Reporto Haydée Martínez</t>
  </si>
  <si>
    <t>Unión de plancha en plataforma de empacadora L3 podría provocar caída. Reporto Yessi Guarcas</t>
  </si>
  <si>
    <t>lámpara de iluminación dañada frente a etiquetadora de l3. Reporto Haydée Martínez</t>
  </si>
  <si>
    <t>Selector para bloqueo en gabinete de paletizadora esta pegado con superbonder y no es completo por la parte de atras cambiar y reparar. Reporto Yessi Guarcas</t>
  </si>
  <si>
    <t>Espejo concavo quebrado, se puede terminar de quebrar y caer sobre alguien. Reporto Maria Obregón</t>
  </si>
  <si>
    <t>Tarima obstruyendo el paso de rastras, se corrige. Reporto Isabel Saquila</t>
  </si>
  <si>
    <t>Tarima quebrada en los gaylors de preforma línea 5 afecta la estabilidad. Reporto Ana Sanchez</t>
  </si>
  <si>
    <t>Bomba con fuga o jarabe derramdo debajo de ella en slj nueva. Reporto Bryan Neftali</t>
  </si>
  <si>
    <t>Se encuentra en sala de coordinadores una piseta y un atomizador con químico sin identificar. Reporto Bryan Neftali</t>
  </si>
  <si>
    <t>Rotular tubería que se dirige a laboratorio de paquetecnia. Reporto Josué Vásquez</t>
  </si>
  <si>
    <t>Canaleta desarmada transporte etiquetadora linea 3. Reporto Roger Rivas</t>
  </si>
  <si>
    <t>Paneles eléctrico sin restricción en slj nueva. Reporto Bryan Neftali</t>
  </si>
  <si>
    <t>Tarima fuera de lugar sobre paso peatonal L4. Reporto Haydée Martínez</t>
  </si>
  <si>
    <t>Falta cinta antideslizante a gradas bajo tolva de azúcar sala nueva jarabes. Reporto Yessi Guarcas</t>
  </si>
  <si>
    <t>secador antes se etiquetadora puertas abiertas. Reporto Haydée Martínez</t>
  </si>
  <si>
    <t>Botiquín de primeros auxilios obstruido con tarima con producto. Reporto Bryan Neftali</t>
  </si>
  <si>
    <t>Mulita se encuentra fuera de su posición. Se solicita que se movilice al área correspondiente.Reporto Luis Cabrera</t>
  </si>
  <si>
    <t>Tarima obstaculizando el camino en bodega 3. Reporto Andrea Gonzalez</t>
  </si>
  <si>
    <t>Falta de rejilla sobre paso peatonal de l2. Reporto Oscar Ramirez</t>
  </si>
  <si>
    <t>Cilindro si cadena de sujeción, se pueden caer. Reporto Elvis Oliva</t>
  </si>
  <si>
    <t>Falta guarda en motor sala nueva jarabes. Reporto Yessi Guarcas</t>
  </si>
  <si>
    <t>Fuga de agua a la par de lámpara en línea 1. Reporto Josué Vásquez</t>
  </si>
  <si>
    <t>Caja 📦 vacía de preforma sobre  paso peatonal de L4, se corrige de inmediato. Reporto Luis Pérez</t>
  </si>
  <si>
    <t>Reparar fuga de lavamanos de sala nueva de jarabes con fuga constante que provoca piso mojado siempre. Reporto Miguel Godinez</t>
  </si>
  <si>
    <t>Se encuentra escalera sin restricción a la par de sopladora L3. Reporto Nelson Godinez</t>
  </si>
  <si>
    <t>Hay condensado de agua en piso de llenadora de L3, el condensado proviene del techo.Reporto Nelson Godinez</t>
  </si>
  <si>
    <t>Panel eléctrico expuesto a la lluvia. Reporto Ariel Cua</t>
  </si>
  <si>
    <t>Poca delimitación y obstrucción de paso peatonal en l1. Reporto Edson Bonifacio</t>
  </si>
  <si>
    <t>Hallazgos en inspección matinal a laboratorio. Reporto Astrid Macario</t>
  </si>
  <si>
    <t>Condensado de mezannine linea 1 cae en puerta de salida puede provocar resbalones o cortos circuitos. Reporto Oscar Ramirez</t>
  </si>
  <si>
    <t>Vidrio sobre paso peatonal en l2, se corrige. Reporto Antony Ramos</t>
  </si>
  <si>
    <t>Extensiones con falta de señalizado atrás de la osmosis, se corrige. Reporto Edson Bonifacio</t>
  </si>
  <si>
    <t>Poca demilitacion, adicional esta obstruyendo el paso entre calderas y salida  de l1, se corrige de inmediato. Reporto Edson Bonifacio</t>
  </si>
  <si>
    <t>No se encuentra msds del químico en taller de mantto. Reporto Wilber López</t>
  </si>
  <si>
    <t>Puerta de cuarto de compresores de amoniaco sin restriccion, se corrige. Reporto Oscar Ramirez</t>
  </si>
  <si>
    <t>Taladro energizado y sin bloqueo en taller. Adicional acumulación de piezas. Reporto Pablo Donis</t>
  </si>
  <si>
    <t>Acumulación y desorden de perfiles y tubos. Propensos a caer en taller de mantto. Reporto Pablo Donis</t>
  </si>
  <si>
    <t>Plataforma con nylon que trae de fabrica puede causar resbalon. Reporto Oscar Ramirez</t>
  </si>
  <si>
    <t>Sobrestock en CD y pasillos utilizados para almacenar producto por el sobre stock, habilitarlos lo antes posible. Reporto Alejandor Martinez</t>
  </si>
  <si>
    <t>Canaleta de cable eléctrico en mal estado. Reporto Adrian Santisteban</t>
  </si>
  <si>
    <t>Tarima  con envase en mal estado en área de bulevar cd. Reporto Luis Pérez</t>
  </si>
  <si>
    <t>Traducir rotulación al español de "NO LEVANTES AQUI" en l5. Reporto Elvis Oliva</t>
  </si>
  <si>
    <t>Tarima sobre paso peatonal L4, se corrige. Reporto Luis Angel</t>
  </si>
  <si>
    <t>Manguera mal ubicada puede provocar tropiezos. Reporto Adrian Santisteban</t>
  </si>
  <si>
    <t>Tarima mal posicionada y fuera de lugar al lado del bodega de SSO, se corrige. Reporto Pablo Donis</t>
  </si>
  <si>
    <t>Ducha de emergencia, le falta pieza que reduce la presion. Reporto Antony Ramos</t>
  </si>
  <si>
    <t>Protector de rack no esta  colocado en sala nueva de jarabes. Reporto Adrian Santisteban</t>
  </si>
  <si>
    <t>Químicos fuera de bandeja bandeja de contención en l5. Reporto Elvis Oliva</t>
  </si>
  <si>
    <t>Cuneta que se encuentra atrás bodega de soda  necesita limpieza, puede provocar inundación. Reporto Carlos Coc</t>
  </si>
  <si>
    <t>scalera sin goma antideslizante en patas y sin cinta antideslizante Llenadora L4. Reporto Luis Angel</t>
  </si>
  <si>
    <t>Llave de lavado de ojos floja, puede caer en una emergencia en l3. Reporto Mario Marroquin</t>
  </si>
  <si>
    <t>Falta de cinta antideslizante etiquetadora L4. Reporto Luis Angel</t>
  </si>
  <si>
    <t>Se encuentra producto tirado en pasillo y pasos peatonales de area de preempacado linea 4. Reporto Alfonso Guatzin</t>
  </si>
  <si>
    <t xml:space="preserve">Capacitar al personal sobre los riesgos de manipular inadecuadamente envases de vidrio. Reporto Amilcar Ralda
</t>
  </si>
  <si>
    <t xml:space="preserve">Revisión de procedimiento de estibado de vidrio y capacitación de personal. Reporto Amilcar Ralda
</t>
  </si>
  <si>
    <t xml:space="preserve">Colocar alerta visual de los riesgos de manipular de forma inadecuada el producto envasado en vidrio. Reporto Amilcar Ralda
</t>
  </si>
  <si>
    <t>Piso resbaloso por jarabe derramado en enfilador de etiquetadora. Reporto Roger Rivas</t>
  </si>
  <si>
    <t>Tonel de floculante fuera del dique de contención en tratamiento de aguas. Reporto Oscar Ramos</t>
  </si>
  <si>
    <t>Pintura fuera de lugar correspondiente y sin bandeja de contención. Reporto Oscar Ramos</t>
  </si>
  <si>
    <t>Hallazgos en inspección matinal en almacén de repuestos. Reporto Selvin Pérez</t>
  </si>
  <si>
    <t>Volumen de alarma de ingreso de unidades no es tan audible, un operador se dirigía al estar ingresando unidad, la visualización se observa cerca del punto, pero no hay otra alarma en el resto del paso de unidades. Reporto Yessi Guarcas</t>
  </si>
  <si>
    <t>Químicos sin bandeja de contención en l5. Reporto Elvis Oliva</t>
  </si>
  <si>
    <t>Cambiar rotulación en sala de jarabes nueva formulador 1. Reporto Josué Vásquez</t>
  </si>
  <si>
    <t>escalera frente a sopladora sin colocada la cadena de restricción en l4.  Reporto Haydée Hernández</t>
  </si>
  <si>
    <t>Tarima mal ubicada Tapando paso de montacargas, se corrige de inmediato. Reporto Jaime Chex</t>
  </si>
  <si>
    <t>Puerta abierta de linadry antes se etiquetadora L4.  Reporto Haydée Hernández</t>
  </si>
  <si>
    <t>llenadora protector zafado ventilador en l2.  Reporto Haydée Hernández</t>
  </si>
  <si>
    <t>Tarimas de contención inundadas (ósmosis). Reporto Byron Roldan</t>
  </si>
  <si>
    <t>PT en paso peatonal, se observa una ligera inclinación. Reporto Yessi Guarcas</t>
  </si>
  <si>
    <t>Pernos salidos de nivel de piso en l2. Reporto Oscar Ramirez</t>
  </si>
  <si>
    <t>Jumbo inclinado propenso a caer, se corrige de inmediato. Reporto Jaime Chex</t>
  </si>
  <si>
    <t>Vidrio y botellas en piso salida empacadora linea 1, se corrige. Reporto Oscar Ramirez</t>
  </si>
  <si>
    <t>Silla en mal estado, uno de los puntos de apoyo no tiene rodo, esto en sala de jarabes antigua. Reporto Eliú Tello</t>
  </si>
  <si>
    <t>Rejilla levantada puede ocacionar tropiezo, en l2. Reporto Oscar Ramirez</t>
  </si>
  <si>
    <t>Envase con riego de caiga en área de bulevar cd. Reporto Luis Pérez</t>
  </si>
  <si>
    <t>andado abierto panel eléctrico llenadora L2, se cerró.  Reporto Haydée Hernández</t>
  </si>
  <si>
    <t>tarimas de tapas, PT y termo obstruyendo paso de montacargas frente a L4. Reporto Isabel Saquila</t>
  </si>
  <si>
    <t>Espejo cóncavo dañado en línea 2, reduce la visibilidad.Reporto Oscar Ramirez</t>
  </si>
  <si>
    <t>escalera fuera de lugar y sin restricción frente a etiquetadora y secador de l2, se ocrrige.  Reporto Haydée Hernández</t>
  </si>
  <si>
    <t>Tarima obstruyendo en paso peatonal en ingreso al CD, se corrige. Reporto Isabel Saquila</t>
  </si>
  <si>
    <t>Tarimas salidas obstruyendo paso peatonal en el CD. Reporto Isabel Saquila</t>
  </si>
  <si>
    <t>Tarimas plasticas mal estibadas mas de 20. Reporta kelly Calderón</t>
  </si>
  <si>
    <t>Tarima de tapa se encuentra quebrada ubicada en racks. Reporto Kelly Calderón</t>
  </si>
  <si>
    <t>Riesgo alto de caída, en patio CD. Reporto Isabel Saquila</t>
  </si>
  <si>
    <t>Sopladora risego eléctrico rotura de manguera de agua de enfriamiento horno.  Reporto Haydée Hernández</t>
  </si>
  <si>
    <t>lámpara de emergencia de garita no funciona. Reporto Denni Guzman</t>
  </si>
  <si>
    <t>Tarima fuera de lugar en L1 frente a contenedores de vidrio.  Reporto Haydée Hernández</t>
  </si>
  <si>
    <t>Se cerrará puerta llenadora 3. Reporto Gustavo Hernández</t>
  </si>
  <si>
    <t>Puerta dañada de salida frente a etiquetadora, se repara de inmediato en l1.  Reporto Haydée Hernández</t>
  </si>
  <si>
    <t>Colocar Rodapies a las bases de los tanques, reparar barandales y soldar partes de metal faltantes en las gradas y barandas de reactores de tratamiento de aguas. Reporto Karla Hintz</t>
  </si>
  <si>
    <t xml:space="preserve"> Tazas para beber café se encuentran quebradas y pueden cortar a alguien, son varias de la misma forma. Reporto Bryan Neftali</t>
  </si>
  <si>
    <t>Tanque número 14 sin su protección instalada y no está identificado que la máquina está en mantenimiento cables expuestos. Reporto Wilber López</t>
  </si>
  <si>
    <t>Equipo no identificado en mantenimiento y sin restricción en sala de jarabes antigua. Reporto Wilber López</t>
  </si>
  <si>
    <t>Manómetro en mal estado de formulador 2 de sala nueva de jarabe. Reporto Josué Vásquez</t>
  </si>
  <si>
    <t>Vidrio en piso cerca de escalera que dirige a empacadora linea 1, se corrige. Reporto Oscar Ramirez</t>
  </si>
  <si>
    <t xml:space="preserve"> en tolva de tapón los amortiguadores están dañados deja caer la compuerta y podría causar un golpe en la mano en l3. Reporto Haydée Hernández</t>
  </si>
  <si>
    <t>Escalera en cuarto contramuestras sin candado. Reporto Andrea Gonzalez</t>
  </si>
  <si>
    <t>Panel sin cierre correcto sala antigua jarabes, se corrige. Reporto Oscar Ramos</t>
  </si>
  <si>
    <t>Temperatura excesiva en la sala de jarabes el personal tiene que estarse cambiando ropa constantemente y no tiene un lugar adecuado para ello, reparar aire. Reporto Wilber López</t>
  </si>
  <si>
    <t>producto en riesgo de caer bodega 2. Reporto Bladimir López</t>
  </si>
  <si>
    <t>Tarimas más apiladas en bodega de MP,Se estará corrigiendo. Reporto Luis Angel</t>
  </si>
  <si>
    <t>Compuerta de paso peatonal bloqueada, se corrige. Reporto Jason Calderón</t>
  </si>
  <si>
    <t>Puerta de acceso de laboratorio a jarabes estaba caida, se corrige de inmediato. Reporto Adrian Santisteban</t>
  </si>
  <si>
    <t>Sobre stock en bodega 3 CD. Reporto Hugo Oliva</t>
  </si>
  <si>
    <t>Tarima de tapa quebrada en almacén de materia prima, se corrige de inmediato. Reporto Luis Angel</t>
  </si>
  <si>
    <t>Tubería de bomba de formulador 1 está floja puede quebrarse en sala de jarabe nueva. Reporto Josué Vásquez</t>
  </si>
  <si>
    <t>Tarima con Gatorade 600 ml. Desplomada en área de retención de Calidad. Reporto Hugo Oliva</t>
  </si>
  <si>
    <t>Paso peatonal en línea #2 obstaculizadas con tarimas. Benedicto Barrios</t>
  </si>
  <si>
    <t>Tarima con riegos a caer en area del vulevar, se corrige de inmediato. Reporto Carlos Poz</t>
  </si>
  <si>
    <t>Envase lipton con riesgo a caer, en patio. Reporto Jimmy Velasquez</t>
  </si>
  <si>
    <t xml:space="preserve"> Etei, se retira baranda de tanque Calamity, se procede a delimitar, se hace el amable recordatorio de reportar su ingreso a nuestra área, debido a los diversos mantenimientos que se tienen. Reporto Emilo Cux</t>
  </si>
  <si>
    <t>Rejilla en mal estado en sala de jarabes antigua. Reporto Karla Hintz</t>
  </si>
  <si>
    <t>Acumulación de tubos y desechos en taller de mantenimiento. Reporto Pablo Donis</t>
  </si>
  <si>
    <t>Producto sobre paso peatonal bodega 4. Reporto Jimmy Velasquez</t>
  </si>
  <si>
    <t>Terminar de sujetar pernos en último tanque de sala nueva de jarabes. Reporto Josué Vásquez</t>
  </si>
  <si>
    <t>Garita sin lamparas de emergencia. Reporto Carlos Chavez</t>
  </si>
  <si>
    <t>Puerta dañada a la entrada de fraccionamiento, puede carse. Reporto Wilber López</t>
  </si>
  <si>
    <t>Tarimas en área de rampas almacen MP,Se estará corrigiendo. Reporto Luis Angel</t>
  </si>
  <si>
    <t>Exceso de condensado en Bodega 8, se limpia. Reporto Jimmy Velasquez</t>
  </si>
  <si>
    <t>Condición insegura, lámpara con poca iluminación en paso peatonal camino a área de reciclaje, mejorar la iluminación en este pasillo. Reporto Daniel Pineda</t>
  </si>
  <si>
    <t>Parqueo en general sin lamparas de emergencia. Reporto Carlos Chavez</t>
  </si>
  <si>
    <t>Evaluar el tiempo de reparación del vidrio está demasiado quebrado y pueden caerse los pedazos a los operadores. Reporto Wilber López</t>
  </si>
  <si>
    <t>Tarimas sobre paso peatonal bodega 8, se corrige. Reporto Jimmy Velasquez</t>
  </si>
  <si>
    <t xml:space="preserve"> Panel del generador CAT abierto, se cierra. Reporto Pablo Donis</t>
  </si>
  <si>
    <t>Panel de triblender lo operan con la puerta abierto, cerrado se dispara (sufre de sobre calentamiento). Reporta. Domingo Yac.</t>
  </si>
  <si>
    <t>Jaula de preforma mal estibada en bodega de preforma,se corrige. Reporto Oscar Ramirez</t>
  </si>
  <si>
    <t>Aldaba en mal estado no restringe acceso a  panel electrico de transportadores en l3. Reporto Oscar Ramirez</t>
  </si>
  <si>
    <t>Rejilla en mal estado puede provocar atrapamiento o caida. Reporto Adrian Santisteban</t>
  </si>
  <si>
    <t>Hallazgos inspección matinal en piso a l4. Reporto Miguel Godinez</t>
  </si>
  <si>
    <t>Sin restricción Acceso anaquel de químicos, candado dañado cambiar en l4. Reporto Haydée Hernández</t>
  </si>
  <si>
    <t>Hallazgos en matinal en l3. Reporto Yessi Guarcas</t>
  </si>
  <si>
    <t>Falta soldar tubo en gradas de acceso a encajonadora de l2. Reporto Josué Vásquez</t>
  </si>
  <si>
    <t>Colocar puerta abatible de restricción en l2. Reporto Josué Vásquez</t>
  </si>
  <si>
    <t>Rejilla sobre nivel de piso frente a empacadora L5.  Reporto Haydée Hernández</t>
  </si>
  <si>
    <t>Escaleras sin antideslizante con agua bien resbalosas en salida de llenadora l1. Reporto Josué Vásquez</t>
  </si>
  <si>
    <t>Tablero abierto en la ETEI. Reporto Josué Lepe</t>
  </si>
  <si>
    <t>Tornillo salido a la par de tanque de nitrógeno L3. Reporto Hugo Oliva</t>
  </si>
  <si>
    <t>Acceso L5 algún proveedor que estuvo trabajando ahí dejo las llaves de agua abiertas, se cierran de inmedito. Reporto Jorge Ixtacuy</t>
  </si>
  <si>
    <t>Jarabe y agua en piso a un costado de etiquetadora, se corrige linea 3. Reporto Oscar Ramirez</t>
  </si>
  <si>
    <t>Toma corriente en mal estado en ETEI. Reporto Rodrigo Galindo</t>
  </si>
  <si>
    <t>aceite en piso  cerca de empacadora linea 3. Reporto Oscar Ramirez</t>
  </si>
  <si>
    <t>Lámpara Solar sin iluminación en área de CD. Reporto Antony Ramos</t>
  </si>
  <si>
    <t>Bancas en pérgola en mal estado con patas quebradas. Reporto Brian Neftaly</t>
  </si>
  <si>
    <t>Dispositivo de seguridad de puerta de sopladora no se encontraba funcionando. Reporto Yessi Guarcas</t>
  </si>
  <si>
    <t>Hallazgos de inspección matinal en pisos. Reporto Selvin Pérez</t>
  </si>
  <si>
    <t>Pt y tarimas sobre pasos peatonales, aleron y bodega 9 y bodega 4 en tarimas en paso peatonal. Reporto Bladimir López</t>
  </si>
  <si>
    <t>Maleza en la subestación, es un riesgo en los transformadores si llegara a crecer más, programar poda. Reporto Edson Bonifacio</t>
  </si>
  <si>
    <t>Manta inifuga dañada y mal instalada MANTENIMIENTO. Reporto Selvin Pérez</t>
  </si>
  <si>
    <t>Un secciónador del transporte de rechazo de lleno de l2. Reporto Haydée Hernández</t>
  </si>
  <si>
    <t>Switch abierto y con cables expuestos en tanques de soda caustica para lineas. Reporto Josué Vásquez</t>
  </si>
  <si>
    <t>Polipastro con gancho sin pestillo condición insegura MANTENIMIENTO. Reporto Selvin Pérez</t>
  </si>
  <si>
    <t xml:space="preserve"> desprendimiento de lamina de policarbonato con riesgo de caída en la bodega 5 de tarimas. Reporto Daniel Pineda</t>
  </si>
  <si>
    <t>Escalera sin restricción en L4, colocar en su lugar. Reporto Efrain Valux</t>
  </si>
  <si>
    <t>Derrame de aceite por todo el paso peatonal viniendo desde linea 3 hasta llegar al paso peatonal entre linea 1 y 2. Reporto Haydée Hernández</t>
  </si>
  <si>
    <t>Cajas con filtros despachados a L5 mal estibados propensos a caer frente a oficina almacén de repuestos. Reporto Jason Calderón</t>
  </si>
  <si>
    <t>Dispensador con riesgo de caída en cabina de acceso de L3. Reporto Efrain Valux</t>
  </si>
  <si>
    <t>Sensor de acceso bloqueado No libera acceso de Lab De calidad a L02. Reporto Gerson Castañeda</t>
  </si>
  <si>
    <t>escaleras frente bodega preforma L3 sin cintas antideslizantes.</t>
  </si>
  <si>
    <t>Tarima obstaculizando el paso en Linea 5, se corrige. Reporto Gilmar Mazariegos</t>
  </si>
  <si>
    <t>Químicos fuera de bandejas de contención. Reporto Luis Cabrera</t>
  </si>
  <si>
    <t>Piso mojado cerca de insumos de línea sin rotulación Se identifica y se limpia. Reporto Luis Cabrera</t>
  </si>
  <si>
    <t>no hay luz en el parqueo externo. Reporto Maria Obregón</t>
  </si>
  <si>
    <t>Escaleras resbaladizas por limpieza sin señalizacion.Reporto Adrian Santisteban</t>
  </si>
  <si>
    <t>Paso peatonal mojado y resvaladizos sin rótulo de precaución .Reporto Adrian Santisteban</t>
  </si>
  <si>
    <t>Uso de escalera sin señalizar área de trabajo en entrada a llenadora en línea 4.
Reporta: Leidy Vanesa Camey</t>
  </si>
  <si>
    <t>Acumulación de reciclaje obstaculiza pasos peatonales y de montacargas .Reporto Adrian Santisteban</t>
  </si>
  <si>
    <t>Válvula sin guía de seguridad .Reporto Adrian Santisteban</t>
  </si>
  <si>
    <t>Bomba con fuga de cal puede provocar pisos resvaladizos .Reporto Adrian Santisteban</t>
  </si>
  <si>
    <t>Tarimas obstaculizando el paso .Reporto Adrian Santisteban</t>
  </si>
  <si>
    <t>El reactor 2 presenta rebalse de agua por taponamiento de zona de reacción .Reporto Adrian Santisteban</t>
  </si>
  <si>
    <t>Tarima de termoencogile obtruyendo pasillos de Linea 4. Reporto Alfonso Guatzin</t>
  </si>
  <si>
    <t>Tarima se encuentra obstaculizando paso peatonal Línea 4. Reporto Alfonso Guatzin</t>
  </si>
  <si>
    <t>Tarima de termo encogible obstruyendo pasillos de Línea 4. Reporto Alfonso Guatzin</t>
  </si>
  <si>
    <t>Tarima con peligro de caída a un costado de transporte de botellas Línea 4. Reporto Alfonso Guatzin</t>
  </si>
  <si>
    <t>Escalera sin restricción Línea 4, se corrige. Reporto Alfonso Guatzin</t>
  </si>
  <si>
    <t>Volcador de proforma L3, tapadera sobre puesta. Reporto Amilcar Ralda</t>
  </si>
  <si>
    <t>Se encuentra piso mojado en paso peatonal cuarto contramuestras. Reporto Andrea Gonzalez</t>
  </si>
  <si>
    <t>Se encuentra fuga en tubería de vapor, por lo que gotea agua caliente. Reporto Andrea Gonzalez</t>
  </si>
  <si>
    <t>Paso peatonal mojado con superficie resbaladiza (ya se logra visualizar formación de musgo). Reporto Andrea Gonzalez</t>
  </si>
  <si>
    <t>Candado de panel eléctrico con candado abierto, en sala llenado. Reporto Andrea Gonzalez</t>
  </si>
  <si>
    <t>Agitador de sala nueva de jarabes no cuenta con todos los tornillos y otros están sin tuercas, estos mismos son levantados por la grúa lo cual presentan riesgo que le llegue a caer a un operador. Reporto Antony Ramos</t>
  </si>
  <si>
    <t>Panel de soda no cuenta con restricción real. Reporto Antony Ramos</t>
  </si>
  <si>
    <t>Falta de protección a chumaceros de L3. Reporto Antony Ramos</t>
  </si>
  <si>
    <t>Falta protección a chumacera transporte salida de etiquetadora L4. Reporto Antony Ramos</t>
  </si>
  <si>
    <t>Pasillo en línea #4 obstaculizada con tarima de madera. reporta Benedicto Barrios</t>
  </si>
  <si>
    <t xml:space="preserve"> tarima mal apiladas en bod 3. Reporto Bladimir López</t>
  </si>
  <si>
    <t>tarima mal estibada bodega 8. Reporto Bladimir López</t>
  </si>
  <si>
    <t>Acumulacion de condensado bod 2. Reporto Bladimir López</t>
  </si>
  <si>
    <t>Se encuentran químicos para CIP fuera de contenedores de derrame. Reporto  Bryan Neftaly</t>
  </si>
  <si>
    <t>Paso peatonal y puerta de salida de emergencia obstaculizado con mulita de carga.Reporto  Bryan Neftaly</t>
  </si>
  <si>
    <t>Tarima obstruyendo paso de montacargas.Reporto  Bryan Neftaly</t>
  </si>
  <si>
    <t>En paso de montacargas de MP se encuentran restos de tarima tirado con clavos q podrían provocar un daño. Reporto  Bryan Neftaly</t>
  </si>
  <si>
    <t>Paso peatonal obstaculizado con cajas de producto. Bryan Neftaly</t>
  </si>
  <si>
    <t>Extintor fuera de área asignada obstruyendo paso peatonal. Reporto Bryan Neftaly</t>
  </si>
  <si>
    <t>Piso quebrado con riesgo de tropiezo peatonal que dirige a parqueo interno. Reporto Carlos Coc</t>
  </si>
  <si>
    <t>Acumulación de tarimas frente osmosis, se corrige. Reporto Carlos Coc</t>
  </si>
  <si>
    <t>Rampa frente tratamiento de agua es necesario colocar antideslizante. Reporto Carlos coc</t>
  </si>
  <si>
    <t>Tarimas mal ubicadas en parqueo interno reporta alrededores. Reporto Carlos Coc</t>
  </si>
  <si>
    <t>Se detecta demasiado calor en el área de Jarabes antigüo,según comentan los compañeros es por falta de mantenimiento a los ductos de ventilación, extractores e inyectores. Reporto Daniel Pineda</t>
  </si>
  <si>
    <t xml:space="preserve"> tarima con producto, se encuentra abarcando área de ducha de emergencia. Reporto Daniel Pineda</t>
  </si>
  <si>
    <t xml:space="preserve"> gancho colgante de camilla se encuentra dañado en Centro de Distribución. Reporto Daniel Pineda</t>
  </si>
  <si>
    <t>Fuga de vapor, en tubería del sistema de condensado de vapor de L5. Reporto Hugo Oliva</t>
  </si>
  <si>
    <t>Tubería almacenada por encima de la guía soporte en el taller de mantenimiento. Reporto Denni León</t>
  </si>
  <si>
    <t>De la sala de jarabes cuando usan agua para limpieza ingresa por la puerta del laboratorio, se humedece el laboratorio. (se secó y se limpió). Reporta Domingo Yac</t>
  </si>
  <si>
    <t>Botón de emergencia sin tapadera. Reporta Domingo Yac</t>
  </si>
  <si>
    <t>Puerta en mal estado del laboratorio de tratamiento de agua con cierra correctamente. Reporto Edgar Coti</t>
  </si>
  <si>
    <t>Panel eléctrico de paletizadora forzada, cuenta con el candado, pero la aldaba se quito. Reporto Edgar Coti</t>
  </si>
  <si>
    <t>panel eléctrico de transporte en línea 3 abierto. Reporto Edgar Coti</t>
  </si>
  <si>
    <t>Bomba de lavadora de cajillas mal ubicado enfrente del taller de mantenimiento. Reporto Edson Bonifacio</t>
  </si>
  <si>
    <t>Mejorar orden y limpieza en los cuartos eléctricos de ETI, tenemos obstáculos en la entrada con  mangueras,  pinturas entre otros, se dificulta el acceso a toma de lecturas por calderistas. Reporto Edson Bonifacio</t>
  </si>
  <si>
    <t>Fuga de vapor en flange techo intermedio L2. Reporto Edson Bonifacio</t>
  </si>
  <si>
    <t>Fuga de vapor en retorno de condensado en nave de osmosis. Reporto Edson Bonifacio</t>
  </si>
  <si>
    <t>Cuarto eléctrico con puerta abierta en los tanques de soda abierto, cambiar el candado. Reporto Edson Bonifacio</t>
  </si>
  <si>
    <t>Bomba enfrente del taller mal ubicado y en paso peatonal,se corrige. Reporto Edson Bonifacio</t>
  </si>
  <si>
    <t>Piedra  del esmeril de mantenimiento dañado, inhabilitar equipo mientras se repara. Reporto Edson Bonifacio</t>
  </si>
  <si>
    <t>Drenaje de lavado de laboratorio de Paquetecnia, en mal estado, puede generar charcos y pisos resbaladizos. Reporto Eliú Tello</t>
  </si>
  <si>
    <t>Fuga en pasteurizador se repara en el momento con el apoyo de IISA  era un empaque, se corrige. Reporto Eliú Tello</t>
  </si>
  <si>
    <t>Aldaba de seguridad en mal estado L1. Reporto Fredy Fuentes</t>
  </si>
  <si>
    <t>Acumulación de vidrio salida de lavadora L1, se corrige. Reporto Fredy Fuentes</t>
  </si>
  <si>
    <t>Se recepcionaron cilindros de acetileno y el proveedor no los dejo sujetados, se corrigio en el momento para evitar caidas. Reporto Fredy Fuentes</t>
  </si>
  <si>
    <t xml:space="preserve">Tolva mal posicionada en extractor de etiquetas de Lavadora L01, Al activar, salpica área de paso peatonal con líquidos con arrastre de soda. Reporto Gerson Castañeda
</t>
  </si>
  <si>
    <t>tarima mal colocada, Puede caerle a alguien en los pies. Reporto Gilmar Mazariegos</t>
  </si>
  <si>
    <t>Se cerrará candado panel eléctrico lavadora de botellas 1. Reporto Gustavo Hernández</t>
  </si>
  <si>
    <t>Se cerrará candado en panel mixer 3. Reporto Gustavo Hernández</t>
  </si>
  <si>
    <t>Se cerrará candado panel sala de llenado 2. Reporto Gustavo Hernández</t>
  </si>
  <si>
    <t>Candado abierto panel  visor de temperatura lavadora 2. Reporto Gustavo Hernández</t>
  </si>
  <si>
    <t>Vidrio quebrado puerta de acceso he L2 hacia L1, se delimita pero es necesario cambiarlo. Reporto Haydée Martínez</t>
  </si>
  <si>
    <t>Fuga de vapor en L2, se delimita el acceso en el área mientras se repara. Reporto Haydée Martínez</t>
  </si>
  <si>
    <t>L1 acceso peatonal hacia gradas encajonadora agua reposada y vidrio riesgo de caída. Reporto Haydée Martínez</t>
  </si>
  <si>
    <t>L1 una lámpara no entiende en área de lámpara inspección #1. Reporto Haydée Martínez</t>
  </si>
  <si>
    <t>encajonadora pata dañada se cayo tornillo de graduación de la mesa transporte de ingreso producto en l1. Reporto Haydée Martínez</t>
  </si>
  <si>
    <t>escaleras frente bodega preforma L3 sin cintas antideslizantes. Reporto Hellen Consuelo</t>
  </si>
  <si>
    <t xml:space="preserve"> Estructura o andamio insegura. Reporto Hellen Consuelo</t>
  </si>
  <si>
    <t>Escalera sin antideslizante, a la par de etiquetadora L1. Reporto Hugo Oliva</t>
  </si>
  <si>
    <t>Contenedor de vidrio averiado en L1. Reporto Hugo Oliva</t>
  </si>
  <si>
    <t>Exceso de vidrio paso de montacargas bod8. Reporto Isabel Saquila</t>
  </si>
  <si>
    <t>Riesgo de derrumbe en bod2 del cd. Reporto Isabel Saquila</t>
  </si>
  <si>
    <t>Tarimas mal estibadas en bod5. Reporto Isabel Saquila</t>
  </si>
  <si>
    <t>nvase inclinado con riesgo de caída Cerca de pit de cargas CD, se corrige. Reporto Isabel Saquila</t>
  </si>
  <si>
    <t>Tarima de azúcar quebrada Jumbo de azúcar propenso a caer en Bodega MP, se corrige. Reporto Jaime Chex</t>
  </si>
  <si>
    <t>Tarima de producto quebrada en MP. Reporto Jaime Chex</t>
  </si>
  <si>
    <t>Materiales obstaculizan ingreso a almacen de repuestos, reporta Jason Calderón</t>
  </si>
  <si>
    <t>Área de riesgo de alto voltaje sin restricción de acceso, se corrige de inmediato. Reporto Jessica Loarca</t>
  </si>
  <si>
    <t>Guarda acrílico quebrado. Reporto Jorge Ixtacuy</t>
  </si>
  <si>
    <t>Lámpara dañada en calderas. Reporto Josue Abraham</t>
  </si>
  <si>
    <t>Solicitar reaprite a topes de racks estan varios flojos o con las tuercas flojas en MP. Reporto Josué Vásquez</t>
  </si>
  <si>
    <t>Revisar cables de generadora ya que se ven dañados y pueden generar corto circuito. Reporto Josué Vásquez</t>
  </si>
  <si>
    <t>Reparar elevadores de tarima ya están muy bajos los del final en l1. Reporto Josué Vásquez</t>
  </si>
  <si>
    <t>Colocar rótulo de ducha de emergencia en l4. Reporto Josué Vásquez</t>
  </si>
  <si>
    <t>Lámpara de sala embajadores defectuosa con destellos. Reporto Josué Vásquez</t>
  </si>
  <si>
    <t>Restringir gabinetes eléctricos y rotular de equipo de refrigeración de L4. Reporto Josué Vásquez</t>
  </si>
  <si>
    <t>Reparar prensa estopa en caja eléctrica de motor de transporte en sala de llenado en l2. Reporto Josué Vásquez</t>
  </si>
  <si>
    <t>Laminas traslúcidas en mal estado en bodega de tarimas del CD. Reporto Josué Vásquez</t>
  </si>
  <si>
    <t>Lámpara en mal estado en oficina del CD. Reporto Josué Vásquez</t>
  </si>
  <si>
    <t>Lámpara mal estado pasillo oficinas del CD. Reporto Josué Vásquez</t>
  </si>
  <si>
    <t>Lámparas en mal estado en ingreso a baños del CD. Reporto Josué Vásquez</t>
  </si>
  <si>
    <t>Lámpara dañada en equipos Auxiliares, se corrige. Reporto Josué Vásquez</t>
  </si>
  <si>
    <t>Lampara en mal estado en el CD en bodega 4. Reporto Josué Vásquez</t>
  </si>
  <si>
    <t>Ajustar las bases de plataforma en salida de lavadora l1. Reporto Josué Vásquez</t>
  </si>
  <si>
    <t>Fuga de agua justo sobre lámpara del baño en sala de espera de alrededores. Reporto Josué Vásquez</t>
  </si>
  <si>
    <t>Instalar tuberia de soda hacia sala nueva de jarabes, de momento se traslada manual de SAJ para SNJ con toneles. Reporto Karla Hintz</t>
  </si>
  <si>
    <t>arima de tapon muy inclinada ubicada en racks, se coordinar con operador de motacarga bajarla. Reporto kelly Calderón</t>
  </si>
  <si>
    <t>Tarima quebrada en los corredores de preforma, puede provocar accidente. Reporta Leidy Camey</t>
  </si>
  <si>
    <t>Condensado en paso peatonal bodega CD, se corrige.Reporto Luis Angel</t>
  </si>
  <si>
    <t>Tarima en paso peatona, se corrige. Reporto Luis Angel</t>
  </si>
  <si>
    <t>Torre de preforma con riesgo de caída en bodega de preforma L4, se corrige en el momento. Reporto Luis Angel</t>
  </si>
  <si>
    <t>Condensado cayendo de techo trasero de Linea 5, provoca piso mojado en rampa que dirige a MP, riesgo de derrape y colisión. reporta Luis Angel</t>
  </si>
  <si>
    <t>Tarima sobre paso peatonal bodega 9 CD. Reporto Luis Angel</t>
  </si>
  <si>
    <t>Esquina de Malla suelta en portón de bodega 9 del cd. Reporto Luis Angel</t>
  </si>
  <si>
    <t>Tarima sobre paso peatonal bodega 4. Reporto Luis Angel</t>
  </si>
  <si>
    <t>Cansado de restriccion ingresos a pipas de CO2 dañado, no permite cerrar. Reporto Luis Angel</t>
  </si>
  <si>
    <t>Vidrio en paso peatonal a un costado de nave ósmosis, se corrige. Reporto Luis Angel</t>
  </si>
  <si>
    <t>Se tiene unas lámparas Led en mal estado en el laboratorio de paquetecnia Se corrige de inmediato. Luis Cabrera</t>
  </si>
  <si>
    <t>Pt con inclinación  riesgo de caída en bodega 2. Reporto Luis Pérez</t>
  </si>
  <si>
    <t>Tm sobre paso peatonal de bodega 8. Reporto Luis Pérez</t>
  </si>
  <si>
    <t>Pt sobre paso peatonal de bodega 4. Reporto Luis Pérez</t>
  </si>
  <si>
    <t>Acumulación de condensado en bodega 1 del cd. Reporto Luis Pérez</t>
  </si>
  <si>
    <t>Tm de envase dañada en área de  bulevar. Reporto Luis Pérez</t>
  </si>
  <si>
    <t>Envase de 500 ml con inclinación riesgo de caída en área de bulevar cdc. Reporto Luis Pérez</t>
  </si>
  <si>
    <t>Tarima de jumbo quebrada en mal estado. Reporto Hellen Consuelo</t>
  </si>
  <si>
    <t>Lamina con filo safada en l1. Reporto Maria Obregón</t>
  </si>
  <si>
    <t>escalera fuera de lugar en bodega del cd frente a sala de jarabes antigua. Reporto Maria Obregón</t>
  </si>
  <si>
    <t>Corcholata falseando magneto de puerta a ingreso de sala de llenado de l1. Reporto Maria Obregón</t>
  </si>
  <si>
    <t>Se encuentra carreta obstaculizando el paso peatonal de línea 2. Nelson Godinez</t>
  </si>
  <si>
    <t>Se encuentra plástico quebradizo fuera de su zona, conductor de transporte de preforma estaba en piso de sala llenado L3. Nelson Godinez</t>
  </si>
  <si>
    <t>Polin defectuoso, tarima con frutas frescas en bodega 3. Reporto Nelson Godinez</t>
  </si>
  <si>
    <t>Se encuentra escalera sin restricción en sala nueva de jarabes y no se encuentra nadie trabajando. Reporto Nelson Godinez</t>
  </si>
  <si>
    <t>Se encuentra escalera sin restricción en línea 3. Reporto Nelson Godinez</t>
  </si>
  <si>
    <t>Tarima obstaculizando paso peatonal en línea 5.  Reporto Nelson Godinez</t>
  </si>
  <si>
    <t>Falta de señalizacion de piso mojado, se corrige. Reporto Oscar Ramirez</t>
  </si>
  <si>
    <t>Guarda no instalada en empacadora linea 2, se corrige. Reporto  Oscar Ramirez</t>
  </si>
  <si>
    <t>Epp obstaculizando estacion lavaojos, no se pueden bloquear equipos de emergencia. Reporto Oscar Ramirez</t>
  </si>
  <si>
    <t>Falta de candado en caja de mandos empacadora linea 2. Reporto Oscar Ramirez</t>
  </si>
  <si>
    <t>Fuga de agua en lavamanos linea 3 cerca de etiquetadora. Reporto Oscar Ramirez</t>
  </si>
  <si>
    <t>Soporte de transporte empacadora linea 1 le falta un punto de apoyo se encuentra floja. Reporto Oscar Ramirez</t>
  </si>
  <si>
    <t>Jarabe en piso sala preempaque  linea 3, se limpiea. reporto Oscar Ramirez</t>
  </si>
  <si>
    <t>Sin rejilla en drenaje al lado de antigua torre marley. Reporto Pablo Donis</t>
  </si>
  <si>
    <t>Ingreso a generador 2 sin restriccion, se corrige. Reporto Pedro Donis</t>
  </si>
  <si>
    <t xml:space="preserve"> tarima mal estibada en bodega de azúcar de MP. Reporto Rebeca Morales</t>
  </si>
  <si>
    <t>Tarima fuera de lugar en alrededores, se corrige. Reporto Reporto Rodrigo Galindo</t>
  </si>
  <si>
    <t>Falta de rejilla en canal de criba #2. Reporto Rodrigo Galindo</t>
  </si>
  <si>
    <t>Mal practica de equipo de retracción de seguridad, El dejar estirarado el yoyo acorta su vida útil. colocar pita y dejarlo reatraido. Reporto Rodrigo Galindo</t>
  </si>
  <si>
    <t>Interruptor en mal estado En tanque de soda. Reporto Rodrigo Galindo</t>
  </si>
  <si>
    <t>Sensor en mal estado, amarrado con cinchos plasticos. Reporto Rodrigo Galindo</t>
  </si>
  <si>
    <t>Chumacera sin protección, transportaror hacia lavadora de cajillas L1. Reporto Ronald Chojolan</t>
  </si>
  <si>
    <t>Rejilla fuera de lugar en la salida de la ETEI, se corige. Reporto Ronald Chojolan</t>
  </si>
  <si>
    <t>Se reporta silla en sala vieja de jarabes, con falta de rodos en la base, con riego de caída a la hora de estar sentado. Reporto Benedicto Barrios</t>
  </si>
  <si>
    <t>Lámpara de laboratorio fisicoquímico está parpadeando, la segunda del lado izquierdo. Reporta: Leidy Vanesa Camey</t>
  </si>
  <si>
    <t>Falta el candado de restricción en panel al fondo del cuarto eléctrico. Reporto Yessi Guarcas</t>
  </si>
  <si>
    <t>Restricción de ingreso a nuevo cuarto eléctrico no funciona. Reporto Yessi Guarcas</t>
  </si>
  <si>
    <t>Falta protección a chumacera transporte salida de etiquetadora L4. Reporto Yessi Guarcas</t>
  </si>
  <si>
    <t>Varias luces quemadas en área de entarimado L1. Reporto Yessi Guarcas</t>
  </si>
  <si>
    <t>lamparas sin funcionar en Lavadora L1. Reporto Yessi Guarcas</t>
  </si>
  <si>
    <t>Falta guarda en final de carrera transporte hacia lavadora L1. Reporto Yessi Guarcas</t>
  </si>
  <si>
    <t>Fuga de condensado en unidad de aire, sala se llenado linea 4. Reporto Obdulio Cap</t>
  </si>
  <si>
    <t>Escalera hacia desempacadora L1 se encuentra floja de esta pata. Reporto Yessi Guarcas</t>
  </si>
  <si>
    <t>Graditas metálicas sin cinta antideslizante a la par de inspector L1. Reporto Yessi Guarcas</t>
  </si>
  <si>
    <t>Área de lavado manual de envase con 2 lámparas sin funcionar. Reporto Yessi Guarcas</t>
  </si>
  <si>
    <t>Escalera sin restricción atras de ósmosis, se corrige. Reporto Yessica Loarca</t>
  </si>
  <si>
    <t>Fuga en tubería de holding L5. Reporto Eliu Tello</t>
  </si>
  <si>
    <t>Cambiar cedazo puerta entrada del taller de mantenimiento ya está en mal estado y deshilada puede causar cortes. Reporto Edson Bonifacio</t>
  </si>
  <si>
    <t>No está bien delimitado el área donde estan trabajando auxiliares de linea 1, enfrente de los condensadores evaporativos, se corrige. Reporto Edson Bonifacio</t>
  </si>
  <si>
    <t>Nuevo sistema de condensado sin enchaquetar ni aislar, se encuentra demasiado cerca de la zona operativa del cooler del AF siendo un alto riesgo de quemaduras para Calderistas y proveedores. Reporto Pablo Donis</t>
  </si>
  <si>
    <t>Escalera obstaculizando pasillo de centeo en almacen de repuestos, reporta jason Calderón</t>
  </si>
  <si>
    <t xml:space="preserve"> Dos lámparas frente a pallet de línea 4. Se encuentran sin funcionar. Reporta Leidy Camey</t>
  </si>
  <si>
    <t>Vehiculo se parqueo despues del alto. Reporto Jessica Loarca</t>
  </si>
  <si>
    <t>Se reporta escaleras de sala de llenado de línea 4 sin su respectiva restricción, se corrige. Reporto Alfonso Guatzin</t>
  </si>
  <si>
    <t>Trafo sin sujeción a la estructura metálica puede caerse ante un sismo o golpe, en nave de Osmosis, Reporto Elvis Oliva</t>
  </si>
  <si>
    <t>Tarima sobre paso peatonal en CD. Reporto Bladimir Lopez</t>
  </si>
  <si>
    <t>Aldaba dañada en panel electrico lavadora de botellas no permite correcto cerrado de panel enfrente de lavadora de L1. Reporto Oscar Cua</t>
  </si>
  <si>
    <t>Área de pipas de Co2 sin restricción. Reporto Roger Rivas</t>
  </si>
  <si>
    <t>Codificador sin delimitación en sala de llenadora de L1. Reporto Antony Ramos</t>
  </si>
  <si>
    <t>Llenadora de L1 cuando se realiza CIP se observa la fuga y este contiene químicos como el
vortexx y soda cáustica, con riesgo a salpicaduras a personal. Reporto Antony Ramos</t>
  </si>
  <si>
    <t>Orden y limpieza, junto a etiquetadora Sacmi. Reporto Jaime Chilel</t>
  </si>
  <si>
    <t>Sin señalizar en paso peatonal, nuevo cuarto eléctrico. Reporto Yessi Guarcas</t>
  </si>
  <si>
    <t>Quimico Fuera de Duque. Reporto Jaime Chilel</t>
  </si>
  <si>
    <t>Cajilla en mal estado en CD. Reporto Wilber Lopez</t>
  </si>
  <si>
    <t>Fuga de agua cayendo sobre caja de conexiones de bomba de CIP ADUE. Reporto Elvis Oliva</t>
  </si>
  <si>
    <t>Contenedor con chatarra demasiado Lleno, tubo puede provocar un golpe. Reporto Roger Rivas</t>
  </si>
  <si>
    <t>Falta protección de caja reductora en transporte lleno de L2. Reporto Josue Vasquez</t>
  </si>
  <si>
    <t>Persiana de ventana quebrada en Mantenimiento. Reporto Oscar Cua</t>
  </si>
  <si>
    <t>Fuga de agua en compresor del cuarto eléctrico. Reporto Yessi Guarcas</t>
  </si>
  <si>
    <t>Falta protección de Chumacera en banda transporte rechazo sala llenado L2. Reporto Josue Vasquez</t>
  </si>
  <si>
    <t>Contenedores sobre el 100% de capacidad no se pueden vaciar de manera manual. Reporto Wilber Lopez</t>
  </si>
  <si>
    <t>Tarimas sin restriccion correcta cerca de nave osmosis, Reporto Carlos Chavez</t>
  </si>
  <si>
    <t>Falta cinta antideslizante en pasillo a la par de nave de osmosis. Reporto Carlos Chavez</t>
  </si>
  <si>
    <t>Escalera sin restricción correcta en L1. Reporto Antony Ramos</t>
  </si>
  <si>
    <t>Lampara de almacen de repuestos en mal estado. Reporto Oscar Cua</t>
  </si>
  <si>
    <t>Tarima sobre paso peatonal en B4 de CD. Reporto Bladimir Lopez</t>
  </si>
  <si>
    <t>Limpieza de drenajes en CD sin delimitacion, y no hay nadie trabajando. Reporto Edson Bonifacio</t>
  </si>
  <si>
    <t>Parque Exterior sin iluminacion</t>
  </si>
  <si>
    <t xml:space="preserve">Tarima sobre paso peatonal en CD. Reporto Bladimir Lopez </t>
  </si>
  <si>
    <t>Bladimir Lopez</t>
  </si>
  <si>
    <t>Chapa defectuosa en puerta de bodega de GyG. Reporto Carlos Chavez</t>
  </si>
  <si>
    <t>Compresor de baja 1 abierto, se deja cerrado. Reporto Edson Bonifacio</t>
  </si>
  <si>
    <t>Hundimiento de pavimento en zona carga</t>
  </si>
  <si>
    <t>Vidrio roto por salida de línea 1. Reporto Roger Rivas</t>
  </si>
  <si>
    <t>Brazo de cierrapuerta hidraulico caido, no permite el cierre correcto. Reporto Alejandro Martinez</t>
  </si>
  <si>
    <t>Puerta caída de acceso a sala de llenado de L4. Reporto Alejandro Martinez</t>
  </si>
  <si>
    <t>Pintura de pasos peatonales degradadas en CD. Reporto Wilber Lopez</t>
  </si>
  <si>
    <t>Canaleta descolgada junto a curva previo a etiquetadora Sacmi L3. Reporto Jaime Chilel</t>
  </si>
  <si>
    <t>cintas antideslizantes en mal estado de rampa localizada frente a área de lockers de hombres. Reporto Hellen Consuelo</t>
  </si>
  <si>
    <t>Rampa angosta frente a embajadores complica el paso de brigadistas con camilla ante una emergencia. Reporto Josué Vásquez</t>
  </si>
  <si>
    <t xml:space="preserve"> Comunicar el plan y procedimiento de emergencia para reforzar la evacuación del personal con personal interno (L3 y L4) y externo. Reporto Josué Vásquez</t>
  </si>
  <si>
    <t>Informar a seguridad física sobre el procedimiento ante una emergencia para el retorno a actividades, el acceso quedó libre sin control de quienes ingresaban después del simulacro. Reporto Josué Vásquez</t>
  </si>
  <si>
    <t>Capacitación para reforzar primeros auxilios en caso de amoniaco. Reporto Josué Vásquez</t>
  </si>
  <si>
    <t>Falta de equipo para comunicación efectiva (radios). Reporto Josué Vásquez</t>
  </si>
  <si>
    <t>Reforzar capacitación de brigadistas de cómo actuar ante una emergencia. Reporto Josué Vásquez</t>
  </si>
  <si>
    <t>Capacitación a brigadistas con el uso de equipo de respiración autónoma. Reporto Josué Vásquez</t>
  </si>
  <si>
    <t>Se encuentra tarimas con saco de azucar mal estibada. En el area se azucar. Reporto Kelly Calderón</t>
  </si>
  <si>
    <t>Tarimas sobre paso peatonal en Bodega 8. Reporto Bladimir Lopez</t>
  </si>
  <si>
    <t>Vidrio sobre paso de montacarga en Bodega 8. Reporto Bladimir López</t>
  </si>
  <si>
    <t>Fuga de tubería, ocasiona piso mojado a un costado de Sala de Jarabes Antiguo. Reporto Oscar Cua</t>
  </si>
  <si>
    <t>Oscar Cua</t>
  </si>
  <si>
    <t>Puerta caída en sala de llenadora de L1, no hace el correcto cierre. Reporto Antony Ramos</t>
  </si>
  <si>
    <t>L3 el panel eléctrico de transportes esta abierto con un ventilador por falla de sistema de enfriamiento, no se cuenta con repuesto el proveedor de aire sistemas lo podrá cambiar el dia lunes.</t>
  </si>
  <si>
    <t>Extintor fuera de lugar frente a generador antiguo. Reporto Rodrigo Galindo</t>
  </si>
  <si>
    <t>Tarima obstaculizando paso peatonal en línea 5. Reporta Andrea Gonzalez</t>
  </si>
  <si>
    <t>Paneles electricos de Lavadora de botella de L1, sin restricción. Reporto Oscar Cua</t>
  </si>
  <si>
    <t>Falta traje de kit antiderrame. Reporto Oscar Cua</t>
  </si>
  <si>
    <t>Tuberia safada de bandeja provoca que lubricante caiga al piso en L1. Reporto Oscar Cua</t>
  </si>
  <si>
    <t>Candado abierto de panel en jaula de quimico ecolab de L1. Reporto Oscar Cua</t>
  </si>
  <si>
    <t>Piso mojado sin rotulo de riesgo de caida por piso mojado en L1. Reporto Oscar Cua</t>
  </si>
  <si>
    <t>Tapadera de drenaje fuera de lugar. Reporta Charly Coc</t>
  </si>
  <si>
    <t>Charly Coc</t>
  </si>
  <si>
    <t>Tapadera de pozo no está puesta, no hay señalización y están trabajando proveedores cerca, atras de tanque de soda. Reporto Edson Bonifacio</t>
  </si>
  <si>
    <t>Vidrio en piso en sala llenado linea 1. Reporto Oscar Cua</t>
  </si>
  <si>
    <t xml:space="preserve"> Oscar Cua</t>
  </si>
  <si>
    <t>Toma de  corriente en mal estado, pasillo de etiquetadora a encajonadora linea 1. Reporto Jose Aguilar</t>
  </si>
  <si>
    <t>Reporto Aguilar</t>
  </si>
  <si>
    <t>Se cerrarán candados de paneles  transportes L3.G.H.. Reporto Gustavo Hernandez</t>
  </si>
  <si>
    <t>Fuga de agua en tubería torre enfriamiento frente a linea 3. Reporta Gustavo Hernandez</t>
  </si>
  <si>
    <t>Escalera de lavadora de botellas con cinta antideslizante dañada de L1. Reporto Oscar Cua</t>
  </si>
  <si>
    <t>Candado abierto de panel eléctrico en área de polipreparador de ETEI. Reporto Josue Lepe</t>
  </si>
  <si>
    <t>Retorno de Puerta de acceso principal a planta mal ajustado. Reporta Gerson Castañeda</t>
  </si>
  <si>
    <t>Tapadera mal colocada y con hierros expuestos, en paso peatonal de Sala Antigua de Jarabes a L3. Reporto Roy Luarca</t>
  </si>
  <si>
    <t>Bandeja desentarimado L2 a punto de caer. Reporto Edson Bonifacio</t>
  </si>
  <si>
    <t>Fuga de condensado en sistema de aire acondicionado en línea 4. Reporto Gimar Mazariegos</t>
  </si>
  <si>
    <t>Gimar Mazariegos</t>
  </si>
  <si>
    <t>Fuga de vapor en equipada CIP de L4. Reporto Gustavo Hernandez</t>
  </si>
  <si>
    <t>Exceso de vidrio en piso sala de llenado. Reporta Andrea Gonzalez</t>
  </si>
  <si>
    <t>Escalera en lugar inadecuado, sin cadena de seguridad ni área delimitada. Reporta Leidy Vanesa Camey</t>
  </si>
  <si>
    <t>Llave de medidor de agua de tanque en línea 2, queda abierto, piso mojado. Se procede a cerrar 
Reporta: Leidy Vanesa Camey</t>
  </si>
  <si>
    <t>Exceso de residuos y fuera de posición. Reporta Luis Cabrera</t>
  </si>
  <si>
    <t>Se cerrará candado panel lavadora de botella de L1. Reporto Gustavo Hernandez</t>
  </si>
  <si>
    <t>Se cerrará candado panel eléctrico ozonificador sala de llenado L3. Reporto Gustavo Hernandez</t>
  </si>
  <si>
    <t>Tomacorriente de Sala de Llenadora de L1, no instalado correctamente. Reporto Gustavo Hernandez</t>
  </si>
  <si>
    <t>Tarima sobre paso peatonal, aun costado de Bodega 1. Reporto Luis Perez</t>
  </si>
  <si>
    <t>Luis Perez</t>
  </si>
  <si>
    <t>Acumulación de espuma de lubricante en paso peatonal frente a encajonadora L1. Reporto Elvis Oliva</t>
  </si>
  <si>
    <t>Barrera de seguridad deficiente. Reporto Adrian Santisteban</t>
  </si>
  <si>
    <t>Puerta en mal estado, pasador roto. Reporto Elvis Oliva</t>
  </si>
  <si>
    <t>Tarima Mal ubicada en galera 3 atras del compresor de AF L4. Reporto Edson Bonifacio</t>
  </si>
  <si>
    <t>Tarima sobre paso peatonal de Bodega 4. Reporto Luis Perez</t>
  </si>
  <si>
    <t>Piso mojado de L3, gotea bandeja. Reporto Wilber Lopez</t>
  </si>
  <si>
    <t>Wilber Lopez</t>
  </si>
  <si>
    <t>Tarima fuera de lugar en L5. Reporto Coti</t>
  </si>
  <si>
    <t>Quimico con identificacion borrosa. Reporto Alejandro Martinez</t>
  </si>
  <si>
    <t>Piso mojado en sala de jarabes nuevo. Reporto Adrian santisteban</t>
  </si>
  <si>
    <t>Piso Mojado L3. Reporto Wilber Lopez</t>
  </si>
  <si>
    <t>Decapante sin etiquetado  y jabon fuera de control de quimicos Taller de Mantto. Reporto Byron Roldan</t>
  </si>
  <si>
    <t>Quimico sin rombo de seguridad. Reporto Byron Roldan</t>
  </si>
  <si>
    <t>Manguera sobre rejillas, falta de orden. Reporto Adrian Santisteban</t>
  </si>
  <si>
    <t>Producto sin Bandeja de contencion, en L5. Reporto Coti</t>
  </si>
  <si>
    <t>Puerta caida en sala de llenado de L5. Reporto Eliu Tello</t>
  </si>
  <si>
    <t>Quimico con etiqueta borrosa, no se logra identificar en L3. Reporto Wilber Lopez</t>
  </si>
  <si>
    <t>Herramientas Sobre plataforma en sala de jarabes nuevo, Reporto Adrian Santisteban</t>
  </si>
  <si>
    <t>Cajillas Fuera de lugar en sala de llenado de L2. Reporto Lisseth</t>
  </si>
  <si>
    <t>Lisseth Luarca</t>
  </si>
  <si>
    <t>Falta de dispositivo de seguridad para el acceso al area de llenado de L2</t>
  </si>
  <si>
    <t>Quimico con rombo borroso. Reporto Coti</t>
  </si>
  <si>
    <t>Bandeja de contencion llena de agua en nave de osmosis. Reporto Eduardo Ramos</t>
  </si>
  <si>
    <t>Falta de bandeja de contencion en laboratoria de micro. Reporto Alejandro Martinez</t>
  </si>
  <si>
    <t>Grasa en lugar inadecuado en cuarto de compresores. Reporto Edson Bonifacio</t>
  </si>
  <si>
    <t>Compuerta de contenedor en paso peatonal de montacargas. Reporto Adrian Santisteban</t>
  </si>
  <si>
    <t>Señalizacion en mal estado en ETEI. Reporta Yessi Guarcas</t>
  </si>
  <si>
    <t xml:space="preserve">Dispositivo de seguridad del inspector de L2 deshabilitado. Reporto Lisseth </t>
  </si>
  <si>
    <t>Cubeta con quimico trasegado, y nadie en el area de Reactores. Reporto Eduardo Ramos</t>
  </si>
  <si>
    <t>Puerta Caida en cabina de ingreso por Lavadora de L1y no hace correcto cierre. Reporto Lisseth</t>
  </si>
  <si>
    <t>Falta de tuberia de drenaje en salida de lavadora de L1, riesgo por piso resbaloso. Reporto Elvis Oliva</t>
  </si>
  <si>
    <t>Candado abierto de panel electrico de L2. Reporto Abraham Tahual</t>
  </si>
  <si>
    <t>Aire A/C goteando por acumulado de condensado en Oficina de CD. Reporto Bladimir Lopez</t>
  </si>
  <si>
    <t>Se reporta piso mojado en pasillos de preempacado línea 4. Reporta Alfonso Guatzin</t>
  </si>
  <si>
    <t>Borde de techo de transporte de sala de llenado de L1 con filo. Reporto Oscar Cua</t>
  </si>
  <si>
    <t>Punto de hidratacion en linea 2 no se encuentra funcionando. Reporto Oscar Cua</t>
  </si>
  <si>
    <t>Falta de candado en panel de mandos empacadora linea 2. Reporto Oscar Cua</t>
  </si>
  <si>
    <t>Acceso libre a mezzanine linea 1 no se deja restringido porque candado esta cerrado. Reporto Oscar Cua</t>
  </si>
  <si>
    <t>Piezas sueltas sobre plataforma empacadora linea 1. Reporto Oscar Cua</t>
  </si>
  <si>
    <t>Unidad de reciclaje de Recipa las luces traseras de direccionales y stop no funcionan en la  parte trasera. Reporto Luis Perez</t>
  </si>
  <si>
    <t>Contenedor fuera de lugar, en sala de llenado de L1. Reporto Antony Ramos</t>
  </si>
  <si>
    <t>Tarima inclinada, tapa mal estibada en MP. Reporto Jaime Chex</t>
  </si>
  <si>
    <t>Control de acceso a sala de llenado L2 no funciona. Reporto Alejandro Martinez</t>
  </si>
  <si>
    <t>Pernos sobresalen del suelo L5. Reporto Eliu Tello</t>
  </si>
  <si>
    <t>Piso resbaladizo por moho a un costado de torre de enfriamiento. Reporto Adrian Santisteban</t>
  </si>
  <si>
    <t>Pipeta de químico con rotulación no visible. Reporta Maria Obregon</t>
  </si>
  <si>
    <t>Quimico sin rombo de seguridad aprobado. Reporta Maria Obregon</t>
  </si>
  <si>
    <t>Atomizador sin rombo de seguridad. Reporta Maria Obregon</t>
  </si>
  <si>
    <t>Falta Alarma visual o auditiva que indique la intervención de la llenadora en L1. Reporta Yessi Guarcas</t>
  </si>
  <si>
    <t>Falta Alarma visual o auditiva que indique la intervención de la llenadora en L2. Reporta Yessi Guarcas</t>
  </si>
  <si>
    <t>La maya delimitadora en el proyecto del nuevo edificio se encuentra rota y en el suelo. Reporta Bryan Neftaly</t>
  </si>
  <si>
    <t>Panel Electrico de L1, sin restriccion. Reporto Gustavo Hernandez</t>
  </si>
  <si>
    <t>Espejo cóncavo sujeto con un solo tornillo propenso a caer. Área de calderas. Reporta Bryan Neftaly</t>
  </si>
  <si>
    <t>Se procede a cerrar panel electrico de Lavadora de L1. Reporto Gustavo Hernandez</t>
  </si>
  <si>
    <t>Mejorar pintura de paso de cebra hacia oficina de CD. Reporto Yessica Guarcas</t>
  </si>
  <si>
    <t>Sin restriccion a Equipos Auxiliares. Reporto Roger rivas</t>
  </si>
  <si>
    <t>Candado maestro sin cerrar panel eléctrico sala antigua de jarabes. Reporto Jaime Chex</t>
  </si>
  <si>
    <t>Rejillas mal colocadas en sala de jarabes nuevo. Reporto Adrian Santisteban</t>
  </si>
  <si>
    <t>Escalera en Sala nueva de jarabes sin restricción. Reporto Miguel Godinez</t>
  </si>
  <si>
    <t>Cambiar sticker de superficie caliente, a un costado de lavadora L1. Reporto Yessica Guarcas</t>
  </si>
  <si>
    <t>Tarima con bolsa de preformas en paso peatonal hacia ingreso a sala de llanado. Reporta Nelson Godinez</t>
  </si>
  <si>
    <t>Candado abierto, panel eléctrico sala antigua de jarabes. Reporto Jaime Chex</t>
  </si>
  <si>
    <t>Piso mojado en sala de jarabes nuevo. Reporto Adrian Santisteban</t>
  </si>
  <si>
    <t>Candado abierto de restriccion de escalera en sala Nueva de jarabes. Reporto Jaime Chex</t>
  </si>
  <si>
    <t>Manguera sobre paso peatonal en Sala IBC de sala nueva de jarabes. Reporto Adrian Santisteban</t>
  </si>
  <si>
    <t>Acumulacion de agua en acceso a tolva de azucar. Reporto Miguel Godinez</t>
  </si>
  <si>
    <t>Panel abierto en cuarto de bombas de ETEI. Reporto Astrid Macario</t>
  </si>
  <si>
    <t>Contenedor sobre pasa altura de banda filtro de carbón sala nueva de Jarabes, genera acumulación de tierra en piso. Reporto Miguel Godinez</t>
  </si>
  <si>
    <t>Acople neumático dañado en Laboratoria de paquetecnia. Reporto Gerson Castañeda</t>
  </si>
  <si>
    <t>Vidrio tirado en paso de montacargas aleron CD, podria derrapar algun montacarga. Reporto Bladimir Lopez</t>
  </si>
  <si>
    <t>Fuga de jarabe de tubería de línea 5. Reporto Wilber Lopez</t>
  </si>
  <si>
    <t>Silla en el área de Manto. Con el respaldo roto y sin un apoyabrazos. Reporta Bryan Neftaly</t>
  </si>
  <si>
    <t>Puerta de acceso a lavadora de L1, sin restricción. Reporto Antony Ramos</t>
  </si>
  <si>
    <t>Condición insegura falta de rejilla canal de críba ETEI. Reporto Josue Lepe</t>
  </si>
  <si>
    <t>Fuga de agua con lubricante desempacadora linea 2. Reporto Oscar Cua</t>
  </si>
  <si>
    <t>Reparacion de fuga de agua en ETEI. Reporto Luis Perez</t>
  </si>
  <si>
    <t>Escaleras dañadas en Tratagua. Reporto Astrid Macario</t>
  </si>
  <si>
    <t>Renovar letreros de piso mojado. Reporto Luis Perez</t>
  </si>
  <si>
    <t>Candado abierto de panel electrico de Sala de llenado de L2. Reporto Gustavo Hernandez</t>
  </si>
  <si>
    <t>Candado de panel electrico de extractores de aire de sala de llenado de L2. Reporto Gustavo Hernandez</t>
  </si>
  <si>
    <t>Carretilla fuera de lugar se procederá a trasladar a area designada. Reporto Oscar Cua</t>
  </si>
  <si>
    <t>Falta de tuberia de bajada en bandeja de transporte despues de inspector linea 2. Reporto Oscar Cua</t>
  </si>
  <si>
    <t>Exceso de vidrio alrededor de empacadora linea 2. Reporto Oscar Cua</t>
  </si>
  <si>
    <t>Tarimas sobre paso peatonal bodega 8. Reporto Bladimir Lopez</t>
  </si>
  <si>
    <t>Fuga de vapor de CIP en L5. Reporto Pedro Pablo</t>
  </si>
  <si>
    <t>Pasillo peatonal obstaculizado por una tarima de repuestos en línea #4, reportó Benedicto Barrios</t>
  </si>
  <si>
    <t>Extintor rodante fuera de área asignada y obstruyendo rampa peatonal. Reporta Bryan Neftaly</t>
  </si>
  <si>
    <t>Tarimas sobre paso peatonal bodega 4. Reporto Bladimir López</t>
  </si>
  <si>
    <t>Poste de soporte en mal estado a la par de Bodega 1. Reporto Antony Ramos</t>
  </si>
  <si>
    <t>Tarima mal ubicada entrada rampa del taller mantenimiento. Reporto Antony Ramos</t>
  </si>
  <si>
    <t>Escalera sin restriccion. Reporto Adrian Santisteban</t>
  </si>
  <si>
    <t>Fuga de Agua en sala de jarabes nueva. Reporto Adrian Santisteban</t>
  </si>
  <si>
    <t>Rotular con precaución bajo nivel en sala llenado L3. Reporto Josue Vasquez</t>
  </si>
  <si>
    <t>Enchaquetado de tubería flojo. Reporto Maria Obregon</t>
  </si>
  <si>
    <t>Jaula de contenedor de Quimicos sin restriccion. Reporto Byron Roldán</t>
  </si>
  <si>
    <t>Tope desajustado en MP. Reporto Jaime Chex</t>
  </si>
  <si>
    <t>Derrame de Bunker en calderas. Reporto Maria Obregon</t>
  </si>
  <si>
    <t>Herramientas, equipo sin orden, sin delimitar y escaleras sin restriccion en calderas. Reporto Maria Obregon</t>
  </si>
  <si>
    <t>Tope desajustado. Reporto Jaime Chex</t>
  </si>
  <si>
    <t>Pintura desgastado de paso peaotnal de L2 y hacia sala de Jarabes Antigua. Reporto Amilcar Ralda</t>
  </si>
  <si>
    <t>Puerta abierta sin restricción/ sin delimitar. Reporto Maria Obregon</t>
  </si>
  <si>
    <t>Retocar Pintura. Reporto Astrid Macario</t>
  </si>
  <si>
    <t>Piezas sin delimitar. Reporto Maria Obregon</t>
  </si>
  <si>
    <t>Retocar paso peatonal. Reporto Jaime Chex</t>
  </si>
  <si>
    <t>Candado de Tolva de L5 no funciona. Reporto Astrid Macario</t>
  </si>
  <si>
    <t>Fuga de agua en CIP en sala de Jarabes Antigua. Reporto Alejandro Martinez</t>
  </si>
  <si>
    <t>Falta de candado para restringir acceso a personal en empacadora de L1. Reporto Yessica Guarcas</t>
  </si>
  <si>
    <t>Sticker de información de accidente en mal estado empacadora L1. Reporto Yessica Guarca</t>
  </si>
  <si>
    <t>Cerradura sin funcionar, puerta abierta. Reporto Maria Obregon</t>
  </si>
  <si>
    <t>Tarimas sobre rejillas. Reporto Jaime Chex</t>
  </si>
  <si>
    <t>Mangueras fuera de lugar, SDJ nueva. Reporto Carlos Quan</t>
  </si>
  <si>
    <t>Fuga de agua SDJ nueva. Reporto Carlos Quan</t>
  </si>
  <si>
    <t>Guarda en mesa de acumulo L2 con bordes filosos. Reporto Yessica Guarcas</t>
  </si>
  <si>
    <t>Pintar Paso peatonal</t>
  </si>
  <si>
    <t>Superficie temporal puede ser peligrosa en Sala Gatorade. Reporto Carlos Quan</t>
  </si>
  <si>
    <t>Falta Rotulo de riesgo eléctrico bodega conserjería. Reporto Jessica Loarca</t>
  </si>
  <si>
    <t>Panel oficina nueva CD sin candado. Reporto Mario Marroquin</t>
  </si>
  <si>
    <t>mangueras no son las adecuadas en area de compresores. Reporto Carlos Quan</t>
  </si>
  <si>
    <t>Área de tarimas en L2, con pintura desgastada. Reporto Genesis Santos</t>
  </si>
  <si>
    <t>Se reporta tarimas quebradas en Línea 5</t>
  </si>
  <si>
    <t>Falta guarda en engranajes a un costado de salida lavadora L1. Reporta Yessi Guarcas</t>
  </si>
  <si>
    <t>Botones de paro y arranque en salida lavadora de botellas no cuenta con hongo de paro de emergencia. Reporta Yessi Guarcas</t>
  </si>
  <si>
    <t>Falta jog bi manual en lavadora de botellas L1. Reporta Yessi Guarcas</t>
  </si>
  <si>
    <t>Falta jog bi manual en el Inspector de L1. Reporta Yessi Guarcas</t>
  </si>
  <si>
    <t>Falta jog bi manual en Llenadora L1. Reporta Yessi Guarcas</t>
  </si>
  <si>
    <t>Falta jog bi manual en Taponadora L1. Reporta Yessi Guarcas</t>
  </si>
  <si>
    <t>Pintura de Paso peatonal frente a manto en mal estado. Reporta Bryan Neftaly</t>
  </si>
  <si>
    <t>Paso peatonal obstaculizado. Reporta Bryan Neftaly</t>
  </si>
  <si>
    <t>Falla del sistema de seguridad del inspector de L1. Reporta Yessi Guarcas</t>
  </si>
  <si>
    <t>Acceso a llenadora por la puerta trasera solo se restringe por un candado y estan caídas las puertas. Reporta Yessi Guarcas</t>
  </si>
  <si>
    <t>Falta habilitar hongo para control de transportes a llenadora L1. Reporta Yessi Guarcas</t>
  </si>
  <si>
    <t>Dispositivo para desenergizar panel de roscadora L1 no funciona. Reporta Yessi Guarcas</t>
  </si>
  <si>
    <t>Falta guarda para proteger por salpicadura de vidrio en empacadora L1. Reporta Yessi Guarcas</t>
  </si>
  <si>
    <t>Puerta de empacadora de L1 no funciona el sensor. Reporta Yessi Guarcas</t>
  </si>
  <si>
    <t>Panel eléctrico principal de empacadora L1 no tiene paro de emergencia. Reporta Yessi Guarcas</t>
  </si>
  <si>
    <t>No funciona sensor de seguridad en puertas de llenadora L2. Reporta Yessi Guarcas</t>
  </si>
  <si>
    <t>Puerta de empacadora de L2 no funciona el sensor. Reporta Yessi Guarcas</t>
  </si>
  <si>
    <t>Espacio reducido y falta rodapie para evitar caída en una parte de la plataforma en empacadora L2. Reporta Yessi Guarcas</t>
  </si>
  <si>
    <t>Hongo en mal estado coronador L2. Reporta Yessi Guarcas</t>
  </si>
  <si>
    <t>No existe hongo en pausterizador L2. Reporta Yessi Guarcas</t>
  </si>
  <si>
    <t>Se sugiere colocar seccionador de seguridad en panel eléctrico de empacadora L2. Reporta Yessi Guarcas</t>
  </si>
  <si>
    <t>Se necesita colocar seccionador de seguridad en panel eléctrico de empacadora L2. Reporta Yessi Guarcas</t>
  </si>
  <si>
    <t>Baranda muy baja para el colaborador, operador podría sufrir caída, en empacadora L2. Reporta Yessi Guarcas</t>
  </si>
  <si>
    <t>No se cuenta con manija para desenergizar panel en sopladora L3. Reporta Yessi Guarcas</t>
  </si>
  <si>
    <t>No se cuenta con manija para desenergizar panel en etiquetadora L3. Reporta Yessi Guarcas</t>
  </si>
  <si>
    <t>No se cuenta con manija para desenergizar panel en paletizadora L3. Reporta Yessi Guarcas</t>
  </si>
  <si>
    <t>No se cuenta con manija para desenergizar panel en llenadora L3. Reporta Yessi Guarcas</t>
  </si>
  <si>
    <t>Falta jog bi manual en etiquetadora L3. Reporta Yessi Guarcas</t>
  </si>
  <si>
    <t>Falta jog bi manual en llenadora L3. Reporta Yessi Guarcas</t>
  </si>
  <si>
    <t>Pieza a alta temperatura dentro de etiquetadora causa quemaduras al técnico cuando se realiza cambio de presentación y ajustes, se necesita colocar cobertor de cuero. Reporta Yessi Guarcas</t>
  </si>
  <si>
    <t>Torreta de señalización de intervención en mal estado, en empacadora L3. Reporta Yessi Guarcas</t>
  </si>
  <si>
    <t>Puertas de empacadora con sensor inhabilitado en empacadora L3. Reporta Yessi Guarcas</t>
  </si>
  <si>
    <t>Puerta de llenadora No 1, 9 10 y 12, funciona accionando una llave. Reporta Yessi Guarcas</t>
  </si>
  <si>
    <t>Puerta No.7 de sincroblock sin funcionar, la puerta se abre en producción. Reporta Yessi Guarcas</t>
  </si>
  <si>
    <t>Acrilicos de la puerta de la llenadora L3 se encuentran rayados. Reporta Yessi Guarcas</t>
  </si>
  <si>
    <t>Robopack y puerta de palet con sensores sin funcionar en L3. Reporta Yessi Guarcas</t>
  </si>
  <si>
    <t>Falta señalizacion para ingresar a limpiar volcadora de preforma en L4. Reporta Yessi Guarcas</t>
  </si>
  <si>
    <t>Falta de procedimientos LOTOTO en todas las máquinas L5. Reporta Yessi Guarcas</t>
  </si>
  <si>
    <t>Falta guarda para cubrir paso peatonal por falla de sensor, ya se tuvieron desplomes de tarimas en palet L5. Reporta Yessi Guarcas</t>
  </si>
  <si>
    <t>Falta señalizacion de “Riesgo de atrapamientos/EPP obligatorio/otros” en varias máquinas. Reporta Yessi Guarcas</t>
  </si>
  <si>
    <t xml:space="preserve">Se reporta Jarabe derramado por pasillos de línea 4
</t>
  </si>
  <si>
    <t>Escalera sin restriccion y mal ubicada en Galera 3. Reporto Pedro pablo</t>
  </si>
  <si>
    <t>Pedro Pablo</t>
  </si>
  <si>
    <t>Puerta caida de sala de llenadora de L1. Reporto Alejandro Martinez</t>
  </si>
  <si>
    <t>Escalera fuera de lugar, cerca de sopladora.
Reporta: Leidy Camey</t>
  </si>
  <si>
    <t>Ventilador sin guarda en area de entarimado en L1, se corrige y se pone guarda. Reporto Oscar Ramirez</t>
  </si>
  <si>
    <t>Panel eléctrico con candado abierto en sala de llenado L2, se corrige. Reporto Luis Angel</t>
  </si>
  <si>
    <t>Escalera sin restriccion en sala de llenadora de L5. Reporto Pedro Pablo</t>
  </si>
  <si>
    <t>Tuberia sin identificación de alta temperatura en llenadora de L5. Reporto Pedro Pablo</t>
  </si>
  <si>
    <t>Montacarga NO31 sin restriccion. Reporto Rodrigo Galindo</t>
  </si>
  <si>
    <t>Candado abierto y en mal estado no cierra en area tanques de CO2. Reporto Rodrigo Galindo</t>
  </si>
  <si>
    <t>Cajillas obstaculizando paso peatonal en L1. Reporto Abraham Tahual</t>
  </si>
  <si>
    <t>Puerta abatibles de L1 no funcionando correctamente. Reporto Rodrigo Galindo</t>
  </si>
  <si>
    <t>Guarda abierta en salida inversor linea 2, se corrige. Reporto Amilcar Ralda</t>
  </si>
  <si>
    <t>fuga de vapor en reguladora del sistema retorno condensado en L5. Reporto Eliu Tello</t>
  </si>
  <si>
    <t>Tarima mal estibada, caida en sala de azucar en MP. Reporto Rebeca Morales</t>
  </si>
  <si>
    <t>Primera lámpara del lado izquierdo de laboratorio fisicoquímico en malas condiciones. Reporta Juan Francisco Hernández Quan.</t>
  </si>
  <si>
    <t>Juan Hernandez</t>
  </si>
  <si>
    <t>Fuga de agua en lavadora de botellas L1. Reporto Hugo Oliva</t>
  </si>
  <si>
    <t>Hugo Oliva</t>
  </si>
  <si>
    <t>Resultado monitoreo de iluminación puntual estudio de higiene 2025 en: linea 4. Reporto Josué Vásquez</t>
  </si>
  <si>
    <t xml:space="preserve">Tapadera de drenaje mal colocada frente a gradas oficina coordinadores </t>
  </si>
  <si>
    <t>Resultado monitoreo de iluminación de NOCHE estudio de higiene 2025 en cafetería y garita en los puntos 156,157,158 y 159. Reporto Josué Vásquez</t>
  </si>
  <si>
    <t>Resultado monitoreo de iluminación de NOCHE estudio de higiene 2025 en MP en los puntos 121,124 y 125. Reporto Josué Vásquez</t>
  </si>
  <si>
    <t>Resultado monitoreo de MATERIAL PARTICULADO estudio de higiene 2025 en sala de jarabes en puntos 8 y 9. Reporto Josué Vásquez</t>
  </si>
  <si>
    <t>Resultado monitoreo de iluminación de NOCHE estudio de higiene 2025 en equipos auxiliares en los puntos 140 y 141. Reporto Josué Vásquez</t>
  </si>
  <si>
    <t>Resultado monitoreo de iluminación de NOCHE estudio de higiene 2025 en línea 4 en los puntos 71,72,73,7576,80,82 y 83. Reporto Josué Vásquez</t>
  </si>
  <si>
    <t>Resultado monitoreo de iluminación de NOCHE estudio de higiene 2025 en línea 3 en el punto 54. Reporto Josué Vásquez</t>
  </si>
  <si>
    <t>Resultado monitoreo de iluminación de NOCHE estudio de higiene 2025 en osmosis en los puntos 97,98 y 99. Reporto Josué Vásquez</t>
  </si>
  <si>
    <t>Resultado monitoreo de iluminación de NOCHE estudio de higiene 2025 en línea 5 en punto 92. Reporto Josué Vásquez</t>
  </si>
  <si>
    <t>Resultado monitoreo de iluminación de NOCHE estudio de higiene 2025 en línea 2 en el punto 44. Reporto Josué Vásquez</t>
  </si>
  <si>
    <t>Resultado monitoreo de iluminación puntual estudio de higiene 2025 en jarabes puntos 157 y158. Reporto Josué Vásquez</t>
  </si>
  <si>
    <t>Resultado monitoreo de iluminación de NOCHE estudio de higiene 2025 en línea 1 en puntos 8,9,11,12,17,18,19,20,21,31, 32. Reporto Josué Vásquez</t>
  </si>
  <si>
    <t>Resultado monitoreo de iluminación puntual estudio de higiene 2025 en oficina liptón en los puntos 185,186,187,190 y 192. Reporto Josué Vásquez</t>
  </si>
  <si>
    <t>Resultado monitoreo de iluminación puntual estudio de higiene 2025 en almacén de repuestos en el punto 118. Reporto Josué Vásquez</t>
  </si>
  <si>
    <t>Resultado monitoreo de iluminación puntual estudio de higiene 2025 en línea 2 en el punto 138. Reporto Josué Vásquez</t>
  </si>
  <si>
    <t>Resultado monitoreo de iluminación puntual estudio de higiene 2025 en línea 5 en punto 41,23 y 43. Reporto Josué Vásquez</t>
  </si>
  <si>
    <t>Resultado monitoreo de iluminación puntual estudio de higiene 2025 en: Línea 4 punto 21,22,23 y 24. Reporto Josué Vásquez</t>
  </si>
  <si>
    <t>Resultado monitoreo de iluminación puntual estudio de higiene 2025 en MP punto 68. Reporto Josué Vásquez</t>
  </si>
  <si>
    <t>Tapadera dañada en área de bulevar de CD. Reporto  Luis Pérez</t>
  </si>
  <si>
    <t>Fuga de agua en Tratamiento de agua genera piso resbaladizo. Reporto Antony Ramos</t>
  </si>
  <si>
    <t>MSDS se encuentra en ingles, traducirlo al español. Reporto Yessica Guarcas</t>
  </si>
  <si>
    <t>Establecer las MSDS en el punto de quimicos, L5. Reporto Yessica Guarcas</t>
  </si>
  <si>
    <t>Ajustar luz azul montacargas #27, direccionarla mas al piso, ya que esta muy arriba. Reporto Yessica Guarcas</t>
  </si>
  <si>
    <t>Fuga detrás de transporte hacia etiquetadora de L5. Reporto Yessica Guarcas</t>
  </si>
  <si>
    <t>En la bodega de preforma de L3 se encuentra un tonel de químico (Dryexx) sin bandeja de contenedora de derrame. Reporta Bryan Neftaly</t>
  </si>
  <si>
    <t>Tablero electrico sin restriccion en L5. Reporto Alejandro Martínez</t>
  </si>
  <si>
    <t>Placa metalica mal ubicado en L5. Reporto Alejandro Martínez</t>
  </si>
  <si>
    <t>Vidrio quebrado en paso peatonal de L1. Reporto Abraham Quiej</t>
  </si>
  <si>
    <t>Puerta de acceso a L3 caída. Reporta Luis Cabrera</t>
  </si>
  <si>
    <t>Falta silla de operador de empacadora de L2. Reporto Oscar Ramírez</t>
  </si>
  <si>
    <t>Montacarga electrico sin restriccion correcta en area de MP. Reporto Kelly Calderon</t>
  </si>
  <si>
    <t>Tarima de preforma mal estibada, en bodega de preforma. Reporto Jaime Chex</t>
  </si>
  <si>
    <t>Estacion de lavaojos obstruido por EPP. Reporto Oscar Ramírez</t>
  </si>
  <si>
    <t>Paneles electricos de lavadora de L1 sin restriccion. Reporto Oscar Ramírez</t>
  </si>
  <si>
    <t>Luminarias quemadas en laboratorio paquetecnia. Se corrige de inmediato</t>
  </si>
  <si>
    <t>Se encuentra puerta de seguridad de sopladora L3 abierta, se le informa al soplador de turno que proceda a cerrarla. Reporto Nelson Godínez</t>
  </si>
  <si>
    <t>Puerta de entrada de L3, no cierra correctamente. Reporto Juan carlos Poz</t>
  </si>
  <si>
    <t>Candado abierto Portón de químicos MP. Reporto Jaime Chex</t>
  </si>
  <si>
    <t>Acceso a Mezzanini sin restriccion correcta en L1. Reporto Oscar Ramírez</t>
  </si>
  <si>
    <t>Tarimas obstucalizando paso peatonal en MP. Reporto Miguel Godínez</t>
  </si>
  <si>
    <t>Tarima de PT obstruyendo paso peatonal de B4 de Cd. Reporto Isabel Saquila</t>
  </si>
  <si>
    <t>Candado abierto de Tanque de Co2, se procedera a cerrararlo. Reporto Josue Vasquez</t>
  </si>
  <si>
    <t>Falta guarda en transportador de L1. Reporto Astrid Macario</t>
  </si>
  <si>
    <t>Lamparas de emergencia en B6 de CD no funcionales. Reporto Josue Vasquez</t>
  </si>
  <si>
    <t>Herramientas fuera de lugar en sala de llenado de L4, falta de SOLEA. Reporto Lissette Loarca</t>
  </si>
  <si>
    <t>Colocar barda de proteccion en caminamiento CD. Reporto Josue Vasquez</t>
  </si>
  <si>
    <t>Transportadora sin guarda en L1. Reporto Astrid Macario</t>
  </si>
  <si>
    <t>Colocar puerta y barda de protección en CD. Reporto Josue Vasquez</t>
  </si>
  <si>
    <t>Tarima con riesgo de caida en Bodega 5. Reporto Jimmy Velásquez</t>
  </si>
  <si>
    <t>Orden y limpieza de cajas en L1. Reporto Astrid Macario</t>
  </si>
  <si>
    <t>Retoce de pintura en paso peatonal de CD. Reporto Elvis Oliva</t>
  </si>
  <si>
    <t>Falta de orden en laboratorio de microbiologia. Reporto Genesis Santos</t>
  </si>
  <si>
    <t>Motorreductor de transportadora sin guarda. Reporto Astrid Macario</t>
  </si>
  <si>
    <t>Falta de rejillas en parqueo externo. Reporto Alejandro Martínez</t>
  </si>
  <si>
    <t xml:space="preserve"> Insumos de botiquin vencidos en laboratorio de calidad. Reporto Genesis Santos</t>
  </si>
  <si>
    <t>Puerta sin brazo hidráulico, provoca cierre muy fuerte, sala nueva de jarabes. Reporto Yessica Guarcas</t>
  </si>
  <si>
    <t>Pallet fuera de lugar en L5. Reporto Roger Rivas</t>
  </si>
  <si>
    <t>puerta sin brazo hidráulico, Nueva sala de jarabes. Reporto Yessica Guarcas</t>
  </si>
  <si>
    <t>Fuga de GLP en válvula de llenado en área de CD, Se corrigio cerrando otra valvula antes de esta evitando el paso del gas. Reporto Luis Pérez</t>
  </si>
  <si>
    <t>Puerta de escalera sin restricción, hacia lavadora de L1, Se procede a cerrrarlo. Reporto Antony Ramos</t>
  </si>
  <si>
    <t>Se encuentra manecilla en puerta de ingreso a laboratorio microbiologia en mal estado</t>
  </si>
  <si>
    <t>Se encuentra lámpara de inspección en laboratorio de micro sin funcionar</t>
  </si>
  <si>
    <t>Se reporta tarimas mal posicionadas en zona de paletizadora Línea 4. Reporta Alfonso Guatzin</t>
  </si>
  <si>
    <t>Se reporta escaleras de sala de llenado sin su respectiva restricción Línea 4. Obdulio Cap</t>
  </si>
  <si>
    <t>paso peatonal obstruido por elevador de polyestrech, reportó Benedicto Barrios</t>
  </si>
  <si>
    <t>Estufa de sala antigua de jarabes en mal estado. Reporto Antony Ramos</t>
  </si>
  <si>
    <t>Cambiar rótulo en pipas de co2. Reporto Josué Vásquez</t>
  </si>
  <si>
    <t>Cambiar unión de tubería de salida de caldera tiene pvc y hierro y esta sellada con cemento. Reporto Josué Vásquez</t>
  </si>
  <si>
    <t>Tuberia electrica averiada a un costado de taller de mantenimiento. Reporto Jason Calderón</t>
  </si>
  <si>
    <t>Reforzar y estandarizar los criterios de inspección de seguridad en máquinas, robustecer revisión de dispositivos de seguridad por operadores. Reporta David Figueroa</t>
  </si>
  <si>
    <t>Paso peatonal a un costado de la paletizadora obstruido por tarima con reciclaje. Reporto Bryan Neftaly</t>
  </si>
  <si>
    <t>No sustituir capacitaciones por charlas cortas para temas críticos: LOTO, trabajo en alturas, espacios confinados. Reporta David Figueroa</t>
  </si>
  <si>
    <t>Profundizar en el estudio de velocidad de montacargas. Reporta David Figueroa</t>
  </si>
  <si>
    <t>formalizar rótulos de "hale" y "empuje" de puertas abatibles en líneas y CD. Reporto David Figueroa</t>
  </si>
  <si>
    <t>Empaque de tubería de L5 con fuga de vapor en la rampa para ingreso de L1. Reporto Edson Bonifacio</t>
  </si>
  <si>
    <t>Tarimas obscatulizando entrada a campo, y otras recostadas sobre la varda. Reportó Charly Coc</t>
  </si>
  <si>
    <t>Fuga de vapor en flange frente a mesanini en L2. Reportó Edson Bonifacio</t>
  </si>
  <si>
    <t>Estructura de lavadora L2 con daños presenta fuga constante de agua, se corre riesgo que llegue hacia la bomba y se queme. Reportó Edson Bonifacio</t>
  </si>
  <si>
    <t>Cables de conexión eléctrica se encuentran expuestos bomba de cooler L2, aunque están aislados representan un riesgo. Reportó Edson Bonifacio</t>
  </si>
  <si>
    <t>Desfogue de vapor directamente en paso peatonal detrás de cuarto de nuevos generadores. Reportó Yessica Guarcas</t>
  </si>
  <si>
    <t>Acceso a cuarto eléctrico L4 sin restricción, se corrige al momento. Reportó Obdulio Cap</t>
  </si>
  <si>
    <t>Materiales de construcción sin delimitar.  Reportó María Obregón</t>
  </si>
  <si>
    <t>Lampara quemada en el área de lavadora L1. Reportó María Obregón</t>
  </si>
  <si>
    <t>Residuos o materiales de construcción sin delimitar. Reportó María Obregón</t>
  </si>
  <si>
    <t>Fuga de consensado en caldera CB 400, riesgo de quemadura para el personal operativo. Reportó Edson Bonifacio</t>
  </si>
  <si>
    <t>Acumulación de agua en entrada a sala de llenado puerta 4. Reportó Obdulio Cap</t>
  </si>
  <si>
    <t>Tarima en mal estado (quebrada) en línea 5. Reporto Hellen Estrada</t>
  </si>
  <si>
    <t>Tubería de agua quebrada con fuga ubicada en parqueo de motos. Reportó Edgar Primero</t>
  </si>
  <si>
    <t>Reja de galera 3 de servicios auxiliares se encuentra abierta y detenida por una rama. Reporto Denny Leon</t>
  </si>
  <si>
    <t>Vidrio quebrado y tirado en área bulevar CD. Reportó Luis Pérez</t>
  </si>
  <si>
    <t>Magneto de acceso a sala de llenado L2 esta por caer, se encuentra colgando solo de los cables. Reportó Luis Ángel</t>
  </si>
  <si>
    <t>Asegurar botón en su base ya que este se zafo de su lugar, en garita. Reportó Josué Vásquez</t>
  </si>
  <si>
    <t>Locker en mal estado en área de gasolinera. Reporto Miguel Godínez</t>
  </si>
  <si>
    <t>Aire acondicionado con goteo en garita. Reportó Josué Vásquez</t>
  </si>
  <si>
    <t>Motor sin guarda y cubetas mal ubicadas a un costado de gasolinera. Reporto Miguel Godínez</t>
  </si>
  <si>
    <t>Gabinete sin restricción en desempacado en L2. Reporto Josué Vásquez</t>
  </si>
  <si>
    <t>Silla y caja de repuesto en paso peatonal de almacén de repuestos. Reporto Roger rivas</t>
  </si>
  <si>
    <t>Cables sin aislar y empalmes. Reportó Alejandro Martínez</t>
  </si>
  <si>
    <t>Pasamanos de acceso a oficina de coordinadores con rotura y superficie filosa. Reporto Elvis oliva</t>
  </si>
  <si>
    <t>Plancha de vidrio con riesgo de caída. Reportó Alejandro Martínez</t>
  </si>
  <si>
    <t>Tapa de caja de registro en mal estado, ya quebrada. Reportó Alejandro Martínez</t>
  </si>
  <si>
    <t>Escaleras sin restricción en la parte trasera de Osmosis. Reportó Alejandro Martínez</t>
  </si>
  <si>
    <t>Puerta de acceso a cabina al3 se encuentra caída. Reporto Charly Coc</t>
  </si>
  <si>
    <t>Señalizar con pintura amarilla para distinguir tubería a nivel de piso debajo de gradas al reactor 2. Reporto Yessica Guarcas</t>
  </si>
  <si>
    <t>Sticker de riesgo eléctrico ya no es visible, Tratagua. Reporto Yessica Guarcas</t>
  </si>
  <si>
    <t>Racks de sala nueva de jarabes sin capacidad máxima de carga. Reportó Josué Vásquez</t>
  </si>
  <si>
    <t>Pernos salidos del piso debajo de gradas al reactor 2, Tratagua. Reporto Oscar Ramírez</t>
  </si>
  <si>
    <t>Falta de orden y limpieza debajo de gradas hacia el reactor 2, de tratagua. Reporto Oscar Ramírez</t>
  </si>
  <si>
    <t>Atemperamieto de sala de llenado L4 sin funcionar, falta instalación de breaker. Reporto Elvis oliva</t>
  </si>
  <si>
    <t>Paneles eléctrico sin restricción en compresores. Reporto Antony ramos</t>
  </si>
  <si>
    <t>Escalera sin restriccion en cuarto de amoniaco. Reporto Antony Ramos</t>
  </si>
  <si>
    <t>Tarimas obstaculizando paso de montacargas hacia Jarabes. Reporto Miguel Godínez</t>
  </si>
  <si>
    <t>Luminaria en estacion de etiquetadora L4 no esta encendida/se encuentra quemada. Reporto Elvis Oliva</t>
  </si>
  <si>
    <t>Tarimas fuera de lugar en bodega 8. Reporto Edgar coti</t>
  </si>
  <si>
    <t>Cuarto eléctrico/mezanini L1 abierto. Reporto María Obregón</t>
  </si>
  <si>
    <t>Fuga de agua en acople al filtro de carbon en tratagua. Reporto Yessica Guarcas</t>
  </si>
  <si>
    <t>Guias de empacadora obstaculizan acceso a caminamiento. Reporto Elvis Oliva</t>
  </si>
  <si>
    <t>Gabinete electrico en sala de jarabes nueva, con falla en enfriamiento lo tienen abierto ya que por temperatura se dispara. Reporto Josué Vásquez</t>
  </si>
  <si>
    <t>Piso mojado y restos de jarabe en área etiquetado L4. Reporto Elvis oliva</t>
  </si>
  <si>
    <t>Extensión en paso peatonal en sala nueva de jarabes. Reporto Adrian Santisteban</t>
  </si>
  <si>
    <t>Panel electrico sin restriccion. reporto Antony Ramos</t>
  </si>
  <si>
    <t>Panel de lavadora de línea 1 abierto. Reporto Lissette Loarca</t>
  </si>
  <si>
    <t>Panel electrico de caldera sin restriccion. Reporto Antony Ramos</t>
  </si>
  <si>
    <t>Puerta caida en sala de llenado de línea 3. Reporto Oscar Ramírez</t>
  </si>
  <si>
    <t>Escalera sin sticker de revisión en tratagua. Reporto Yessica Guarcas</t>
  </si>
  <si>
    <t>Pedestal de ventilador no se encuentra correctamente ajustado a su base en L5. Reporto Oscar Ramírez</t>
  </si>
  <si>
    <t>Lubricante en piso de transportadora cerca de etiquetadora de L3. Reporto Oscar Ramírez</t>
  </si>
  <si>
    <t>Jaula de preformas fuera de lugar en L3. Reporto Oscar Ramírez</t>
  </si>
  <si>
    <t>Base de puerta sujetada con cinchos plásticos en paso peatonal. Reporta Daniel Pineda</t>
  </si>
  <si>
    <t>Montacargas No.27 sin restricción. Reporto Daniel Pineda</t>
  </si>
  <si>
    <t>Pieza fuera de su lugar en salida lavadora linea 2. Reporto Oscar Ramírez</t>
  </si>
  <si>
    <t>Lavaojos sin reguladores de presion en area de tratamiento da aguas. Reporto Yessica Guarcas</t>
  </si>
  <si>
    <t>Guardas no instaladas en lavadora de botellas Linea 1. Reporta: Oscar Ramírez</t>
  </si>
  <si>
    <t>Evaluar poda en arbol de parqueo externo. Reporto Alejandro Martínez</t>
  </si>
  <si>
    <t>Tarima obstaculizando paso peatonal en Bodega 4. Reporto Daniel Pineda</t>
  </si>
  <si>
    <t>Kit antiderrame fuera de lugar en área de compresores. Reportó Antony Ramos</t>
  </si>
  <si>
    <t>Escalera permite subir pero no hay donde colocar el pie para mantenimiento en la parte superior, detras del cuarto electrico de generador. Reporto Wilber López</t>
  </si>
  <si>
    <t>Tarima sin delimitar, salida de L1, desechos de los drenajes que vienen de L1. Reporta Edson Bonifacio</t>
  </si>
  <si>
    <t>Cajillas mal alineadas en CD. Reporto Isabel Saquila</t>
  </si>
  <si>
    <t>Tarimas sobre paso peatonal en bodega 8. Reportó Bladimir López</t>
  </si>
  <si>
    <t>Caja de cortinas de aire con cables expuestos en puerta del cuarto de concentrados. Reportó Oscar Ramos</t>
  </si>
  <si>
    <t>Tomacorriente 220 en mal estado, se encuentra una espiga conectada sin cableado y la tapadera no está atornillada. Reporto Oscar Ramos</t>
  </si>
  <si>
    <t>Producto mal estibado con riesgo de caer en bodega 03. Reportó Bladimir López</t>
  </si>
  <si>
    <t>Área sin señalizar, piezas tiradas y vidrio en el piso. Sala de llenado L1. Reportó Yessica Guarcas</t>
  </si>
  <si>
    <t>Herramienta hechiza en sala de llenado L1, no se observa personal cerca del área. Se retira para su descarte y se sugiere buscar una mejor opción para reemplazarlo. Reportó Yessica Guarcas</t>
  </si>
  <si>
    <t>Unidad neumática mal posicionada, sujetada con cinchas plásticas a una malla metálica, paletizadora L3. Reportó Gerson Castañeda</t>
  </si>
  <si>
    <t>Mejorar delimitación en Panel abierto en paletizadora L03. Reportó Gerson Castañeda</t>
  </si>
  <si>
    <t>Tarimas mal posicionadas en Bodega 4. Reportó Luis Cabrera</t>
  </si>
  <si>
    <t>Apertura de ventilación del aire acondicionado en sala de espera se encuentra expuesta. Reportó Daniel Pineda</t>
  </si>
  <si>
    <t>Candado abierto de escalera de lavadora de L1. Reportó Edgar Coti</t>
  </si>
  <si>
    <t>Cableado tirado y sin delimitar, afuera de cabina de Ingreso sala de llenado L02. Reportó Gerson Castañeda</t>
  </si>
  <si>
    <t>Tarimas mal apiladas con riesgo de caerse en bodega 2 C.D. Reportó Josué Abraham</t>
  </si>
  <si>
    <t>Puerta sin restricción hacia techo de lavadora de L1, candado cerrado. Reportó Antony Ramos</t>
  </si>
  <si>
    <t>Acceso libre a techo de sala vieja de jarabes, se procedió al cierre de la misma. Reportó Luis ángel</t>
  </si>
  <si>
    <t>Tapadera ciega de caja eléctrica de registro ma colocada. (Paso peatonal cabina llenadora L5. Reporto Bryan Neftaly</t>
  </si>
  <si>
    <t>Compuerta de seguridad del paso peatonal en el area de pipas de co2 estaba bloqueado con un alambre, se corrige, reporta Jason Calderón</t>
  </si>
  <si>
    <t>Pintura y solvente fuera de área y sin contenedor de derrame. Bryan Neftaly</t>
  </si>
  <si>
    <t>Acceso no restringido a cuarto de compresores de amoniaco. Reportó Oscar Ramírez</t>
  </si>
  <si>
    <t>Tarimas se encuentran quebradas y con clavos expuestos en parqueo interno. Reportó Astrid Macario</t>
  </si>
  <si>
    <t>Candado abierto en entrada de cuarto de generador. Reportó Oscar Ramírez</t>
  </si>
  <si>
    <t>Lamina se encuentra aparentemente suelta sobre techo de tratamiento de agua. Reportó Eliú Tello</t>
  </si>
  <si>
    <t>Guarda de bomba de agua de llenadora línea 2, está mal colocada. Reportó Oscar Ramírez</t>
  </si>
  <si>
    <t>Montacargas celeste de MP sin candado de seguridad, se procedió a asegurarlo. Reportó Jaime Chex</t>
  </si>
  <si>
    <t>Tarima sobre paso peatonal en L1. Reportó Antony Ramos</t>
  </si>
  <si>
    <t>Acceso a techo intermedio de L3, sin restricción, se procede a cerrarlo. Reportó Antony Ramos</t>
  </si>
  <si>
    <t>Tarima sobre paso peatonal en bodega 4. Reportó Bladimir López</t>
  </si>
  <si>
    <t>Exceso de tarimas ubicada en área para carga de desechos. Reportó Jimmy Velásquez</t>
  </si>
  <si>
    <t>Materiales de trabajos realizados sobre los rieles de tubería de L5. Reportó Astrid Macario</t>
  </si>
  <si>
    <t>Tarimas de reciclaje obstaculizando ingreso sala de Jarabes. Reportó Nery Rivera</t>
  </si>
  <si>
    <t>Caja eléctrica de registro abierta sin delimitación. Reportó Charly Coc</t>
  </si>
  <si>
    <t>Panel abierto en etiquetadora de línea 4 presenta problemas de climatizado y no está delimitado. Reportó Luis Pérez</t>
  </si>
  <si>
    <t>Falta de bandeja de Contención de codificador en línea 4 por temas de salpicaduras. Reportó Luis Pérez</t>
  </si>
  <si>
    <t>Considerar la reubicación del colgador para material de limpieza podría provocar golpe ya que a un costado se encuentra un panel eléctrico. Reportó Miguel Godínez</t>
  </si>
  <si>
    <t>Botella pet, haciendo el trabajo de embudo en transporte de L4. Reportó Luis Pérez</t>
  </si>
  <si>
    <t>Considerar pintura de color amarillo a cargador para que sea visible en paso a pasteurizador L2. Reportó Miguel Godínez</t>
  </si>
  <si>
    <t>Caja quebrada en área de subestación. Reportó Josué Abraham</t>
  </si>
  <si>
    <t>Piso mojado en sala de llenado L4. Reportó Luis Pérez</t>
  </si>
  <si>
    <t>Tornillo expuesto por el lado del filo y superficies filosas alrededor. Reportó Astrid Macario</t>
  </si>
  <si>
    <t>Manguera tirada en el suelo, puede provocar una caída o tropiezo a un costado de lavadora. Reportó Miguel Godínez</t>
  </si>
  <si>
    <t>Piso mojado en área de sip L4. Reportó Luis Pérez</t>
  </si>
  <si>
    <t>Lámina desatornillada con posible riesgo de caída en el área de equipos auxiliares y combustibles. Reporto Bryan Neftaly</t>
  </si>
  <si>
    <t>Escaleras sin restricción en sala de llenado de L4. Reportó Luis Pérez</t>
  </si>
  <si>
    <t>Caja de registro abierta a la par de estación de transformadores. Reportó Charly Coc</t>
  </si>
  <si>
    <t>Colocar restricción a escalera en equipos auxiliares. Reportó Josué Vásquez</t>
  </si>
  <si>
    <t>Piso mojado en Línea 3 sin señalizacion. Reporto Hellen Estrada</t>
  </si>
  <si>
    <t>Cajas de madera se encuentran en paso peatonal. Reportó Astrid Macario</t>
  </si>
  <si>
    <t>Paso peatonal obstruido. Reportó Astrid Macario</t>
  </si>
  <si>
    <t>Escalera sin restricción en tratamiento de agua. Reportó Wilber López</t>
  </si>
  <si>
    <t>Pernos a nivel del suelo, delimitar si colocaran estructura o eliminarlos en equipos auxiliares calderas. Reportó Josué Vásquez</t>
  </si>
  <si>
    <t>Luces de sala preembotellado apagadas en turno nocturno. Reporto Roger Rivas</t>
  </si>
  <si>
    <t>Instalación eléctrica en mal estado, tomacorriente se encuentra fuera de la base con los empalmes expuestos. Reportó Lissette Loarca</t>
  </si>
  <si>
    <t>Lámpara parpadeando durante el turno.
Reporta: Leidy Camey</t>
  </si>
  <si>
    <t>Pulsador en almacén de repuestos en mal estado. Reportó Edson Bonifacio</t>
  </si>
  <si>
    <t>Escalera fuera de lugar sin restricción. Reportó Rebeca Morales</t>
  </si>
  <si>
    <t>Puerta de ingreso en garita de alrededores en mal estado, se puede quebrar el vidrio. Reportó Josué Vásquez</t>
  </si>
  <si>
    <t>Puerta sin restricción hacia techo intermedio L3, candado cerrado. Reportó Abraham Quiej</t>
  </si>
  <si>
    <t>Montacargas sin seguridad en bodega 2. Reportó Abraham Quiej</t>
  </si>
  <si>
    <t>Tarimas mal apiladas con riesgo de caerse en bodega 3 CD. Reportó Abraham Quiej</t>
  </si>
  <si>
    <t>Tarima mal apilada con riesgo de caída en bodega 3 CD. Reportó Abraham Quiej</t>
  </si>
  <si>
    <t>Panel eléctrico abierto en cuarto de inversores. Reportó Abraham Quiej</t>
  </si>
  <si>
    <t>Montacargas #21 sin restricción cerca de taller de mantenimiento. Reportó Abraham Quiej</t>
  </si>
  <si>
    <t>Vidrio en piso de encajonamiento, varios embaces quebrados. Reportó Abraham Quiej</t>
  </si>
  <si>
    <t>Troquet fuera de lugar en L4. Reportó Abraham Quiej</t>
  </si>
  <si>
    <t>Rejilla mal colocada. Reporto Adrian Santisteban</t>
  </si>
  <si>
    <t>Pinturas y solventes sin bandeja y desordenadas en sala de jarabes 1. Reporto Adrian Santisteban</t>
  </si>
  <si>
    <t>Piso mojado. Reporto Adrian Santisteban</t>
  </si>
  <si>
    <t>Manguera obstaculizando paso detras de tanques verticales en sala de jarabes 1. Reporto Adrian Santisteban</t>
  </si>
  <si>
    <t>Manguera mal colocada. Reporto Adrian Santisteban</t>
  </si>
  <si>
    <t>Equipo bloqueando paso. Reporto Adrian Santisteban</t>
  </si>
  <si>
    <t>Candados de panel eléctrico de L1 abierto. Reportó Abraham Quiej</t>
  </si>
  <si>
    <t>Vidrio en piso de llenadora L1. Reportó Abraham Quiej</t>
  </si>
  <si>
    <t>Jumbos de azucar propensos a caer. Reportó Abraham Quiej</t>
  </si>
  <si>
    <t>Mesanini de línea 1 queda abierto porque no está funcionando el aire acondicionado. Reportó Abraham Quiej</t>
  </si>
  <si>
    <t>Panel abierto en cuarto de bombas, se procede a cerrarlo. Reportó Alejandro Martínez</t>
  </si>
  <si>
    <t xml:space="preserve">Se reporta puerta de acceso hacia mezanine L3 sin restricción. Reportó Alfonso Guatzin
</t>
  </si>
  <si>
    <t>Fuga de vapor sobre cooler L2, es la tubería de retorno de consensado. Reportó Amílcar Ralda</t>
  </si>
  <si>
    <t>Despejar paso peatonal a bodega nueva CD, se corrige y se despeja. Reportó Amílcar Ralda</t>
  </si>
  <si>
    <t>Producto sobre paso peatonal en área cd. Reportó Amílcar Ralda</t>
  </si>
  <si>
    <t>Liberar paso de montacargas en área Boulevard, CD. Reportó Amílcar Ralda</t>
  </si>
  <si>
    <t>Se encuentra sin restricción acceso hacia tolva de azucar antigua. Reportó Andrea González</t>
  </si>
  <si>
    <t>Escaleras fuera de lugar en línea 5. Reportó Andrea González</t>
  </si>
  <si>
    <t>Se encuentra toma corriente desprendido en sala fruta fresca. Reportó Andrea González</t>
  </si>
  <si>
    <t>Tanque sin rotulacion de superficie caliente. Reportó Andrea González</t>
  </si>
  <si>
    <t>Bisagra de puerta de laboratorio microbiologia con riesgo que se caiga tornillo que lo sujeta. Reportó Andrea González</t>
  </si>
  <si>
    <t>Falta de sticker en tuberías de fluidos calientes y otros se ven borrosos dentro de llenadora L5. Reportó Antony Ramos</t>
  </si>
  <si>
    <t>Acceso a techo intermedio de L3 sin restricción. Reportó Antony Ramos</t>
  </si>
  <si>
    <t>Escalera sin restricción en sala de jarabes nueva. Reportó Antony Ramos</t>
  </si>
  <si>
    <t>Generador que esta enfrente de edificio administrativo se rebalsó y derramó diésel, aparentemente porque no se cerró la retro válvula correctamente. Reportó Antony Ramos</t>
  </si>
  <si>
    <t>Panel eléctrico de punto de bloqueo sin restricción correcta, se procede a cerrar candado. Reportó Antony Ramos</t>
  </si>
  <si>
    <t>Tarima sobre paso peatonal L4. Reportó Antony Ramos</t>
  </si>
  <si>
    <t xml:space="preserve"> Prensa hidráulica con demasiada fuga de aceite puede ocasionar que se resbale un mecánico y tenga una caída. Reportó Ariel Cua</t>
  </si>
  <si>
    <t>Paletas de vidrio quebradas puede ocasionar algún corte al personal. Reportó Ariel Cua</t>
  </si>
  <si>
    <t>Tarima quebrada en el área de CD. Reportó Astrid Macario</t>
  </si>
  <si>
    <t>Tarima mal ubicada. Reportó Astrid Macario</t>
  </si>
  <si>
    <t>Tarima con producto fuera de lugar. Reportó Astrid Macario</t>
  </si>
  <si>
    <t>Químico fuera de lugar sin contención. Reportó Astrid Macario</t>
  </si>
  <si>
    <t>Tarimas inclinadas en bodega 2. Reportó Bladimir López</t>
  </si>
  <si>
    <t>Tarimas sobre paso peatonal en bodega 4 CD. Reportó Bladimir López</t>
  </si>
  <si>
    <t>Cajillas a punto de caer frente a rampas de CD. Reportó Bladimir López</t>
  </si>
  <si>
    <t>Tarima inclinada con producto terminado, riesgo de caer en bodega 2. Reportó Bladimir López</t>
  </si>
  <si>
    <t>Tarima mal estibada en bodega 4. Reportó Bladimir López</t>
  </si>
  <si>
    <t>Acumulación de condensado en paso de montacargas bodega 2. Reportó Bladimir López</t>
  </si>
  <si>
    <t>Tarima en mal estado en bodega 8, se corrige. Reportó Bladimir López</t>
  </si>
  <si>
    <t>Agua reposada en paso peatonal L5. Reportó Bryan Nephtaly</t>
  </si>
  <si>
    <t>Puerta de ingreso a cabina L3 se encuentra descolgada o la anclada posible riesgo de caída. Reportó Bryan Nephtaly</t>
  </si>
  <si>
    <t>Salida de emergencia obstruida por bolsas de preforma en sopladora L5. Reportó Bryan Nephtaly</t>
  </si>
  <si>
    <t>Caja de preforma obstruyendo paso peatonal. Reportó Bryan Nephtaly</t>
  </si>
  <si>
    <t>En el caminamiento entre bodega de soda cáustica y tratamiento de agua ósmosis se encuentra una extensión eléctrica sin señalización. Reportó Bryan Nephtaly</t>
  </si>
  <si>
    <t>Escalera sin restricción y fuera de lugar asignado. Reportó Bryan Nephtaly</t>
  </si>
  <si>
    <t>Mulita obstaculizando paso peatonal en volteador de preforma. Reportó Bryan Nephtaly</t>
  </si>
  <si>
    <t>Fuga de agua en segundo nivel sala de coordinadores riesgo de caída no se encuentra señalizado. Reportó Bryan Nephtaly</t>
  </si>
  <si>
    <t>Obstrucción visual entre el paso peatonal y paso de montacargas a la salida de línea 5. Posible riesgo. Reportó Bryan Nephtaly</t>
  </si>
  <si>
    <t>Tapadera de caja de registro fuera de lugar. Reportó Carlos Chávez</t>
  </si>
  <si>
    <t>Escalera sin restricción. Reportó Carlos Chávez</t>
  </si>
  <si>
    <t>Puerta de vidrio caída en laboratorio de calidad. Reportó Carlos Chávez</t>
  </si>
  <si>
    <t>Compuerta de cisterna con candado abierto, se cierra y se restringe el acceso. Reportó Carlos Chávez</t>
  </si>
  <si>
    <t>Tarima se encuentra ubicada en la entrada del campo. Reportó Charly Coc</t>
  </si>
  <si>
    <t>Tarimas mal ubicadas en el área del campo de futbol, se corrige. Reportó Charly Coc</t>
  </si>
  <si>
    <t>Bisagras puertas acceso área de descanso desajustada no permiten cerrar la puerta correctamente. Reportó Charly Coc</t>
  </si>
  <si>
    <t>Tarima con carpa desarmada obstaculizando ruta y entrada a campo de futbol. Reportó Charly Coc</t>
  </si>
  <si>
    <t>Tarima mal ubicada y sin delimitar en parqueo interno. Reportó Charly Coc</t>
  </si>
  <si>
    <t>Se encuentran desechos de reciclaje en alrededores. Reportó Charly Coc</t>
  </si>
  <si>
    <t>Desprendimiento de lámina en el área de calderas. Reportó Daniel Pineda</t>
  </si>
  <si>
    <t>Puerta que da acceso a cilindro de gas de cafetería se encuentra sin candado. Reportó Daniel Pineda</t>
  </si>
  <si>
    <t>Se hace observación de colocar cinta de precaución debido al poco espacio después de las gradas en trabajos en edificio nuevo y se corrige. Reportó Daniel Pineda</t>
  </si>
  <si>
    <t>Ducha de emergencia con poco caudal en área de lavado manual. Reportó Daniel Pineda</t>
  </si>
  <si>
    <t>Tarima obstaculizando paso peatonal a lavado manual, se corrige y se despeja el pasillo. Reportó Daniel Pineda</t>
  </si>
  <si>
    <t>Escalera sin restricción atrás de taller de mantenimiento. Reportó Dennis DeLeón</t>
  </si>
  <si>
    <t>Guarda de motor de transporte de línea 2 mal colocada. Reportó Edgar Coti</t>
  </si>
  <si>
    <t>Paneles abiertos en línea 1. Reportó Edgar Coti</t>
  </si>
  <si>
    <t>Cables expuestos de bomba de AC del laboratorio de FQ. Reportó Edgar Coti</t>
  </si>
  <si>
    <t>Puerta hacia techo intermedio línea 3 abierta, se deja cerrado y se coloca candado. Reportó Edgar Coti</t>
  </si>
  <si>
    <t>Alarma de emergencia de L2 no está funcionando correctamente según inspección realizada por mantto. Reportó Edgar Ixcarche</t>
  </si>
  <si>
    <t>Alarma de emergencia de L3 no está funcionando correctamente según inspección realizada por mantto. Reportó Edgar Ixcarche</t>
  </si>
  <si>
    <t>Panel abierto en cuarto eléctrico en ETEI. Reportó Edson Bonifacio</t>
  </si>
  <si>
    <t>Manguera de compresor Af rota, tiene fuga de líquido en L4. Reportó Edson Bonifacio</t>
  </si>
  <si>
    <t>Bandeja de contención sobre stock, mangueras y filtro expuesto a caída en los racks en almacén de repuestos. Reportó Edson Bonifacio</t>
  </si>
  <si>
    <t>Bandejas de contención obstaculizando pasillos en almacén de repuestos. Reportó Edson Bonifacio</t>
  </si>
  <si>
    <t>Trailer sobre paso peatonal. Reportó Efraín Valux</t>
  </si>
  <si>
    <t>Fuga en holding L5. Reportó Eliu Tello</t>
  </si>
  <si>
    <t>Mangueras con desgaste, el riesgo principal es que el medio que circula en el circuito se mantiene a 100 grados C, se encuentran restos de manguera en el suelo presenta un riesgo crítico. Reportó Eliu Tello</t>
  </si>
  <si>
    <t>Acumulación de tapon tirado, se corrige. Reportó Elvis Oliva</t>
  </si>
  <si>
    <t>Bandeja de contención de lubricante desprendida, se corrige. Reportó Elvis Oliva</t>
  </si>
  <si>
    <t>Manguera fuera de lugar en L5, se corrige. Reportó Elvis Oliva</t>
  </si>
  <si>
    <t>Escaleras sin restricción en L5, no se observa personal trabajando. Se encuentra a personal y se retira del lugar escalera. Reportó Elvis Oliva</t>
  </si>
  <si>
    <t>Equipos auxiliares</t>
  </si>
  <si>
    <t>Fuga de vapor en sistema de calentamiento. Reportó Elvis Oliva</t>
  </si>
  <si>
    <t>Lámparas de Línea 4 en malas condiciones. Reporta Juan Francisco Hernández</t>
  </si>
  <si>
    <t>Lámpara parpadeando en Sala Antigua de Jarabes. Reporta Juan Francisco Hernández</t>
  </si>
  <si>
    <t>Tarima quebrada con producto terminado, este se encontraba recostado hacia un costado por el mismo peso. Reportó German Orozco</t>
  </si>
  <si>
    <t>Escaleras sin restricción en sala de llenado L4. Reportó German Orozco</t>
  </si>
  <si>
    <t>Acrílico de guarda de empacadora en L4 con rajadura. Reportó German Orozco</t>
  </si>
  <si>
    <t>Adquisición de elevador de tonel para colocar los químicos en el dique en línea 3. Reportó German Orozco</t>
  </si>
  <si>
    <t>Vidrio quebrado en alerón CD. Reportó German Orozco</t>
  </si>
  <si>
    <t>Rotulación en mal estado en entrada bodega 3 CD. Reportó German Orozco</t>
  </si>
  <si>
    <t>Luminarias de boulevard de CD se encuentran con nailon tapando la luz. Reportó German Orozco</t>
  </si>
  <si>
    <t>Pasillo bloqueado en bodega CD, se corrige. Reportó German Orozco</t>
  </si>
  <si>
    <t>Completar por parte de salud el mapeo de colaboradores completos de l1 y l2. Reportó German Orozco</t>
  </si>
  <si>
    <t>Escaleras sin restricción y sin delimitar en cuarto de generadores. Reportó German Orozco</t>
  </si>
  <si>
    <t>Andamios sin restricción y sin delimitar, personal de infymsa realizando trabajos. Reportó German Orozco</t>
  </si>
  <si>
    <t>Andamios y escalera sin delimitar a la par de tanques de soda. Reportó German Orozco</t>
  </si>
  <si>
    <t>Instalación de colgante para camilla de emergencia, entregada para Sala de Jarabes Nueva. Reportó German Orozco</t>
  </si>
  <si>
    <t>Piso mojado por fuga en laboratorio FQ. Reportó Gerson Castañeda</t>
  </si>
  <si>
    <t>Candado abierto en panel eléctrico paletizadora L03, se procede a cerrar. Reportó Gerson Castañeda</t>
  </si>
  <si>
    <t>Puerta de acceso a laboratorio de paquetecnia L03 bloqueada. Reportó Gerson Castañeda</t>
  </si>
  <si>
    <t>Fuga de agua desde el techo intermedio de sala de llenado. Reportó Gustavo Hernández</t>
  </si>
  <si>
    <t>Gotera de vapor en la salida de línea 1. Reportó Haroldo Yalibath</t>
  </si>
  <si>
    <t>Gotera en columna de metal, agua reposada en paso peatonal de etiquetadora a encajonadora. Reportó Haydée Morales</t>
  </si>
  <si>
    <t>Gotera en acceso a operación en paletizadora L3. Reportó Haydée Morales</t>
  </si>
  <si>
    <t>Gotera en L3, cae en paletizadora en el transporte de rodillos. Reportó Haydée Morales</t>
  </si>
  <si>
    <t>Vidrio de etiquetadora quebrado. Reportó Hellen Estrada</t>
  </si>
  <si>
    <t>Puerta de empacador L4 abierta. Reportó Hellen Estrada</t>
  </si>
  <si>
    <t>Obstrucción del paso en Línea 5. Reportó Hellen Estrada</t>
  </si>
  <si>
    <t>Tarima mal estimada, con riesgo de caer. Envase Ice cool piña coco pirograbado. Esta en bodega 2, también considerar que no se en ubica sobre un corredor, sino en paso de montacargas. Reportó Hugo Oliva</t>
  </si>
  <si>
    <t>Bolsa con reciclaje PET en medio del camino. La bolsa se rompió y cayó el PET. Precaución con el paso de montacargas. Reportó Hugo Oliva</t>
  </si>
  <si>
    <t>Se reporta que no funcionan los extractores en sala antigua de jarabes, acumulación de vapor y alta temperatura. Reportó Hugo Oliva</t>
  </si>
  <si>
    <t>Manguera de lubricante se rompe y moja techo de panel de desempacadora, se cambia manguera y se seca humedad, se pide apoyo al eléctrico de turno revisar panel para descartar riesgos. Reportó Hugo Oliva</t>
  </si>
  <si>
    <t>Tarima de Gatorade 600 ml. No esta flejada completamente. Riesgo de caer producto al movilizarla. Se flejará manualmente para asegurar el producto. Reportó Hugo Oliva</t>
  </si>
  <si>
    <t>Escalera sin restricción y ubicada en medio del pasillo en área de repuestos. Reportó Jaime Chex</t>
  </si>
  <si>
    <t>Tarima frente a portón de repuestos. Reportó Jaime Chex</t>
  </si>
  <si>
    <t>Panel eléctrico de contimax abierto por equipo de enfriamiento dañado, al cerrar se dispara los equipos por temperatura alta en sala nueva de jarabes. Reportó Jaime Chex</t>
  </si>
  <si>
    <t>Panel eléctrico abierto en sala nueva de jarabes. Reportó Jaime Chex</t>
  </si>
  <si>
    <t>Piso mojado en sala nueva de jarabes, sin delimitar, se corrige. Reportó Jaime Chex</t>
  </si>
  <si>
    <t>Escalera sin restricción en sala nueva de jarabes. Reportó Jaime Chex</t>
  </si>
  <si>
    <t>Rejilla fuera de lugar en sala nueva de jarabes. Reportó Jaime Chex</t>
  </si>
  <si>
    <t>Candado abierto en gabinete para químicos en área de mantenimiento. Reportó Jaime Chex</t>
  </si>
  <si>
    <t>Ubicar correctamente extintor en área de mantenimiento. Reportó Jaime Chex</t>
  </si>
  <si>
    <t>Silla quebrada y en mal estado puede provocar caída. Reportó Jessica Loarca</t>
  </si>
  <si>
    <t>Lava ojos de repuestos sin presión. Reportó Jessica Loarca</t>
  </si>
  <si>
    <t>Piso mojado en entrada a laboratorio de calidad, se corrige. Reportó Jessica Loarca</t>
  </si>
  <si>
    <t>Candado abierto en cuarto de máquinas. Reportó Jessica Loarca</t>
  </si>
  <si>
    <t>Cable tirado sobre paso peatonal. Reportó Jessica Loarca</t>
  </si>
  <si>
    <t>Estructura metálica con óxido y corrosión en tratamiento de aguas. Reportó Jimmy Velásquez</t>
  </si>
  <si>
    <t>Se tiene fuga de agua a un costado de edificio nuevo. Reportó Jorge Ixtacuy</t>
  </si>
  <si>
    <t>Tarimas mal apiladas en bodega 3 por riesgo de caída. Reportó Josué Abraham</t>
  </si>
  <si>
    <t>Vidrio en piso de bogega 1, se corrige. Reportó Josué Abraham</t>
  </si>
  <si>
    <t>Candado abierto en panel eléctrico de L1. Reportó Josué Abraham</t>
  </si>
  <si>
    <t>Guarda fuera de lugar en prensa tornillo Etei. Reportó Josué Lepe</t>
  </si>
  <si>
    <t>Guarda de prensa de tornillo mal colocada, se corrige. Reportó Josué Lepe</t>
  </si>
  <si>
    <t>Rejilla abierta en área de críbas ETEI, se corrige. Reportó Josué Lepe</t>
  </si>
  <si>
    <t>Escalera sin restricción en ETEI, se corrige. Reportó Josué Lepe</t>
  </si>
  <si>
    <t>Llantas lizas de montacargas #28. Reportó Josué Vásquez</t>
  </si>
  <si>
    <t>Se solicita la evaluación de respaldos que se estan utilizando en montacargas en temas de ergonomía. Reportó Josué Vásquez</t>
  </si>
  <si>
    <t>En verde están marcados los cinchos y en naranja las cajas que se agregan de más. Reportó Josué Vásquez</t>
  </si>
  <si>
    <t>Falta de extintor en salida a compresores de amoniaco. Reportó Josué Vásquez</t>
  </si>
  <si>
    <t>Realizar escalera fija para trabajos en válvulas de vapor sobre lavadora de L1. Reportó Josué Vásquez</t>
  </si>
  <si>
    <t>solicitarle al proveedor sticker de inspecciones mensuales al extintor, esto se solicitó desde la visita de WCM. Reportó Josué Vásquez</t>
  </si>
  <si>
    <t>Reparar volcadora de botes en l1, están vaciando entre 2 o 3 personas los botes. Reportó Josué Vásquez</t>
  </si>
  <si>
    <t>Colocar rótulos de nivel de ruido en L5. Reportó Josué Vásquez</t>
  </si>
  <si>
    <t>Lampara se encuentra parpadeando en sala antigua de jarabes. Reportó Juan Hernández</t>
  </si>
  <si>
    <t>Lámpara parpadeando en laboratorio fisicoquímico. Reportó Juan Hernández</t>
  </si>
  <si>
    <t>Tarimas con sacos de azúcar caídos en bodega de azúcar. Reportó Kelly Calderón</t>
  </si>
  <si>
    <t>Tarima quebrada con materia prima sobre estantería. Reportó Kelly Calderón</t>
  </si>
  <si>
    <t>Tarimas mal estibadas frente a línea 4. Reportó Leidy Camey</t>
  </si>
  <si>
    <t>Lámpara de laboratorio fisicoquimico parpadeando, afecta la vista al trabajar. Reporta Leidy Camey</t>
  </si>
  <si>
    <t>Lámparas sín funcionar en línea 1. Reporta Leidy Camey</t>
  </si>
  <si>
    <t>Herramienta eléctrica conectada y se encontraba el piso mojado. Reportó Lissette Loarca</t>
  </si>
  <si>
    <t>Compuertas de cuarto de ósmosis sin restricción. Reportó Lissette Loarca</t>
  </si>
  <si>
    <t>Pozos sin candados en cisternas. Reportó Lissette Loarca</t>
  </si>
  <si>
    <t>Ramas cerca de tocar cables de alta tensión en la subestación. Reportó Lissette Loarca</t>
  </si>
  <si>
    <t>Almendral recostado sobre bodega de procesos. Reportó Lissette Loarca</t>
  </si>
  <si>
    <t>Andamios sin restricción ni delimitación. Reportó Lissette Loarca</t>
  </si>
  <si>
    <t>Lámparas de laboratorio de FQ parpadeando, iluminación inadecuada. Reportó Luis Ángel</t>
  </si>
  <si>
    <t>Lampara se encuentra parpadeando ubicada en bodega 3. Reportó Luis Ángel</t>
  </si>
  <si>
    <t>Extensión en sala de llenado de L5 en mal estado, cable dañado. Reportó Luis Ángel</t>
  </si>
  <si>
    <t>Vidrio quebrado en bodega de embace. Reportó Luis Cabrera</t>
  </si>
  <si>
    <t>Tarima sobre paso peatonal en bodega 4. Reportó Luis Cabrera</t>
  </si>
  <si>
    <t>Falta guarda de seguridad y tornillos de sujeción para pieza metálica en salida de lavadora L1, se corrige. Reportó Luis Cabrera</t>
  </si>
  <si>
    <t>Puerta de cabina L3 se encuentra caíada nuevamente. Reportó Luis Cabrera</t>
  </si>
  <si>
    <t>Tarima con producto terminado sobre pasillo de bodega 8. Reportó Luis Pérez</t>
  </si>
  <si>
    <t>Botellas de 3L sueltas sobre tarima de producto terminado en patio L2. Reportó María Obregón</t>
  </si>
  <si>
    <t>Dispositivo de seguridad de puerta de servicios auxiliares no funciona correctamente. Reportó María Obregón</t>
  </si>
  <si>
    <t>Guarda de motor de transporte desprendida en L3. Reportó María Obregón</t>
  </si>
  <si>
    <t>Escalera fuera de lugar en L3. Reportó María Obregón</t>
  </si>
  <si>
    <t>Rejilla de paletizadora de L3 golpeada, tiene hierros desprendidos y doblados. Reportó María Obregón</t>
  </si>
  <si>
    <t>Equipo de aire acondicionado expuesto, detrás de taller de mantto. Reportó Mario Marroquín</t>
  </si>
  <si>
    <t>Se debe rotular Jale y Empuje en nueva entrada L5. Reportó Mario Ramos</t>
  </si>
  <si>
    <t>Tanque de toma de muestra, salida de agua sin restricción en ETEI. Reportó Miguel Godínez</t>
  </si>
  <si>
    <t>Escalera sin restricción en paso peatonal de L1. Reportó Nelson Godínez</t>
  </si>
  <si>
    <t>Jaula de químicos sin restricción. Reportó Obdulio Saquic</t>
  </si>
  <si>
    <t>Lampara con iluminación deficiente en la parte de atras de sopladora. Reportó Obdulio Saquic</t>
  </si>
  <si>
    <t>Escalera fuera de lugar y sin restricción. Reportó Obdulio Saquic</t>
  </si>
  <si>
    <t>Acceso a mezanini de línea 3 sin restricción. Reportó Obdulio Saquic</t>
  </si>
  <si>
    <t>Candado abierto en panel elevador de tapón en línea 3, se procedió a cerrarlo. Reportó Oscar Ramírez</t>
  </si>
  <si>
    <t>Candado de panel de etiquetadora abierto, se procedió a cerrarlo. Reportó Oscar Ramírez</t>
  </si>
  <si>
    <t>Candado abierto a techo de cooler línea 2, se deja restringido. Reportó Oscar Ramírez</t>
  </si>
  <si>
    <t>Falta de complemento de tubería hacia drenaje provoca acumulación de agua con lubricante en piso sala preembotellado línea 4. Reportó Oscar Ramírez</t>
  </si>
  <si>
    <t>Botellas y piezas de transporte en piso en sala de empacadora línea 4. Reportó Oscar Ramírez</t>
  </si>
  <si>
    <t>Manguera con fuga provoca acumulación de agua en piso. Reportó Oscar Ramírez</t>
  </si>
  <si>
    <t>Gradas sin restricción a mezzanine línea 4. Reportó Oscar Ramírez</t>
  </si>
  <si>
    <t>Manecilla para des energizar panel eléctrico de sopladora en línea 3 esta quebrada. Reportó Oscar Ramírez</t>
  </si>
  <si>
    <t>Bandeja sobre paso peatonal en sala de llenado línea 2, se corrige. Reportó Oscar Ramírez</t>
  </si>
  <si>
    <t>Silla en mal estado, sala de llenado línea 2. Reportó Oscar Ramírez</t>
  </si>
  <si>
    <t>Caja de registro de cámaras de MP que se encuentra abajo de escaleras que conducen a Sala de coordinadores sin sticker de riesgo electrico. Reportó Oscar Ramírez</t>
  </si>
  <si>
    <t>Acceso libre a área de calderas. Reportó Oscar Ramírez</t>
  </si>
  <si>
    <t>Botellas en el piso cerca de etiquetadora línea 3. Reportó Oscar Ramírez</t>
  </si>
  <si>
    <t>Pieza de lámina colgando en la parte superior de la salida de producto de sala de llenado línea 3. Reportó Oscar Ramírez</t>
  </si>
  <si>
    <t>Panel eléctrico de transportes Krones sin restricción, se procede a dejar cerrado. Reportó Oscar Ramírez</t>
  </si>
  <si>
    <t>Cartón obstruyendo escaleras de empacadora L1. Reportó Oscar Ramírez</t>
  </si>
  <si>
    <t>Falta de iluminación enfrente de calderas. Reportó Oscar Ramírez</t>
  </si>
  <si>
    <t>Magneto obstruido, no restringe acceso en puerta que comunica laboratorio físico químico a sala de llenado línea 2. Reportó Oscar Ramírez</t>
  </si>
  <si>
    <t>Acceso libre a parte superior lavadora de botellas línea 1 candado se deja cerrado para dejar restringido. Reportó Oscar Ramírez</t>
  </si>
  <si>
    <t>Motor de transporte sin guarda, la guarda ya está en mal estado. Reportó Oscar Ramírez</t>
  </si>
  <si>
    <t>Nueva cabina de ingreso a las líneas de producción con agua en el suelo posible riesgo de caída. Reportó Bryan Nephtaly</t>
  </si>
  <si>
    <t>Falta guarda de seguridad de esmeril en taller mantto. Reportó Roy Luarca</t>
  </si>
  <si>
    <t>Monta carga encendido y sin operador. Reportó Walfred Guzmán</t>
  </si>
  <si>
    <t>Cilindro de bomba de vacío mal ubicada en taller mantto. Reportó Walfred Guzmán</t>
  </si>
  <si>
    <t>Repuestos de L1 sin restricción en taller mantto. Reportó Walfred Guzmán</t>
  </si>
  <si>
    <t>Luces sin funcionar, área de preformas L3. Reportó Yessica Guarcas</t>
  </si>
  <si>
    <t>Panel eléctrico abierto en empacadora L4 se corrige y se deja cerrado. Reportó Yessica Guarcas</t>
  </si>
  <si>
    <t>Falta de lámparas de emergencia en sala de llenado L5. Reportó Elvis Oliva</t>
  </si>
  <si>
    <t>Marco de puerta quebrado a la par de etiquetadora línea 2. Reportó Ariel Cua</t>
  </si>
  <si>
    <t>Tarima mal ubicada, sobre entrada de taller y almacén de repuestos. Reportó Edson Bonifacio</t>
  </si>
  <si>
    <t>Bomba de compactador de etiqueta obstaculizando paso peatonal. Reportó Oscar Ramírez</t>
  </si>
  <si>
    <t>Letrero de lavado de ojos en mal estado, afuera de pipa de CO2 se recomienda realizar el cambio. Reportó Rodrigo Galindo</t>
  </si>
  <si>
    <t>Tarima mal estibada, bodega preforma L4. MP se dará seguimiento para corrección. Reportó Jaime Chex</t>
  </si>
  <si>
    <t>Extintor fuera de lugar en entrada a laboratorio físico químico. Reportó Nelson Godínez</t>
  </si>
  <si>
    <t>Residuos obstaculizando el paso de montacargas, en bodega de preforma L3. Reportó Hugo Oliva</t>
  </si>
  <si>
    <t>Escalera sin restricción a un costado de portón de ETEI. Reportó Josué Lepe</t>
  </si>
  <si>
    <t>Cajillas con riesgo de caída en alerón nuevo. Reportó Isabel Sequila</t>
  </si>
  <si>
    <t>Agua con soda estancada en isla de soda, las llaves están abiertas, de los tanques es un riesgo cuando quieren lavar los tanques de las lavadoras. Reportó Edson Bonifacio</t>
  </si>
  <si>
    <t>Piso mojado agua que ingresa de la sala de jarabes y se deposita por donde está la analista de azúcar. Reporta Domingo Yac</t>
  </si>
  <si>
    <t>Bomba de dosificación de soda, tanque de soda. Reportó Dennis DeLeón</t>
  </si>
  <si>
    <t>Realizar cambio de rotulo ya que este se encuentra en mal estado a un costado de taller da mantenimiento. Reportó Josué Vásquez</t>
  </si>
  <si>
    <t>Se encuentra una tabla con clavos expuestos hacia arriba en alerón CD. reportó German Orozco</t>
  </si>
  <si>
    <t>Se encuentran tarimas obstaculizando el paso peatonal en bodega 4 y bodega 9 en CD, se corrige. Reportó German Orozco</t>
  </si>
  <si>
    <t>Puertas de secador de botellas L4 abierta en plena producción. Reportó Obdulio Saquic</t>
  </si>
  <si>
    <t xml:space="preserve">Se reporta manguera obstruyendo el paso en escaleras de llenadora línea 3. Reportó Alfonso Guatzin
</t>
  </si>
  <si>
    <t>Se reporta Tarima mal posicionada en racks de insumos Línea 3. Reportó Alfonso Guatzin</t>
  </si>
  <si>
    <t>Paso peatonal obstruido por jaulas de preformas aun costado de linea 4. Reportó Obdulio Saquic</t>
  </si>
  <si>
    <t>Goteo de condensado de A/C en sala de espera, este mismo goteo salpica la conexión que está en la parte de abajo. Reportó Antony Ramos</t>
  </si>
  <si>
    <t>Tapadera de tolva en línea 5 no se mantiene abierta, la tienen sujetada con una cuerda y una botella. Reportó Fredy Fuentes</t>
  </si>
  <si>
    <t>Tabla de palet con clavos expuestos en B9. Reportó Nelson Godínez</t>
  </si>
  <si>
    <t>Candado abierto, acceso a bodega de soda de materia prima, se procede a realizar el bloqueo correspondiente. Reportó Daniel Pineda</t>
  </si>
  <si>
    <t>Falta de sujeción por cincho plástico dañado en paso peatonal línea 1. Reportó Daniel Pineda</t>
  </si>
  <si>
    <t>Tapa de llamado a montacargas con desprendimiento a la par de llenadora línea 1. Reportó Daniel Pineda</t>
  </si>
  <si>
    <t>Colocar rótulo cerca de bunker de azúcar en sala de jarabes nueva. Reportó Josué Vásquez</t>
  </si>
  <si>
    <t>Colocar rótulo de extintor en sala nueva de jarabes. Reportó Josué Vásquez</t>
  </si>
  <si>
    <t>Falta guarda de seguridad en empacadora L3. Reportó German Orozco</t>
  </si>
  <si>
    <t>Tarimas obstaculizando el paso de montacargas en bodega 2 C.D. Reportó German Orozco</t>
  </si>
  <si>
    <t>Rótulo de puerta abatible L3 está por caerse, colocar nuevos cinchos. Reportó German Orozco</t>
  </si>
  <si>
    <t>Tarima obstaculizando paso peatonal en bodega de azúcar. Reportó Abraham Quiej</t>
  </si>
  <si>
    <t>Protector de rack le hace falta tornillo para sujetarlo en MP. Reportó German Orozco</t>
  </si>
  <si>
    <t>Tarima con embaces inclinada con riesgo de caída en bodega 2 C.D. Reportó Bladimir López</t>
  </si>
  <si>
    <t>Tarima con botes sobre paso peatonal L2. Reportó Oscar Ramírez</t>
  </si>
  <si>
    <t>Fuga de vapor en salida de sala antigua de jarabes. Reportó Juan Hernández</t>
  </si>
  <si>
    <t>Puerta de salida L1 frente a etiquetadora caída se restringió y posteriormente se realizó la corrección. Reportó Haydée Morales</t>
  </si>
  <si>
    <t>Se cierran candados de panel eléctrico sala de llenado y panel eléctrico de extractores de aire de sala de llenado. Reportó Gustavo Hernández</t>
  </si>
  <si>
    <t xml:space="preserve">Candados abiertos en panel eléctrico de lavadora L1, se proceden a cerrar. Reportó Gustavo </t>
  </si>
  <si>
    <t>Tarima obstaculizando paso peatonal en bodega 4 CD, se corrige. Reportó Abraham Quiej</t>
  </si>
  <si>
    <t>Cables eléctricos expuestos sobre pared en ingreso a taller de mantenimiento. Reportó Jason Calderón</t>
  </si>
  <si>
    <t>Falta gancho para colocar escalera en tanques ETEI, probabilidad de caía. Reportó Yessica Guarcas</t>
  </si>
  <si>
    <t>Fuga de agua en tanque ETEI. Reportó Yessica Guarcas</t>
  </si>
  <si>
    <t>Escalera fuera de área asignada y sin restricción. Reportó Bryan Nephtaly</t>
  </si>
  <si>
    <t>Paso peatonal obstaculizado por tarima de etiquetas en etiquetadora. Reportó Bryan Nephtaly</t>
  </si>
  <si>
    <t>Escalera pequeña obstaculizando paso peatonal dentro de almacen de repuestos. Reportó Jason Calderón</t>
  </si>
  <si>
    <t>Tarima sobre paso vehicular. Reportó María Obregón</t>
  </si>
  <si>
    <t>Rotulo en mal estado, tanque espesador de lodos ETEI. Reportó Yessica Guarcas</t>
  </si>
  <si>
    <t>Acumulación de agua al lado de etiquetadora l3, se corrige. Reportó Abraham Quiej</t>
  </si>
  <si>
    <t>Fuga de vapor en L5, se gestionó reparación con coordinador de turno y se realizó el cambio de empaque. Reportó Antony Ramos</t>
  </si>
  <si>
    <t>Fuga de lubricante cerca de codificador 2, se corrige. Reportó Haydée Morales</t>
  </si>
  <si>
    <t>Falta guarda de seguridad en final de carrera, sala de llenado L2 en transporte hacia el inspector. Reportó Yessica Guarcas</t>
  </si>
  <si>
    <t>Rotulo de alarma de emergencia en mal estado ETEI. Reportó Yessica Guarcas</t>
  </si>
  <si>
    <t>Montacargas sin protección para evitar el calor en la parte de abajo, el proveedor estará colocando alfombra para evitar la temperatura en los pies del OP de montacargas. Reportó Luis Pérez</t>
  </si>
  <si>
    <t>Rotulo de puerta abatible a punto de caer en ingreso L1, se corrige. Reportó Abraham Quiej</t>
  </si>
  <si>
    <t>Bomba de compactador de etiqueta sobre paso peatonal L1 se quita del pasillo. Reportó Abraham Quiej</t>
  </si>
  <si>
    <t>Candado abierto de paletizadora L3 y se deja cerrado. Reportó Abraham Quiej</t>
  </si>
  <si>
    <t>Candado abierto en panel eléctrico en jaula de químicos de ecolab. Reportó Oscar Ramírez</t>
  </si>
  <si>
    <t>Tonel sin bandeja de contención, se corrige. Reportó Adrian Santisteban</t>
  </si>
  <si>
    <t>Rejilla de sala ibc no está colocada en drenaje. Reportó Adrian Santisteban</t>
  </si>
  <si>
    <t>Manguera obstaculizando el paso. Reportó Adrian Santisteban</t>
  </si>
  <si>
    <t>Piso de sala gatorade resbaladizo por derrame de jarabe. Reportó Adrian Santisteban</t>
  </si>
  <si>
    <t>Ruta de salida sala de fraccionamiento obstaculizada con equipo. Reportó Adrian Santisteban</t>
  </si>
  <si>
    <t>Aislante térmico de tubería en mal estado. Reportó Adrian Santisteban</t>
  </si>
  <si>
    <t>Puntas de rosca de tornillo sobresalen en piso. Reportó Adrian Santisteban</t>
  </si>
  <si>
    <t>Rejilla mal colocada, sobresale y puede provocar un accidente. Reportó Adrian Santisteban</t>
  </si>
  <si>
    <t>Gabinete eléctrico sin candado. Reportó Adrian Santisteban</t>
  </si>
  <si>
    <t>Candado abierto de puerta a techo intermedio de L1 y L2, se deja cerrado. Reportó Abraham Quiej</t>
  </si>
  <si>
    <t>Candado abierto de techo intermedio L3, se deja cerrado. Reportó Abraham Quiej</t>
  </si>
  <si>
    <t>Acumulación de agua en etiquetadora L3. Reportó Abraham Quiej</t>
  </si>
  <si>
    <t>Candado de etiquetadora abierto, se corrige y se deja cerrado. Reportó Abraham Quiej</t>
  </si>
  <si>
    <t>Candado de techo intermedio L3 abierto, se corrige y se deja cerrado. Reportó Abraham Quiej</t>
  </si>
  <si>
    <t>Vidrio en piso encajonamiento L1. Reportó Abraham Quiej</t>
  </si>
  <si>
    <t>Extintor fuera de lugar, no se encuentra posicionado en su lugar establecido, puede ocasionar tropiezo en L1, se corrige y se deja en su lugar. Reportó Abraham Quiej</t>
  </si>
  <si>
    <t>Candado abierto en panel de control L1, se deja cerrado. Reportó Abraham Quiej</t>
  </si>
  <si>
    <t>Lámpara de emergencia dañada en área de espera C.D. Reportó Abraham Quiej</t>
  </si>
  <si>
    <t>Lámpara defectuosa en área de descarga de azúcar MP. Reportó Abraham Quiej</t>
  </si>
  <si>
    <t>Vidrio en piso de encajonamiento L1, se realiza limpieza. Reportó Abraham Quiej</t>
  </si>
  <si>
    <t>Tarimas mal apiladas y obstaculizando paso peatonal en CD. Reportó Abraham Quiej</t>
  </si>
  <si>
    <t>Tarima obstaculizando paso peatonal bodega 4 CD. Reportó Abraham Quiej</t>
  </si>
  <si>
    <t>Fuga de vapor en lavadora L2. Reportó Abraham Quiej</t>
  </si>
  <si>
    <t>Vidrio en piso de bodega 1 C.D. Reportó Abraham Quiej</t>
  </si>
  <si>
    <t>Montacargas sin restricción en M.P. Reportó Abraham Quiej</t>
  </si>
  <si>
    <t>Tarima obstaculizando paso peatonal en bodega 9, se corrige. Reportó Abraham Quiej</t>
  </si>
  <si>
    <t>Escalera sin restricción. Reportó Adrian Santisteban</t>
  </si>
  <si>
    <t>Rejilla mal colocada. Reportó Adrian Santisteban</t>
  </si>
  <si>
    <t>Reciclaje obstaculizando paso peatonal. Reportó Adrian Santisteban</t>
  </si>
  <si>
    <t>Manguera en lugar inadecuado. Reportó Adrian Santisteban</t>
  </si>
  <si>
    <t xml:space="preserve">Se reporta Tarima mal posicionada a la par de tolva de tapones Línea 3. Reporto Alfonso Guatzin
</t>
  </si>
  <si>
    <t xml:space="preserve">Se reporta Jaula de Preforma mal estibada en Línea 4. Reporto Alfonso Guatzin
</t>
  </si>
  <si>
    <t xml:space="preserve">Se reporta lubricante en piso en paso peatonal Línea 3. Reporto Alfonso Guatzin
</t>
  </si>
  <si>
    <t>Fuga de vapor en lavadora L2, se crea aviso para su atención #10054922. Reportó Amílcar Ralda</t>
  </si>
  <si>
    <t>Corregir la forma de recolectar hollin. Reportó Amílcar Ralda</t>
  </si>
  <si>
    <t>Fuga de agua caliente, lavadora línea 1, atrás de donde está lámpara 2 se sube aviso de mantto No. 10057726. Reportó Amílcar Ralda</t>
  </si>
  <si>
    <t>Última revisión de extintor fue en febrero del 26, se encuentra en sala llenado L2. Reportó Amílcar Ralda</t>
  </si>
  <si>
    <t>Rampa con cinta antideslizante deteriorada frente a equipos auxiliares. Andrea González</t>
  </si>
  <si>
    <t>Toma corriente sin tapadera en sala de llenado L1, se corrige y se instala tapadera. Reportó Andrea González</t>
  </si>
  <si>
    <t>Falta tope en estantería cuarto contramuestras, riesgo de caída de producto terminado. Reportó Andrea González</t>
  </si>
  <si>
    <t>Falta de orden y limpieza en L4, se retira tarima y escalera de paso peatonal. Reportó Antony Ramos</t>
  </si>
  <si>
    <t>Tarima golpeada en Bodega 4, se corrige. Reportó Antony Ramos</t>
  </si>
  <si>
    <t>Lector de tarjetas en mal estado para salida de llenadora L1. Reportó Antony Ramos</t>
  </si>
  <si>
    <t>Bomba con fuga de soda. Reportó Antony Ramos</t>
  </si>
  <si>
    <t>Sticker de accidente ya no se visualiza que sucedió, tapadera de llenadora L1. Reportó Antony Ramos</t>
  </si>
  <si>
    <t>Escalera mal ubicada en sala nueva de jarabes. Reportó Antony Ramos</t>
  </si>
  <si>
    <t>Cable expuesto de equipo de soldadura en taller de mantenimiento. Reportó Antony Ramos</t>
  </si>
  <si>
    <t>Tarima ubicada en paso de montacarga en pasillo de l4-l5. Reportó Antony Ramos</t>
  </si>
  <si>
    <t>Cajilla y vidrio quebrado en paso de montacargas, bodega 2 C.D. Reportó Antony Ramos</t>
  </si>
  <si>
    <t>Escalera fuera de lugar en almacén de repuestos, se corrige. Reportó Antony Ramos</t>
  </si>
  <si>
    <t>Tarima y cajilla sobre paso peatonal B8, se corrige. Reportó Antony Ramos</t>
  </si>
  <si>
    <t>Válvula de pipas de CO2 está soltando demasiada presión, indican que la presión se sube a 350psi cuando lo adecuado es 300psi, así mismo indican que desde el día de ayer la presión a subido a 350. Reportó Antony Ramos</t>
  </si>
  <si>
    <t>Acumulación de vidrio bajo escaleras de lavadora, se corrige. Reportó Antony Ramos</t>
  </si>
  <si>
    <t>Sala de llenado línea 2 acumulación de vidrio quebrado, se corrige. Reportó Antony Ramos</t>
  </si>
  <si>
    <t>Escaleras en paso peatonal frente a etiquetadora línea 2, se corrige. Reportó Antony Ramos</t>
  </si>
  <si>
    <t>Paneles eléctricos de lavadora L1 sin restricción, se corrige. Reportó Antony Ramos</t>
  </si>
  <si>
    <t>Paso peatonal a bodega 3 obstaculizado con tarimas. Reportó Benedicto Barrios</t>
  </si>
  <si>
    <t>Tarimas sobre paso peatonal bodega 3 C.D. se corrige. Reportó Bladimir López</t>
  </si>
  <si>
    <t>Corredor de california con inclinación, riesgo de caer. Reportó Bladimir López</t>
  </si>
  <si>
    <t>Tarimas sobre paso peatonal bodega 8. Reportó Bladimir López</t>
  </si>
  <si>
    <t>Tarima mal estibada a punto de caer en bodega 2, se corrige. Reportó Bladimir López</t>
  </si>
  <si>
    <t>Andamios en paso peatonal a líneas pet sin restricción. Reportó Bryan Rodas</t>
  </si>
  <si>
    <t>Se abordó a Miguel Godínez jefe de MP por falta de iluminación en la oficina de dicha área. Reporta Bryan Rodas</t>
  </si>
  <si>
    <t>Llaves en cuarto eléctrico en ETEI. Reportó Carlos Chávez</t>
  </si>
  <si>
    <t>Desechos de tratamiento de agua sin delimitar. Reportó Charly Coc</t>
  </si>
  <si>
    <t>Desechos de línea 3. Reportó Charly Coc</t>
  </si>
  <si>
    <t>Acumulación de desechos de Nabla. Reportó Charly Coc</t>
  </si>
  <si>
    <t>Acumulación de desechos a un costado de tanques de soda, sin delimitar. Reportó Charly Coc</t>
  </si>
  <si>
    <t>Tarima sin delimitar y mal ubicada en parqueo interno. Reportó Charly Coc</t>
  </si>
  <si>
    <t>Tarimas mal ubicadas en parqueo interno. Reportó Charly Coc</t>
  </si>
  <si>
    <t>Tarima en parqueo interno, sin señalizar ni delimitar. Reportó Charly Coc</t>
  </si>
  <si>
    <t>Piso mojado en ETEI sin señalización, verificar si es por lluvia o fuga en alguna tubería. Reportó Charly Coc</t>
  </si>
  <si>
    <t>Tarima sin delimitar ubicada frente a Osmosis. Reportó Charly Coc</t>
  </si>
  <si>
    <t>Rótulo de LOTO desprendido de panel CIP L5.</t>
  </si>
  <si>
    <t>Tanque de gas sin gancho de seguridad en montacargas No. 20. Reportó Daniel Pineda</t>
  </si>
  <si>
    <t>Montacargas número 31 y 21 con restricción incorrecta. Reportó Daniel Pineda</t>
  </si>
  <si>
    <t>Sujetador de gas dañado, de montacargas No. 30. Reportó Daniel Pineda</t>
  </si>
  <si>
    <t>Espejo ovalado con daños, frente a calderas evaluar el cambio. Reportó Daniel Pineda</t>
  </si>
  <si>
    <t>Bloqueador de timón de montacargas No. 24 se encuentra dañado. Reportó Daniel Pineda</t>
  </si>
  <si>
    <t>Bloqueador de timón de montacargas No. 29 se encuentra dañado. Reportó Daniel Pineda</t>
  </si>
  <si>
    <t>Paso peatonal con piso mojado por derrame de agua, se corrige. Reportó Daniel Pineda</t>
  </si>
  <si>
    <t>Angular al borde de caer en edificio nuevo. Reportó Daniel Pineda</t>
  </si>
  <si>
    <t>Rótulos en mal estado en garita de gasolinera. Reportó Daniel Pineda</t>
  </si>
  <si>
    <t>Señalamiento de extintor en mal estado, en el paso peatonal exterior de las oficinas de almacén de repuestos. Reportó Daniel Pineda</t>
  </si>
  <si>
    <t>Escalera en paso peatonal línea 5. Reportó Daniel Pineda</t>
  </si>
  <si>
    <t>Se observa intervención en luces de alarma en empacadora línea 4. Reportó Daniel Pineda</t>
  </si>
  <si>
    <t>Casco cuenta con el arnés dañado en almacén de repuestos, se retira y se realiza el descarte del equipo dañado. Reportó Daniel Pineda</t>
  </si>
  <si>
    <t>Lámparas descompuestas en el paso peatonal trasero de línea 2. Reportó Daniel Pineda</t>
  </si>
  <si>
    <t>Toma corriente fuera de lugar en CD. Reportó Daniel Pineda</t>
  </si>
  <si>
    <t>Tarima con producto sobre paso peatonal bodega 4, se corrige. Reportó Daniel Pineda</t>
  </si>
  <si>
    <t>Base de extintor inestable, se recomienda cambiar de área y colocarlo en área más estable en sala de jarabes nuevo. Reportó Daniel Pineda</t>
  </si>
  <si>
    <t>Ducha de emergencia, manija con desperfectos en sala de jarabes nueva. Reportó Daniel Pineda</t>
  </si>
  <si>
    <t>Puerta abierta en pipas de Co2. Reportó Daniel Pineda</t>
  </si>
  <si>
    <t>Escalera mal posicionada en línea 5, se corrige. Reportó Daniel Pineda</t>
  </si>
  <si>
    <t>Escalera fuera de su lugar, sin restricción. Reportó Daniel Pineda</t>
  </si>
  <si>
    <t>Cables pelados de luces de emergencia a la par de gradas para acceso a sala de coordinadores. Reportó Daniel Pineda</t>
  </si>
  <si>
    <t>Arnés de seguridad en mal estado, óxido, material con desgaste de fricción y presenta una quemadura. Reportó Daniel Pineda</t>
  </si>
  <si>
    <t>Escalera obstruyendo paso peatonal, en almacén de repuestos. Reportó Daniel Pineda</t>
  </si>
  <si>
    <t>Gotera en Skype Nooks. Reporta Diana Pérez</t>
  </si>
  <si>
    <t>Condensado de la cámara de refrigeración del laboratorio está humedeciendo el piso (se secó el piso con una tapiada).  Reporta Domingo Yac</t>
  </si>
  <si>
    <t>Piso con agua estancada por fuga de torre Marly. Reportó Edgar Coti</t>
  </si>
  <si>
    <t>Cables expuestos de chiller de línea 4. Reportó Edgar Coti</t>
  </si>
  <si>
    <t>Candado abierto de puerta de ingreso a generadores eléctricos. Reportó Edgar Coti</t>
  </si>
  <si>
    <t>Kit de derrame sin delimitación y no se logra abrir, validar que esté completo en cuarto frío de materia prima. Reportó Edgar Coti</t>
  </si>
  <si>
    <t>Mesas plegables mal ubicadas en pasillo L5. Reportó Edson Bonifacio</t>
  </si>
  <si>
    <t>Cilindro de gas sin restricción atrás de calderas. Reportó Edson Bonifacio</t>
  </si>
  <si>
    <t>Subestación con crecimiento de maleza, se sugiere poda. Reportó Edson Bonifacio</t>
  </si>
  <si>
    <t>Tarima con toneles obstruyendo entrada en sala antigua de jarabes. Reportó Edson Bonifacio</t>
  </si>
  <si>
    <t>Utensilios y herramientas fuera de lugar, en sala de jarabes, se corrige. Reportó Edson Bonifacio</t>
  </si>
  <si>
    <t>Tarima mal ubicada entrada sala antigua de jarabes, se corrige. Reportó Edson Bonifacio</t>
  </si>
  <si>
    <t>Paneles eléctricos en sala de jarabe antigua con candados abiertos, se corrige. Reportó Edson Bonifacio</t>
  </si>
  <si>
    <t>Alto riesgo por fuga de holding en L5, estas fugas han sido recurrentes y presentan alto riesgo a los colaboradores por altas temperaturas. Reportó Eliu Tello</t>
  </si>
  <si>
    <t>Agua estancada y piso resbaloso en área de máquinas. Reportó Elvis Oliva</t>
  </si>
  <si>
    <t>Tarima fuera de lugar, se corrige. Reportó Elvis Oliva</t>
  </si>
  <si>
    <t>Acumulación de tarimas en patio del cd. Reportó Elvis Oliva</t>
  </si>
  <si>
    <t>Reja del canal de captación le falta segmento, posible riesgo de caída, ubicada del lado exterior de cuarto de soda. Reportó Elvis Oliva</t>
  </si>
  <si>
    <t>Puerta de área de descanso se encuentra caída. Reportó Elvis Oliva</t>
  </si>
  <si>
    <t>Extintor no cuenta con revisión periódica en laboratorio de calidad. Reportó Elvis Oliva</t>
  </si>
  <si>
    <t>Agregar lista de verificación de botiquín de L1-L2 y limpieza rutinaria. Reportó Elvis Oliva</t>
  </si>
  <si>
    <t>Falta de soporte de tubería de vapor de sistema de calentamiento L2. Reportó Elvis Oliva</t>
  </si>
  <si>
    <t>Cables sueltos dentro de melamina L2. Reportó Elvis Oliva</t>
  </si>
  <si>
    <t>Candado de mezanine l2 abierto, se corrige. Reportó Elvis Oliva</t>
  </si>
  <si>
    <t>Lámpara caída dentro de mezanine L2. Reportó Elvis Oliva</t>
  </si>
  <si>
    <t>Evidencia de fuga de agua caliente, riesgo de salpicadura L2. Reportó Elvis Oliva</t>
  </si>
  <si>
    <t>Sistema de seguridad de puertas sin funcionar en llenadora L2. Reportó Elvis Oliva</t>
  </si>
  <si>
    <t>Canal pluvial dañado en área de ETEI. Reportó Emilio Cux</t>
  </si>
  <si>
    <t>Desorden en trabajos realizados por personal de aire sistemas, cuarto eléctrico ETEI. Reportó Emilio Cux</t>
  </si>
  <si>
    <t>Lámpara solar desprendida sobre paso peatonal ETEI. Reportó Emilio Cux</t>
  </si>
  <si>
    <t>Obstrucción de paso peatonal en Línea 5. Reporta auditor de turno: Juan Francisco Hernández</t>
  </si>
  <si>
    <t>Candado abierto de portón de pipas de Co2, no se observa a nadie en el interior. Reportó Fredy Fuentes</t>
  </si>
  <si>
    <t>Acumulación de tarimas sobre paso peatonal L1, se corrige. Reportó Fredy Fuentes</t>
  </si>
  <si>
    <t>Equipo fuera de lugar, propenso a caerse en sala de llenado L1. Reportó Fredy Fuentes</t>
  </si>
  <si>
    <t>Cartones apilados a un costado paso peatonal cerca de encajonadora L1 propensos a caída. Reportó Fredy Fuentes</t>
  </si>
  <si>
    <t>Acumulación de agua en lavadora de cajilla L1. Reportó Fredy Fuentes</t>
  </si>
  <si>
    <t>Cable de corriente del inspector de botellas colgando fuera de la canaleta en L1. Reportó Fredy Fuentes</t>
  </si>
  <si>
    <t>Conexión de motor entrada al inspector L1 en mal estado, aislante se encuentra roto puede generar humedad dentro. Reportó Fredy Fuentes</t>
  </si>
  <si>
    <t>Conexión eléctrica de sensor en mal estado. Reportó Fredy Fuentes</t>
  </si>
  <si>
    <t>Candado abierto, acceso sin restricción en L1, se corrige. Reportó German Orozco</t>
  </si>
  <si>
    <t>Acumulación de vidrio quebrado en L1. Reportó German Orozco</t>
  </si>
  <si>
    <t>Jumbos de azúcar con leve inclinación con riesgo de caída en bodega de azúcar PM, se corrige. Reportó German Orozco</t>
  </si>
  <si>
    <t>Poste de puerta abatible con golpe en la parte inferior ubicado en bodega 3 CD. Reportó German Orozco</t>
  </si>
  <si>
    <t>Cajas bloqueando pasillo en L4, se corrige. Reportó German Orozco</t>
  </si>
  <si>
    <t>Residuos de condensado en curva transporte enfilador de etiquetadora L3, se corrige. Reportó Gerson Castañeda</t>
  </si>
  <si>
    <t>Panel eléctrico paletizadora L3 abierto, se procede a cerrar. Reportó Gerson Castañeda</t>
  </si>
  <si>
    <t>Se instala candado a panel eléctrico de transportes sala de llenado L1. Reportó Gustavo Hernández</t>
  </si>
  <si>
    <t>Panel abierto, tolva preformas sopladora L4, se deja cerrado. Reportó Gustavo Hernández</t>
  </si>
  <si>
    <t>Fuga de glicol de sopladora L5. Reportó Gustavo Hernández</t>
  </si>
  <si>
    <t>Panel eléctrico tolva preformas L4 abierto, se deja cerrado. Reportó Gustavo Hernández</t>
  </si>
  <si>
    <t>Panel eléctrico de tolva de preformas abierto, se deja cerrado. Reportó Gustavo Hernández</t>
  </si>
  <si>
    <t>Se encuentra fuga de vapor en L2 en unión brida el serpentín, arriba cooler, se sube aviso de mantenimiento 10055758. Reportó Haydée Morales</t>
  </si>
  <si>
    <t>Tabla con clavos expuesta sobre tarima de muestras de calidad, se corrige. Reportó Haydée Morales</t>
  </si>
  <si>
    <t>Alambres de corriente expuestos en caja sin protección. Reportó Hellen Estrada</t>
  </si>
  <si>
    <t>Se reporta antideslizante desgastado en entrada a laboratorio fisicoquímicos desde Línea 2. Reportó Hellen Estrada</t>
  </si>
  <si>
    <t>Fuga de vapor en lavadora L2. Reportó Hugo Oliva</t>
  </si>
  <si>
    <t>Gotera de agua caliente en tubería de vapor, frente a salida de línea 1, se delimita el área y se sube aviso de mantto No. 10057400. Reportó Hugo Oliva</t>
  </si>
  <si>
    <t>Espiga dañada de ventilador ubicado en área de desentarimado L1, se sube aviso de mantto No. 10057316. Reportó Hugo Oliva</t>
  </si>
  <si>
    <t>Sobre stock en pasos de montacargas. Reportó Hugo Oliva</t>
  </si>
  <si>
    <t>Acumulación de agua con posible detergente sobre paso de montacargas. Reportó Hugo Oliva</t>
  </si>
  <si>
    <t>Tarimas sobre paso peatonal y con clavos expuestos frente a L3, se corrige. Reportó Hugo Oliva</t>
  </si>
  <si>
    <t>Envase con riesgo de caída en área de bulevar. Reportó Isabel Saquila</t>
  </si>
  <si>
    <t>Tarimas mal apiladas, riesgo de caída en bodega 4 MP, se corrige. Reportó Isabel Saquila</t>
  </si>
  <si>
    <t>Tarimas de PT obstruyendo paso peatonal sobre B4. Reportó Isabel Saquila</t>
  </si>
  <si>
    <t>Cajillas con vidrio quebrado en piso bodega 2 C.D. Reportó Isabel Saquila</t>
  </si>
  <si>
    <t>Agua acumulada en paso peatonal bodega L3 CD, piso mojado puede provocar caída. Reportó Jaime Chex</t>
  </si>
  <si>
    <t>Área de químicos almacén MP sin restricción, se deja cerrado el candado. Reportó Jaime Chex</t>
  </si>
  <si>
    <t>Tarima quebrada propensa a caer en almacén en almacén MP, se corrige y se cambia tarima. Reportó Jaime Chex</t>
  </si>
  <si>
    <t>Acceso a techo L3 sin restricción, no se observa personas trabajando, no hay permisos de trabajo, se procede a dejar cerrado. Reportó Jaime Chex</t>
  </si>
  <si>
    <t>Se encuentra caja en mal estado y esta puede provocar caída de las que están encima, se realiza la corrección. Reportó Jaime Chex</t>
  </si>
  <si>
    <t>Jaula mal posicionada en corredor bodega de preformas L3, se corrige. Reportó Jaime Chex</t>
  </si>
  <si>
    <t>Tarima de preformas con producto se encuentra quebrada, se realiza el cambio a una tarima en buen estado. Reportó Jaime Chex</t>
  </si>
  <si>
    <t>Compuerta de paso peatonal deshabilitada, entrada al area de pipas de CO2, reporta Jason Calderón</t>
  </si>
  <si>
    <t>Motor-bomba no cuenta con guarda de seguridad, mientras el equipo está en funcionamiento. Riesgo alto de atrapamiento en cuarto de bombas de tratamiento de aguas. Reportó Jasón Orozco</t>
  </si>
  <si>
    <t>Tarima mal estibada, a un costado de oficinas de C.D. Reportó Jimmy Velásquez</t>
  </si>
  <si>
    <t>Cajas de registro de agua pluvial abiertas, se procede a cerrarlas. Reportó Josué Lepe</t>
  </si>
  <si>
    <t>Canal dañado en área ETEI. Reportó Josué Lepe</t>
  </si>
  <si>
    <t>Lámpara de emergencia en sala de llenado L4 dañada. Reportó Josué Vásquez</t>
  </si>
  <si>
    <t>Motor sin guarda en salida de envase L1. Reportó Josué Vásquez</t>
  </si>
  <si>
    <t>Alta vibración en tubería de paramix L5 riesgo de fractura de tubería y que se aflojen los tornillos o soportes por vibración. Reportó Josué Vásquez</t>
  </si>
  <si>
    <t>Alta presión en TQ CO2. Reportó Josué Vásquez</t>
  </si>
  <si>
    <t>Pintar paso peatonal nuevamente en CD bodega 3. Reportó Josué Vásquez</t>
  </si>
  <si>
    <t>Se cayeron los rótulos en puerta de L1. REPORTÓ Josué Vásquez</t>
  </si>
  <si>
    <t>Colocar procedimiento de carga de nitrógeno en L3 y postearlo en el área. Reportó Josué Vásquez</t>
  </si>
  <si>
    <t>Realizar procedimiento para cargar nitrógeno en L4 y postearlo en el área. Reportó Josué Vásquez</t>
  </si>
  <si>
    <t>Tubería eléctrica topando con chumacera en salida de L1, envase lleno. Reportó Josué Vásquez</t>
  </si>
  <si>
    <t>Tarima obstaculizando paso peatonal en Linea 4. Reporta Juan Hernández</t>
  </si>
  <si>
    <t>Paso obstaculizado. Reporta auditor de turno Juan Hernández</t>
  </si>
  <si>
    <t>Obstrucción de paso peatonal en L5. Reportó Juan Hernández</t>
  </si>
  <si>
    <t>Tarima quebrada a punto de caer, cuarto frio de materia prima. Reportó Kelly Calderón</t>
  </si>
  <si>
    <t>Piso mojado en paso peatonal y objetos en lugar inadecuado. Reportó Leidy Camey</t>
  </si>
  <si>
    <t>Escalera fuera de lugar, sin delimitación. En el area de toma muestras de medición de temperatura. Reporta Leidy Camey</t>
  </si>
  <si>
    <t>Manguera fuera de lugar en ETEI. Reportó Lissette Loarca</t>
  </si>
  <si>
    <t>Piso mojado en rampa de ingreso a ETEI. Reportó Lissette Loarca</t>
  </si>
  <si>
    <t>Acumulación de desechos en ETEI. Reportó Lissette Loarca</t>
  </si>
  <si>
    <t>Químicos, pintura en paso peatonal hacia sala vieja de jarabes. Reportó Luis Ángel</t>
  </si>
  <si>
    <t>Piso mojado ingreso a lab de FQ, proveniente de jarabes, se corrige, reporta Luis Ángel</t>
  </si>
  <si>
    <t>Se encuentra tarima de envase mal estibada. Se reporta y se corrige de inmediato. Reportó Luis Cabrera</t>
  </si>
  <si>
    <t>Piso de laboratorio de fisicoquímico mojado y sin señalización. Se limpia y se corrige. Reportó Luis Cabrera</t>
  </si>
  <si>
    <t>Tarima con pt en bodega 8 en mal estado, se encuentra quebrada. Reportó Luis Pérez</t>
  </si>
  <si>
    <t>Tarima sobre paso peatonal frente a bodega 5, se corrige. Reportó Luis Pérez</t>
  </si>
  <si>
    <t>Ramas de pascua muy bajas en paso peatonal hacia cafetería. Reportó Luis Pérez</t>
  </si>
  <si>
    <t>Escalera para muestras de azúcar mal asegurada, se corrige. Reportó Mario Marroquín</t>
  </si>
  <si>
    <t>Cable mal aislado provoca chispas, se solicita apoyo a equipo de mantto. Reportó Miguel Godinez</t>
  </si>
  <si>
    <t>Lámpara en malas condiciones en laboratorio FQ. Reportó Nelson Godínez</t>
  </si>
  <si>
    <t>Panel eléctrico de CIP abierto. Reporta Obdulio Saquic</t>
  </si>
  <si>
    <t>Acceso a mezanini de linea 4 si restricción. Reporta Obdulio Saquic</t>
  </si>
  <si>
    <t>Caneca de químico sin bandeja de contención y sobre paso peatonal hacia linea 5. Reporta Obdulio Saquic</t>
  </si>
  <si>
    <t>Puerta de panel electrico abierta en plena producción. Reporta Obdulio Saquic</t>
  </si>
  <si>
    <t>Lampara de sala de llenado de linea 4 dañada. Obdulio Saquic</t>
  </si>
  <si>
    <t>Puerta de panel electrico abierta en tolva de preforma de linea 4. Obdulio Saquic</t>
  </si>
  <si>
    <t>Acceso sin restricción a parte superior de extractores de etiqueta lavadora línea 1, se deja restringido. Reportó Oscar Ramírez</t>
  </si>
  <si>
    <t>Parte superior a cooler no se encuentra restringida, se procede a dejar cerrado el candado y restringido el acceso. Reportó Oscar Ramírez</t>
  </si>
  <si>
    <t>Toma corriente a nivel de piso, no se encuentra anclado. Reportó Oscar Ramírez</t>
  </si>
  <si>
    <t>Guarda no instalada al costado de empacadora línea 1. Reportó Oscar Ramírez</t>
  </si>
  <si>
    <t>Sin guarda de protección fin de carrera de cadena de transporte hacia llenadora línea 2. Reportó Oscar Ramírez</t>
  </si>
  <si>
    <t>Cinta antideslizante en mal estado en escalera al costado de etiquetadora L1. Reportó Oscar Ramírez</t>
  </si>
  <si>
    <t>Silla con falta de una base de apoyo en sala de preempaque línea 2, puede provocar una caída. Reportó Oscar Ramírez</t>
  </si>
  <si>
    <t>Guarda de lavadora de botellas línea 2 no se encuentra instalada y está mal posicionada. Reportó Oscar Ramírez</t>
  </si>
  <si>
    <t>Candado abierto de puerta de engranajes en salida de lavadora de botellas L2, se deja cerrado. Reportó Oscar Ramírez</t>
  </si>
  <si>
    <t>Guarda en mal estado, sala de llenado L1. Reportó Oscar Ramírez</t>
  </si>
  <si>
    <t>Seccionador de transporte de curva de envase sucio en mal estado. Se realiza el aviso a Mantto y se corrige. Reportó Oscar Ramírez</t>
  </si>
  <si>
    <t>Tomacorriente a nivel de piso, puede provocar cortocircuito por agua en etiquetadora línea 3. Reportó Oscar Ramírez</t>
  </si>
  <si>
    <t>Panel eléctrico de transportes de línea 3 abierto, se procede a dejar cerrado. Reportó Oscar Ramírez</t>
  </si>
  <si>
    <t>Paneles eléctricos de paletizadora L3 abiertos, se procede a dejar cerrados. Reportó Oscar Ramírez</t>
  </si>
  <si>
    <t>Vidrio cerca de escalera de lavadora de botellas Línea 2, se corrige y se realiza limpieza. REPORTÓ Oscar Ramírez</t>
  </si>
  <si>
    <t>Tomacorriente en mal estado en L1. Reportó Oscar Ramírez</t>
  </si>
  <si>
    <t>Candado abierto en panel eléctrico de cooler L2, se corrige. Reportó Oscar Ramírez</t>
  </si>
  <si>
    <t>Magneto de ingreso de sala de llenado línea 1 a punto de caerse. Reportó Roy Luarca</t>
  </si>
  <si>
    <t>Fuga de aceite en motorreductor en L3, área preempaque. Reportó Oscar Ramírez</t>
  </si>
  <si>
    <t>Fuga de agua en equipo de desinfección UV provoca piso mojado en pasillo de area de ractores en ETA. Reporta Oscar Ramos</t>
  </si>
  <si>
    <t>Bandeja de contención con agua en nave osmosis, requiere limpieza. Reporta Oscar Ramos</t>
  </si>
  <si>
    <t>Fuga de agua en bomba de nave osmosis, causa pasillo peatonal mojado. Reporta Oscar Ramos</t>
  </si>
  <si>
    <t>Conexiones electricas expuestas en contador de agua de pozo 1. Reporta Oscar Ramos</t>
  </si>
  <si>
    <t>Arnés de almacén de repuestos no cuenta con stiker de revisión. Reportó Rodrigo Galindo</t>
  </si>
  <si>
    <t>Faltan 2 rótulos de uso de casco y arnés y rótulo actual en mal estado en ETEI. Reportó Rodrigo Galindo</t>
  </si>
  <si>
    <t>Tablero eléctrico sin stickers de riesgo eléctrico en ETEI. Reportó Rodrigo Galindo</t>
  </si>
  <si>
    <t>Rótulos en mal estado en cuartos de químicos ETEI. Reportó Rodrigo Galindo</t>
  </si>
  <si>
    <t>Canastas de lavadora sin señalizar en parqueo interno, se corrige y se delimita el área. Reportó Rolando Gómez</t>
  </si>
  <si>
    <t>Se debe realizar un sistema de drenaje ya que cuando viene personal de calidad a sacar las muestras dejan la llave abierta y eso se acumula en el piso, provocando un piso mojado. Reportó Wilber López</t>
  </si>
  <si>
    <t>Fuga en tubería de osmosis, provoca piso mojado. Reportó Wilber López</t>
  </si>
  <si>
    <t>Verificar la presión de lavaojos ya que no funciona correctamente ubicado en cuarto de ósmosis. Reportó Wilber López</t>
  </si>
  <si>
    <t>Pisos mojados en tratamiento de aguas. Reportó Wilber López</t>
  </si>
  <si>
    <t>Paso de cebra requiere pintura, en bodega 4 CD. Reportó Yessi Guarcas</t>
  </si>
  <si>
    <t>PT en paso peatonal en bodega 4 cd. Reportó Yessi Guarcas</t>
  </si>
  <si>
    <t xml:space="preserve">Se reporta Canecas de Químicos sin Bandeja de Contención. Reporto Alfonso Guatzin
</t>
  </si>
  <si>
    <t>TQ con fuga. Reportó Diana Pérez</t>
  </si>
  <si>
    <t>Swich o interruptor del compresor de reparación de tarima en mal estado bodega 5, CD. Reportó Luis Pérez</t>
  </si>
  <si>
    <t>L2 lámpara de iluminación dañada en sala de llenado gradas hacia mezanine llenadora. Reportó Haydée Martínez</t>
  </si>
  <si>
    <t>Fuga de condensado en tubería de aire acondicionado de mesanini provoca piso mojado en paso peatonal etiquetadora de L1 y salida de L1. Reportó José Abel Aguilar</t>
  </si>
  <si>
    <t>Envase con riesgo de caer en bodega 8. Reportó Isabel Saquila</t>
  </si>
  <si>
    <t>Envase con riesgo de caída en bodega 2. REPORTÓ Isabel Saquila</t>
  </si>
  <si>
    <t>Lámpara parpadeando en L4. Reportó Francisco Hernández</t>
  </si>
  <si>
    <t>Escalera mal ubicada y sin restricción. Reportó Antony Ramos</t>
  </si>
  <si>
    <t>Lámpara parpadeando en interior de sala de llenadora de Línea 4. Reporta auditor de turno: Juan Francisco Hernández</t>
  </si>
  <si>
    <t>Lámpara parpadeando en llenadora. Afecta la visión de los operadores en turnos nocturnos.
Reporta: Leidy Camey</t>
  </si>
  <si>
    <t>Tarimas quebradas ubicadas en Línea 4.
Reporta: Leidy Vanesa Camey</t>
  </si>
  <si>
    <t>Fuga de lubricante, atrás de lámpara de inspección 1. Reporta Haydée Martínez</t>
  </si>
  <si>
    <t>Lámpara con baja iluminación, acceso a bodegas de CD. Reportó Daniel Pineda</t>
  </si>
  <si>
    <t>Techo sin canal en paso peatonal a líneas de producción, provoca piso mojado puede provocar caída. Reportó Bryan Rodas</t>
  </si>
  <si>
    <t>Limpiar traje da acercamiento, presenta suciedad. Reportó Jaime Chilel</t>
  </si>
  <si>
    <t>Tablero de control sin restricción en ETEI. Reportó Daniel Pineda</t>
  </si>
  <si>
    <t>Paso peatonal obstruido en con tarimas y cajillas de pt. Reportó Daniel Pineda</t>
  </si>
  <si>
    <t>Carretón bloqueando entrada a almacén de repuestos, se corrige. Reportó Denni DeLeón</t>
  </si>
  <si>
    <t>Base de extintor con riesgo de desprenderse. Reportó Daniel Pineda</t>
  </si>
  <si>
    <t>Pasamanos de gradas que llevan hacia MP no tiene sticker de uso de pasamanos. Reportó Rodrigo Galindo</t>
  </si>
  <si>
    <t>Herramientas bajo empaquetadora L3. Reportó Daniel Pineda</t>
  </si>
  <si>
    <t>Pasamanos de rampa de acceso a oficinas no tiene sticker de utilizar pasamanos. Reportó Rodrigo Galindo</t>
  </si>
  <si>
    <t>Puertas de químicos sin restricción, L5. Reportó Rodrigo Galindo</t>
  </si>
  <si>
    <t>Obstrucción de paso peatonal, L5. Reportó Rodrigo Galindo</t>
  </si>
  <si>
    <t>Materiales sobre calle de tránsito de montacargas (pit de carga de bulevar). Reportó Jimmy Velásquez</t>
  </si>
  <si>
    <t>Esquinero de tarima fuera de lugar correspondiente L3. Reportó Daniel Pineda</t>
  </si>
  <si>
    <t>Materiales obstruyendo salida en L5. Reportó Oscar Ramírez</t>
  </si>
  <si>
    <t>Lámpara de emergencia, salida de sala de llenado L3 no funciona. Reportó Jaime Chilel</t>
  </si>
  <si>
    <t>Sobre stock en bodegas, corredor limitado para montacargas frente a L4. Reportó Jaime Chilel</t>
  </si>
  <si>
    <t>Falta guarda de protección de pasteurizador en L2 sala de llenado. Reportó Edgar Coti</t>
  </si>
  <si>
    <t>Acceso a transporte de paletizadora sin restricción. Reportó Rodrigo Galindo</t>
  </si>
  <si>
    <t>Envase con riesgo de caer, en bodega 8 CD. Reportó Jimmy Velásquez</t>
  </si>
  <si>
    <t>Panel eléctrico sin restricción, se cierra candado. Reportó Edgar Coti</t>
  </si>
  <si>
    <t>Ducha de emergencia en L5 presenta fuga. Reportó Rodrigo Galindo</t>
  </si>
  <si>
    <t>Rampa hacia tratamiento de agua con antideslizante desgastado. Reportó Rodrigo Galindo</t>
  </si>
  <si>
    <t>Tarima mal colocada y obstaculizando paso peatonal en L2. Reportó Francisco Hernández</t>
  </si>
  <si>
    <t>Se encuentra panel sin restricción en sala de llenado L2, se deja cerrado. Reportó Gustavo Hernández</t>
  </si>
  <si>
    <t>Piso mojado en pasillo L5. Reportó Rodrigo Galindo</t>
  </si>
  <si>
    <t>Manguera fuera de lugar, no se observa a nadie trabajando. Reportó Rodrigo Galindo</t>
  </si>
  <si>
    <t>Panel eléctrico en cuarto de compresores candado abierto, se deja cerrado. Reportó Edson Bonifacio</t>
  </si>
  <si>
    <t>Químico fuera de lugar en ETEI. Reportó María Obregón</t>
  </si>
  <si>
    <t>Producto fuera del límite, por tema de sobre stock, en bodega 8 CD. Reportó Jimmy Velásquez</t>
  </si>
  <si>
    <t>Producto en paso peatonal bodega 8. Reportó Jimmy Velásquez</t>
  </si>
  <si>
    <t>Guarda de motor no instalada L2. Reportó Elvis Oliva</t>
  </si>
  <si>
    <t>Vidrio tirado debajo de transporte de cajas. Reportó German Orozco</t>
  </si>
  <si>
    <t>Tornillos expuestos a nivel de piso, puede provocar caída. Reportó German Orozco</t>
  </si>
  <si>
    <t>Tarima con producto en paso peatonal ubicada en alerón CD. Reportó Jimmy Velásquez</t>
  </si>
  <si>
    <t>Se localiza pieza de transportadora en el suelo, L3. Reportó Daniel Pineda</t>
  </si>
  <si>
    <t>Mangueras fuera de lugar ubicadas en ETEI. Reportó Jessica Loarca</t>
  </si>
  <si>
    <t>Acumulación de envase para rotura en área no establecida. Reportó Jimmy Velásquez</t>
  </si>
  <si>
    <t>Guarda motor P10 suelta en cuarto de bombas. Reporta Nilson Salam</t>
  </si>
  <si>
    <t>Tubería con fuga de agua a un costado de edificio nuevo, se dio aviso y se realizó la reparación. Reportó Oscar Ramírez</t>
  </si>
  <si>
    <t>Herramientas y materiales de proveedor acumulados. Reportó Carlos Chávez</t>
  </si>
  <si>
    <t>Se dejo tarima frente a ósmosis sin delimitar. Reportó Charly Coc</t>
  </si>
  <si>
    <t>Fuga de lubricante en desencajonadora, se notificó a Ecolab. Reporta Haydée Martínez</t>
  </si>
  <si>
    <t>Paso peatonal obstruido en bodega 3 CD, se corrige. Reportó Abraham Quiej</t>
  </si>
  <si>
    <t>Paso peatonal bloqueado en bodega 4 CD, se corrige. Reportó Abraham Quiej</t>
  </si>
  <si>
    <t>Tarima mal ubicada frente a bodega de soda. Reportó Charly Coc</t>
  </si>
  <si>
    <t>Tubería de amoniaco presenta golpe, se encuentra frente a calderas. Reportó Abraham Quiej</t>
  </si>
  <si>
    <t>Cables expuestos en warmer L1. Reportó Abel Aguilar</t>
  </si>
  <si>
    <t>Tubería caída en llenadora L2. Reportó Abel Aguilar</t>
  </si>
  <si>
    <t>Tarimas obstaculizando paso peatonal en B4. Reportó Antony Ramos</t>
  </si>
  <si>
    <t>Pintura de paso peatonal en B4 deficiente, ya no es visible. Reportó Antony Ramos</t>
  </si>
  <si>
    <t>Moho en las bases de tanques de sala IBC  jarabes. Reportó Josué Vásquez</t>
  </si>
  <si>
    <t>Manguera sobre paso peatonal en área de ETEI. Reportó Josué Lepe</t>
  </si>
  <si>
    <t>Tapadera de aire acondicionado de sala de espera sujeta con máquina y riesgo de caer. Andrea González</t>
  </si>
  <si>
    <t>Panel eléctrico de paletizadora abierto. Andrea González</t>
  </si>
  <si>
    <t>Se encuentra trocket en cabina ingreso laboratorio fisicoquimicos. Andrea González</t>
  </si>
  <si>
    <t>Escalera fuera de lugar y sin restricción. Obdulio Saquic</t>
  </si>
  <si>
    <t>Puerta de panel electrico de robobox abierta. Obdulio Saquic</t>
  </si>
  <si>
    <t>2 lámparas parpadeando en laboratorio fisicoquímico. Reporta Leidy Camey</t>
  </si>
  <si>
    <t>Escalera sin restricción ni delimitación en área ETEI. Reportó Josué Lepe</t>
  </si>
  <si>
    <t>Candado panel cercano a tanques de sala de jarabe vieja abierto, se corrige en el momento, reporta Luis Angel</t>
  </si>
  <si>
    <t>Candado abierto en panel de sala de jarabes vieja, se corrige, Luis Angel</t>
  </si>
  <si>
    <t>Tarima en mal estado en L2. Hellen Estrada</t>
  </si>
  <si>
    <t>Tarima mal colocada y obstaculizando paso peatonal en Linea 2. Reporta Francisco Hernández</t>
  </si>
  <si>
    <t>Panel abierto en área de ETEI, se deja restringido con el candado. Reportó Josué Lepe</t>
  </si>
  <si>
    <t>Escalera sin restricción en sopladora de L3. Nelson Godínez</t>
  </si>
  <si>
    <t>Puerta abierta de panel electrico de sopladora en plena producción. Obdulio Saquic</t>
  </si>
  <si>
    <t xml:space="preserve">Se reporta tarima mal posicionada a la par de racks de insumos Línea 3. Reporto Alfonso Guatzin
</t>
  </si>
  <si>
    <t>Cintas antideslizantes desgastadas frente a ingreso L1. Reportó Hellen Estrada</t>
  </si>
  <si>
    <t>Paneles de sopladora L3 abiertos, sin restricción. Reportó Nelson Godínez</t>
  </si>
  <si>
    <t>Panel abierto, chiller de frigel. Reportó Edson Bonifacio</t>
  </si>
  <si>
    <t>Escalera en área de empacadora L1 sin restricción, se corrige. Reportó Abel Aguilar</t>
  </si>
  <si>
    <t>Bandejas de transportes caídas de L1. Reportó Abel Aguilar</t>
  </si>
  <si>
    <t>Caja de herramientas obstruyendo ingreso por rampa. Reportó Rodrigo Galindo</t>
  </si>
  <si>
    <t>Desprendimiento de lámina sobre techo de garita, ingreso a planta. Reportó Daniel Pineda</t>
  </si>
  <si>
    <t>Cajilla tirada en área de bulevar. Reportó Luis Pérez</t>
  </si>
  <si>
    <t>Cartelera SSO dañada por fuertes lluvias, la base se dobló y cayó al suelo. Reportó Antony Ramos</t>
  </si>
  <si>
    <t>Galera de gasolinera se ve inclinada, se vio afectada por fuertes lluvias. Reportó Rodrigo Galindo</t>
  </si>
  <si>
    <t>Ramas sobre ingreso peatonal a ETEI, están sobre cableado eléctrico. Reportó Rodrigo Galindo</t>
  </si>
  <si>
    <t>Láminas traslucidas se quebraron a causa de las fuertes lluvias. Reportó Edson Bonifacio</t>
  </si>
  <si>
    <t>Acumulación de condensado en bodega 3 CD. Reportó Bladimir López</t>
  </si>
  <si>
    <t>Tarimas obstaculizando ingreso a campo de futbol. Reportó Charly Coc</t>
  </si>
  <si>
    <t>Techo de tratamiento de agua dañado por fuertes lluvias. Reportó Adrián Santisteban</t>
  </si>
  <si>
    <t>Herramientas y equipos sin delimitar por trabajadores de IIISA, realizando trabajos en L5. Reportó Edson Bonifacio</t>
  </si>
  <si>
    <t>Primer peldaño de gradas que están debajo del mezanine de L2 en mal estado, se reportó y reparó. Reportó Roy Luarca</t>
  </si>
  <si>
    <t>Tarimas fuera de lugar, se retiran los residuos por parte de Bacsa. Reportó Rodrigo Galindo</t>
  </si>
  <si>
    <t>Pernos que sujetan la base se encuentran dañados. Reportó Daniel Pineda</t>
  </si>
  <si>
    <t>Llave cola corona en bandeja debajo de transportador previo al enfriador. Reportó Jaime Chilel</t>
  </si>
  <si>
    <t>Lámpara colgante se mueve bruscamente debido al aire que emanan los equipos de L5, validar si puede llegar a caerse o desprenderse. Reportó Wilber López</t>
  </si>
  <si>
    <t>Extintor dentro de bodega de soda sin verificación de abril. Reportó Elvis Oliva</t>
  </si>
  <si>
    <t>Falta guarda de seguridad de transporte desentarimado. Reportó Abel Aguilar</t>
  </si>
  <si>
    <t>Cajilla mal estibada, envase con riesgo de caída. Reportó Jimmy Velásquez</t>
  </si>
  <si>
    <t>Utensilio de limpieza en el piso, buscar un lugar adecuado para almacenarlo. Reportó Wilber López</t>
  </si>
  <si>
    <t>Delimitar tapa quebrada en CD. Reportó Josué Vásquez</t>
  </si>
  <si>
    <t>Guarda no se encuentra instalada correctamente. Reportó Jaime Chilel</t>
  </si>
  <si>
    <t>Exceso de vidrio en calle bulevar. Reportó Jimmy Velásquez</t>
  </si>
  <si>
    <t>Pita instalada para que no se caigan las botellas antes del enfriador de etiquetadora L3. Reportó Jaime Chilel</t>
  </si>
  <si>
    <t>Luz indicadora del CIP se encuentra dañada. Reportó Wilber López</t>
  </si>
  <si>
    <t>Definir altura para estiba de tarimas en bodega MP. Reportó Elvis Oliva</t>
  </si>
  <si>
    <t>Cajillas tiradas bloqueando paso en L2. Reportó Edson Bonifacio</t>
  </si>
  <si>
    <t>Bolsa puesta para evitar que caiga lubricante al piso, hacer una protección más adecuada. Reportó Wilber López</t>
  </si>
  <si>
    <t>Tubería suelta sin delimitar en sala de jarabes antigua, a un lado de premix 1. Reportó Oscar Ramos</t>
  </si>
  <si>
    <t>Piso mojado atrás de cabina de L4, cae el condensado del secador. Reportó Wilber López</t>
  </si>
  <si>
    <t>Restos de botellas quebradas L2, atras de desentarimado. Reportó Edson Bonifacio</t>
  </si>
  <si>
    <t>Acceso libre a gradas de lavadora de botellas, se deja cerrado. Reportó Abel Aguilar</t>
  </si>
  <si>
    <t>Restos de tarima con clavos expuestos en MP. Reportó Elvis Oliva</t>
  </si>
  <si>
    <t>Panel sin restricción en ETEI, candado abierto, se deja cerrado. Reportó German Orozco</t>
  </si>
  <si>
    <t>Tarimas obstruyendo paso peatonal en pit de carga. Reportó Josué Vásquez</t>
  </si>
  <si>
    <t>Guarda de motorreductor frente a escritorio de paletizador de L3 no está bien instalada, riesgo de caída. Reportó Jaime Chilel</t>
  </si>
  <si>
    <t>Agitador de motor fuera de lugar en ETEI. Reportó German Orozco</t>
  </si>
  <si>
    <t>Vidrio en piso de encajonamiento de L1. Reportó Abraham Quiej</t>
  </si>
  <si>
    <t>Fuga de condensado caliente en tubería de vapor, salida de emergencia de L1. Reportó German Orozco</t>
  </si>
  <si>
    <t>Cajillas obstruyendo paso al lado de cooler L2. Reportó Edson Bonifacio</t>
  </si>
  <si>
    <t>Bote de power lube fuera de gabinete/caja de herramientas. Reportó Jaime Chilel</t>
  </si>
  <si>
    <t>Tarima sobre paso de montacargas en bodega 1. Reportó Abraham Quiej</t>
  </si>
  <si>
    <t>Tarima mal estibada, posible riesgo de caída, se corrige. Reportó Bryan Rodas</t>
  </si>
  <si>
    <t>Escalera sin restricción del proveedor IIISA, se corrige. Reportó Bryan Rodas</t>
  </si>
  <si>
    <t>Base de aire acondicionado, le hacen falta 2 tornillos, puede caer sobre una persona ubicado en sala lipton. Reportó Josué Vásquez</t>
  </si>
  <si>
    <t>Tuerca que sujeta perno de estantería se encuentra flojo. Reportó Daniel Pineda</t>
  </si>
  <si>
    <t>Varillas expuestas en sala de llenado L5, cerca del paso peatonal a un costado de transporte de tarimas. Reportó Gustavo Hernández</t>
  </si>
  <si>
    <t>Sujetar cilindros de co2 ubicados en cafetería. Reportó Josué Vásquez</t>
  </si>
  <si>
    <t>Extensión Fuera de lugar a cargo de proveedores de proyectos, fuera de lugar equipos auxiliares. Reportó Edson Bonifacio</t>
  </si>
  <si>
    <t>Escalera y canecas fuera de lugar en galera 3, equipos auxiliares. Reportó Edson Bonifacio</t>
  </si>
  <si>
    <t xml:space="preserve">Se reporta tarima y balanza fuera de lugar en Pasillos de Línea 3. Rerporto Alfonso Guatzin
</t>
  </si>
  <si>
    <t xml:space="preserve">Mejorar matriz de planificación actividades de coordinador a operadores, derivada de incidente L1. Reportó German Orozco
</t>
  </si>
  <si>
    <t xml:space="preserve">Mejorar la comunicación entre operadores y gestores de línea al realizar pruebas, derivada de Incidente L1. Reportó German Orozco
</t>
  </si>
  <si>
    <t>Para tareas que puedan ejecutar auxiliares de línea se dejará a un operador indicado para aplicar LOTOTO, derivada de Incidente L1. Reportó German Orozco</t>
  </si>
  <si>
    <t>Concientización con el equipo de auxiliares, monitores y personas involucradas en los permisos de trabajos, derivada de Incidente L1. Reportó German Orozco</t>
  </si>
  <si>
    <t xml:space="preserve">Capacitación en bloqueo y etiquetado LOTOTO, derivada de Incidente L1. Reportó German Orozco
</t>
  </si>
  <si>
    <t xml:space="preserve">Definir que auxiliares realizan tareas con bloqueo y entregarles candado y tarjeta, derivada de Incidente L1. Reportó German Orozco
</t>
  </si>
  <si>
    <t>Reevaluación de Matriz IPER para evaluar el EPP en el área, derivada de Incidente MTI L1. Reportó German Orozco</t>
  </si>
  <si>
    <t xml:space="preserve">Reevaluar la técnica de entarimado y desentarimado y retroalimentar oportunidades de mejora, derivada de Accidente MTI L1. Reportó German Orozco
</t>
  </si>
  <si>
    <t>Dejar en el procedimiento para la velocidad de proceso para el reproceso y la actividad, derivada de Accidente MTI L1. Reportó German Orozco</t>
  </si>
  <si>
    <t xml:space="preserve">Colocar cinta reflectiva a todos los portones de malla que se tengan en el CD, derivada de Incidente del portón. Reportó German Orozco
</t>
  </si>
  <si>
    <t>Capacitar evaluación del entorno y exceso de confianza, derivada de Incidente del portón CD. Reportó German Orozco</t>
  </si>
  <si>
    <t>Definir la comunicación del cierre de portones con el personal operativo, derivada de Incidente del portón CD. Reportó German Orozco</t>
  </si>
  <si>
    <t>Colocar rotulo de precaución cerrado en los portones de malla, derivada de Incidente del portón CD. Reportó German Orozco</t>
  </si>
  <si>
    <t>Buscar la instalación de semáforos inteligentes y/o instalación de rótulos o pintura de alto, derivada de Incidente de traslado de pt CD. Reportó German Orozco</t>
  </si>
  <si>
    <t xml:space="preserve">Reforzar el método y la comunicación para notificar si necesitan apoyo adicional para el vaciado del transporte de las líneas, derivada de Incidente ocurrido por el traslado de pt en CD. Reportó German Orozco
</t>
  </si>
  <si>
    <t>Entrega de radios y colocación de bases y/o lugar para posicionarlo en el montacargas, derivada de Incidente de traslado de pt CD. Reportó German Orozco</t>
  </si>
  <si>
    <t>Cambiar o reparar la canasta que se dañó, derivada del cuasi-accidente de la practicante del área de calidad. Reportó German Orozco</t>
  </si>
  <si>
    <t>Colocar un tope a la puerta de acceso a oficinas administrativas, para su fácil ingreso, derivada del cuasi-accidente de la practicante del área de calidad. Reportó German Orozco</t>
  </si>
  <si>
    <t xml:space="preserve">Reforzar con los practicantes y colaboradores de micro el procedimiento de traslado de muestras, derivada del cuasi-accidente de la practicante del área de calidad. Reportó German Orozco
</t>
  </si>
  <si>
    <t>Se encuentra escalera fuera de lugar frente a etiquetadoras L5. Reportó Andrea González</t>
  </si>
  <si>
    <t>Reparar la carretilla existente, por el ruido y se queda trabada, derivada del cuasi-accidente de la practicante del área de calidad. Reportó German Orozco</t>
  </si>
  <si>
    <t>Escalera mal ubicada, entrada a ETEI. Reportó Charly Coc</t>
  </si>
  <si>
    <t>Falta de orden y limpieza en el área, producto y utensilios fuera de lugar entre transportes L4. Reportó Edson Bonifacio</t>
  </si>
  <si>
    <t>Agua estancada atrás de llenado L4, se corrige. Reportó Edson Bonifacio</t>
  </si>
  <si>
    <t>Extintor fuera de lugar en L5, atrás de cooler. Reportó Edson Bonifacio</t>
  </si>
  <si>
    <t xml:space="preserve">Espejo caído en área de desentarimado, </t>
  </si>
  <si>
    <t>Exceso de vidrio quebrado debajo de escaleras hacia lavadora L2, se realiza limpieza del lugar. Reportó Gustavo Hernández</t>
  </si>
  <si>
    <t>Tablero sin sticker de riesgo eléctrico en L5. Reportó Rodrigo Galindo</t>
  </si>
  <si>
    <t>Fuga de vapor en el área de mezanine L2. Reportó Amilcar Ralda</t>
  </si>
  <si>
    <t>Agua estancada por fuga en tanque de ETEI. Reportó Edson Bonifacio</t>
  </si>
  <si>
    <t>Pintar de amarillo el desnivel para comunicar precaución/advertencia entre lavadora de cajillas y lavadora de botellas. Reportó Jaime Chilel</t>
  </si>
  <si>
    <t>Cambiar bolsa de kit antiderrame ya que se encuentra deteriorada, en sala de jarabe antiguo. Reportó Abraham Quiej</t>
  </si>
  <si>
    <t>Manija mal ubicada en empacadora, L4. Reportó German Orozco</t>
  </si>
  <si>
    <t>Tarima mal estibada con riesgo de caída en calle nueva, CD. Reportó Bryan Rodas</t>
  </si>
  <si>
    <t>Caja eléctrica floja e inadecuada para el tipo de botón de accionamiento instalado. Reportó Bryan Rodas</t>
  </si>
  <si>
    <t>Toma corriente en mal estado, en área de tanques de cloro ETEI. Reportó Bryan Rodas</t>
  </si>
  <si>
    <t>Contenedores de kit antiderrame sin rotulación, área ETEI. Reportó Bryan Rodas</t>
  </si>
  <si>
    <t>Parrilla en mal estado, ocasionado por una rastra a un costado de gasolinera. Reportó Charly Coc</t>
  </si>
  <si>
    <t>Paso de montacargas está bloqueado por tarimas, los mismos casi están circulando sobre el paso peatonal, alto riesgo de accidente. Reportó Josué Vásquez</t>
  </si>
  <si>
    <t>Bomba de A/C no está funcionando correctamente en bodega de GyG, tienen una cubeta para recibir el condensado. Reportó Carlos Chávez</t>
  </si>
  <si>
    <t>Paro de emergencia se utiliza como botón para desactivar control de accesos para salir de sala de llenado L3. Reportó Jaime Chilel</t>
  </si>
  <si>
    <t>Extintor no cuenta con inspección desde enero en cuarto de contramuestra. Reportó Elvis Oliva</t>
  </si>
  <si>
    <t>Falta de orden y limpieza, acumulación de piezas detrás de estantería en cuarto de contramuestras. Reportó Josué Vásquez</t>
  </si>
  <si>
    <t>Producto sin contención en estantería, cuarto de contramuestras. Reportó Elvis Oliva</t>
  </si>
  <si>
    <t>Desorden en sala de espera, acumulación de producto ya lleva varios días. Reportó Charly Coc</t>
  </si>
  <si>
    <t>Herramienta fuera de lugar, en empacadora L3. Reportó German Orozco</t>
  </si>
  <si>
    <t>Exceso de vidrio en el piso, L1. Reportó Wilber López</t>
  </si>
  <si>
    <t>Se señala en la imagen un desnivel en la plataforma, podría causar una caída también se señala la falta de una pata de apoyo de la misma plataforma, L3. Reportó Jaime Chilel</t>
  </si>
  <si>
    <t>Fabricar gancho para asegurar baranda de empacadora, L1. Reportó Wilber López</t>
  </si>
  <si>
    <t>Puerta de laboratorio de metrología en mal estado. Reportó Josué Vásquez</t>
  </si>
  <si>
    <t>Base de baranda en mal estado, ingreso a L3. Reportó German Orozco</t>
  </si>
  <si>
    <t>Candado hacia mezanine L1 abierto, se corrige. Reportó Wilber López</t>
  </si>
  <si>
    <t>Fuga en drenaje del aire acondicionado, L1. Reportó Wilber López</t>
  </si>
  <si>
    <t>Tubería de vapor no está rotulada, en sala nueva de jarabe, filtro precapa. Reportó Edson Bonifacio</t>
  </si>
  <si>
    <t>Escalera sin restricción del personal que estaba instalando cámaras de seguridad, se corrige. Reportó Josué Lepe</t>
  </si>
  <si>
    <t>Fachaleta levantada en camino frente a lockers, puede provocar caída. Reportó Daniel Pineda</t>
  </si>
  <si>
    <t>Material de reciclaje obstaculizando pasillo entre L4 y L5, ha sido recurrente. Reportó Wilber López</t>
  </si>
  <si>
    <t>Candado de panel eléctrico lavadora L1 sin restricción, se deja cerrado. Reportó Gustavo Hernández</t>
  </si>
  <si>
    <t>Llanta de rastra con fisura, puede llegar a reventar, se anotó número de placa TC-467BLL. Reportó Bryan Rodas</t>
  </si>
  <si>
    <t>Guardas de seguridad de L4 fuera del área específica. Bryan Rodas</t>
  </si>
  <si>
    <t>Utensilios de limpieza fuera de lugar, se reubican, sala de llenado L4. Reportó Edson Bonifacio</t>
  </si>
  <si>
    <t>pisos mojados por fuga en lava manos entrada a llenadora. Obdulio Saquic</t>
  </si>
  <si>
    <t>escalera obstruye paso peatonal y sin restricción. Obdulio Saquic</t>
  </si>
  <si>
    <t>Gestionar que policías de rampa utilicen chaleco reflectivo y gestionarle la compra de bastones de luz para mejorar la visibilidad ya que durante turno nocturno están expuestos por poca visibilidad. Reportó Josué Vásquez</t>
  </si>
  <si>
    <t>Caja protectora zafada, puede caerle a alguien en la cabeza al pasar por el área, en equipos auxiliares. Reportó Josué Vásquez</t>
  </si>
  <si>
    <t>Unidad de transporte pesado de la empresa Will Transportes, con placa C-713BNY, cuenta con neumático dañado, se coordina con Astrid Macario realice el cambio y envían evidencia del mismo. Reportó Bryan Barahona</t>
  </si>
  <si>
    <t>Dique de diesel y bunker con agua estancada. Reportó Josué Vásquez</t>
  </si>
  <si>
    <t>Manguera con serios daños, se utiliza para descargar diesel, darle prioridad al cambio. Reportó Josué Vásquez</t>
  </si>
  <si>
    <t>Goteras en ingreso de sanitario general de hombres. Reportó Rodrigo Galindo</t>
  </si>
  <si>
    <t>Vidrio tirado en bodega 2, CD. Reportó Isabel Saquila</t>
  </si>
  <si>
    <t>Lámpara de iluminación dañada en transporte de curva hacia empacadora y cerca de gradas fijas hacia paletizadora. Reportó Haydée Martínez</t>
  </si>
  <si>
    <t>Espejo cóncavo en L1 a punto de caer. Reportó Gustavo Hernández</t>
  </si>
  <si>
    <t>Cajillas con riesgo de caída frente a rampa CD, se corrige. Reportó Isabel Saquila</t>
  </si>
  <si>
    <t>Pintar y delimitar y colocar procedimiento de carga de GLP. Reportó Josué Vásquez</t>
  </si>
  <si>
    <t>Pintar y delimitar área de tubería de amoniaco, colocar rotulación y rombo NFPA. Reportó Josué Vásquez</t>
  </si>
  <si>
    <t>Rotular y colocar rombo NFPA a nodriza de amoniaco. Reportó Josué Vásquez</t>
  </si>
  <si>
    <t>Colocar procedimiento de carga de GLP en el área de cafetería. Reportó Josué Vásquez</t>
  </si>
  <si>
    <t>Se pierde visibilidad en paso peatonal y trayecto de montacargas en área de CD. Reportó Daniel Pineda</t>
  </si>
  <si>
    <t>Rejilla fuera de lugar en área ETEI, se corrige y se deja en su lugar. Reportó Josué Lepe</t>
  </si>
  <si>
    <t>Reparar bases para sujetar cilindros en taller de mantenimiento. Reportó Josué Vásquez</t>
  </si>
  <si>
    <t>Cajilla recostada sobre envase, bulevar a un costado de la bodega de reciclaje. Reportó Jimmy Velásquez</t>
  </si>
  <si>
    <t>Mantener un espacio adecuado entre pasillos, evitar la acumulación de objetos. Reportó Elvis Oliva</t>
  </si>
  <si>
    <t>Tarima de envase con riesgo de caer, ya se encuentra recostado. Reportó Jimmy Velásquez</t>
  </si>
  <si>
    <t>Puerta abatible invade el paso de montacarga. Reportó Daniel Pineda</t>
  </si>
  <si>
    <t>Exceso de materiales, ruta de montacargas y unidades obstruida y con riesgo de caída. Reportó Jimmy Velásquez</t>
  </si>
  <si>
    <t>Rótulo de alto no está en condiciones de uso, ubicado en Pit de carga. Reportó Jimmy Velásquez</t>
  </si>
  <si>
    <t>Locker de químicos sin restricción, L4. Reportó Rodrigo Galindo</t>
  </si>
  <si>
    <t>Brazo hidráulico dañado, acceso a techo L2. Reportó Daniel Pineda</t>
  </si>
  <si>
    <t>Rótulo caído, ingreso al área de bodegas CD. Reportó Jimmy Velásquez</t>
  </si>
  <si>
    <t>Fuga de agua en grifo, saliendo de cabina ingreso a L4. Reportó German Orozco</t>
  </si>
  <si>
    <t>Jumbo de azúcar inclinado en bodega de azúcar, se procede a corregir. Reportó Kelly Calderón</t>
  </si>
  <si>
    <t>Rejilla levantada en área de entarimado L1. Reportó Oscar Ramírez</t>
  </si>
  <si>
    <t>Acceso a escalera sin restricción lavadora L1, se corrige. Reportó Bryan Barahona</t>
  </si>
  <si>
    <t>Paneles de lavadora no se encuentran cerrados correctamente, se corrige. Reportó Oscar Ramírez</t>
  </si>
  <si>
    <t>Tarima con riesgo de caer en pit de cargas, tarima en mal estado. Reportó Bladimir López</t>
  </si>
  <si>
    <t>Motor sin guarda en transporte salida de sala de llenado L2. Reportó Oscar Ramírez</t>
  </si>
  <si>
    <t>Cilindro no se encuentra anclado a la pared ubicado en pérgola, se corrige. Reportó Roy Luarca</t>
  </si>
  <si>
    <t>Paso peatonal bloqueado, se corrige. Reportó Bryan Rodas</t>
  </si>
  <si>
    <t>Gradas sin antideslizante. Diana Pérez</t>
  </si>
  <si>
    <t>puertas de Flow líber salida de llenadora abierta en plena producción. Obdulio Saquic</t>
  </si>
  <si>
    <t>En el caminamiento hacia línea 5 se encuentran puntas hierro salidas en la paredde sin delimitación. Bryan Rodas</t>
  </si>
  <si>
    <t>panel abierto de mixer en sala de llenado. Obdulio Saquic</t>
  </si>
  <si>
    <t xml:space="preserve">Se reporta agua empozada en pasillos de sala de llenado Línea 3. Reporta Alfonso Guatzin
</t>
  </si>
  <si>
    <t>Se encuentra un cuchillo en área de lavadora de cajilla, este se encuentra sin mango y en mal estado, posiblemente se utilice como herramienta. Reportó Fredy Fuentes</t>
  </si>
  <si>
    <t>Piezas sueltas de transportadores. Reportó Fredy Fuentes</t>
  </si>
  <si>
    <t>Exceso de tapón en área de trabajo de lavadora de cajillas, se corrige. Reportó Fredy Fuentes</t>
  </si>
  <si>
    <t>Extractor de área de llenado se ve que gira, pero sin suficiente fuerza para abrir las paletas lo que provoca mala ventilación de ambiente dentro de sala de llenado. Reportó Fredy Fuentes</t>
  </si>
  <si>
    <t>Lámparas se encuentran quemadas, deficiente iluminación para realizar trabajos. Reportó Fredy Fuentes</t>
  </si>
  <si>
    <t>Tubería de vapor sin rotulación de superficie caliente. Reportó Fredy Fuentes</t>
  </si>
  <si>
    <t>Panel de etiquetadora abierto, se aborda al compañero Nestor López y se le indica que debe mantenerse cerrado. Reportó Fredy Fuentes</t>
  </si>
  <si>
    <t>Conexión eléctrica deficiente, se encuentra el dispositivo en mal estado. Reportó Fredy Fuentes</t>
  </si>
  <si>
    <t>Químicos fuera de lugar, sobre aspiradora. Reportó Fredy Fuentes</t>
  </si>
  <si>
    <t>Fuga de filtro de lavadora provoca piso mojado. Reportó Fredy Fuentes</t>
  </si>
  <si>
    <t>Puerta de cabina de L1, mecanismo ya no sirve y puede caer en cualquier momento, la misma no cierra bien. Reportó Fredy Fuentes</t>
  </si>
  <si>
    <t>Escalera sin restricción en L1, se corrige. Reportó Fredy Fuentes</t>
  </si>
  <si>
    <t>Falta de orden y limpieza en L1, se corrige. Reportó Fredy Fuentes</t>
  </si>
  <si>
    <t>Validar la estiba de cajas a un costado de paso peatonal, se encontraban propensas a caer. Reportó Fredy Fuentes</t>
  </si>
  <si>
    <t>Ramas de árbol de parqueo se encuentran cerca de topar con líneas de alta tensión que cruzan el parqueo, se le da mantenimiento y se poda el árbol. Reportó Fredy Fuentes</t>
  </si>
  <si>
    <t xml:space="preserve">Realizar el cambio de la puerta con vidrio laminado en ingreso a la llenadora, derivado de FAI L3. Reportó German Orozco
</t>
  </si>
  <si>
    <t>Ajuste de receta de soplado para evitar botellas mal soplada que provocan caída en el transporte 355ml, derivada de FAI L3. Reportó German Orozco</t>
  </si>
  <si>
    <t>Reunión de comunicación de la reparación y uso de tarjetas de acceso "detente, analiza y actúa", derivada de FAI L3. Reportó German Orozco</t>
  </si>
  <si>
    <t>Realizar la compra de pinza corta alambre para estos nuevos marchamos plásticos, acción derivada de accidente MTI. Reportó German Orozco</t>
  </si>
  <si>
    <t>Realizar base para colocar las herramientas para cortar marchamos para que no se pierdan, acción derivada de accidente MTI, sala de jarabes antigua. Reportó German Orozco</t>
  </si>
  <si>
    <t xml:space="preserve">Verificar que en ambas salas cuenten con la nueva herramienta para cortar los marchamos plásticos, derivada de accidente MTI sala de jarabes antigua. Reportó German Orozco
</t>
  </si>
  <si>
    <t>Comunicación del uso obligatorio de la nueva herramienta para cortar marchamos con el personal del área, derivada de accidente MTI sala de jarabes antiguo. Reportó German Orozco</t>
  </si>
  <si>
    <t>Filtración de agua sobre paso peatonal, bodega de materia prima. Reportó Daniel Pineda</t>
  </si>
  <si>
    <t>Se encuentran realizando trabajos en pozo cerca de campo de futbol, área no se encuentra delimitada. Reportó Elvis Oliva</t>
  </si>
  <si>
    <t>Soporte de transporte en lámpara L2, se encuentra mal posicionado. Reportó Hugo Oliva</t>
  </si>
  <si>
    <t>Drenaje de condensado en mal estado, panel de etiquetadora L3. Reportó Gerson Castañeda</t>
  </si>
  <si>
    <t>Manguera mal posicionada atrás de paletizadora L3. Reportó Gerson Castañeda</t>
  </si>
  <si>
    <t>Cinta antideslizante en mal estado, escalera a un costado de etiquetadora L1. Reportó Oscar Ramírez</t>
  </si>
  <si>
    <t>Tarima con riesgo de caer, por el área de lavado, CD, se corrige. Reportó Jimmy Velásquez</t>
  </si>
  <si>
    <t>Cintas antideslizantes desgastadas, darle prioridad al cambio por época de lluvia. Reportó Josué Vásquez</t>
  </si>
  <si>
    <t>Escaleras y andamios sin restricción frente a isla de soda, no se encuentra personal en el área. Reportó Jaime Chilel</t>
  </si>
  <si>
    <t>paso peatonal obstaculizado con tarima de cajillas, reportó Benedicto Barrios</t>
  </si>
  <si>
    <t>Tarima obstaculizando el paso. Adrián Santisteban</t>
  </si>
  <si>
    <t>Piso mojado en cuarto de fraccionamiento puede ocasionar caida. Adrián Santisteban</t>
  </si>
  <si>
    <t>Equipo en mantenimiento sin identificar. Adrián Santisteban</t>
  </si>
  <si>
    <t>Piso con derrame de agua puede provocar caída. Adrián Santisteban</t>
  </si>
  <si>
    <t>Breaker de pozo 2 sobrecalentado. Adrián Santisteban</t>
  </si>
  <si>
    <t>Falta de presión en duchas de emergencia de tratamiento de agua. Reportó Abraham Quiej</t>
  </si>
  <si>
    <t>Falta de guarda de seguridad en lavadora L1. Reportó Abraham Quiej</t>
  </si>
  <si>
    <t>Escalera en mal estado, separadores doblados y refuerzos horizontales en mal estado ubicado en generador. Reportó Abraham Quiej</t>
  </si>
  <si>
    <t>Tarima obstaculizando el paso en bodega de carga de azúcar. Reportó Adrian Santisteban</t>
  </si>
  <si>
    <t>Rejilla mal colocada en drenaje junto a filtro rotativo. Reportó Adrian Santisteban</t>
  </si>
  <si>
    <t>Bidones desordenados obstaculizando el paso peatonal. Reportó Adrian Santisteban</t>
  </si>
  <si>
    <t>Piso de patio de carga de azúcar con agua reposada puede causar caída. Reportó Adrian Santisteban</t>
  </si>
  <si>
    <t>Compuerta de reactor 2 se encuentra abierta y sin restricción. Reportó Adrian Santisteban</t>
  </si>
  <si>
    <t>Rejilla de drenaje mal colocado. Reportó Adrian Santisteban</t>
  </si>
  <si>
    <t>Piso con agua derramada puede provocar caída. Reportó Adrian Santisteban</t>
  </si>
  <si>
    <t>Gradas en cuarto de bombas no cuentan con cinta antideslizante. Reportó Alejandro Martínez</t>
  </si>
  <si>
    <t>Tablero con candado abierto en tratamiento de aguas, se corrige. Reportó Alejandro Martínez</t>
  </si>
  <si>
    <t>Rejilla en mal estado, puede provocar una caía. Reportó Alejandro Martínez</t>
  </si>
  <si>
    <t xml:space="preserve">Se reporta agua empozada en pasillos de etiquetadora Línea 3. Reporta Alfonso Guatzin
</t>
  </si>
  <si>
    <t xml:space="preserve">Se reporta manguera de agua obstruyendo pasillos línea 3. Reportó Alfonso Guatzin
</t>
  </si>
  <si>
    <t xml:space="preserve">Se reporta tarima mal posicionada en paso peatonal hacia línea 4 y línea 3. Reporto Alfonso Guatzin
</t>
  </si>
  <si>
    <t>Fuga de vapor bajo mezanine de L2. Reportó Amilcar Ralda</t>
  </si>
  <si>
    <t>Panel eléctrico l1, candado abierto se corrige. Reportó Amilcar Ralda</t>
  </si>
  <si>
    <t>Se encuentra caja eléctrica con tapadera sobrepuesta, sala antigua jarabes. Andrea González</t>
  </si>
  <si>
    <t>Se encuentra puerta de sala de fraccionamiento con bisagra dañada. Andrea González</t>
  </si>
  <si>
    <t>Se encuentra tomacorriente desprendido en sala de lactancia. Reportó Andrea González</t>
  </si>
  <si>
    <t>Piso con líquido viscoso que puede generar caída al ingreso cabina hacia sala de llenado. Andrea González</t>
  </si>
  <si>
    <t>Fuga de vapor en sala de cocimiento. Reportó Andrea González</t>
  </si>
  <si>
    <t>Lámpara de tratagua en mal estado. Reportó Antony Ramos</t>
  </si>
  <si>
    <t>Escalera sin restricción en nave ósmosis. Reportó Antony Ramos</t>
  </si>
  <si>
    <t>Gradas ubicadas frente a antigua entrada a L1 no tiene cinta antideslizante. Reportó Antony Ramos</t>
  </si>
  <si>
    <t>Pipa de diésel de UNO FUELS GT S.A. extintor no cuenta con carga para ser activado. Reportó Antony Ramos</t>
  </si>
  <si>
    <t>Lámpara de techo presenta fallos en L3. Reportó Antony Ramos</t>
  </si>
  <si>
    <t>Tubería de cables eléctricos sujetado con lasos y alambre. Reportó Ariel Cua</t>
  </si>
  <si>
    <t>Se encuentra gabinete sin restricción en taller de mantenimiento, se corrige. Reportó Astrid Macario</t>
  </si>
  <si>
    <t>manguera obstaculizando el paso peatonal. Reportó Benedicto Barrios</t>
  </si>
  <si>
    <t>Canal pluvial en salida de L2 hacia L3 con fuga, lo cual genera piso mojado a un costado de paletizadora L3. Reportó Bryan Barahona</t>
  </si>
  <si>
    <t>Gotera en pasillo entre tratamiento de agua y ósmosis. Reportó Bryan Barahona</t>
  </si>
  <si>
    <t>Malla levantada, puede provocar cortes o caída, ingreso a bodegas de CD. Reportó Bryan Barahona</t>
  </si>
  <si>
    <t>Lámpara de ingreso a sala de descanso en mal estado, se encuentra colgando puede caerle a alguien al ingresar. Reportó Bryan Barahona</t>
  </si>
  <si>
    <t>Tarimas reducen visibilidad del operador de montacargas y peatones. Reportó Bryan Rodas</t>
  </si>
  <si>
    <t>Poca visibilidad en paso peatonal por tarimas de reciclaje y de preforma. Reportó Bryan Rodas</t>
  </si>
  <si>
    <t>Soplador de L5 deja mulita sobre paso peatonal. Reportó Bryan Rodas</t>
  </si>
  <si>
    <t>Paso peatonal con agua posible riesgo de caída. Reportó Bryan Rodas</t>
  </si>
  <si>
    <t>Puertas abatibles de rampa entre torre de enfriamiento y pipas de co2 se encuentran amarradas, se corrige. Reportó Byron Valux</t>
  </si>
  <si>
    <t>Desorden de aire sistemas en el parqueo de motos, acumulación de restos de A/C en el fondo de parqueo de motos. Reportó Carlos Chávez</t>
  </si>
  <si>
    <t>Residuos en alrededores, se corrige. Reportó Carlos Chávez</t>
  </si>
  <si>
    <t>Fuga excesiva de agua en bomba de A/C en bodega de GyG. Reportó Carlos Chávez</t>
  </si>
  <si>
    <t>Materiales de personal de ESCO que realiza trabajos en CD, sin señalizar ni delimitar. Reportó Carlos Chávez</t>
  </si>
  <si>
    <t>Rejilla fuera de lugar, recostada en nave ósmosis. Reportó Carlos Chávez</t>
  </si>
  <si>
    <t>Tarima obstaculizando paso de vehículo a un costado de osmosis, se corrige. Reportó Carlos Chávez</t>
  </si>
  <si>
    <t>Árbol con riesgo de quebrar pared. Reportó Charly Coc</t>
  </si>
  <si>
    <t>Tarima con desechos de las líneas frente a osmosis, se corrige. Repotó Charly Coc</t>
  </si>
  <si>
    <t>Pasamanos no cuenta con tornillo de sujeción en rampa hacia parqueo interno. Reportó Denni DeLeón</t>
  </si>
  <si>
    <t>Aire acondicionado goteando en sala de coordinadores. Diana Pérez</t>
  </si>
  <si>
    <t>Escalera sin candado. Diana Pérez</t>
  </si>
  <si>
    <t>Fuga de jarabe de Gatorade Lima Limón en el paster. Reportó Diana Pérez</t>
  </si>
  <si>
    <t xml:space="preserve"> Tubería de jarabes con fuga y mancha la pared y piso de la línea 2. Reporta Domingo Yac</t>
  </si>
  <si>
    <t>Candado abierto de panel eléctrico de sala de llenado de l2. Reportó Edgar Coti</t>
  </si>
  <si>
    <t>Escalera sin restricción, se corrige. Reportó Edgar Coti</t>
  </si>
  <si>
    <t>Tablero de transportes L3 abierto, se corrige. Reportó Edson Bonifacio</t>
  </si>
  <si>
    <t>Cajillas en el transporte de llenado L4. Reportó Edson Bonifacio</t>
  </si>
  <si>
    <t>Utensilios de limpieza fuera de estandar 5s en L4, se corrige. Reportó Edson Bonifacio</t>
  </si>
  <si>
    <t>Tarimas mal ubicadas sin delimitar de proveedores externos, se coggire. Reportó Edson Bonifacio</t>
  </si>
  <si>
    <t>Candado abierto, panel eléctrico en pozos, se corrige. Reportó Edson Bonifacio</t>
  </si>
  <si>
    <t>Fuga de suavizador 3. Reportó Elvis Oliva</t>
  </si>
  <si>
    <t>Purgas de condensado de vapor sin recuperación de retorno y sin canaleta o tubería al drenaje. Reportó Elvis Oliva</t>
  </si>
  <si>
    <t>Escalera sin restricción de uso. Reportó Elvis Oliva</t>
  </si>
  <si>
    <t>Señalización de bordillo de contención. Reportó Elvis Oliva</t>
  </si>
  <si>
    <t>Falta señalización de tubería/superficie caliente. Reportó Elvis Oliva</t>
  </si>
  <si>
    <t>Panel de tablero de bombas sin restricción, candado abierto, se corrige. Reportó Elvis Oliva</t>
  </si>
  <si>
    <t>Cargador de tubería desprendido. Reportó Elvis Oliva</t>
  </si>
  <si>
    <t>Jaulas sobre paso peatonal, L5. Reportó Elvis Oliva</t>
  </si>
  <si>
    <t>Perno de apoyo de transporte de rodillos suelto. Reportó Elvis Oliva</t>
  </si>
  <si>
    <t>Tabla de tarima con clavos expuestos. Reportó Elvis Oliva</t>
  </si>
  <si>
    <t>Falta cobertor de eje rotativo. Reportó Elvis Oliva</t>
  </si>
  <si>
    <t>Cajillas fuera de lugar, propensas a caer en transporte, L5. Reportó Elvis Oliva</t>
  </si>
  <si>
    <t>Tope de rack sin asegurar. Reportó Elvis Oliva</t>
  </si>
  <si>
    <t>Tarimas de devolución fuera de lugar, se corrige. Reportó Elvis Oliva</t>
  </si>
  <si>
    <t>Pernos sobresaliendo en salida de edificio nuevo, se corrige. Reportó Elvis Oliva</t>
  </si>
  <si>
    <t>Mantener la línea de vida retráctil estirada puede dañar su mecanismo interno y acortar el tiempo de vida del mismo, ubicado en tanque de soda. Reportó German Orozco</t>
  </si>
  <si>
    <t>Cambiar señalización ruta de evacuación ETEI. Reportó German Orozco</t>
  </si>
  <si>
    <t>Cambiar señalización de ruta de evacuación ETEI. Reportó German Orozco</t>
  </si>
  <si>
    <t>Cambiar letrero de ducha de emergencia. Reportó German Orozco</t>
  </si>
  <si>
    <t>Tapar agujeros en donde se encontraba instalada la base del colector de oín. Reportó German Orozco</t>
  </si>
  <si>
    <t>Traducir sticker de advertencia de caldera. Reportó German Orozco</t>
  </si>
  <si>
    <t>Cambiar sticker de gabinete loto en calderas. Reportó German Orozco</t>
  </si>
  <si>
    <t>Acumulación de condensado en área de calderas. Reportó German Orozco</t>
  </si>
  <si>
    <t>Rotulación de botiquín en L5. Reportó German Orozco</t>
  </si>
  <si>
    <t>Falta soporte en plataforma de lavadora L1. Reportó German Orozco</t>
  </si>
  <si>
    <t>Base para instalar equipo de bloqueo LOTO en sopladora de L3 se encuentra despegado. Reportó German Orozco</t>
  </si>
  <si>
    <t>Mecanismo de cierre de panel en paletizadora L3 defectuoso, no se logra cerrar la puerta. Reportó Gerson Castañeda</t>
  </si>
  <si>
    <t>Panel de etiquetadora L3 abierto, se procede a cerrar. Reportó Gerson Castañeda</t>
  </si>
  <si>
    <t>Soporte de transporte de salida de sala de llenado en L2, dañado. Reportó Gerson Castañeda</t>
  </si>
  <si>
    <t>Gotera en sala de llenado L2, frente a panel eléctrico. Reportó Gerson Castañeda</t>
  </si>
  <si>
    <t>Gotera en paso peatonal en ingreso a laboratorio de paquetecnia L3. Reportó Gerson Castañeda</t>
  </si>
  <si>
    <t>Validar fuga de vapor en TQ 1, lavadora de botellas de L2. Reportó Gerson Castañeda</t>
  </si>
  <si>
    <t>Holding tube en línea 5 presenta fisuras por soldaduras, golpes térmicos y vibraciones, éstas pueden liberar presión con temperatura hasta de 80 grados. Reportó Gustavo Hernández</t>
  </si>
  <si>
    <t>Selector de lámpara después de etiquetadora L1 está caído. Reportó Gustavo Hernández</t>
  </si>
  <si>
    <t>Panel eléctrico sin restricción, se corrige y se cierra candado. Reportó Gustavo Oliva</t>
  </si>
  <si>
    <t>Se reporta estructura metálica en equipos auxiliares con oxido y probabilidad de caer. Hellen Estrada</t>
  </si>
  <si>
    <t>Utensilio de limpieza obstaculizando el paso. Reportó Hellen Estrada</t>
  </si>
  <si>
    <t>Tarima obstaculizando parte del paso peatonal. Reportó Hellen Estrada</t>
  </si>
  <si>
    <t>Fuga de lubricante en transporte de codificadores en L5, piso resbaloso. Reportó Hugo Oliva</t>
  </si>
  <si>
    <t>Corredor de envase con riesgo de caída en B1, se corrige. Reportó Isabel Saquila</t>
  </si>
  <si>
    <t>Producto con riesgo de caída en bodega 3, se corrige. Reportó Isabel Saquila</t>
  </si>
  <si>
    <t>Contenedor de preforma en mal estado, riesgo de caída. Reportó Isabel Saquila</t>
  </si>
  <si>
    <t>Tarimas mal ubicadas frente a cuarto de generadores, se corrige. Reportó Jaime Chex</t>
  </si>
  <si>
    <t>Jumbo de azúcar inclinado, propenso a caer en bodega de azúcar, MP. Reportó Jaime Chex</t>
  </si>
  <si>
    <t>Fuga de agua con lubricante bajo el área separadora de empacadora L3, causa encharcamiento y piso sucio. Reportó Jaime Chilel</t>
  </si>
  <si>
    <t>Tarima sobre paso peatonal en salida de almacén de repuestos. Jason Calderón</t>
  </si>
  <si>
    <t>Ingreso a almacén de repuestos obstruido por tarimas y cartones, se corrige. Reportó Jason Calderón</t>
  </si>
  <si>
    <t>Panel eléctrico con candado abierto, se corrige, L1. Reportó Jimmy Velásquez</t>
  </si>
  <si>
    <t>Peldaño de gradas necesita soporte, al pararse se hunde en L2 frente a cuarto eléctrico. Reportó Jimmy Velásquez</t>
  </si>
  <si>
    <t>Escalera sin restricción en L2. Reportó Jimmy Velásquez</t>
  </si>
  <si>
    <t>Tablero de distribución sin tapaderas y cableado mal organizado en mezanine L2. Reportó Jorge Ixtacuy</t>
  </si>
  <si>
    <t>Cables con peligro de corte por lámina filosa en mezanine L2. Reportó Jorge Ixtacuy</t>
  </si>
  <si>
    <t>Se restringe estacionamiento en parqueo externo, hay una rama que se encuentra quebrada y puede caer en cualquier momento. Reportó Josué Vásquez</t>
  </si>
  <si>
    <t>El montacargas #26 presentaba daños en la base y estaba en función. Reportó Josué Vásquez</t>
  </si>
  <si>
    <t>Montacargas #5 con las 4 llantas lisas. Reportó Josué Vásquez</t>
  </si>
  <si>
    <t>¿Se le está realizando mantenimiento a bomba despachadora en gasolinera? Reportó Josué Vásquez</t>
  </si>
  <si>
    <t>Formalizar tubería y mover bomba o formalizarlo con protecciones. Reportó Josué Vásquez</t>
  </si>
  <si>
    <t>Reparar tubería par drenaje de dique de contención. Reportó Josué Vásquez</t>
  </si>
  <si>
    <t>Lámina con agujero, cuando llueve cae agua a motor eléctrico y tonel sin bandeja, peligro por diésel cerca. Reportó Josué Vásquez</t>
  </si>
  <si>
    <t>Instalación eléctrica informal en mezanine L5. Reportó Josué Vásquez</t>
  </si>
  <si>
    <t>Instalación de lámpara en malas condiciones, riesgo de caer en mezanine L2. Reportó Josué Vásquez</t>
  </si>
  <si>
    <t>Bomba p5 con fuga de agua en válvula, se puede fracturar y mojar tableros y cableado. Reportó Josué Vásquez</t>
  </si>
  <si>
    <t>Bomba con exceso de ruido, validar posible daño interno en cuarto de bombas. Reportó Josué Vásquez</t>
  </si>
  <si>
    <t>Fuga de agua en cuarto de bombas, riesgo eléctrico por cables en el suelo. Reportó Josué Vásquez</t>
  </si>
  <si>
    <t>Realizar el cambio de rótulo de bloqueo y etiquetado de empacadora de L1. Reportó Josué Vásquez</t>
  </si>
  <si>
    <t>Drenaje con acumulación de tierra, puede generar estancamiento de agua a un costado de edificio nuevo. Reportó Josué Vásquez</t>
  </si>
  <si>
    <t>Fuga de vapor en tubería fuera de sala de jarabes antigua. Reportó Josué Vásquez</t>
  </si>
  <si>
    <t>Reajustar pin de puerta ingreso a cuarto L4, se encuentra fuera de lugar. Reportó Josué Vásquez</t>
  </si>
  <si>
    <t>Es necesaria la instalación de una separación hombre-máquina (barda de seguridad) en pasillo peatonal salida de L4. Reportó Josué Vásquez</t>
  </si>
  <si>
    <t>Mejorar la sujeción del equipo, colocar 3 pernos por lado y asegurar los tornillos. Reportó Josué Vásquez</t>
  </si>
  <si>
    <t>Programar desconexión y programar poda en cableado hacia pozo en la ETEI. Reportó Josué Vásquez</t>
  </si>
  <si>
    <t>Cambiar embudo para polímero en ETEI. Reportó Josué Vásquez</t>
  </si>
  <si>
    <t>Rotular tanques de soda con rombo de seguridad, nombre del químico y capacidad del tanque. Reportó Josué Vásquez</t>
  </si>
  <si>
    <t>Jog de roscadora de L1 sobrepuesto, no está en funcionamiento. Reportó Josué Vásquez</t>
  </si>
  <si>
    <t>Escalera sin restricción en nave de ósmosis. Reportó Josué Vásquez</t>
  </si>
  <si>
    <t>Panel de suavizador de trataguas se encuentra abierto. Reportó Josué Vásquez</t>
  </si>
  <si>
    <t>Tarima obstaculizando paso peatonal L2 se corrige. Reportó Juan Hernández</t>
  </si>
  <si>
    <t>Tarima obstruyendo paso peatonal frente a L3, hacia bodegas, se corrige. Reportó Juan Hernández</t>
  </si>
  <si>
    <t>Soporte de tarima se encuentra quebrado sobre rack en MP. Reportó Kelly Calderón</t>
  </si>
  <si>
    <t>Tarimas mal estibadas en bodega de preforma L4, se corrige. Reportó Kelly Calderón</t>
  </si>
  <si>
    <t>Tarima de preforma inclinada, bodega de preforma l4, se corrige. Reportó Kelly Calderón</t>
  </si>
  <si>
    <t>Tarimas mal ubicadas frente a Línea 3. Reportó Leidy Camey</t>
  </si>
  <si>
    <t>Conexión eléctrica en sueli sin señalizar en sala de llenado L5. Reportó Luis Angel</t>
  </si>
  <si>
    <t>Extensión en mal estado en sala de llenado L5, cercano a inspector de tapa. Reportó Luis Angel</t>
  </si>
  <si>
    <t>Piso mojado sin identificar en laboratorio de fisicoquímicos. Se limpia y se corrige la condición. Reportó Luis Cabrera</t>
  </si>
  <si>
    <t>Escalera fuera de posicion y sin bloqueo. Reportó Luis Cabrera</t>
  </si>
  <si>
    <t>Falta de espejo convexo en salida de L5 sobre paso de montacargas. Se acumula reciclaje en la orilla e imposibilita la visión sobre un posible tránsito de montacargas antes de cruzar. Reportó Luis Cabrera</t>
  </si>
  <si>
    <t>Acumulación de condensado en bodega 3, se corrige. Reportó Luis Pérez</t>
  </si>
  <si>
    <t>Tarima sobre paso peatonal, área de preforma bodega 4. Reportó Luis Pérez</t>
  </si>
  <si>
    <t>Montacarga #29 con fuga de aceite. Reportó Luis Pérez</t>
  </si>
  <si>
    <t>Vidrio tirado en patio del CD, se corrige. Reportó Luis Pérez</t>
  </si>
  <si>
    <t>Condensado en bodega 9 cd, se corrige. Reportó Luis Pérez</t>
  </si>
  <si>
    <t>Escalera sin restricción en L3. Nelson Godínez</t>
  </si>
  <si>
    <t>Lámpara en mal estado en B3. Reportó Nelson Godínez</t>
  </si>
  <si>
    <t>Cartones mal ubicados, tapan visibilidad al pasar en L5, L4, se corrige. Reportó Nelson Godínez</t>
  </si>
  <si>
    <t>jaula de preforma fuera de lugar. Obdulio Saquic</t>
  </si>
  <si>
    <t>tarima de madera fuera de lugar. Obdulio Saquic</t>
  </si>
  <si>
    <t>tarimas fuera de lugar y obstruyendo ingreso a sala de llenado. Obdulio Saquic</t>
  </si>
  <si>
    <t>tarima fuera de lugar y obstruyendo pasillos. Obdulio Saquic</t>
  </si>
  <si>
    <t>Pasillos de acceso a materia prima obstaculizadas por palets tiradas. Reportó Obdulio Saquic</t>
  </si>
  <si>
    <t>tarimas y cartones más estivados en pasillo de acceso a materia prima. Reportó Obdulio Saquic</t>
  </si>
  <si>
    <t>guardas de seguridad abiertas en Flow liner. Reportó Obdulio Saquic</t>
  </si>
  <si>
    <t>guarda fuera de lugar. Reportó Obdulio Saquic</t>
  </si>
  <si>
    <t>Tarima fuera de lugar y en obstruyendo paso peatonal. Reportó Obdulio Saquic</t>
  </si>
  <si>
    <t>Puerta de salida L1 en mal estado. Reportó Oscar Ramírez</t>
  </si>
  <si>
    <t>Vidrio y botellas tiradas atrás de transporte desentarimado L1, se corrige. Reportó Oscar Ramírez</t>
  </si>
  <si>
    <t>Barrera de protección quebrada de la base donde está anclada en sala de llenado L2. Reportó Oscar Ramírez</t>
  </si>
  <si>
    <t>Fuga de agua en post mix, puede generar corto en microondas, se corrige. Oscar Ramírez</t>
  </si>
  <si>
    <t>Colocar cinta antideslizante en escalera de empacadora L1. Reportó Oscar Ramírez</t>
  </si>
  <si>
    <t>Selector en mal estado, ubicado en curva de transporte de envase sucio en L1. Reportó Oscar Ramírez</t>
  </si>
  <si>
    <t>Vidrio tirado en piso en salida de empacadora L1, se corrige. Reportó Oscar Ramírez</t>
  </si>
  <si>
    <t>Filtración de agua en techo intermedio al lado de salida de lavadora L2. Reportó Oscar Ramírez</t>
  </si>
  <si>
    <t>Selector eléctrico de transporte de envase limpio en sala de llenado, colgando y quebrado. Reportó Oscar Ramírez</t>
  </si>
  <si>
    <t>Piso mojado sin señalización en sala de llenado L1, se corrige. Reportó Oscar Ramírez</t>
  </si>
  <si>
    <t>Falta de guarda en curva de transporte de envase sucio. Reportó Oscar Ramírez</t>
  </si>
  <si>
    <t>Silla en mal estado en L2. Reportó Oscar Ramírez</t>
  </si>
  <si>
    <t>Falta rejilla en la caja de drenaje entre bodega de cd y línea 1. Reportó Oscar Ramírez</t>
  </si>
  <si>
    <t>Fuga de vapor bajo mezanine L2. Reportó Oscar Ramírez</t>
  </si>
  <si>
    <t>Cables eléctricos a nivel de suelo, expuestos a agua, validar si estan energizados y corregirlo. Reportó Oscar Ramírez</t>
  </si>
  <si>
    <t>No se cuenta con candado para restricción de acceso a techo intermedio, sala jarabes. Reportó Oscar Ramírez</t>
  </si>
  <si>
    <t>Lámpara cerca de entrada de cooler en mal estado. Reportó Oscar Ramírez</t>
  </si>
  <si>
    <t>Acceso libre a mezanine de L1, candado está cerrado no se puede restringir el acceso. Reportó Oscar Ramírez</t>
  </si>
  <si>
    <t>Empaque dañado en unión de tubería provoca fuga de agua caliente en lavadora de botellas de L2. Reportó Oscar Ramírez</t>
  </si>
  <si>
    <t>Tomacorriente en mal estado en transporte de envase sucio, L1. Reportó Oscar Ramírez</t>
  </si>
  <si>
    <t>Candado abierto en panel de transportes de L1. Reportó Oscar Ramírez</t>
  </si>
  <si>
    <t>Lámpara en mal estado cerca de etiquetadora L2. Reportó Oscar Ramírez</t>
  </si>
  <si>
    <t>Manguera y bomba hidráulica sobre paso peatonal, L1. Reportó Oscar Ramírez</t>
  </si>
  <si>
    <t>Cables de elevador de vidrio sin espiga. Reportó Oscar Ramírez</t>
  </si>
  <si>
    <t>Material en grada de cisternas cerca de los brocales, podría provocar tropiezo de algún operador al revisar niveles. Reportó Oscar Ramos</t>
  </si>
  <si>
    <t>Caja eléctrica de registro con cables expuestos a intemperie, ingreso rampa ETEI. Reportó Rodrigo Galindo</t>
  </si>
  <si>
    <t>Transformador se encuentra sobre tarima deteriorada en mal estado, podría presentar riesgo de caída y no está delimitado. Reportó Rodrigo Galindo</t>
  </si>
  <si>
    <t>Cinta antideslizante en rampa hacia L1 en mal estado. Reportó Rodrigo Galindo</t>
  </si>
  <si>
    <t>Tonel obstruyendo ingreso en puerta, se corrige. Reportó Rodrigo Galindo</t>
  </si>
  <si>
    <t>Tapadera de colector de oin mal ubicada y sin asegurar, puede caer. Reportó Roy Luarca</t>
  </si>
  <si>
    <t>Protección de cables para la HDMI de la paletizadora en mal estado, L3. Reportó Wilber López</t>
  </si>
  <si>
    <t>Tarima con pt dañada en bodega 3. Reportó Bladimir López</t>
  </si>
  <si>
    <t>Baranda de seguridad ya no se encuentra estable, tornillos están flojos en ingreso a L3. Reportó Bryan Barahona</t>
  </si>
  <si>
    <t>Rejilla que se encuentra a un costado de gasolinera con daños estructurales, ocasionados por unidad de Transportes Medina, piloto Geder Cortez. Reportó Bryan Barahona</t>
  </si>
  <si>
    <t>Gradas para lado superior de lavadora L1 se encuentran resbaladizas, se ve un tipo de líquido como lubricante y cinta antideslizante en mal estado. Reportó Antony Ramos</t>
  </si>
  <si>
    <t>Acumulación de chatarra frente a taller de mantenimiento. Reportó Fredy Fuentes</t>
  </si>
  <si>
    <t>escalera fuera de lugar y sin restricción. Reportó Obdulio Saquic</t>
  </si>
  <si>
    <t>guarda de seguridad fuera de lugar. Reportó Obdulio Saquic</t>
  </si>
  <si>
    <t xml:space="preserve">Se reporta escalera sin restricción y fuera de lugar en área de paletizadora Línea 3. Reporto Alfonso Guatzin
</t>
  </si>
  <si>
    <t>Puerta de salón obstruida con pantalla, mover a un costado en donde no obstaculice ingreso. Reportó Bryan Rodas</t>
  </si>
  <si>
    <t>Solicita el listado maestro de químicos pregunta 10 WCM. Reporto Josué Vásquez</t>
  </si>
  <si>
    <t>Salida de emergencia y paso peatonal bloqueados  por mulita de carga. Reportó Bryan Rodas</t>
  </si>
  <si>
    <t>Piso mojado en paso de laboratorio a L2. Maria Obregón</t>
  </si>
  <si>
    <t>Escalera sin restricción en L3</t>
  </si>
  <si>
    <t>Falta guarda de seguridad en inspector de lleno L1. Reportó Abraham Quiej</t>
  </si>
  <si>
    <t>Falta guarda de seguridad en lámpara de lleno, L2. Reportó Abraham Quiej</t>
  </si>
  <si>
    <t>Falta guarda de seguridad por área de rechazo de lleno, L1. Reportó Abraham Quiej</t>
  </si>
  <si>
    <t>Pasillo con acumulación de agua. Reportó Adrian Santisteban</t>
  </si>
  <si>
    <t>Tarima obstaculizando paso peatonal. Reportó Adrian Santisteban</t>
  </si>
  <si>
    <t>Plataforma resbaladiza sin rotulo de precaución. Reportó Adrian Santisteban</t>
  </si>
  <si>
    <t>Escalera en lugar inadecuado sin restricción. Reportó Adrian Santisteban</t>
  </si>
  <si>
    <t>Escalera sin candado. Reportó Adrian Santisteban</t>
  </si>
  <si>
    <t>Filtro de carbón 3 con fuga. Reportó Adrian Santisteban</t>
  </si>
  <si>
    <t>Material obstaculizando el paso. Reportó Adrian Santisteban</t>
  </si>
  <si>
    <t>Químicos obstaculizando el paso peatonal. Reportó Adrian Santisteban</t>
  </si>
  <si>
    <t>Escalera sin restricción y fuera de lugar en sala de jarabes. Reportó Adrian Santisteban</t>
  </si>
  <si>
    <t>Acumulación de agua en sala de jarabes nuevo. Reportó Adrian Santisteban</t>
  </si>
  <si>
    <t>Tarimas obstruyendo paso peatonal hacia área de reciclaje. Reportó Abraham Quiej</t>
  </si>
  <si>
    <t>El candado ya no es funcional para restringir el paso. Reportó Alejandro Martínez</t>
  </si>
  <si>
    <t>Se reporta tarima mal posicionado en rack de insumos línea 3. Reportó Alfonso Guatzin</t>
  </si>
  <si>
    <t>Se reporta tarima mal posicionada en zona de volcador de preforma Línea 3. Reportó Alfonso Guatzin</t>
  </si>
  <si>
    <t>Jaulas de preforma mal apiladas a un costado de L4, se corrige. Reportó Alfonso Guatzin</t>
  </si>
  <si>
    <t>Tablero eléctrico de tolva de preforma abierto. Reportó Alfonso Guatzin</t>
  </si>
  <si>
    <t>Seccionador de transporte de cajas vacías en mal estado en L2. Reportó Amilcar Ralda</t>
  </si>
  <si>
    <t>Candado de panel eléctrico abierto, se corrige. Reportó Amilcar Ralda</t>
  </si>
  <si>
    <t>Fuga de lubricante, L1. Reportó Amilcar Ralda</t>
  </si>
  <si>
    <t>Fuga de vapor por el mezanine de L2, se sube aviso de mantenimiento 10073452. Reportó Amilcar Ralda</t>
  </si>
  <si>
    <t>Rotura del contenedor de vidrio de L1. Reportó Amilcar Ralda</t>
  </si>
  <si>
    <t>Fuga en tubería L2. Reportó Amilcar Ralda</t>
  </si>
  <si>
    <t>Actualizar Matriz Iper para L1, acción derivada de Accidente MTI L1. Reportó Amilcar Ralda</t>
  </si>
  <si>
    <t>Entregar mangas anticorte a los puestos de etiquetadores L1, acción derivada de accidente MTI L1. Reportó Amilcar Ralda</t>
  </si>
  <si>
    <t>Comunicar la utilización de las mangas en los puestos de etiquetadoras que antes no se utilizaban, acción derivada de accidente MTI L1. Reportó Amilcar Ralda</t>
  </si>
  <si>
    <t>Soldadura quebrada en pasarela L2. Reportó Amilcar Ralda</t>
  </si>
  <si>
    <t>Fuga de vapor en área de suministro de vapor de L2, de momento está delimitada la zona. Reportó Amilcar Ralda</t>
  </si>
  <si>
    <t>Se encuentra tubo de pasamanos con bordes cortantes expuestos. Reportó Andrea González</t>
  </si>
  <si>
    <t>Se evidencian llanta lisa de yale número 30. Reportó Andrea González</t>
  </si>
  <si>
    <t>Lámpara dañada en área del CD. Reportó Antony Ramos</t>
  </si>
  <si>
    <t>Lámparas dañadas en área del CD. Reportó Antony Ramos</t>
  </si>
  <si>
    <t>Lámparas en mal estado ubicadas en el edificio techo de almacén de repuestos. Reportó Antony Ramos</t>
  </si>
  <si>
    <t>Filtración de agua en pasillo L3. Reportó Antony Ramos</t>
  </si>
  <si>
    <t>Extintor fuera de lugar en área de cooler, L5. Reportó Antony Ramos</t>
  </si>
  <si>
    <t>Escalera fuera de lugar y sin delimitación en área de cooler L5. Reportó Antony Ramos</t>
  </si>
  <si>
    <t>Imán de puerta con riesgo de caída en sala antigua de jarabes. Reportó Antony Ramos</t>
  </si>
  <si>
    <t>Extintor N30 de L3 no se encuentra en su lugar. Reportó Antony Ramos</t>
  </si>
  <si>
    <t>Montacarga N30. Rin restricción, se corrige. Reportó Antony Ramos</t>
  </si>
  <si>
    <t>Tarimas de etiqueta sobre paso peatonal, se corrige. Reportó Antony Ramos</t>
  </si>
  <si>
    <t>Espiga en mal estado, ya ha tenido corto circuito reparar o cambiar. Reportó Antony Ramos</t>
  </si>
  <si>
    <t>Ventilador con aspas en mal estado, se encuentran quebradas en L1. Reportó Antony Ramos</t>
  </si>
  <si>
    <t>Puerta dañada de sala de jarabes nuevo, se encuentra mal posicionada a un costado de ingreso. Reportó Antony Ramos</t>
  </si>
  <si>
    <t>Rótulo de salida de emergencia desprendido, área de cafetería. Reportó Antony Ramos</t>
  </si>
  <si>
    <t>Cajilla sobre transportadora en llenadora L4. Reportó Antony Ramos</t>
  </si>
  <si>
    <t>Al accionar alarma de L4 no funcionó hasta mover la caja, posterior la llave al desconectarla ingresa, pero no gira dificultando poder abrir la caja, acción derivada de simulacro. Reportó Antony Ramos</t>
  </si>
  <si>
    <t>Lavado de ojos de L1 no tiene presión. Reportó Antony Ramos</t>
  </si>
  <si>
    <t>Tubería eléctrica sin sujeción en paso peatonal entre B4 y B5. Reportó Antony Ramos</t>
  </si>
  <si>
    <t>Paso peatonal sin iluminación, lámparas no encienden. Reportó Antony Ramos</t>
  </si>
  <si>
    <t>Fuga en tanques de filtros, provoca piso mojado en tratamiento de agua. Reportó Antony Ramos</t>
  </si>
  <si>
    <t>Abrazadera de sujeción de tubería sin asegurar. Reportó Antony Ramos</t>
  </si>
  <si>
    <t>Tarima fuera de su lugar acomodada en una fila de producto en bodega #3, reporta Benedicto Barrios</t>
  </si>
  <si>
    <t>Fuga de vapor en tubería cerca de ingreso a sala de jarabes. Reportó Bryan Barahona</t>
  </si>
  <si>
    <t>Lampara en mal estado, en zona de carga, CD. Reportó Bryan Barahona</t>
  </si>
  <si>
    <t>Gotera en bodega 1 CD. Reportó Bryan Barahona</t>
  </si>
  <si>
    <t>Cuarto de calderas se está generando mucho humo, validar estado de los equipos. Reportó Bryan Barahona</t>
  </si>
  <si>
    <t>Lampara de bodega 3 CD, se encuentra parpadeando. Reportó Bryan Barahona</t>
  </si>
  <si>
    <t>Paso peatonal bodega 8, obstruido con tarimas. Reportó Bryan Barahona</t>
  </si>
  <si>
    <t>Lampara de techo dañada en área de producto retenido. Reportó Bryan Barahona</t>
  </si>
  <si>
    <t>Falta apoyo en base en línea transportadora 2 de envase hacia lavadora 1. Repoetó Bryan Barahona</t>
  </si>
  <si>
    <t>Cajilla con riesgo de caer, bodega cd a un costado de L2, se corrige. Reportó Bryan Barahona</t>
  </si>
  <si>
    <t>Gotera y laminas traslucidas sin asegurar en paso peatonal entre L3 y bodega 4 CD. Reportó Bryan Barahona</t>
  </si>
  <si>
    <t>Superficie con bordes filosos por trabajos de remodelación, por llenadora L5. Reportó Bryan Barahona</t>
  </si>
  <si>
    <t>Montacarga #25 sin restricción. Reportó Bryan Barahona</t>
  </si>
  <si>
    <t>Palanca de accionamiento se encuentra oxidada y con superficie punzo cortante en torre marley. Reportó Bryan Barahona</t>
  </si>
  <si>
    <t>Lámpara de techo en L3 se encuentra en mal estado, parpadeando. Reportó Bryan Barahona</t>
  </si>
  <si>
    <t>Lampara dañada en entrada a sala de jarabes nuevo. Reportó Bryan Barahona</t>
  </si>
  <si>
    <t>Botella con químico sin rombo y sin bandeja de contención en área no asignada. Reportó Bryan Rodas</t>
  </si>
  <si>
    <t>Compuerta de Cisterna de agua suave abierta y área sin delimitar ni señalización. Reportó Bryan Rodas</t>
  </si>
  <si>
    <t>No se cuenta con extintor en el ingreso a L5. Reportó Bryan Rodas</t>
  </si>
  <si>
    <t>Tarimas mal apiladas con riesgo de caída, frente a baños del CD. Reportó Abraham Quiej</t>
  </si>
  <si>
    <t>Fuga en válvula de tubería de agua para limpieza en sala de formulación Gatorade. Reportó Byron Roldán</t>
  </si>
  <si>
    <t>Escalera sin restricción, sala antigua. Reportó Byron Roldán</t>
  </si>
  <si>
    <t>Tarimas ubicadas en punto de reunión frente a osmosis, sin delimitación. Reportó Carlos Chávez</t>
  </si>
  <si>
    <t>Se encuentra tarima con riesgo de caída en bodega 2, se corrige. Reportó Carlos Poz</t>
  </si>
  <si>
    <t>Kit antiderrame de L3 mal ubicado, se encuentra muy alto dificultando su acceso ante una emergencia, se reubica. Reportó Daniel Pineda</t>
  </si>
  <si>
    <t>Acceso a pipas de co2 sin restricción por la parte trasera, se corrige. Reportó Daniel Pineda</t>
  </si>
  <si>
    <t>Escalera sin restricción en jarabes antiguo. Reportó Daniel Pineda</t>
  </si>
  <si>
    <t>Montacarga No. 20 candado de seguridad se encuentra dañado. Reportó Daniel Pineda</t>
  </si>
  <si>
    <t>Validar estado de funcionamiento de lámpara de emergencia en bodega de tarimas. Reportó Daniel Pineda</t>
  </si>
  <si>
    <t>Montacarga N.23 con cable de seguridad dañado. Reportó Daniel Pineda</t>
  </si>
  <si>
    <t>Puerta de techo intermedio, sala de jarabes se encuentra sin restricción, se corrige. Reportó Dennis DeLeón</t>
  </si>
  <si>
    <t>Validar la instalación de tornillo de sujeción en gradas de edificio nuevo, se ve que están flojas. Reportó Dennis DeLeón</t>
  </si>
  <si>
    <t>TQ suavizador rebalsando. Reportó Diana Pérez</t>
  </si>
  <si>
    <t>Jarabe derramado en pasillo de laboratorio. Reporta Domingo Yac</t>
  </si>
  <si>
    <t>Gotera en edificio nuevo, genera piso mojado y riesgo de caída. Reportó Edgar Coti</t>
  </si>
  <si>
    <t>Magneto de puerta de ingreso de L2, se encuentra propensa a caer ya que solo tienen un tornillo de sujeción. Reportó Edgar Coti</t>
  </si>
  <si>
    <t>Tarima en medio de caminamiento frente a edificio nuevo, se retira del lugar con el apoyo de montacargas. Reportó Edson Bonifacio</t>
  </si>
  <si>
    <t>Extintor y solvente utilizado en actividad de simulacro tirado a la par de edificio nuevo, se retira del lugar. Reportó Edson Bonifacio</t>
  </si>
  <si>
    <t>Fuga de agua en bandejas de transporte L1, genera piso mojado. Reportó Edson Bonifacio</t>
  </si>
  <si>
    <t>Falta tubería de drenaje de bandejas entrada lavadora, genera piso mojado. Reportó Edson Bonifacio</t>
  </si>
  <si>
    <t>Se utiliza botella para ajustar guías de rechazo, L1 puede llegar a explotar. Reportó Edson Bonifacio</t>
  </si>
  <si>
    <t>Limpieza en extractores de etiqueta, L2. Reportó Edson Bonifacio</t>
  </si>
  <si>
    <t>Panel eléctrico de mezanine L1 sin restricción, se corrige. Reportó Edson Bonifacio</t>
  </si>
  <si>
    <t>Bandejas de transportes caídas después de warmer, L1. Reportó Edson Bonifacio</t>
  </si>
  <si>
    <t>Candado abierto en tablero eléctrico de pipas de CO2. Reportó Edson Bonifacio</t>
  </si>
  <si>
    <t>Tubería de lámpara UV en mal estado, en tratamiento de agua. Reportó Edson Bonifacio</t>
  </si>
  <si>
    <t>Caja eléctrica de sensor ORP sujetado con cinchos plásticos. Reportó Edson Bonifacio</t>
  </si>
  <si>
    <t>Caja de conexión eléctrica abierta, expuesta a que entre agua, en dosificadora de tratamiento da agua. Reportó Edson Bonifacio</t>
  </si>
  <si>
    <t>Fuga en tanque de filtro de carbón en tratamiento de agua. Reportó Edson Bonifacio</t>
  </si>
  <si>
    <t>Lámpara en mal estado, en cuarto de bombas tratamiento de agua. Reportó Eliu Tello</t>
  </si>
  <si>
    <t>Extensión eléctrica en mal estado, en taller de mantenimiento. Reportó Eliu Tello</t>
  </si>
  <si>
    <t>Actualizar cartelera de brigadistas. Reportó Elvis Oliva</t>
  </si>
  <si>
    <t>Extintor fuera de lugar en taller de mantenimiento, se instala en lugar designado. Reportó Elvis Oliva</t>
  </si>
  <si>
    <t>Panel sin restricción en taller de mantenimiento, se corrige. Reportó Elvis Oliva</t>
  </si>
  <si>
    <t>Lavadora L1 salpica agua con soda hacia exterior, se sube aviso #10073232 para su seguimiento. Reportó Elvis Oliva</t>
  </si>
  <si>
    <t>Cables expuestos en transporte encajillado L2. Reportó Elvis Oliva</t>
  </si>
  <si>
    <t>Instalación de manguera fuera de estándar, no cumple condiciones de presión de trabajo en sistema hidráulico de empacadora, se sube aviso de mantenimiento para su seguimiento #7057562. Reportó Elvis Oliva</t>
  </si>
  <si>
    <t>Conexión eléctrica empalmada con riesgo de corto circuito en transportador de salida desempacadora, se sube aviso #10073230 para su seguimiento. Reportó Elvis Oliva</t>
  </si>
  <si>
    <t>Verificar instalación de cortina de secado de guantes en L1, presenta demasiada vibración y se encuentra propensa a caer. Reportó Elvis Oliva</t>
  </si>
  <si>
    <t>Eslinga de izaje en mal estado, en L5. Reportó Elvis Oliva</t>
  </si>
  <si>
    <t>Panel de robopack abierto sin restricción, se corrige. Reportó Elvis Oliva</t>
  </si>
  <si>
    <t>Tarimas apiladas se encuentran a una altura excesiva, riesgo de caer. Reportó Elvis Oliva</t>
  </si>
  <si>
    <t>Sobre stock de materiales en bodega de MP. Reportó Elvis Oliva</t>
  </si>
  <si>
    <t>Cesta porta gylor obstaculiza campo visual para yaleros por estar en esquina, salida de L5. Reportó Elvis Oliva</t>
  </si>
  <si>
    <t>Materiales fuera de área de almacenamiento y sin delimitación. Reportó Elvis Oliva</t>
  </si>
  <si>
    <t>Chapa de acceso a cuarto de eléctrico de galera 1 sin bloqueo, se corrige. Reportó Elvis Oliva</t>
  </si>
  <si>
    <t>Jaulas excediendo el límite de apilación e inclinadas en bodega 4, línea 4, se corrige. Reportó Emanuel Solis</t>
  </si>
  <si>
    <t>Corredor 6 de línea 5 se encuentra tarimas de madera mal estibada, no se encontraban montacargas en el momento para indicar que se redujera la altura. Reportó Esdras Orozco</t>
  </si>
  <si>
    <t>Depósitos sin bandeja en el área de bunker. Reportó Fredy Fuentes</t>
  </si>
  <si>
    <t>Tarima obstaculizando ingreso a almacén de repuestos por portón principal, se corrige. Reportó Fredy Fuentes</t>
  </si>
  <si>
    <t>Control de acceso a gradas de reactor de tratamiento de aguas no funcionales, no restringen el acceso. Reportó Fredy Fuentes</t>
  </si>
  <si>
    <t>Bandeja de contención para químicos llena de agua, no cumple su función en caso de derramar algpun químico, área de agua ósmosis. Reportó Fredy Fuentes</t>
  </si>
  <si>
    <t>Base de indicador de alarma en mal estado, puede terminar de quebrarse en L5. Reportó German Orozco</t>
  </si>
  <si>
    <t>Pasillo obstaculizado en L5 por tareas de mantenimiento, se corrige. Reportó German Orozco</t>
  </si>
  <si>
    <t>Cambiar rotulación formal de pipas de co2. Reportó German Orozco</t>
  </si>
  <si>
    <t>Arnés de almacén de repuestos no cuenta con revisión desde mayo. Reportó German Orozco</t>
  </si>
  <si>
    <t>Alarma de L3 no funciona al accionarla. Reportó German Orozco</t>
  </si>
  <si>
    <t>Alarma de emergencia de L5 no funciona al accionarla, derivada de simulacro. Reportó German Orozco</t>
  </si>
  <si>
    <t>Instalar señalización de alto en esta zona, ingreso a área de carga de producto L5, ya que existe riego de colisión de montacargas. Reportó German Orozco</t>
  </si>
  <si>
    <t>Vidrio de puerta de ingreso a sala de marmita se encuentra quebrado. Reportó German Orozco</t>
  </si>
  <si>
    <t>No se está siguiendo el procedimiento de desestibado de cajas de tapón en L1. Reportó German Orozco</t>
  </si>
  <si>
    <t>Fuga de aire en manómetro de Laboratorio fisicoquímico. Reportó Gerson Castañeda</t>
  </si>
  <si>
    <t>Eslinga en mal estado usada en procedo de descarga de carbón, área de reciclaje. Reportó Abraham Quiej</t>
  </si>
  <si>
    <t>Producto caído en piso detrás de paletizadora L3, se corrige. Reportó Gerson Castañeda</t>
  </si>
  <si>
    <t>Base de accionador de alarma en mal estado, en L5. Reportó Gustavo Hernández</t>
  </si>
  <si>
    <t>Ventilador del área de desentarimado sufrió una caída del área donde está instalado, sufrió daños en las aspas, realizar el cambio. Reportó Gustavo Hernández</t>
  </si>
  <si>
    <t>Se restringe accedo a panel eléctrico de lavadora L1. Reportó Gustavo Hernández</t>
  </si>
  <si>
    <t>Se bloquea candado a panel eléctrico, sopladora 3 y se instala cadena a escalera. Reportó Gustavo Hernández</t>
  </si>
  <si>
    <t>Tableros eléctricos abiertos en L5 área de palet, se corrige. Reportó Gustavo Hernández</t>
  </si>
  <si>
    <t>Panel eléctrico sin candado asegurado al final del cooler de línea 2. Reportó Hellen Estrada</t>
  </si>
  <si>
    <t>Panel eléctrico sin candado asegurado en línea 2. Reportó Hellen Estrada</t>
  </si>
  <si>
    <t>Portón frente a área de entarimado de L2 no abre completamente, provoca riesgo durante producción, está torcido por golpe, lo que impide que abra por completo. Reportó Hugo Oliva</t>
  </si>
  <si>
    <t>Acceso restringido a isla de soda por acumulación de agua con soda en contención de tanques. Reportó Hugo Oliva</t>
  </si>
  <si>
    <t>Tarima obstaculizando pasillo peatonal, se corrige. Reportó Jaime Chex</t>
  </si>
  <si>
    <t>Ducha de emergencia obstaculizada por bandeja y tonel de químicos, en sala nueva de jarabes. Reportó Jaime Chilel</t>
  </si>
  <si>
    <t>Lámpara de emergencia no funciona, ingreso a llenadora L3. Reportó Jaime Chilel</t>
  </si>
  <si>
    <t>Asa de tapadera queda muy resaltada, lo ideal es hacerle una cisa para que no quede sobre la tapadera y no exista riesgo de tropiezo. Reportó Jaime Chilel</t>
  </si>
  <si>
    <t>Cambiar el cableado de tierra física. Reportó Jaime Chilel</t>
  </si>
  <si>
    <t>Señalizar con rótulo de ´´agua no apta para consumo humano´´. Reportó Jaime Chilel</t>
  </si>
  <si>
    <t>Tarima obstaculizando ingreso a taller de mantenimiento, se corrige. Reportó Jason Calderón</t>
  </si>
  <si>
    <t>Panel cerca del poli preparador sin restricción. Reportó Jessica Loarca</t>
  </si>
  <si>
    <t>Cuarto de químicos sin restricción. Reportó Jessica Loarca</t>
  </si>
  <si>
    <t>Tarima con envase mal estibado, riesgo de caída en alerón de patio de bulevar. Reportó Jimmy Velásquez</t>
  </si>
  <si>
    <t>Exceso de vidrio en piso, frente a oficinas CD. Reportó Jimmy Velásquez</t>
  </si>
  <si>
    <t>Tapadera dañada frente a baños de CD. Reportó Jimmy Velásquez</t>
  </si>
  <si>
    <t>Producto sobre paso peatonal, bodega 3-4. Reportó Jimmy Velásquez</t>
  </si>
  <si>
    <t>Vidrio en piso, frente a rampas del bulevar, se corrige. Reportó Jimmy Velásquez</t>
  </si>
  <si>
    <t>Calibrar brazo para abrir puerta en ingreso a bodega de azúcar. Reportó Josué Vásquez</t>
  </si>
  <si>
    <t>Instalar rótulo de extintor a la par de jumbos de azúcar en sala de jarabes nueva. Reportó Josué Vásquez</t>
  </si>
  <si>
    <t>Válvula de drenaje de dique de contención abierta, se corrige. Reportó Josué Vásquez</t>
  </si>
  <si>
    <t>Canal dañado genera piso mojado en equipos auxiliares, cuarto de compresores de amoniaco. Reportó Josué Vásquez</t>
  </si>
  <si>
    <t>Colocar procedimiento de acceso a techos, en acceso ubicado en bulevar del CD. Reportó Josué Vásquez</t>
  </si>
  <si>
    <t>Comunicación, no se cuenta con radios para brigadistas, acción derivada de simulacro. Reportó Josué Vásquez</t>
  </si>
  <si>
    <t>Edificio nuevo no cuenta con sistema de alarma de emergencia, acción derivada de simulacro. Reportó Josué Vásquez</t>
  </si>
  <si>
    <t>Ampliar el alcance de alarma de jarabes ya que no se escucha en oficinas de jarabes, acción derivada de simulacro. Reportó Josué Vásquez</t>
  </si>
  <si>
    <t>Anular punto de reunión a un costado de edificio nuevo y comunicar el nuevo punto de reunión a un costado de osmosis, derivada de simulacro. Reportó Josué Vásquez</t>
  </si>
  <si>
    <t>Señalizar el uso de herramientas de cada proceso en el área de jarabe. Reportó Josué Vásquez</t>
  </si>
  <si>
    <t>Gotera y acumulación de agua en sala de llenado L2. Reportó Juan Hernández</t>
  </si>
  <si>
    <t>Obstrucción de paso peatonal en L4, se corrige. Reportó Juan Hernández</t>
  </si>
  <si>
    <t>Tarima obstruyendo paso peatonal de línea 5 hacia bodegas, se corrige. Reportó Juan Hernández</t>
  </si>
  <si>
    <t>Tarima de jumbo de azúcar mal estibado, en area de azúcar mp. Reportó Kelly Calderón</t>
  </si>
  <si>
    <t>Tarima mal estibada en almacén de materia prima. Reporto Kelly Calderón</t>
  </si>
  <si>
    <t>Tarima bloqueando paso peatonal en mp. Reportó Kelly Calderón</t>
  </si>
  <si>
    <t>Tarima, desorden y piso mojado frente a línea 2.  En antigua bodega de azúcar. Reporta Leidy Camey</t>
  </si>
  <si>
    <t>Bandejas fuera de lugar en ETEI. Reportó Lissette Loarca</t>
  </si>
  <si>
    <t>Lámpara de emergencia en parqueo externo, se movió por construcción de lockers nuevos. Reportó Luis Angel</t>
  </si>
  <si>
    <t>Escalera habilitada cercana a inspector de tapa de L5, no se encontraban trabajando en el punto, reporta Luis Angel</t>
  </si>
  <si>
    <t>Falta pasamanos o baranda de seguridad en salida de U cbc de nuevo edificio. Reportó Luis Cabrera</t>
  </si>
  <si>
    <t>Tarima con envase con riesgo de caer, en área de bulevar cd, se corrige. Reportó Luis Pérez</t>
  </si>
  <si>
    <t>Acumulación de condensado en bodega 3, CD. Reportó Luis Pérez</t>
  </si>
  <si>
    <t>Cajilla con riesgo de caída en bulevar CD. Reportó Luis Pérez</t>
  </si>
  <si>
    <t>Condensado en B3, se corrige. Reportó Luis Pérez</t>
  </si>
  <si>
    <t>Tarima en mal estado con riesgo de caída en área de bulevar, se corrige. Reportó Luis Pérez</t>
  </si>
  <si>
    <t>Envase caído en bulevar de CD, se encuentran cajillas tiradas. Reportó Luis Pérez</t>
  </si>
  <si>
    <t>Daño en base de block, área de glp cdc. Reportó Luis Pérez</t>
  </si>
  <si>
    <t>Cables expuestos en tomacorriente de alarma L5. Reportó Nelson Godínez</t>
  </si>
  <si>
    <t>Vidrio tirado en bodega 1 CD, se corrige. Reportó Nelson Godínez</t>
  </si>
  <si>
    <t>Caja de preforma obstaculizando paso peatonal hacia ingreso L4. Reportó Nelson Godínez</t>
  </si>
  <si>
    <t>panel eléctrico de tolva de preforma abierto en línea 4. Reportó Obdulio Saquic</t>
  </si>
  <si>
    <t>puerta de secador de botellas abierta durante producción. Reportó Obdulio Saquic</t>
  </si>
  <si>
    <t>lámparas quemadas en laboratorio de línea 4. Reportó Obdulio Saquic</t>
  </si>
  <si>
    <t>jaulas de preforma mal estivadas y obstaculizando pasillo. Reportó Obdulio Saquic</t>
  </si>
  <si>
    <t>acceso a mesanini de línea 4 sin restricción. Reportó Obdulio Saquic</t>
  </si>
  <si>
    <t>escaleras fuera de lugar y sin restricción. Reportó Obdulio Saquic</t>
  </si>
  <si>
    <t>pasillos obstruido y desorden del área. Reportó Obdulio Saquic</t>
  </si>
  <si>
    <t>escalera fuera de lugar y sin restricción, obstruyendo pasillo. Reportó Obdulio Saquic</t>
  </si>
  <si>
    <t>Cinta antideslizante desgastada, cambiarla. Reportó Oscar Ramírez</t>
  </si>
  <si>
    <t>Bandeja mal colocada, salida de empacadora L2, provoca agua en piso, llega hasta banco de trabajo de flejador. Reportó Oscar Ramírez</t>
  </si>
  <si>
    <t>Candado abierto en panel eléctrico de palet, L3, se corrige. Reportó Oscar Ramírez</t>
  </si>
  <si>
    <t>Pieza para restringir acceso a sala de llenado L4 con riesgo de caída. Reportó Oscar Ramírez</t>
  </si>
  <si>
    <t>Falta guarda de seguridad en salida de empacadora L3. Reportó Oscar Ramírez</t>
  </si>
  <si>
    <t>Paro de emergencia no se encuentra correctamente instalado en L5. Reportó Oscar Ramírez</t>
  </si>
  <si>
    <t>Guarda mal instalada en final de carrera de transporte, entrada de lavadora L1. Reportó Oscar Ramírez</t>
  </si>
  <si>
    <t>Falta soporte en la base de la pata de transporte llenado L1. Reportó Oscar Ramírez</t>
  </si>
  <si>
    <t>Puerta de panel eléctrico de lavadora de botellas se encuentra con candado abierto, se corrige. Reportó Oscar Ramírez</t>
  </si>
  <si>
    <t>Candado abierto de caja eléctrica de inspector de nivel de L2. Reportó Oscar Ramírez</t>
  </si>
  <si>
    <t>Candado abierto en compuerta lateral de lavadora de botellas L2, se corrige. Reportó Oscar Ramírez</t>
  </si>
  <si>
    <t>Falta abrazadera clamp, agua con lubricante cae a piso transporte después de etiquetadora. Reportó Oscar Ramírez</t>
  </si>
  <si>
    <t>Toma corriente a nivel de piso, agua cerca, peligro de corto circuito. Reportó Oscar Ramírez</t>
  </si>
  <si>
    <t>Falta de guarda de motor de transporte de cadena agrícola de cajillas L2. Reportó Oscar Ramírez</t>
  </si>
  <si>
    <t>Pieza con riesgo de caída en puerta de salida de L1. Reportó Oscar Ramírez</t>
  </si>
  <si>
    <t>Cisternas de agua abiertas por trabajos, se corrige. Reportó Oscar Ramírez</t>
  </si>
  <si>
    <t>Lámpara en mal estado, en oficinas edificio nuevo. Reportó Oscar Ramírez</t>
  </si>
  <si>
    <t>Candado abierto en panel eléctrico de llenadora L2, se corrige. Reportó Oscar Ramírez</t>
  </si>
  <si>
    <t>Puerta de salida de L1 se encuentra en mal estado, se repara y se corrige condición. Reportó Oscar Ramírez</t>
  </si>
  <si>
    <t>Vidrio en piso, salida empacadora L1. Reportó Oscar Ramírez</t>
  </si>
  <si>
    <t>Fuga de agua con lubricante en acople de tubería y bandeja, salida etiquetadora L1. Reportó Oscar Ramírez</t>
  </si>
  <si>
    <t>Escalera sin restricción en área de ETEI. Reportó Rodrigo Galindo</t>
  </si>
  <si>
    <t>Paneles abiertos en mezanine L1. Reportó Roy Luarca</t>
  </si>
  <si>
    <t>Sensor dañado de lavadora de cajillas L1. Reportó Walfred Guzmán</t>
  </si>
  <si>
    <t>Llanta pinchada de central de amoniaco. Reportó Walfred Guzmán</t>
  </si>
  <si>
    <t>Hongos de seguridad no se están utilizando en esmeriladoras ubicadas en taller de mantenimiento. Reportó Wilber López</t>
  </si>
  <si>
    <t>Puerta de sala de fraccionamiento no abre adecuadamente, ya que en el suelo hay un desnivel con la tapadera de la rejilla, en caso de emergencia no se puede salir fácil de esta área. Reportó Wilber López</t>
  </si>
  <si>
    <t>Candado sin llave en panel eléctrico en sala de jarabes vieja, se corrige. Reportó Wilber López</t>
  </si>
  <si>
    <t>Sensor de salida de emergencia falseado o bloqueado, no activará alarma si se abre la puerta. Reportó Wilber López</t>
  </si>
  <si>
    <t>Escalera sin restricción en L5. Reportó Wilber López</t>
  </si>
  <si>
    <t>Daño estructural en el separador, se retira escalera, pertenece a L5. Reportó Abraham Quiej</t>
  </si>
  <si>
    <t>Reforzar el uso obligatorio de lentes de protección al formular, acción derivada de accidente FAI jarabes. Reportó Adrián Santisteban</t>
  </si>
  <si>
    <t>Escalera sin restricción. Reportó Alejandro Martínez</t>
  </si>
  <si>
    <t>Escalera sin restricción, candado tirado en el suelo en sala de jarabes antigua. Reportó Alejandro Martínez</t>
  </si>
  <si>
    <t>Validar el estado de puertas de ingreso a sala de marmitas en desuso, sala de jarabes antigua. Reportó Alejandro Martínez</t>
  </si>
  <si>
    <t>Pedazos de Tarima con clavos expuestos. Alfonso Guatzin</t>
  </si>
  <si>
    <t>Tarima fuera de lugar y con clavos expuestos. Alfonso Guatzin</t>
  </si>
  <si>
    <t>Se encuentra manguera reparada con bolsa de nailon frente a torre marley. Andrea González</t>
  </si>
  <si>
    <t>Montacargas #30, sin restricción de volante, se corrige. Reportó Antony Ramos</t>
  </si>
  <si>
    <t>Paneles eléctricos abiertos en sopladora L4, se corrige. Reportó Antony Ramos</t>
  </si>
  <si>
    <t>Escalera sin restricción en llenadora L5. Reportó Antony Ramos</t>
  </si>
  <si>
    <t>Puerta de torre marley sin restricción, se corrige. Reportó Bryan Barahona</t>
  </si>
  <si>
    <t>Panel de Mixer L4 sin restricción, se corrige. Reportó Bryan Barahona</t>
  </si>
  <si>
    <t>Caja de registro eléctrico sin tapadera sobre puerta lateral de L4. Reportó Bryan Rodas</t>
  </si>
  <si>
    <t>Transporte de rechazo sin bandeja de contención de lubricante, piso con lubricante posible riesgo de caída. Bryan Rodas</t>
  </si>
  <si>
    <t>Lámpara led de sala de llenado L5 queda mal anclada por proveedor CINDU. Reportó Bryan Rodas</t>
  </si>
  <si>
    <t>Vidrios sin anclaje y restricción obstruyendo parte del paso peatonal hacia edificio nuevo. Reportó Bryan Rodas</t>
  </si>
  <si>
    <t>Andamio sin restricción de acceso frente a sala Pepsi de edificio nuevo. Reportó Bryan Rodas</t>
  </si>
  <si>
    <t>Escalera sin restricción frente a sala Pepsi de edificio nuevo. Reportó Bryan Rodas</t>
  </si>
  <si>
    <t>Químico destapado y sin dique de contención. Se procede a tapar el químico. Reportó Bryan Rodas</t>
  </si>
  <si>
    <t>Andamos sin restricción frente a sala Pepsi de edificio nuevo. Reportó Bryan Rodas</t>
  </si>
  <si>
    <t>Piso mojado en bodega 2. Reportó Bryan Rodas</t>
  </si>
  <si>
    <t>Lampara dañada en bodega 2 CD. Reportó Daniel Pineda</t>
  </si>
  <si>
    <t>Escalera sin restricción, área de jarabes nuevo. Reportó Daniel Pineda</t>
  </si>
  <si>
    <t>Vidrio de puerta ingreso a jarabes nuevo se encuentra quebrado. Reportó Daniel Pineda</t>
  </si>
  <si>
    <t>Iluminación deficiente en paso peatonal hacia ETEI. Reportó Daniel Pineda</t>
  </si>
  <si>
    <t>Tarima con químicos obstaculizando ingreso y paso peatonal en L5. Reportó Daniel Pineda</t>
  </si>
  <si>
    <t>Caja metálica suelta a un costado de edificio nuevo. Reportó Edson Bonifacio</t>
  </si>
  <si>
    <t>Pernos sobresalen la superficie del suelo, puede provocar una caída, en bodega de reciclaje. Reportó Daniel Pineda</t>
  </si>
  <si>
    <t>Bandeja de contención de líquidos se ve expuesta a la capacidad que la misma puede contener, como punto de mejora se puede indicar su capacidad de almacenamiento. Reportó Daniel Pineda</t>
  </si>
  <si>
    <t>Escalera sin restricción en almacén de repuestos. Reportó Daniel Pineda</t>
  </si>
  <si>
    <t>Escalera fuera de lugar en almacén de repuestos. Reportó Daniel Pineda</t>
  </si>
  <si>
    <t>Acrílico sin colocar. Reportó Diana Pérez</t>
  </si>
  <si>
    <t>Herramientas suelta en tina de cooler. Reportó Diana Pérez</t>
  </si>
  <si>
    <t>Panel se encuentra sin candado, se corrige. Reportó Diana Pérez</t>
  </si>
  <si>
    <t>Motorreductor sin guarda, salida del inversor L2, cable expuesto que dañe con el ventilador. Reportó Edson Bonifacio</t>
  </si>
  <si>
    <t>Canecas de químicos fuera de lugar, entre lavadora de cajas y warmer. Reportó Edson Bonifacio</t>
  </si>
  <si>
    <t>Manguera y jalador fuera de lugar, en salida inversor L2. Reportó Edson Bonifacio</t>
  </si>
  <si>
    <t>Contenedor frente a lavadora L1, sobre tarima en mal estado propensa a caer. Reportó Edson Bonifacio</t>
  </si>
  <si>
    <t>Agregar sticker de riesgo eléctrico y candado, a panel eléctrico. Reportó Elvis Oliva</t>
  </si>
  <si>
    <t>Fuga en filtro de arena 4, tratamiento de aguas. Reportó Elvis Oliva</t>
  </si>
  <si>
    <t>Cables expuestos en tratamiento de aguas. Reportó Elvis Oliva</t>
  </si>
  <si>
    <t>Tarima obscatulizando paso peatonal en taller de mantenimiento. Reportó Elvis Oliva</t>
  </si>
  <si>
    <t>Químico sin bandeja de contención en el área de taller de mantenimiento. Reportó Elvis Oliva</t>
  </si>
  <si>
    <t>A la par de la tolva de preforma L4 se encuentra escalera sin delimitar, no se encontraba ningún compañero cerca para hacer recordatorio de señalización. Esdras Orozco</t>
  </si>
  <si>
    <t>Acumulación de piezas metálicas a un costado de paso peatonal L1. Reportó German Orozco</t>
  </si>
  <si>
    <t>Motor no cuenta con guarda de seguridad en área de llenado L1. Reportó German Orozco</t>
  </si>
  <si>
    <t>Rótulo de uso obligatorio de guantes ya se encuentra deteriorado en inspector L1. Reportó German Orozco</t>
  </si>
  <si>
    <t>Rotulación se encuentra a un costado de paso peatonal. Reportó German Orozco</t>
  </si>
  <si>
    <t>Tarima con desechos obstaculizado paso de montacargas hacia L5, se corrige. Reportó Gerson Castañeda</t>
  </si>
  <si>
    <t>Fuga de vapor en sistema de entrada a intercambiador de calor en sala de jarabes. Reportó Gerson Castañeda</t>
  </si>
  <si>
    <t>barandales sobre el paso peatonal en Línea 2. Reportó Hellen Estrada</t>
  </si>
  <si>
    <t>Tarimas quebradas en mal estado. Reportó Hellen Estrada</t>
  </si>
  <si>
    <t>Lámpara dañada frente a rechazo de lavadora de botellas L1. Reportó Hydee Martínez</t>
  </si>
  <si>
    <t>Cajillas con riesgo de derrumbe cerca de baño CD, se corrige. Reportó Isabel Saquila</t>
  </si>
  <si>
    <t>Señalizar escalones a un costado de edificio nuevo. Reportó Jaime Chex</t>
  </si>
  <si>
    <t>Falta rótulo de piso mojado y manguera en paso peatonal sin señalizar. Reportó Jaime Chex</t>
  </si>
  <si>
    <t>Manguera se nota en malas condiciones en sala de jarabes nuevo. Reportó Jaime Chex</t>
  </si>
  <si>
    <t>Actualizar el compendio de MSDS de taller de mantenimiento: Synfilm 68, Omega 690, Omega 609, Citgo Trukut 205 no están en el leits. Reportó Jaime Chilel</t>
  </si>
  <si>
    <t>Actualizar cartelera de personal autorizado para uso de esmeriles en taller de mantenimiento. Reportó Jaime Chilel</t>
  </si>
  <si>
    <t>Escalera portátil debajo de mezanine L2 sin restricción. Reportó Jaime Chilel</t>
  </si>
  <si>
    <t>Guarda de motor debajo del mezanine L2 sin sujeción. Reportó Jaime Chilel</t>
  </si>
  <si>
    <t>Rebalse cribas en ETEI. Reportó Jessica Loarca</t>
  </si>
  <si>
    <t>Paso peatonal hacia el área GLP obstruida por tarima. Reportó Jimmy Velásquez</t>
  </si>
  <si>
    <t>Instalar rótulo de tubería caliente en L5, calentador de moldes. Reportó Josué Vásquez</t>
  </si>
  <si>
    <t>Exceso de agua en inversor L5, provoca piso mojado. Reportó Josué Vásquez</t>
  </si>
  <si>
    <t>Paso peatonal obstruido en L5. Reportó Juan Hernández</t>
  </si>
  <si>
    <t>Se encuentra tarima con sacos de azucar mal inclinada, en área de azúcar. Reportó Kelly Calderón</t>
  </si>
  <si>
    <t>Panel eléctrico no cuenta con listado de personal autorizado para intervenciones. Reportó Lissette Loarca</t>
  </si>
  <si>
    <t>Condensación se genera sobre panel eléctrico, validar si podría llegar a afectarlo. Reportó Lissette Loarca</t>
  </si>
  <si>
    <t>Puerta de llenadora abierta, L2. Reportó Lissette Loarca</t>
  </si>
  <si>
    <t>Candado abierto en salida lavadora L2, se corrige. Reportó Luis Angel</t>
  </si>
  <si>
    <t>Tarima en mal estado en paso peatonal de bodega 4. Reportó Luis Pérez</t>
  </si>
  <si>
    <t>Paso peatonal de bodega 8 con obstáculos tarimas sueltas y producto. Reportó Luis Pérez</t>
  </si>
  <si>
    <t>Paso peatonal de bodega 3 a bodega 4 se encuentra obstaculizando con producto se estara corrigiendo a la brevedad posible. Reportó Luis Pérez</t>
  </si>
  <si>
    <t>Restos de preforma,reciclaje tirados en patio del cdc ruta a bodega 5, se envio personal de limpieza para limpiar el área. Reportó Luis Pérez</t>
  </si>
  <si>
    <t>Retráctil desajustado en línea de vida de pit de cargas,  al momento se esta utilizando arnés con eslinga. Reportó Luis Pérez</t>
  </si>
  <si>
    <t>Vidrio  en bulevar cdc se estara retirando a la brevedad posible. Luis Pérez</t>
  </si>
  <si>
    <t>Envase de te lipton con riesgo de caída se estará corrigiendo a la brevedad posible. Luis Pérez</t>
  </si>
  <si>
    <t>Condensado en bodega 3. Luis Pérez</t>
  </si>
  <si>
    <t>Se baja al taller el montacargas 21 por parrilla quebrada. Luis Pérez</t>
  </si>
  <si>
    <t>Tarima con botellas rotas y expuestas. Reportó María Obregón</t>
  </si>
  <si>
    <t>Se encuentra carrilera de preforma sin guardas de seguridad en L3, se procede a dar aviso a facilitador de línea para que se corrigiera. Reportó Nelson Godínez</t>
  </si>
  <si>
    <t>escalera fuera de lugar y obstruyendo paso peatonal. Reportó Obdulio Saquic</t>
  </si>
  <si>
    <t>pisos con estancamiento de agua, riesgo de caídas. Reportó Obdulio Saquic</t>
  </si>
  <si>
    <t>desorden en área de pasos peatonales riesgo de tropiezo. Reportó Obdulio Saquic</t>
  </si>
  <si>
    <t>fuga de vapor en trampa de retorno de condensado en antigua sala de jarabes. Obdulio Saquic</t>
  </si>
  <si>
    <t>químico dielectrico fueran de lugar en sala de llenado. Obdulio Saquic</t>
  </si>
  <si>
    <t>químicos fuera de lugar. Obdulio Saquic</t>
  </si>
  <si>
    <t>guarda de seguridad fuera de lugar en empacadora línea 4. Obdulio Saquic</t>
  </si>
  <si>
    <t>Químico fuera de lugar, L1. Reportó Oscar Ramírez</t>
  </si>
  <si>
    <t>Acceso sin restricción lavadora a parte superior L1. Reportó Oscar Ramírez</t>
  </si>
  <si>
    <t>Escalera de personal de aire sistemas se encuentra debajo de furgón. Reportó Oscar Ramírez</t>
  </si>
  <si>
    <t>Cuarto de compresores sin restricción. Reportó Oscar Ramírez</t>
  </si>
  <si>
    <t>Se tiene fuga de lubricante en L1, por el área de rechazo. Reportó Oscar Ramírez</t>
  </si>
  <si>
    <t>Manguera en paso peatonal sin señalización. Reportó Oscar Ramos</t>
  </si>
  <si>
    <t>Escalera sin restricción, L4. Reportó Rodrigo Galindo</t>
  </si>
  <si>
    <t>Rejilla mal colocada, puede provocar caída. Reportó Rodrigo Galindo</t>
  </si>
  <si>
    <t>Rollo de etiqueta fuera de lugar a un costado de paso peatonal, L4. Reportó Rodrigo Galindo</t>
  </si>
  <si>
    <t>Pita negra en transporte de ingreso a etiquetadora, se tiene riesgo que el transporte atrape la misma y arruine sistemas o rompa cadenas. Reportó Rodrigo Galindo</t>
  </si>
  <si>
    <t>Tarima fuera de lugar y con riesgo de caída en L3. Reportó Rodrigo Galindo</t>
  </si>
  <si>
    <t>Paletizadora L3 sin punto de bloqueo. Reportó Rodrigo Galindo</t>
  </si>
  <si>
    <t>Panel de etiquetadora sin restricción. Reportó Rodrigo Galindo</t>
  </si>
  <si>
    <t>Panel de paletizadora L3, sin candados. Reportó Rodrigo Galindo</t>
  </si>
  <si>
    <t>Equipo de limpieza en medio de bandeja de transporte de salida de llenadora. Reportó Rodrigo Galindo</t>
  </si>
  <si>
    <t>Rejilla fuera de lugar sin señalización en área de llenado L3. Reportó Rodrigo Galindo</t>
  </si>
  <si>
    <t>Escalera sin restricción en L3. Reportó Rodrigo Galindo</t>
  </si>
  <si>
    <t>Vidrio de envases quebrados a un costado de lavadora L1. Reportó Rodrigo Galindo</t>
  </si>
  <si>
    <t>Puerta obstaculizada con bote de basura, ingreso a lab. Reportó Walfred Guzmán</t>
  </si>
  <si>
    <t>Pieza en movimiento cerca de parrillas que jalan con la mano al entarimar, posible riesgo de atrapamiento. Reportó Wilber López</t>
  </si>
  <si>
    <t>Cables expuestos en transporte de entarimado L2. Reportó Wilber López</t>
  </si>
  <si>
    <t>Cajillas obstaculizando salida de metrología, están fuera del límite establecido. Reportó Wilber López</t>
  </si>
  <si>
    <t>Se observa instalación de sensores deshabilitados en transportadores, se observa canaletas mal cerradas en sala de llenador (INSPECCION SEMANA 2). Reportó Amilcar Ralda</t>
  </si>
  <si>
    <t>Kit antiderrame incompleto (INSPECCIÓN SEMANA 2). Reportó Amilcar Ralda</t>
  </si>
  <si>
    <t>Falta protección en el lado de encajonadora, no se cuenta con el programa completamente activo (INSPECCIÓN SEMANA 2). Reportó Amilcar Ralda</t>
  </si>
  <si>
    <t>Falta información de señalización en tuberia de lavadora de botellas (INSPECCIÓN SEMANA 2) Reportó Amilcar Ralda</t>
  </si>
  <si>
    <t>Tanques de L2 no están rotulados (INSPECCION SEMANA 2). Reportó Amilcar Ralda</t>
  </si>
  <si>
    <t>Kit antiderrame L2 se encuentra incompleto (INSPECCIÓN SEMANA 2). Reportó Amilcar Ralda</t>
  </si>
  <si>
    <t>No se cuenta con programa de inspección de protecciones de máquinas (INSPECCIÓN SEMANA 2). Reportó Amilcar Ralda</t>
  </si>
  <si>
    <t>No se cuenta con kit antiderrame (INSPECCION SEMANA 2). Reportó Roy Luarca</t>
  </si>
  <si>
    <t>Tubería de calentadora de sopladora no cuenta con rotulación (INSPECCIÓN SEMANAL). Reportó Roy Luarca</t>
  </si>
  <si>
    <t>No se cuenta con checklist de revisión de escaleras portátiles y plataformas móviles elevables (INSPECCIÓN SEMANA 2). Reportó Jimmy Velásquez</t>
  </si>
  <si>
    <t>Se evidencia químicos sin rotulación (INSPECCIÓN SEMANA 2). Reportó Eliu Tello</t>
  </si>
  <si>
    <t>Se evidencia MSDS incompletas (INSPECCIÓN SEMANA 2). Reportó Eliu Tello</t>
  </si>
  <si>
    <t>Se encuentra candado abierto hacia mezanini de L4. Andrea González</t>
  </si>
  <si>
    <t>Envase por caer en patio cd. Luis Pérez</t>
  </si>
  <si>
    <t>Cilindro de personal de aire sistemas sin restricción, debajo de contenedor de generador. Reportó Edson Bonifacio</t>
  </si>
  <si>
    <t>Tubería sin señalización de superficie caliente, galera 2. Reportó Abraham Quiej</t>
  </si>
  <si>
    <t>Tapa de tomacorriente 220v no se encuentra correctamente instalada. Reportó María Obregón</t>
  </si>
  <si>
    <t>Puerta de sopladora en L4 se encuentra abierta, sin restricción. Reportó María Obregón</t>
  </si>
  <si>
    <t>Puerta semi abierta de sopladora L4 durante producción. Reportó María Obregón</t>
  </si>
  <si>
    <t>Salida de agua de CIP con agua caliente, salpica a paso peatonal. Reportó María Obregón</t>
  </si>
  <si>
    <t>Manguera de L3 se encuentra rota y provoca piso mojado. Reportó María Obregón</t>
  </si>
  <si>
    <t>Puerta de llenadora abierta y máquina en funcionamiento. Reportó María Obregón</t>
  </si>
  <si>
    <t>Tarima con químico obstaculizando paso peatonal, se corrige. Reportó María Obregón</t>
  </si>
  <si>
    <t>Manguera acumulada frente a tablero eléctrico, en área de compresores. Reportó Miguel Godínez</t>
  </si>
  <si>
    <t>Lamina en peatonal de ingreso a almacén de repuestos, se corrige. Reportó Jason Calderón</t>
  </si>
  <si>
    <t>Andamio inestable, mal armado y con riesgo de caída, se corrige de inmediato. Reportó Walfred Guzmán</t>
  </si>
  <si>
    <t>Filtración de agua en canal de agua pluvial entre L1 y L2. Reportó Oscar Ramírez</t>
  </si>
  <si>
    <t>Filtración de agua en columna atrás de empacadora L1. Reportó Oscar Ramírez</t>
  </si>
  <si>
    <t>Acceso sin restricción a mezanine de línea 1, se corrige. Reportó Oscar Ramírez</t>
  </si>
  <si>
    <t>Gotera proveniente de la puerta en escalera de segundo nivel de edificio administrativo. Reportó Dennis DeLeón</t>
  </si>
  <si>
    <t>Pasamanos de edificio nuevo, las bases se encuentran inestables y hay un tornillo que no está instalado al piso. Reportó Daniel Pineda</t>
  </si>
  <si>
    <t>Escalera sin restricción y fuera de lugar en L5. Reportó Jaime Chex</t>
  </si>
  <si>
    <t>Tarima dañada con envase propenso a caer, se corrige. Reportó Jimmy Velásquez</t>
  </si>
  <si>
    <t>Kit antiderrame de MP no tiene guantes para uso químico. Reportó German Orozco</t>
  </si>
  <si>
    <t>Fuga de glicol en sopladora 5, este espacio se utiliza para ir a la parte de atrás de los equipos. Reportó Gustavo Hernández</t>
  </si>
  <si>
    <t>Magneto de puerta ingreso a L2 se encuentra colgando, propenso a caer. Reportó Amilcar Ralda</t>
  </si>
  <si>
    <t>Candados eléctricos abiertos en panel eléctrico de lavadora L1, se corrige. Reportó Abraham Quiej</t>
  </si>
  <si>
    <t>Tarima obstaculizando paso peatonal en L3, se corrige. Reportó Abraham Quiej</t>
  </si>
  <si>
    <t>Silla en mal estado en laboratorio de L4. Nelson Godínez</t>
  </si>
  <si>
    <t>Se encuentra candado abierto de estantería de químicos L4. Andrea González</t>
  </si>
  <si>
    <t>Se encuentra panel de lavadora de botellas semiabierto y con candado abierto.  Andrea González</t>
  </si>
  <si>
    <t>Se encuentra candado de panel abierto.  Andrea González</t>
  </si>
  <si>
    <t>Parrilla del montacargas 26 quebrada se baja al taller para su reparación. Luis Pérez</t>
  </si>
  <si>
    <t>Envase con riesgo de caer em área de bulevar cdc se estara corrigiendo a la brevedad posible. Luis Pérez</t>
  </si>
  <si>
    <t>Escalera sin restricción en elevador de preforma L4. Nelson Godínez</t>
  </si>
  <si>
    <t>pasillo a mesanini de línea 4 obstruido por tarimas con desechos. Obdulio Saquic</t>
  </si>
  <si>
    <t>Sin iluminación en paso peatonal a cabina L4. Reportó Dennis DeLeón</t>
  </si>
  <si>
    <t>Tablas de tarima con clavos expuestos, se corrige. Reportó Elvis Oliva</t>
  </si>
  <si>
    <t>Silla en mal estado en sala de llenado L1. Reportó Elvis Oliva</t>
  </si>
  <si>
    <t>Drenaje desfoga sobre piso y genera un piso resbaladizo, este debe llegar directamente a la rejilla. Reportó Byron Roldan</t>
  </si>
  <si>
    <t>Mulita de carga ubicada en lugar incorrecto. Reportó Adrián Santisteban</t>
  </si>
  <si>
    <t>Envase con riesgo de caída por bulevar. Reportó Jimmy Velásquez</t>
  </si>
  <si>
    <t>Portón sin control de acceso. Reportó Alejandro Martínez</t>
  </si>
  <si>
    <t>Drenaje mal colocado. Reportó Adrián Santisteban</t>
  </si>
  <si>
    <t>Tarima bloqueando paso peatonal, se corrige. Reportó Lissette Loarca</t>
  </si>
  <si>
    <t>Escalera sin restricción. Reportó Adrián Santisteban</t>
  </si>
  <si>
    <t>Puerta de ingreso a laboratorio físico químico topa en el suelo y truena la puerta al abrirse, ya se nota un desgaste. Reportó German Orozco</t>
  </si>
  <si>
    <t>Fuga de vapor en trampa de sistema de sala de jarabes antigua. Reportó Elvis Oliva</t>
  </si>
  <si>
    <t>Químico sin identificación y hojas de navaja en estación de trabajo, L5. Reportó Byron Roldan</t>
  </si>
  <si>
    <t>Drenaje de agua sobre el piso, debe llevarse directo a la rejilla para evitar acumulación de agua en paso peatonal L5. Reportó Byron Roldan</t>
  </si>
  <si>
    <t>Tubería caliente sin señalización ni insolación, Reportó Elvis Oliva</t>
  </si>
  <si>
    <t>Adecuar estación formal para colocación de MSDS. Reportó Byron Roldan</t>
  </si>
  <si>
    <t>Fuga en tubería de retorno de condensado, validar si tiene rotulación de superficie caliente. Reportó Elvis Oliva</t>
  </si>
  <si>
    <t>Fuga de agua caliente, el empaque puede llegar a ceder y tubería no cuenta con rotulación de superficie caliente. Reportó Elvis Oliva</t>
  </si>
  <si>
    <t>Puerta de salida de llenadora L2 atascada, requiere mucho esfuerzo para abrir. Reportó Elvis Oliva</t>
  </si>
  <si>
    <t>Guarda de seguridad de motor, no se encuentra correctamente instalado. Reportó Elvis Oliva</t>
  </si>
  <si>
    <t>Herramienta fuera de lugar y tonel fuera del dique de contención. Reportó Jaime Chex</t>
  </si>
  <si>
    <t>Sensor de seguridad de cilindro neumático del inversor se encuentra deshabilitado. Reportó Elvis Oliva</t>
  </si>
  <si>
    <t>Falta guarda de seguridad de inversor. Reportó Amilcar Ralda</t>
  </si>
  <si>
    <t>Falta señalización de piso mojado en el área, validar si se cuenta con señalización suficiente para cubrir las áreas. Reportó Elvis Oliva</t>
  </si>
  <si>
    <t>Seccionador caído atrás de etiquetadora L1. Reportó Abel Aguilar</t>
  </si>
  <si>
    <t>Cableado eléctrico expuesto, transporte de paquete L5. Reportó Eliu Tello</t>
  </si>
  <si>
    <t>Exceso de tarima, obstruyendo visibilidad frente a oficinas CD. Reportó Josué Vásquez</t>
  </si>
  <si>
    <t>Espejo de tratamiento de agua se desprendió del soporte, tiene riesgo de caída y no enfoca bien. Reportó Freddy Fuentes</t>
  </si>
  <si>
    <t>Escalera sin restricción de proveedor que realiza trabajos en L3, se corrige. Reportó Edson Bonifacio</t>
  </si>
  <si>
    <t>Tarima con restos de guías de transporte L1 frente a taller de mantenimiento, actualmente ya no se tiene contenedor de chatarra en el sitio. Reportó Edson Bonifacio</t>
  </si>
  <si>
    <t>Tarima obstaculizando paso peatonal en bodega de MP, se corrige. Reportó Abraham Quiej</t>
  </si>
  <si>
    <t>Se tiene fuga en tubería de retorno de consensado por lavadora de L1. Reportó Walfred Guzmán</t>
  </si>
  <si>
    <t>Se tiene fuga de vapor por mezanine de L2. Reportó Walfred Guzmán</t>
  </si>
  <si>
    <t>Tarimas con sacos de azúcar caídos, en bodega de materia prima, se corrige. Reportó Kelly Calderón</t>
  </si>
  <si>
    <t>Condensado en bodega 3 se estara coordinando personal para retirar. Luis Pérez</t>
  </si>
  <si>
    <t xml:space="preserve"> Se reporta manguera y bolsa obstruyendo paso peatonal. Reporto Alfonso Guatzin</t>
  </si>
  <si>
    <t>pasillos en obstruyendo paso peatonal hacia mesanini de línea 4. Reportó Obdulio Saquic</t>
  </si>
  <si>
    <t>Se encuentra escalera sin candado. Reportó Andrea González</t>
  </si>
  <si>
    <t>Pieza metálica fuera de lugar, falta de orden y limpieza en taller de mantenimiento, se corrige. Reportó Walfred Guzmán</t>
  </si>
  <si>
    <t>Canecas de químicos con riesgo de caída en MP. Reportó Edson Bonifacio</t>
  </si>
  <si>
    <t>Kits antiderrames mal ubicados, riesgo de caída en MP. Reportó Edson Bonifacio</t>
  </si>
  <si>
    <t>Desnivel en pasillo de L1 no está señalizado. Reportó Alejandro Martínez</t>
  </si>
  <si>
    <t>Motor sin guarda de seguridad en sala de llenado. Reportó Oscar Ramírez</t>
  </si>
  <si>
    <t>Motor no tiene guarda instalada, se paró el transporte un momento y se corrige la condición. Reportó Oscar Ramírez</t>
  </si>
  <si>
    <t>Personal que realiza trabajos en techos deja mal apilados los materiales, pueden caer a paso de montacargas. Reportó Miguel Godínez</t>
  </si>
  <si>
    <t>Escalera sin restricción en laboratorio de sala nueva de jarabes. Nelson Godínez</t>
  </si>
  <si>
    <t>Escalera sin restricción sobre sala de marmitas. Reportó Jaime Chilel</t>
  </si>
  <si>
    <t>Sala de calderas sin restricción de acceso, chapa no funciona, se verificó con calderista. Reportó Jaime Chilel</t>
  </si>
  <si>
    <t>Kit antiderrame L2, junto a isla de químicos de ECOLAB casi vacío. Reportó Jaime Chilel</t>
  </si>
  <si>
    <t>Químicos sobre pasan capacitad de bandeja de contención y tienen materiales eléctricos sobre ellos. Reportó Jaime Chilel</t>
  </si>
  <si>
    <t>Recipientes de lubricantes sin bandeja de contención, en sala de compresores de amoniaco. Reportó Jaime Chilel</t>
  </si>
  <si>
    <t>Tablero desconectado, pero con señalización de riesgo eléctrico y solo personal autorizado, si se va a quedar así delimitarlo y señalizar como fuera de operación. Reportó Jaime Chilel</t>
  </si>
  <si>
    <t>Kit antiderrame de sala de compresores de amoniaco se encuentra casi vacío. Reportó Jaime Chilel</t>
  </si>
  <si>
    <t>Tomacorriente en mal estado atrás de transporte de envase L1. Reportó Oscar Ramírez</t>
  </si>
  <si>
    <t>Herramientas fuera de lugar sobre plataforma de empacadora L1. Reportó Oscar Ramírez</t>
  </si>
  <si>
    <t>Cinta antideslizante en mal estado en lavadora de botellas L1. Reportó Oscar Ramírez</t>
  </si>
  <si>
    <t>Pieza obstruyendo ingreso a taller de mantenimiento. Reportó Walfred Guzmán</t>
  </si>
  <si>
    <t>Candado abierto de panel de empacadora L3, se corrige. Reportó Oscar Ramírez</t>
  </si>
  <si>
    <t>Cinta antideslizante en mal estado en escalera hacia parte superior de llenadora L3. Reportó Oscar Ramírez</t>
  </si>
  <si>
    <t>Puerta abatible ya no regresa a su posición en paso peatonal L3. Reportó Oscar Ramírez</t>
  </si>
  <si>
    <t>Jaul a de químicos sin restricción en L4, se corrige. Reportó Oscar Ramírez</t>
  </si>
  <si>
    <t>Falta cinta antideslizante en plataforma frente a empacadora L4. Reportó Oscar Ramírez</t>
  </si>
  <si>
    <t>Tarimas de tapón quitan visibilidad en paso peatonal. Reportó Oscar Ramírez</t>
  </si>
  <si>
    <t>Reubicar señalización de paso de montacargas, es poco visible. Reportó Oscar Ramírez</t>
  </si>
  <si>
    <t>Extintor de carretilla se encuentra obstruido por materiales en bodega 5. Reportó Daniel Pineda</t>
  </si>
  <si>
    <t>Fuga de agua en tubería de vapor. Reportó Amilcar Ralda</t>
  </si>
  <si>
    <t>Químicos reactivos para análisis de dureza expuestos sin su tapa y fuera de lugar en área de suavizadores. Oscar Ramos</t>
  </si>
  <si>
    <t>Cubeta sin tapa con detergente y manguera sobre paso peatonal en area de reactores. Oscar Ramos</t>
  </si>
  <si>
    <t>Navaja sobre unión flange de tubería a 1.5 metros, puede caer y lesionar a alguien. Oscar Ramos</t>
  </si>
  <si>
    <t>Pasillo mojado con detergente sin señalización de piso mojado. Oscar Ramos</t>
  </si>
  <si>
    <t>Actuador de válvula de tanque 8 no tiene ambos tornillos, por lo cual puede caer. Oscar Ramos</t>
  </si>
  <si>
    <t>Se reporta condensado en bodega 3 riesgo de derrape de montacargas, se corrige. reporta Luis Angel</t>
  </si>
  <si>
    <t>Se reporta tarima sobre paso peatonal en bodega 8 obstruyendo el paso normal de peatones, se corrige. reporta Luis Angel</t>
  </si>
  <si>
    <t>Se observa que se sale el agua del drenaje de línea 2, puede provocar accidente en el área del paso peatonal. Reporta Leidy Camey</t>
  </si>
  <si>
    <t>Escalera obstaculizando extintor en ingreso de L1. Reportó Abel Aguilar</t>
  </si>
  <si>
    <t>Tarima mal posicionada en el área de entarimado de L1, se corrige. Reportó Abel Aguilar</t>
  </si>
  <si>
    <t>Sensor en mal estado en transporte de desentarimado L1. Reportó Abel Aguilar</t>
  </si>
  <si>
    <t>Candado de panel eléctrico abierto en lavadora L1, se corrige. Reportó Abraham Quiej</t>
  </si>
  <si>
    <t>Manguera fuera de lugar y obstruyendo paso peatonal en L1. Reportó Abraham Quiej</t>
  </si>
  <si>
    <t>Acumulación de piezas metálicas, sobresalen de la tarima hacia el pasillo peatona. Reportó Abraham Quiej</t>
  </si>
  <si>
    <t>Panel de lavadora L2 sin restricción, se corrige. Reportó Abraham Quiej</t>
  </si>
  <si>
    <t>Lampara con parpadeo constante en tratamiento de aguas. Reportó Abraham Quiej</t>
  </si>
  <si>
    <t>Extintor obstruido por equipos y materiales, lo que impide un acceso rápido y directo en caso de emergencia. Reportó Abraham Quiej</t>
  </si>
  <si>
    <t>Lampara con parpadeo constante en L2. Reportó Abraham Quiej</t>
  </si>
  <si>
    <t>Llantas en mal estado de montacargas #23. Reportó Abraham Quiej</t>
  </si>
  <si>
    <t>Tomacorriente expuesto y desprendido en la pared en tratamiento de agua. Reportó Abraham Quiej</t>
  </si>
  <si>
    <t>Lámpara con problemas de iluminación en bodega 4 CD. Reportó Abraham Quiej</t>
  </si>
  <si>
    <t>Escalera sin restricción y obstaculizando salida sala nueva de jarabes. Reportó Adrián Santisteban</t>
  </si>
  <si>
    <t>Drenaje sin colocar correctamente en sala nueva jarabes. Reportó Adrián Santisteban</t>
  </si>
  <si>
    <t>Piso de sala de carga de azúcar con agua . Reportó Adrián Santisteban</t>
  </si>
  <si>
    <t>Escalera de acceso a tanques 8 al 11 obstruidas con EPP del personal, (inspección semana 3, septiembre). Reportó Adrián Santisteban</t>
  </si>
  <si>
    <t>Tonel usado para soda sin etiqueta de identificación, (inspección semana 2, septiembre). Reportó Adrián Santisteban</t>
  </si>
  <si>
    <t>Pasillo obstaculizado con reciclaje. Adrián Santisteban</t>
  </si>
  <si>
    <t>Piso con agua reposada puede causar caída. Adrián Santisteban</t>
  </si>
  <si>
    <t>Lámina con riesgo de caer. Adrián Santisteban</t>
  </si>
  <si>
    <t>Tarima con reciclaje mal estibado. Adrián Santisteban</t>
  </si>
  <si>
    <t>Piso de sala de carga de azúcar se encuentra mojado y con riesgo de causar alguna caída. Adrián Santisteban</t>
  </si>
  <si>
    <t>Se reporta jaula de Preformas Mal estibadas a un costado de paso peatonal. Reporto Alfonso Guatzin</t>
  </si>
  <si>
    <t>Se reporta paso peatonal con charco de agua. Reporto Alfonso Guatzin</t>
  </si>
  <si>
    <t>Panel eléctrico de Sopladora abierto. Reporto Alfonso Guatzin</t>
  </si>
  <si>
    <t>Tarimas mal ubicadas a un costado de Paletizadora Línea 4. Reporto Alfonso Guatzin</t>
  </si>
  <si>
    <t>Se reporta químico sin bandeja de contención. Reporto Alfonso Guatzin</t>
  </si>
  <si>
    <t>Se reporta tarima fuera de lugar cerca de paletizadora línea 3. Reporto Alfonso Guatzin</t>
  </si>
  <si>
    <t>Tarima fuera de lugar y mal apilada en línea 3. Reporto Alfonso Guatzin</t>
  </si>
  <si>
    <t>Extintores de L1, no se ha realizado inspección de septiembre, (inspección semana 3, septiembre). Reportó Amilcar Ralda</t>
  </si>
  <si>
    <t>Rotulación de lavadora de botellas, (inspección semana 2, septiembre). Reportó Amilcar Ralda</t>
  </si>
  <si>
    <t>Rotulación de vinilos para tanques de soda, (inspección semana 2, septiembre). Reportó Amilcar Ralda</t>
  </si>
  <si>
    <t>Se encuentra lubricante en envase de gatorade. Reportó Andrea González</t>
  </si>
  <si>
    <t>Se encuentra armario de químicos sin restricción. Reportó Andrea González</t>
  </si>
  <si>
    <t>Se encuentra protector de etiqueradora sobre superficie que puede provocar caída. Reportó Andrea González</t>
  </si>
  <si>
    <t>Tarima con jumbo de azúcar mal estibada, área MP, se corrige. Reportó Antony Ramos</t>
  </si>
  <si>
    <t>Validar el estado de la instalación del panel solar sobre oficinas de CD, que no haya riesgo de caída. Reportó Antony Ramos</t>
  </si>
  <si>
    <t>Ducha de emergencia de L5 no se encuentra habilitada. Reportó Antony Ramos</t>
  </si>
  <si>
    <t>Extintor de montacargas #24 sin revisión de agosto. Reportó Antony Ramos</t>
  </si>
  <si>
    <t>Alarma de laboratorio de microbiología se encuentra mal sujetada de la base. Reportó Antony Ramos</t>
  </si>
  <si>
    <t>Tarimas sobre paso peatonal, se corrige. Reportó Antony Ramos</t>
  </si>
  <si>
    <t>Montacargas #23 sin restricción, frente a almacén de repuestos, se corrige. Reportó Antony Ramos</t>
  </si>
  <si>
    <t>Cinta antideslizante desgastada, en gradas a un costado de etiquetadora L1. Reportó Antony Ramos</t>
  </si>
  <si>
    <t>Fuga en las tuberías que están en ingreso a L1, provoca rampa mojada. Reportó Antony Ramos</t>
  </si>
  <si>
    <t>Candado sin restricción de ingreso a tanques de soda caustica, validar si el candado es funcional se ve oxidado. Reportó Bryan Barahona</t>
  </si>
  <si>
    <t>Ingreso de cisternas de agua con candados sin restricción. Reportó Bryan Barahona</t>
  </si>
  <si>
    <t>Luz de alarma no fijada en L4. Reportó Bryan Barahona</t>
  </si>
  <si>
    <t>Cambiar señalización de uso de pasamanos en escalera de lavadora L2. Reportó Bryan Barahona</t>
  </si>
  <si>
    <t>Fuga de vapor en tubería sobre lavadora de L2, arriba del paso peatonal de la lavadora. Reportó Bryan Barahona</t>
  </si>
  <si>
    <t>Cartón con reisgo de caída hacia paso peatonal de L1. Reportó Bryan Barahona</t>
  </si>
  <si>
    <t>Fuga de vapor en sala de formulación Pepsi. Reportó Bryan Barahona</t>
  </si>
  <si>
    <t>Barreta de restricción de escalera se encuentra con daños, a un costado de torre marley. Reportó Bryan Barahona</t>
  </si>
  <si>
    <t>Lámpara de techo presenta falas, sobre etiquetadora de L2. Reportó Bryan Barahona</t>
  </si>
  <si>
    <t>Levantamiento de piso en ingreso a sala de jarabes nuevo. Reportó Daniel Pineda</t>
  </si>
  <si>
    <t>Rótulo de ruta de evacuación en mal estado, frente a gradas de sala de coordinadores. Reportó Daniel Pineda</t>
  </si>
  <si>
    <t>Extintor portátil de b5 de tarimas se encuentra bloqueado por tarimas, difícil acceder al mismo ante una emergencia, se corrige con el apoyo del personal de área. Reportó Daniel Pineda</t>
  </si>
  <si>
    <t>Lamina con riesgo de desprendimiento en techo intermedio de L1. Reportó Daniel Pineda</t>
  </si>
  <si>
    <t>Cable de restricción de timón dañado, montacargas #26. Reportó Daniel Pineda</t>
  </si>
  <si>
    <t>Puerta de ingreso a tanques de CO2 sin candado de restricción. Reportó Daniel Pineda</t>
  </si>
  <si>
    <t>Escalera fuera de lugar en paso peatonal de L5. Reportó Daniel Pineda</t>
  </si>
  <si>
    <t>Tanques de thiner cerca de conexión eléctrica en L1 sin bandeja de contención. Reportó Daniel Pineda</t>
  </si>
  <si>
    <t>Ingreso a cisterna de tratamiento de aguas sin restricción, candado abierto. Reportó Daniel Pineda</t>
  </si>
  <si>
    <t>Realizar revisión al estado de camilla de ETEI, se visualiza cristalización de correas de la camilla. Reportó Daniel Pineda</t>
  </si>
  <si>
    <t>Fuga de agua caliente en proceso de enjuague de L2, se sube aviso 10087324 para su seguimiento. Reportó DenniDe León</t>
  </si>
  <si>
    <t>Panel abierto. Reportó Diana Pérez</t>
  </si>
  <si>
    <t>La línea lo operaron sin alumbrado por unos minutos.  Reporta Domingo Yac</t>
  </si>
  <si>
    <t>exceso de muestra en el área, próximas a caer. Edgar Coti</t>
  </si>
  <si>
    <t>Cajas y carretilla obstaculizando el paso. Edgar Coti</t>
  </si>
  <si>
    <t>Químicos en cubetas sin identificación y sin delimitación de área de trabajo a la par de lámpara de inspección de botella de llenado L1, se corrige. Reportó Edson Bonifacio</t>
  </si>
  <si>
    <t>Químico banaclean fuera de lugar en L1, a la par del warmer, se corrige. Reportó Edson Bonifacio</t>
  </si>
  <si>
    <t>Químico Relainit fuera de lugar en lavadora de cajillas L1, se corrige. Reportó Edson Bonifacio</t>
  </si>
  <si>
    <t>Bomba de premix 1, en sala antigua de jarabes sin guarda de seguridad. Reportó Edson Bonifacio</t>
  </si>
  <si>
    <t>Corto circuito en tomacorriente de lavadora de botellas en L1, se corrige. Reportó Edson Bonifacio</t>
  </si>
  <si>
    <t>Láminas sueltas en techos, si hay lluvia con viento corre el riesgo de que este las desplace y caigan, en techo de L3. Reportó Edson Bonifacio</t>
  </si>
  <si>
    <t>Panel de lavadora de botellas L1 sin restricción, se corrige y se cierran candados. Reportó Edson Bonifacio</t>
  </si>
  <si>
    <t>Utensilios de limpieza fuera de lugar en L2. Reportó Edson Bonifacio</t>
  </si>
  <si>
    <t>Validar el estado de botiquín de almacén de repuestos, (inspección semana 2, septiembre). Reportó Edson Bonifacio</t>
  </si>
  <si>
    <t>Químico con riesgo de caída y sin bandeja de contención en tratamiento de aguas. Reportó Edson Bonifacio</t>
  </si>
  <si>
    <t>Tapadera de canaleta y guarda fuera de lugar en L4. Reportó Edson Bonifacio</t>
  </si>
  <si>
    <t>Químicos fuera de lugar en empacadora de L4, se corrige. Reportó Edson Bonifacio</t>
  </si>
  <si>
    <t>Utensilios de limpieza fuera de lugar en L4, se corrige. Reportó Edson Bonifacio</t>
  </si>
  <si>
    <t>Tubería de jarabe en llenadora L5 con fuga, se le colocó plástico para que evitar que atomice y manche el área. Reportó Eliu Tello</t>
  </si>
  <si>
    <t>Base de mosquitero desprendiendose en taller de mantenimiento. Reportó Eliu Tello</t>
  </si>
  <si>
    <t>Cono en mal estado, se encuentra partido por la mitad. Reportó Eliu Tello</t>
  </si>
  <si>
    <t>Canastas de lavadora muy cerca del área de tránsito de rastras, se corrige. Reportó Eliu Tello</t>
  </si>
  <si>
    <t>Puerta de acceso a cuarto eléctrico sin restricción, se corrige. Reportó Elvis Oliva</t>
  </si>
  <si>
    <t>Panel de control obstruyendo estante de herramientas de taller. Reportó Elvis Oliva</t>
  </si>
  <si>
    <t>Escalera sin restricción y sin personal trabajando alrededor a un costado de isla de soda, se corrige. Reportó Emmanuel Soliz</t>
  </si>
  <si>
    <t>Manguera de combustible desconectada y derramando diésel. Reportó Emmanuel Soliz</t>
  </si>
  <si>
    <t>Se encuentra piso mojado sin señalización en paso de L4 a L5. Reportó Esdras Orozco</t>
  </si>
  <si>
    <t>Piso resbaladizo en área de ETEI. Reportó Fredy Fuentes</t>
  </si>
  <si>
    <t>Panel con candado abierto en ETEI, se corrige. Reportó Fredy Fuentes</t>
  </si>
  <si>
    <t>Canaleta en mal estado en ETEI, se corrige con el apoyo del personal. Reportó Fredy Fuentes</t>
  </si>
  <si>
    <t>Panel eléctrico en ETEI dispositivo de seguridad, validar si su funcionamiento es óptimo o de ser necesario realizar el cambio. Reportó Fredy Fuentes</t>
  </si>
  <si>
    <t>Silla en mal estado en área de laboratorio ETEI. Reportó Fredy Fuentes</t>
  </si>
  <si>
    <t>Lampara en mal estado en laboratorio ETEI, deficiente nivel de iluminación. Reportó Fredy Fuentes</t>
  </si>
  <si>
    <t>Cabezal de flejadora de robo pack L3 sin guarda de seguridad. Reportó Fredy Fuentes</t>
  </si>
  <si>
    <t>Panel eléctrico de etiquetadora de L3 sin restricción de candado, se corrige. Reportó Fredy Fuentes</t>
  </si>
  <si>
    <t>No se cuenta con señalización de piso mojado en L5, se corrige. Reportó German Orozco</t>
  </si>
  <si>
    <t>Fuga de agua en salida de antigua sala de marmitas, no se logra identificar el origen de la fuga. Reportó Gerson Castañeda</t>
  </si>
  <si>
    <t>Rama cortada propensa a caer en árbol fuera de bodega de procesos. Reportó Gerson Castañeda</t>
  </si>
  <si>
    <t>Herramienta fuera de estándar 5s, sobre producto terminado, se corrige. Reportó Isabel Saquila</t>
  </si>
  <si>
    <t>Tarima con cajillas con riesgo de caída en alerón nuevo. Reportó Isabel Saquila</t>
  </si>
  <si>
    <t>Tarima de tapa inclinada en MP. Reportó Jaime Chex</t>
  </si>
  <si>
    <t>Guarda mal puesta en L2, se corrige con apoyo del personal. Reportó Jaime Chex</t>
  </si>
  <si>
    <t>Puerta de acceso a L2 trabada en piso. Reportó Jaime Chex</t>
  </si>
  <si>
    <t>Químico fuera de tarima de contención y en paso peatonal en L2. Reportó Jaime Chex</t>
  </si>
  <si>
    <t>Acceso a mezanine L1 sin restricción, se corrige. Reportó Jaime Chex</t>
  </si>
  <si>
    <t>Realizar cambio de rejilla de drenaje cerca del tornillo de prensa de la ETEI, altamente corroída. Reportó Jaime Chilel</t>
  </si>
  <si>
    <t>Programar limpieza de techo de bodega. Reportó Jaime Chilel</t>
  </si>
  <si>
    <t>Acumulación de agua con Diesel y bunker. Reportó Jaime Chilel</t>
  </si>
  <si>
    <t>Retirar chatarra del área de gasolina. Reportó Jaime Chilel</t>
  </si>
  <si>
    <t>Realizar el cambio de cableado de tierra física de gasolinera. Reportó Jaime Chilel</t>
  </si>
  <si>
    <t>Toneles de lubricante de transportadores Dryexx es utilizado para almacenar bunker, también de pegamento de Krones, realizar el correcto etiquetado. Reportó Jaime Chilel</t>
  </si>
  <si>
    <t>Reemplazar auto retráctil en área del camión de reciclaje de vidrio. Reportó Jaime Chilel</t>
  </si>
  <si>
    <t>Toneles sin bandeja de contención en L1. Reportó Jessica Loarca</t>
  </si>
  <si>
    <t>Puerta abatible de bodega 3 no está bien asegurada al piso. Reportó Jimmy Velásquez</t>
  </si>
  <si>
    <t>Paso peatonal en b4 obstaculizado con producto, se corrige. Reportó Jimmy Velásquez</t>
  </si>
  <si>
    <t>Envase con riesgo de caída. Reportó Jimmy Velásquez</t>
  </si>
  <si>
    <t>Exceso de agua en alcantarilla de bodega 8. Reportó Jimmy Velásquez</t>
  </si>
  <si>
    <t>Conexión rampas con bodega 8, alcantarilla con riesgo de salir expulsada por presión de agua. Reportó Jimmy Velásquez</t>
  </si>
  <si>
    <t>Manguera sobre paso peatonal en ETEI. Reportó Josué Lepe</t>
  </si>
  <si>
    <t>Rejilla a un costado de prensa tornillo fuera de lugar. Reportó Josué Lepe</t>
  </si>
  <si>
    <t>Compuerta de prensa tornillo se encuentra abierta sin restricción. Reportó Josué Lepe</t>
  </si>
  <si>
    <t>Escalera fuera de lugar en taques ETEI. Reportó Josué Lepe</t>
  </si>
  <si>
    <t>Herramienta fuera de lugar ETEI. Reportó Josué Lepe</t>
  </si>
  <si>
    <t>Escaleras hacia lavadora de cajillas sin rotulacion uso de pasamos. Reportó Josué Vásquez</t>
  </si>
  <si>
    <t>Colocar empaque o cambiar puerta de terraza en edificio nuevo, al llover entra demasiada agua y cae a escaleras. Reportó Josué Vásquez</t>
  </si>
  <si>
    <t>Las tuberías no se encuentran señalizadas con sustancia contenida de acuerdo a su legislación local y muestran dirección de flujo en L4. Reporto Josué Vásquez</t>
  </si>
  <si>
    <t>Certificar a operadores de montacargas eléctricos que utilizaran el nuevo equipo del centro de distribución. Josué Vásquez</t>
  </si>
  <si>
    <t>Realizar plan para que todos los montacarguistas cuenten con licencia tipo "E" en la operación. Reporto Josué Vásquez</t>
  </si>
  <si>
    <t>No se cuenta con aviso de capacidad máxima de carga visible en cada posición del rack y en todos los niveles a estibar en rack en nuevos racks. Reporto Josué Vásquez</t>
  </si>
  <si>
    <t>El paso de montacargas y peatones se encuentra segregado físicamente (Guardas, barreras y señalizado) en l5, colocar segregación hombre-maquina. Reporto Josué Vásquez</t>
  </si>
  <si>
    <t>El paso de montacargas y peatones se encuentra segregado físicamente (Guardas, barreras y señalizado) en l4, colocar segregación hombre-maquina. Reporto Josué Vásquez</t>
  </si>
  <si>
    <t>Los montacargas circulan a una velocidad no mayor a 17km/h, garantizar restricción de velocidad física para no superar la misma, no tornillos. Reporto Josué Vásquez</t>
  </si>
  <si>
    <t>Tarimas obstaculizando el paso peatonal en CD, se corrige. Reportó Josué Vásquez</t>
  </si>
  <si>
    <t>Lampara de emergencia fuera de cuarto de compresores Kaeser no funciona. Reporto Josué Vásquez</t>
  </si>
  <si>
    <t>Tarimas mal colocadas en bodega de calidad. Reportó Josué Vásquez</t>
  </si>
  <si>
    <t>Montacargas #31 bloqueando paso peatonal de L2, se corrige. Reportó Juan Hernández</t>
  </si>
  <si>
    <t>Se reporta tarimas plasticas con mas de 20. El estibado correcto es de 20 en bodega MP. Reportó Kelly Calderón</t>
  </si>
  <si>
    <t>Fuga de agua en lavamanos de baños de mujeres de edificio nuevo. Reportó Kelly Calderón</t>
  </si>
  <si>
    <t>Tarima con azúcar se encuentra inclinada, se corrige. Reportó Kelly Calderón</t>
  </si>
  <si>
    <t>Silla de oficina, se encuentra en lugar inadecuado, aparentemente se ve en buen estado, pero el asiento se cae, esta dañada. Leidy Camey</t>
  </si>
  <si>
    <t>Paso de montacargas bloqueado. Reportó Lissette Loarca</t>
  </si>
  <si>
    <t>Rótulo caído de puerta abatible. Reportó Lissette Loarca</t>
  </si>
  <si>
    <t>Paso peatonal mojado sin rotulación en CD. Reportó Lissette Loarca</t>
  </si>
  <si>
    <t>Paso peatonal bloqueado en CD. Reportó Lissette Loarca</t>
  </si>
  <si>
    <t>Unidad sin topes y ya está en descarga. Reportó Lissette Loarca</t>
  </si>
  <si>
    <t>Paso peatonal hacia GLP bloqueado por tarimas. Reportó Lissette Loarca</t>
  </si>
  <si>
    <t>Silla en mal estado en sala de llenado L3. Luis Cabrera</t>
  </si>
  <si>
    <t>Falta de señalización o delimitación en cambios de láminas laterales del lado de jarabes. Luis Cabrera</t>
  </si>
  <si>
    <t>Vidrio frente a rampas nuevas. Luis Pérez</t>
  </si>
  <si>
    <t>Condensado en bodega 2. Reportó Luis Pérez</t>
  </si>
  <si>
    <t>Montacargas 26 y 27 con la parrilla quebrada se paso el reporte el proveedor para su corrección. Reportó Luis Pérez</t>
  </si>
  <si>
    <t>En bodega 2 Tarima de pt de 1.25 pepsi dañada no soporto el peso y provoca la caída de producto,
Este pt salió de línea 1 los auxiliares no se percataron qué la tm estaba en mal estado, en proceso de limpieza. Luis Pérez</t>
  </si>
  <si>
    <t>Vidrio en pasillo de bodega 1. Reportó Luis Pérez</t>
  </si>
  <si>
    <t>Envase obsoleto tirado en área de bulevar cdc se estará enviando personal a limpiar el area. Reportó Luis Pérez</t>
  </si>
  <si>
    <t>Condensado en bodega 3. Reportó Luis Pérez</t>
  </si>
  <si>
    <t>Envase con riesgo de caer en área de bulevar CD, se corrige. Reportó Luis Pérez</t>
  </si>
  <si>
    <t>Envase tirado de piso área de bulevar cdc. Reportó Luis Pérez</t>
  </si>
  <si>
    <t>Vidrio  tirado en area de bulevar frente a rampas nuevas. Reportó Luis Pérez</t>
  </si>
  <si>
    <t>Cajilla con riesgo de caída en area de lavado manual, se estara corrigiendo como prioridad. Reportó Luis Pérez</t>
  </si>
  <si>
    <t>Envase con riesgo de caída en area de bulevar cd. Reportó Luis Pérez</t>
  </si>
  <si>
    <t>Tarima de pt dañada en exterior de b8. Reportó Luis Pérez</t>
  </si>
  <si>
    <t>Preforma en pasillo, ingreso a línea 5. Reportó Luis Pérez</t>
  </si>
  <si>
    <t>escalera que utilizan los pilotos en rampas de agencia en mal estado se estará corrigiendo a la brevedad posible. Luis Pérez</t>
  </si>
  <si>
    <t>Drenaje tapado en patio de bulevar frente a rampa nueva. Reportó Luis Pérez</t>
  </si>
  <si>
    <t>Condensado en bodega 8. Reportó Luis Pérez</t>
  </si>
  <si>
    <t>Tarima de 3lts pegada a puerta abatible en bodega 3, lo cual provoca que la puerta quede trabada. Reportó Luis Pérez</t>
  </si>
  <si>
    <t>Escalera que utilizan los pilotos dañada, en rampa de agencia. Reportó Luis Pérez</t>
  </si>
  <si>
    <t>Montacargas 20 presentó un desperfecto mecánico ya que a la hora de salir de rama de carga vacío se quebró el aro provocando que la llanta saliera se reporto al mecánico de indusa y va proceder con el cambio. Luis Pérez</t>
  </si>
  <si>
    <t>Validar el estado de lámina ya que tiene bordes filosos y se encuentra floja sin varios tornillos de sujeción. Reportó María Obregón</t>
  </si>
  <si>
    <t>Escalera fuera de lugar de almacenamiento sin restricción. Reportó María Obregón</t>
  </si>
  <si>
    <t>Recipiente sin identificación. Reportó María Obregón</t>
  </si>
  <si>
    <t>Panel de compresor 2 de baja sin restricción, se corrige. Reportó María Obregón</t>
  </si>
  <si>
    <t>Panel eléctrico de generador 5 sin restricción. Reportó María Obregón</t>
  </si>
  <si>
    <t>Herramientas fuera de lugar. Reportó Mario Marroquin</t>
  </si>
  <si>
    <t>Alta temperatura en sala de llenado y equipos de afuera, actualmente está en fase de climatización de sala de llenado, (inspección semana 3, septiembre). Reportó Mario Ramos</t>
  </si>
  <si>
    <t>Paso de montacargas a un costado de línea 5 se encuentra lleno de agua, se corrige. Reportó Mario Ramos</t>
  </si>
  <si>
    <t>Fuga de agua en lavamanos de jarabes hacia eductor de azúcar. Reportó Miguel Godínez</t>
  </si>
  <si>
    <t>Rejillas en jarabes mal posicionadas. Reportó Miguel Godínez</t>
  </si>
  <si>
    <t>Evaluar e instalar área específica para colocar muestras. Reportó Miguel Godínez</t>
  </si>
  <si>
    <t>Concentrados sin etiquetas de identificación en sala de jarabes. Reportó Miguel Godínez</t>
  </si>
  <si>
    <t>Preformas tiradas en piso hacia laboratorio de paquetecnia. Nelson Godínez</t>
  </si>
  <si>
    <t>Tapa de alcantarilla fuera de lugar en paso peatonal, no se tiene delimitada el área, puede caer una persona. Reportó Nelson Godínez</t>
  </si>
  <si>
    <t>tarima fuera de lugar y obstruyendo ingreso a sala de llenado. Reportó Obdulio Saquic</t>
  </si>
  <si>
    <t>pisos de paso peatonal hacia línea 4 con estancamiento de agua. Reportó Obdulio Saquic</t>
  </si>
  <si>
    <t>químico fuera de lugar. Reportó Obdulio Saquic</t>
  </si>
  <si>
    <t>tarima fuera de lugar y obstruyendo pasos peatonales. Reportó Obdulio Saquic</t>
  </si>
  <si>
    <t>tarimas fuera de lugar y obstruyendo paso peatonal hacia mesanini de línea 4. Obdulio Saquic</t>
  </si>
  <si>
    <t>are de pre empacado sucio y desordenado, posible caídas. Obdulio Saquic</t>
  </si>
  <si>
    <t>trapeador sucio y obstruyendo paso en pasarela de L4. Obdulio Saquic</t>
  </si>
  <si>
    <t>Acceso libre a cuarto de compresores de amoniaco. Reportó Oscar Ramírez</t>
  </si>
  <si>
    <t>Falta cinta antideslizante en escalera al lado de etiquetadora de L1. Reportó Oscar Ramírez</t>
  </si>
  <si>
    <t>Acumulación de vidrio entre transporte de etiquetadora L1. Reportó Oscar Ramírez</t>
  </si>
  <si>
    <t>Acceso a mezanine L1 sin restricción, se corrige. Reportó Oscar Ramírez</t>
  </si>
  <si>
    <t>Puerta abatible amarrada en paso peatonal frente a L1. Reportó Oscar Ramírez</t>
  </si>
  <si>
    <t>Puerta de mezanine de L2 sin restricción, no se observa personal trabajando en el área. Reportó Oscar Ramírez</t>
  </si>
  <si>
    <t>Guarda de motor en mal estado transporte de rechazo, envase de rechazo de L1. Reportó Oscar Ramírez</t>
  </si>
  <si>
    <t>Tablero de paneles de lavadora de L1 sin restricción, se corrige. Reportó Oscar Ramírez</t>
  </si>
  <si>
    <t>Panel sin restricción de roscadora, se corrige. Reportó Oscar Ramírez</t>
  </si>
  <si>
    <t>Seccionador en mal estado de transporte de salida de lavadora L1, se corrige. Reportó Oscar Ramírez</t>
  </si>
  <si>
    <t>Se quiebra soldadura en base de barandal de empacadora L2, se corrige. Reportó Oscar Ramírez</t>
  </si>
  <si>
    <t>Materiales y escalera sin restricción en edificio nuevo, se corrige. Reportó Oscar Ramírez</t>
  </si>
  <si>
    <t>Acceso a techo intermedio de sala de jarabes sin restricción, se corrige. Reportó Oscar Ramírez</t>
  </si>
  <si>
    <t>Escalera sin restricción en ingreso de sala de jarabes vieja, se corrige. Reportó Oscar Ramírez</t>
  </si>
  <si>
    <t>Falta rotulación en puerta abatible en paso de montacargas, se corrige con el apoyo de monitor de turno. Reportó Oscar Ramírez</t>
  </si>
  <si>
    <t>Panel sin restricción de lavadora de botellas de L1, se corrige. Reportó Oscar Ramírez</t>
  </si>
  <si>
    <t>Tanque de sanitizante de CIP 1 sala antigua con fuga, derrama químico en área. Reportó Oscar Ramos</t>
  </si>
  <si>
    <t>Tubería con fuga en circuito de CIP 2 sala antigua de jarabes, derrama químico y agua caliente durante proceso. Reportó Oscar Ramos</t>
  </si>
  <si>
    <t>Toma corriente no se encuentra correctamente instalado en sala de jarabes nueva. Reportó Oscar Ramos</t>
  </si>
  <si>
    <t>Piso mojado en paso peatonal, sin señalización en ingreso a sala de marmitas, sala antigua. Reportó Oscar Ramos</t>
  </si>
  <si>
    <t>Tonel que contiene coagulante sin identificación, (inspección semana 3, septiembre). Reportó Oscar Ramos</t>
  </si>
  <si>
    <t>Franja de tránsito peatonal en mal estado frente a sala de floculación, (Inspección semana 2 septiembre). Reportó Oscar Ramos</t>
  </si>
  <si>
    <t>Tarima con bidones para descarte muy cerca de la puerta de cuarto de concentrados sala antigua de jarabes, obstaculiza flujo de personas por esa ruta en caso de evacuación. Oscar Ramos</t>
  </si>
  <si>
    <t>Puerta de laboratorio de microbiología dañada. Reportó Rodrigo Galindo</t>
  </si>
  <si>
    <t>Materiales de trabajo fuera de lugar en L5. Reportó Rodrigo Galindo</t>
  </si>
  <si>
    <t>Uso incorrecto de guantes para sujetar una pieza en prensa. Reportó Rodrigo Galindo</t>
  </si>
  <si>
    <t>Escalera sin restricción y manguera sobre paso peatonal en L5, se corrige. Reportó Rodrigo Galindo</t>
  </si>
  <si>
    <t>Escalera sin restricción en L4, se corrige. Reportó Rodrigo Galindo</t>
  </si>
  <si>
    <t>Exceso de condensado en paso de yale frente a paso peatonal L3, se corrige. Reportó Rodrigo Galindo</t>
  </si>
  <si>
    <t>Llenadora abierta, no hay personal en el área ni presencia de equipo loto instalado, se corrige. Reportó Rodrigo Galindo</t>
  </si>
  <si>
    <t>Químicos sobre paso peatonal L3, no se encuentra personal trabajando, se corrige. Reportó Rodrigo Galindo</t>
  </si>
  <si>
    <t>Pinturas sin bandeja de contención ni delimitación de trabajo en pasillo peatonal L1, se corrige. Reportó Rodrigo Galindo</t>
  </si>
  <si>
    <t>Salida hacia sala antigua de jarabes se encuentra inundada de agua, se corrige. Reportó Rodrigo Galindo</t>
  </si>
  <si>
    <t>Salida de agua caliente en drenaje de calderas, se corrige. Reportó Rodrigo Galindo</t>
  </si>
  <si>
    <t>Químico fuera de lugar sobre motor de transporte de L3. Reportó Rolando Gómez</t>
  </si>
  <si>
    <t>Piso mojado en paso peatonal de L3. Reportó Rolando Gómez</t>
  </si>
  <si>
    <t>Gradas hacia paneles de L1 sin restricción, se corrige. Reportó Rolando Gómez</t>
  </si>
  <si>
    <t>Equipo de limpieza fuera de lugar en pasillo de línea 4, se corrige. Reportó Rolando Gómez</t>
  </si>
  <si>
    <t>Químicos y herramientas fuera de lugar en L5, se corrige. Reportó Rolando Gómez</t>
  </si>
  <si>
    <t>Puerta de acceso hacia mezanine de L3 sin restricción, se corrige. Reportó Rolando Gómez</t>
  </si>
  <si>
    <t>Fijar la escalera para hacer más seguro el ascenso y descenso de la mesa de armado en caso se necesite intervenir (derivada de accidente MTI L5). Reportó Roy Luarca</t>
  </si>
  <si>
    <t>Desarrollar y postear in situ un procedimiento para intervenciones manuales de paletizadora y envolvedora, (derivada de accidente MTI L5). Reportó Roy Luarca</t>
  </si>
  <si>
    <t>Levantar el reclamo a KHS por medio de proyectos para mejorar la automatización del brazo Kuka de la paletizadora de L5, (derivada de accidente MTI L5). Reportó Roy Luarca</t>
  </si>
  <si>
    <t>Falta señalización de ruido en L5, (inspección semana 2, septiembre). Reportó Roy Luarca</t>
  </si>
  <si>
    <t>Palet de tapón en malas condiciones. Reportó Roy Luarca</t>
  </si>
  <si>
    <t>Tomacorriente sin tapadera en panel de llenador L2. Reportó Walfred Guzmán</t>
  </si>
  <si>
    <t>Pieza metálica obstruyendo deteniendo el cierre de puerta de ingreso a taller de mantenimiento. Reportó Walfred Guzmán</t>
  </si>
  <si>
    <t>Se tiene una lampara de emergencia quemada en el área de taller, (inspección semana 2, septiembre). Reportó Walfred Guzmán</t>
  </si>
  <si>
    <t>Fuga de vapor a un costado de ingreso a sala de jarabes vieja. Reportó Walfred Guzmán</t>
  </si>
  <si>
    <t>Las MSDS están con el químico y no con la marca del químico al igual que la ficha técnica, evaluar si necesita actualizar. Reportó Wilber López</t>
  </si>
  <si>
    <t>Actualizar evaluación de riesgos en tratamiento de aguas. Reportó Wilber López</t>
  </si>
  <si>
    <t>Instalación eléctrica en mal estado en elevador de preforma L3 y sin guarda de seguridad. Reportó Fredy Fuentes</t>
  </si>
  <si>
    <t>Sistema de restricción de escalera en elevador de preforma no funcional. Reportó Fredy Fuentes</t>
  </si>
  <si>
    <t>Silla en mal estado en área de llenadora L3. Reportó Fredy Fuentes</t>
  </si>
  <si>
    <t>Panel eléctrico de etiquetadora de L3 sin restricción, se corrige. Reportó Fredy Fuentes</t>
  </si>
  <si>
    <t>Instalación de iluminación en el punto para mejorar la visibilidad, (derivada de accidente FAI). Reportó Edson Bonifacio</t>
  </si>
  <si>
    <t xml:space="preserve">Fabricación e instalación de rejillas para cuneta frente a edificio nuevo, (derivada de accidente FAI). Reportó Edson Bonifacio
</t>
  </si>
  <si>
    <t>Retroalimentación al equipo de calderas con el uso de este paso peatonal, (derivada de accidente FAI). Reportó Edson Bonifacio</t>
  </si>
  <si>
    <t>Monitoreo de estrés térmico, punto Sopladora de Línea 5.</t>
  </si>
  <si>
    <t>Monitoreo de estrés térmico, punto área de calderas.</t>
  </si>
  <si>
    <t>Monitoreo estrés térmico, punto bodega de reciclaje.</t>
  </si>
  <si>
    <t>Bobina de cable obstaculizando paso peatonal en almacén de repuestos. Reportó Daniel Pineda</t>
  </si>
  <si>
    <t>Canastas mal posicionadas pueden ocasionar golpe o corte al bajar de escalera de lavadora de botellas en L2. Reportó Oscar Ramírez</t>
  </si>
  <si>
    <t>Silla obstaculizando paso peatonal en almacén de repuestos. Reportó Daniel Pineda</t>
  </si>
  <si>
    <t>Escalera obstaculizando paso peatonal en almacén de repuestos. Reportó Daniel Pineda</t>
  </si>
  <si>
    <t>Unidad de RECIPA, no cuenta con luces de reversa y tampoco alarma de retroceso. Reportó Daniel Pineda</t>
  </si>
  <si>
    <t>Escalera sin restricción en sala de llenado L2. Reportó Oscar Ramírez</t>
  </si>
  <si>
    <t>Fuga de vapor. Reportó Walfred Guzmán</t>
  </si>
  <si>
    <t>Rotulación inadecuada, se debe utilizar SGA. Reportó Daniel Pineda</t>
  </si>
  <si>
    <t>Láminas traslucidas dañadas en área de calderas y generador 1. Reportó Edson Bonifacio</t>
  </si>
  <si>
    <t>Condensado cayendo frente a salida de sala de llenado L2. Reportó Luis Ángel</t>
  </si>
  <si>
    <t>Lamina con riesgo de caer frente a edificio administrativo, se corrige con el apoyo de Constru proyectos. Reportó Haydee Hernández</t>
  </si>
  <si>
    <t>Falta de cintan antideslizante en gradas de llenadora L3. Reportó Abraham Quiej</t>
  </si>
  <si>
    <t>Rama sobre envase en área de bulevar CDC. Reportó Luis Pérez</t>
  </si>
  <si>
    <t>Condensado en B3. Reportó Luis Pérez</t>
  </si>
  <si>
    <t>Tarimas obstaculizando paso peatonal, se coordina para que se libere. Reportó Kelly Calderón</t>
  </si>
  <si>
    <t>Gotera en paso peatonal de L1. Reportó Bryan Barahona</t>
  </si>
  <si>
    <t>Tarima con producto obstruyendo paso peatonal en bodega 4 CD. Reportó Bryan Barahona</t>
  </si>
  <si>
    <t>Envase con riesgo de caída en bodega 8, se corrige. Reportó Carlos Poz</t>
  </si>
  <si>
    <t>Fuga en MR10 de L2. Reportó Amilcar Ralda</t>
  </si>
  <si>
    <t>Acumulación de materiales por trabajos realizados en L5. Reportó Rodrigo Galindo</t>
  </si>
  <si>
    <t>Puertas de crash cooler fuera de lugar en L5. Reportó Roy Luarca</t>
  </si>
  <si>
    <t>Ingreso a isla de soda sin restricción y no se observa personal trabajando, se deja cerrado. Reportó German Orozco</t>
  </si>
  <si>
    <t>Tubería dañada. Reportó Luis Pérez</t>
  </si>
  <si>
    <t>Candado de pipas de CO2 sin restricción, candado en mal estado. Reportó Josué Vásquez</t>
  </si>
  <si>
    <t>Vidrio en piso de sala de llenado de L1. Reportó Oscar Ramírez</t>
  </si>
  <si>
    <t>Panel eléctrico sin restricción, no cuenta con candado en área de pipas de CO2. Reportó Oscar Ramírez</t>
  </si>
  <si>
    <t>Cable de restricción de montacargas No. 21 se encuentra dañado. Reportó Daniel Pineda</t>
  </si>
  <si>
    <t>Falta guarda de seguridad. Reportó Oscar Ramírez</t>
  </si>
  <si>
    <t>Cable de restricción en montacargas No. 23 se encuentra dañado. Reportó Daniel Pineda</t>
  </si>
  <si>
    <t>Acceso a mezanine de L1 sin restricción, se corrige. Reportó Oscar Ramírez</t>
  </si>
  <si>
    <t>Dispensador en malas condiciones, revisar instalación eléctrica ubicado en L2. Reportó Oscar Ramírez</t>
  </si>
  <si>
    <t>Kit antiderrame incompleto</t>
  </si>
  <si>
    <t>Acceso sin restricción a compresores de amoniaco, se corrige. Reportó Oscar Ramírez</t>
  </si>
  <si>
    <t>Cable de restricción de montacargas No. 5 se encuentra dañado. Reportó Daniel Pineda</t>
  </si>
  <si>
    <t>Falta de soporte de racks en materia prima. Reportó Daniel Pineda</t>
  </si>
  <si>
    <t>Poca iluminación en paso peatonal camino a bodega de tarimas CD. Reportó Daniel Pineda</t>
  </si>
  <si>
    <t>Vehículo mal estacionado sobre paso peatonal frente a almacén de repuestos, se aborda y se corrige. Reportó Walfred Guzmán</t>
  </si>
  <si>
    <t>Cable de soldadura sin señalizar en paso peatonal de L2, se corrige. Reportó Nelson Godínez</t>
  </si>
  <si>
    <t>Candado de montacargas #21 se encuentra en mal estado. Reportó Isabel Saquilá</t>
  </si>
  <si>
    <t>Panel sin restricción y sin personal realizando trabajos, se deja cerrado. Reportó Abraham Quiej</t>
  </si>
  <si>
    <t>Tarima de preforma con riesgo de caída en bodega 4 de MP cerca de paso peatonal, se corrige. Reportó Isabel Saquilá</t>
  </si>
  <si>
    <t>Condensado en paso peatonal de MP, se corrige. Reportó Kelly Calderón</t>
  </si>
  <si>
    <t>Extensión eléctrica sin señalización en paso peatonal de L2, se corrige. Reportó Nelson Godínez</t>
  </si>
  <si>
    <t>Escalera sin restricción en L4, se corrige. Reportó Rolando Gómez</t>
  </si>
  <si>
    <t>Exceso de chatarra frente a taller de mantenimiento. Reportó Rolando Gómez</t>
  </si>
  <si>
    <t>Tarimas plásticas mal estibadas en bodega de azúcar, se corrige. Reportó Kelly Calderón</t>
  </si>
  <si>
    <t>Luminarias en mal estado en área de cargad de CD. Reportó Bryan Barahona</t>
  </si>
  <si>
    <t>Fecha de Incidente/Accidente</t>
  </si>
  <si>
    <t>Mes</t>
  </si>
  <si>
    <t>Área</t>
  </si>
  <si>
    <t>Nombre del colaborador</t>
  </si>
  <si>
    <t>Incidente o Accidente?</t>
  </si>
  <si>
    <t>Tipo de Accidente</t>
  </si>
  <si>
    <t>Parte del cuerpo lesionada</t>
  </si>
  <si>
    <t>Equipo Involucrado</t>
  </si>
  <si>
    <t>Causa inmediata</t>
  </si>
  <si>
    <t>Días de Ausentismo</t>
  </si>
  <si>
    <t>Breve descripción de lo sucedido</t>
  </si>
  <si>
    <t>Mayo</t>
  </si>
  <si>
    <t>Línea 2</t>
  </si>
  <si>
    <t>Accidente</t>
  </si>
  <si>
    <t>LTI</t>
  </si>
  <si>
    <t>Manos</t>
  </si>
  <si>
    <t>-</t>
  </si>
  <si>
    <t>Atrapamiento</t>
  </si>
  <si>
    <t>Siendo las 17 horas con 55 minutos, el colaborador Otto Ruben Ruíz Tello (Operador de lavadora L2), se encontraba operando el equipo (Lavadora) durante la producción de Ice cool, dicha producción se estaba realizando con el envase nuevo el cual tiende a descarrilarse entre las guias de la lavadora para lo cual el operador recurre a posicionar correctamente los envases de forma manual manteniendo la maquina en movimiento, al momento de acomodar un envase el dedo índice de la mano derecha del colaborador queda atrapada entre el envase y la uña de empuje causando herida cortante profunda en la falange distal de dedo indice de la mano derecha, posterior a ello acude a los cordinadores de turno quienes lo direccionan a la clinica médica en donde se coordino su traslado hacia el centro asistencial.</t>
  </si>
  <si>
    <t>Noviembre</t>
  </si>
  <si>
    <t>Isaias Clemente Lopez Tale</t>
  </si>
  <si>
    <t xml:space="preserve">El sábado 30 de noviembre de 2024 a las 9:45 horas, durante la jornada de trabajo se le asigno a los colaboradores Juan Figueroa e Isaías Lopez el  mantenimiento de condensador evaporativo #1, evaluando los riesgos asociados a la tarea, se realiza bloqueo y etiquetado eléctrico, más no un bloqueo y etiquetado mecánico. Los colaboradores proceden a desmontar la guarda y durante la intervención se percatan que el ventilador bloqueado aún sigue girando, esto debido a la succión de las otras turbinas, por esta razón Juan Figueroa regresa al tablero eléctrico a apagar los otros ventiladores quedando únicamente Isaías López en el punto sobre una escalera.  Estando Isaías sobre la escalera pierde el equilibrio y por reflejo busca sujetarse para evitar caer, con lo cual se apoya de los componentes en movimiento provocando que las correas y la polea le provoquen un corte en los dedos de la mano derecha, el colaborador no contaba con guantes ni con una persona que le sujetara la escalera en ese momento.
</t>
  </si>
  <si>
    <t>Febrero</t>
  </si>
  <si>
    <t>Luis Alberto De León Noj</t>
  </si>
  <si>
    <t>MDI</t>
  </si>
  <si>
    <t>El 12 de febrero del 2025, durante la jornada de trabajo se le asignó al colaborador Luis de León recibir jarabe terminado proveniente de sala nueva, a las 21:15 horas el colaborador se dispone a recibir jarabe terminado Pepsi en el tanque No. 4, Luis no se percato de que la válvula de salida del tanque no estaba completamente abierta por lo que al momento de darle paso al jarabe la conexión cedió en la parte de la unión del clamp con la manguera sujetado con abrazaderas provocando que se zafaran los componentes  y por la presión que se generó una de las abrazaderas le provoca una cortadura entre los dedos índice y pulgar.</t>
  </si>
  <si>
    <t>Marvin Carrilo</t>
  </si>
  <si>
    <t>Politraumatismo</t>
  </si>
  <si>
    <t xml:space="preserve">Arco eléctrico </t>
  </si>
  <si>
    <t>El día 27 de febrero del 2025 aproximadamente a las 11:30 de la mañana el Sr. Marvin Carrilo, colaborador de NABLA-PAVINCO, se encontraba realizando la fundición de piso en el parqueo externo. Dentro del proceso se debe hacer un alisado con una herramienta de aluminio con un tubo  de 5 metros de largo.
Como parte del proceso el tubo debe colocarse en forma vertical, en ese momento queda a una distancia cercana a las líneas de corriente eléctrica generando un arco que descargó la energía a través del tubo, ocasionando quemadura en las manos de la persona por alta temperatura.</t>
  </si>
  <si>
    <t>Abril</t>
  </si>
  <si>
    <t>Everardo Morales Sanan</t>
  </si>
  <si>
    <t>MTI</t>
  </si>
  <si>
    <t>Rostro y brazo de lado derecho</t>
  </si>
  <si>
    <t xml:space="preserve">Quemaduras </t>
  </si>
  <si>
    <t>Durante la producción de 1.25 L Pepsi , operador de lavadora de botellas Everardo Sanan visualiza un goteo considerable   en la parte superior del tanque # 2 de la maquina, por lo que el procede ir a inspecciónar directamente  al area la causa del goteo  en el tanque.
Al momento de que el operador se acerca a la zona superior del tanque # 2 accediendo de lado de la plataforma de los extractores de etiqueta,  la tapadera superior del extractor # 2 se levanta  expulsando  residual de vapor   en dirección a su rostro.  Lo que genera quemaduras de 2do grado . Cabe resaltar que el operador tenia utilizando todo su equipo de  seguridad  que lo protegio de posibles daños  a sus ojos y oído.</t>
  </si>
  <si>
    <t xml:space="preserve">Equipos auxiliares </t>
  </si>
  <si>
    <t>Incidente</t>
  </si>
  <si>
    <t xml:space="preserve">Tanque de Diesel </t>
  </si>
  <si>
    <t>El día 22 de mayo del 2025 aproximadamente a las 18:20 horas se reportó una fuga de diésel en el tanque auxiliar del generador Baifa de L4. 
Se activa protocolo de emergencia según el Procedimiento de Control de Derrame de Sustancias Químicas. Se realizó la contención del derrame y se procede a la limpieza y clasificación de residuos.
Se cuantifica un derrame de 45 galones de los cuales 29 lograron ser contenidos.</t>
  </si>
  <si>
    <t>Enero</t>
  </si>
  <si>
    <t xml:space="preserve">Bombas dosificadoras </t>
  </si>
  <si>
    <t>El día 31 de enero a las 6:00 am, se programaron las bombas dosificadoras de acido para iniciar las pruebas de funcionabilidad del equipo incluyendo las mangueras nuevas que habian sido reemplazadas días atrás, al realizar el arranque 1 manguera dosificadora se desconecto generando un leve derrame de 1 galon de ácido sulfurico, dentro de la bodega de quimicos, que esta ya incluye un sistema de contención; cabe aclarar que en dicha bodega esta prohibido el ingreso a personal. Al notificar se realizó la compra de bicarbonato de sodio para poder esparcirlo en el área y asi neutralizar el quimico. Este ejercicio se llevo a cabo en presencia de los brigadistas y parámedico de turno + supervisión de seguridad. El material ya neutralizado se lavo y se derramo al drenaje de la PTAR.</t>
  </si>
  <si>
    <t>Marzo</t>
  </si>
  <si>
    <t xml:space="preserve">Materia Prima </t>
  </si>
  <si>
    <t xml:space="preserve">Cajas de preformas </t>
  </si>
  <si>
    <t>El día jueves 20 de marzo siendo las 16:26 horas, se produjo el derrumbe de una torre conformada por tres cajas de preforma en la bodega de preforma de Línea 4. El hecho ocurrió debido a la falla en el embalaje de la caja ubicada en el primer nivel, la cual cedió en uno de sus costados, provocando la caída de las dos tarimas superiores. Como consecuencia, las tarimas impactaron sobre el paso peatonal y el área de circulación de montacargas.
No se registraron daños en las estructuras de planta, en montacargas ni afectaciones a colaboradores.</t>
  </si>
  <si>
    <t xml:space="preserve">Centro de Distribución </t>
  </si>
  <si>
    <t xml:space="preserve">Transporte primario </t>
  </si>
  <si>
    <t>El día lunes 31 de marzo siendo las 4:45 a.m. salió cargado un furgón de rampas de Agencia Cuyotenango hacia el área de Centro de Distribución para dirigirse a la gasolinera, el piloto no cierra las puertas del furgón al salir de rampa y cuando pasa por el pit de carga de rastras, las cuerdas que sujetan los retractiles de la línea de vida quedan atrapadas entre el furgón y la puerta, ocasionando que la línea de vida se active. El día sábado 05 de abril vuelve a suceder con otro furgón pero este si llevaba las puertas cerradas, esta vez fue con la estructura del furgó.</t>
  </si>
  <si>
    <t xml:space="preserve">Transporte primario e INDUSA </t>
  </si>
  <si>
    <t xml:space="preserve">29 de enero de 2025, aproximadamente a las 15:00 horas, se presentó un incidente en el ingreso a planta. Se encontraba saliendo un transporte de INDUSA y al mismo tiempo garita le permitió ingreso a T1 quien ingresó de manera incorrecta, ya que el portón no se abrió en el carril adecuado.
El piloto del transporte primario ingresó a una velocidad elevada y en el carril incorrecto y esto ocasionó que el piloto de indusa pasara sobre una rejilla la cual se dañó al posicionar el transporte sobre ella. </t>
  </si>
  <si>
    <t>Junio</t>
  </si>
  <si>
    <t xml:space="preserve">Tarimas de salutaris </t>
  </si>
  <si>
    <t xml:space="preserve">El 04 de junio 2025 aproximadamente a las 15:44 horas en el corredor que se ubica en bodega #2, se derrumban 06 tarimas de 12 onzas labels salutaris, 14 minutos antes del desplome se estuvo retirando producto de ese corredor. Al momento del derrumbe no se encontraba personal en el área. </t>
  </si>
  <si>
    <t xml:space="preserve">Envase Labels </t>
  </si>
  <si>
    <t>El día 05 de junio 2025 aproximadamente a las 08:13 horas el operador de Montacargas Marvin Castillo asignado a línea 2, se encontraba realizando el traslado de envase 12 onz. Labels (rotación de agencias) con el montacargas doble palet, del boulevar hacia línea 2. Saliendo de bodega 8 realiza la maniobra en el Alerón (pit de carga), en el giro que realizó la tarima del lado derecho se desploma, provocando rotura del activo de giro.</t>
  </si>
  <si>
    <t>Fecha del último accidente LTI</t>
  </si>
  <si>
    <t>Fecha del último accidente MTI</t>
  </si>
  <si>
    <t>Fecha del último accidente MDI</t>
  </si>
  <si>
    <t>Fecha del último accidente FAI</t>
  </si>
  <si>
    <t>Fecha del último accidente Incidente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</si>
</sst>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_([$€]\ * \(#,##0.00\);_([$€]\ * &quot;-&quot;??_);_(@_)"/>
    <numFmt numFmtId="165" formatCode="dd/mm/yyyy"/>
  </numFmts>
  <fonts count="7" x14ac:knownFonts="1">
    <font>
      <sz val="11"/>
      <color theme="1"/>
      <name val="Calibri"/>
      <family val="2"/>
      <scheme val="minor"/>
    </font>
    <font>
      <b/>
      <sz val="18"/>
      <color rgb="FF002060"/>
      <name val="Arial"/>
      <family val="2"/>
    </font>
    <font>
      <sz val="11"/>
      <color theme="1"/>
      <name val="Arial"/>
      <family val="2"/>
    </font>
    <font>
      <b/>
      <sz val="18"/>
      <color theme="0"/>
      <name val="Arial"/>
      <family val="2"/>
    </font>
    <font>
      <sz val="8"/>
      <name val="Calibri"/>
      <family val="2"/>
      <scheme val="minor"/>
    </font>
    <font>
      <sz val="10"/>
      <name val="Arial"/>
      <family val="2"/>
    </font>
    <font>
      <sz val="9"/>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164" fontId="5" fillId="0" borderId="0"/>
  </cellStyleXfs>
  <cellXfs count="2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14" fontId="2" fillId="0" borderId="0" xfId="0" applyNumberFormat="1"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center"/>
    </xf>
    <xf numFmtId="0" fontId="6" fillId="0" borderId="0" xfId="0" applyFont="1"/>
    <xf numFmtId="0" fontId="6" fillId="0" borderId="0" xfId="0" applyFont="1" applyAlignment="1">
      <alignment wrapText="1"/>
    </xf>
    <xf numFmtId="14" fontId="6" fillId="0" borderId="0" xfId="0" applyNumberFormat="1" applyFont="1"/>
    <xf numFmtId="0" fontId="3" fillId="3" borderId="0" xfId="0" applyFont="1" applyFill="1" applyAlignment="1">
      <alignment horizontal="center" vertical="center"/>
    </xf>
    <xf numFmtId="0" fontId="0" fillId="3" borderId="0" xfId="0" applyFill="1"/>
    <xf numFmtId="0" fontId="2" fillId="0" borderId="0" xfId="0" applyFont="1" applyAlignment="1">
      <alignment horizontal="left" vertical="center" wrapText="1"/>
    </xf>
    <xf numFmtId="0" fontId="2" fillId="0" borderId="0" xfId="0" applyFont="1" applyAlignment="1">
      <alignment wrapText="1"/>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wrapText="1"/>
    </xf>
    <xf numFmtId="0" fontId="6" fillId="4" borderId="0" xfId="0" applyFont="1" applyFill="1" applyAlignment="1">
      <alignment horizontal="center"/>
    </xf>
    <xf numFmtId="0" fontId="6" fillId="4" borderId="0" xfId="0" applyFont="1" applyFill="1" applyAlignment="1">
      <alignment wrapText="1"/>
    </xf>
    <xf numFmtId="0" fontId="6" fillId="4" borderId="0" xfId="0" applyFont="1" applyFill="1"/>
    <xf numFmtId="14" fontId="6" fillId="4" borderId="0" xfId="0" applyNumberFormat="1" applyFont="1" applyFill="1"/>
    <xf numFmtId="165" fontId="2" fillId="0" borderId="0" xfId="0" applyNumberFormat="1" applyFont="1" applyAlignment="1">
      <alignment vertical="center"/>
    </xf>
    <xf numFmtId="0" fontId="3" fillId="2" borderId="0" xfId="0" applyFont="1" applyFill="1" applyAlignment="1">
      <alignment horizontal="center" vertical="center"/>
    </xf>
    <xf numFmtId="0" fontId="1" fillId="0" borderId="0" xfId="0" applyFont="1" applyAlignment="1">
      <alignment horizontal="left" vertical="center" wrapText="1"/>
    </xf>
  </cellXfs>
  <cellStyles count="2">
    <cellStyle name="Normal" xfId="0" builtinId="0"/>
    <cellStyle name="Normal 10 2" xfId="1" xr:uid="{44010A4D-B390-4234-A2B5-E641C58A0336}"/>
  </cellStyles>
  <dxfs count="42">
    <dxf>
      <numFmt numFmtId="19" formatCode="d/mm/yyyy"/>
    </dxf>
    <dxf>
      <numFmt numFmtId="19" formatCode="d/mm/yyyy"/>
    </dxf>
    <dxf>
      <numFmt numFmtId="19" formatCode="d/mm/yyyy"/>
    </dxf>
    <dxf>
      <numFmt numFmtId="19" formatCode="d/mm/yyyy"/>
    </dxf>
    <dxf>
      <numFmt numFmtId="19" formatCode="d/mm/yyyy"/>
    </dxf>
    <dxf>
      <numFmt numFmtId="19" formatCode="d/mm/yyyy"/>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numFmt numFmtId="19" formatCode="d/mm/yyyy"/>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165" formatCode="dd/mm/yyyy"/>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protection locked="1" hidden="0"/>
    </dxf>
    <dxf>
      <font>
        <strike val="0"/>
        <outline val="0"/>
        <shadow val="0"/>
        <u val="none"/>
        <vertAlign val="baseline"/>
        <sz val="9"/>
        <color theme="1"/>
        <name val="Calibri"/>
        <family val="2"/>
        <scheme val="minor"/>
      </font>
      <numFmt numFmtId="19" formatCode="d/mm/yyyy"/>
    </dxf>
    <dxf>
      <font>
        <strike val="0"/>
        <outline val="0"/>
        <shadow val="0"/>
        <u val="none"/>
        <vertAlign val="baseline"/>
        <sz val="9"/>
        <color theme="1"/>
        <name val="Calibri"/>
        <family val="2"/>
        <scheme val="minor"/>
      </font>
      <alignment horizontal="general" vertical="bottom" textRotation="0" wrapText="1" indent="0" justifyLastLine="0" shrinkToFit="0" readingOrder="0"/>
    </dxf>
    <dxf>
      <font>
        <strike val="0"/>
        <outline val="0"/>
        <shadow val="0"/>
        <u val="none"/>
        <vertAlign val="baseline"/>
        <sz val="9"/>
        <color theme="1"/>
        <name val="Calibri"/>
        <family val="2"/>
        <scheme val="minor"/>
      </font>
      <numFmt numFmtId="0" formatCode="General"/>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s>
  <tableStyles count="0" defaultTableStyle="TableStyleMedium2" defaultPivotStyle="PivotStyleLight16"/>
  <colors>
    <mruColors>
      <color rgb="FFD9A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9</xdr:col>
      <xdr:colOff>738936</xdr:colOff>
      <xdr:row>0</xdr:row>
      <xdr:rowOff>142875</xdr:rowOff>
    </xdr:from>
    <xdr:to>
      <xdr:col>10</xdr:col>
      <xdr:colOff>1012420</xdr:colOff>
      <xdr:row>1</xdr:row>
      <xdr:rowOff>155303</xdr:rowOff>
    </xdr:to>
    <xdr:pic>
      <xdr:nvPicPr>
        <xdr:cNvPr id="3" name="Imagen 1">
          <a:extLst>
            <a:ext uri="{FF2B5EF4-FFF2-40B4-BE49-F238E27FC236}">
              <a16:creationId xmlns:a16="http://schemas.microsoft.com/office/drawing/2014/main" id="{F4D5466E-893F-4EC9-939D-3378BBB47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59686" y="142875"/>
          <a:ext cx="1937184" cy="774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12</xdr:col>
      <xdr:colOff>247650</xdr:colOff>
      <xdr:row>48</xdr:row>
      <xdr:rowOff>0</xdr:rowOff>
    </xdr:to>
    <xdr:pic>
      <xdr:nvPicPr>
        <xdr:cNvPr id="4" name="Imagen 1">
          <a:extLst>
            <a:ext uri="{FF2B5EF4-FFF2-40B4-BE49-F238E27FC236}">
              <a16:creationId xmlns:a16="http://schemas.microsoft.com/office/drawing/2014/main" id="{DA611E49-E5EF-FF24-6FE2-6FC8808B2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90500"/>
          <a:ext cx="9677400" cy="895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508000</xdr:colOff>
      <xdr:row>0</xdr:row>
      <xdr:rowOff>111125</xdr:rowOff>
    </xdr:from>
    <xdr:to>
      <xdr:col>36</xdr:col>
      <xdr:colOff>260350</xdr:colOff>
      <xdr:row>49</xdr:row>
      <xdr:rowOff>104775</xdr:rowOff>
    </xdr:to>
    <xdr:pic>
      <xdr:nvPicPr>
        <xdr:cNvPr id="7" name="Imagen 2">
          <a:extLst>
            <a:ext uri="{FF2B5EF4-FFF2-40B4-BE49-F238E27FC236}">
              <a16:creationId xmlns:a16="http://schemas.microsoft.com/office/drawing/2014/main" id="{AE23B0CE-95B7-D7BF-C3AB-F106929459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3000" y="111125"/>
          <a:ext cx="18802350" cy="932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erman Estuardo Orozco Perez" id="{75E74978-025A-4BEC-A9E8-772AE3E8C1F0}" userId="S::gestorssocuyo@cbc.co::e94406d4-6dd2-42ba-8e88-20e2fe44dd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A28178-2D20-4C76-B08F-85AF492A21D3}" name="Actos_Acumulados" displayName="Actos_Acumulados" ref="B4:L1413" totalsRowShown="0" headerRowDxfId="32" dataDxfId="31">
  <autoFilter ref="B4:L1413" xr:uid="{7AA28178-2D20-4C76-B08F-85AF492A21D3}">
    <filterColumn colId="1">
      <filters>
        <dateGroupItem year="2026" month="9" dateTimeGrouping="month"/>
      </filters>
    </filterColumn>
  </autoFilter>
  <sortState xmlns:xlrd2="http://schemas.microsoft.com/office/spreadsheetml/2017/richdata2" ref="B1361:L1410">
    <sortCondition ref="K4:K1410"/>
  </sortState>
  <tableColumns count="11">
    <tableColumn id="11" xr3:uid="{5E89E0C1-D214-4CDA-AFC7-4F0B8C3F81FD}" name="ID" dataDxfId="30"/>
    <tableColumn id="1" xr3:uid="{8AA35E8B-AFB2-4037-8410-542614E08BE4}" name="FECHA" dataDxfId="29"/>
    <tableColumn id="2" xr3:uid="{97EB81E7-A029-46DC-AA40-2CA366D64A9C}" name="AREA A REPORTAR" dataDxfId="28"/>
    <tableColumn id="5" xr3:uid="{4CFBE190-A621-4898-B262-41D1D2C076FA}" name="DESCRIPCIÓN" dataDxfId="27"/>
    <tableColumn id="7" xr3:uid="{6EC207E1-91C7-42F6-B7BE-F6887E961EA1}" name="Colaborador reportado por Acto Inseguro " dataDxfId="26"/>
    <tableColumn id="8" xr3:uid="{8FC115F3-2CB1-424C-9B66-B4750D4B5031}" name="cbc-Tercerizado " dataDxfId="25"/>
    <tableColumn id="6" xr3:uid="{AABFB504-1416-428A-98EC-06385B7C5F2A}" name="¿SE CONTROLÓ O CORRIGIÓ EL ACTO?" dataDxfId="24"/>
    <tableColumn id="3" xr3:uid="{09A7DAD4-1CA3-4889-BEFA-09BF24E6274C}" name="Clasificacion" dataDxfId="23"/>
    <tableColumn id="4" xr3:uid="{7E738995-F753-4A77-82FC-A18A9E246D6A}" name="Especificación" dataDxfId="22"/>
    <tableColumn id="9" xr3:uid="{5267AEB1-57DE-4D8D-8FD1-7ABA06D67EED}" name="Reportó:" dataDxfId="21"/>
    <tableColumn id="10" xr3:uid="{048D66E4-FD61-4AC2-8A6A-BEAF9B7D503E}" name="Area que reporta" dataDxfId="20"/>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FD90AA-BEA6-49C2-8675-4CAD4A9A6605}" name="Condiciones_acumuladas" displayName="Condiciones_acumuladas" ref="A4:G4778" totalsRowShown="0" headerRowDxfId="41" dataDxfId="40">
  <autoFilter ref="A4:G4778" xr:uid="{C2FD90AA-BEA6-49C2-8675-4CAD4A9A6605}">
    <filterColumn colId="6">
      <filters>
        <dateGroupItem year="2026" month="9" dateTimeGrouping="month"/>
      </filters>
    </filterColumn>
  </autoFilter>
  <sortState xmlns:xlrd2="http://schemas.microsoft.com/office/spreadsheetml/2017/richdata2" ref="A4472:G4718">
    <sortCondition ref="E4:E4718"/>
  </sortState>
  <tableColumns count="7">
    <tableColumn id="5" xr3:uid="{0C99CDF4-3301-4A3C-9EBA-EC92CBD12107}" name="No." dataDxfId="39"/>
    <tableColumn id="1" xr3:uid="{CA4E38F5-0402-4272-BDFC-883C5880C32E}" name="Descripción" dataDxfId="38"/>
    <tableColumn id="4" xr3:uid="{212E456B-A0E8-440E-AC1E-34AA0C93FB25}" name="Área a la que se reporta" dataDxfId="37"/>
    <tableColumn id="2" xr3:uid="{FA5A258E-0CEA-4CB5-969B-A5379A80CFF6}" name="Área que realiza el reporte" dataDxfId="36"/>
    <tableColumn id="3" xr3:uid="{DCD5C4E1-71C7-4BBA-8238-9B057A0FD8C8}" name="Persona que reporta" dataDxfId="35"/>
    <tableColumn id="6" xr3:uid="{B65011E4-CDE0-4C23-9C53-0DA2CFEF3AEC}" name="Clasificacion" dataDxfId="34"/>
    <tableColumn id="7" xr3:uid="{82EFD9FF-B93E-4F09-B76C-221CCEB3075C}" name="Fecha" dataDxfId="3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6073D7-A854-4422-B434-B602DA426137}" name="Incidentes_Accidentes" displayName="Incidentes_Accidentes" ref="A2:L14" totalsRowShown="0" headerRowDxfId="19" dataDxfId="18">
  <autoFilter ref="A2:L14" xr:uid="{646073D7-A854-4422-B434-B602DA426137}"/>
  <tableColumns count="12">
    <tableColumn id="1" xr3:uid="{D7BE6ED7-54C5-4DF3-BBFB-911B5089B414}" name="No." dataDxfId="17"/>
    <tableColumn id="2" xr3:uid="{C3C3C70B-4A9A-4C6D-8064-1F2AE49224CE}" name="Fecha de Incidente/Accidente" dataDxfId="16"/>
    <tableColumn id="3" xr3:uid="{63D34C5A-CE46-4542-827D-07EFD45BAF24}" name="Mes" dataDxfId="15"/>
    <tableColumn id="4" xr3:uid="{A350E199-9863-4923-9601-519FB27E4636}" name="Área" dataDxfId="14"/>
    <tableColumn id="5" xr3:uid="{A9945A27-7F02-4D2B-B8FB-A0340C844B71}" name="Nombre del colaborador" dataDxfId="13"/>
    <tableColumn id="6" xr3:uid="{3E036B67-F6E2-440C-A3C2-5D7E0D4C6C89}" name="Incidente o Accidente?" dataDxfId="12"/>
    <tableColumn id="7" xr3:uid="{604C5916-FD3C-477B-BC4D-625EB4D3C0C8}" name="Tipo de Accidente" dataDxfId="11"/>
    <tableColumn id="8" xr3:uid="{5A4C5CF7-5B34-481C-A1A6-D5B0B4AE99C4}" name="Parte del cuerpo lesionada" dataDxfId="10"/>
    <tableColumn id="12" xr3:uid="{543B42FD-CB4A-408E-B913-2545FE79FEA3}" name="Equipo Involucrado" dataDxfId="9"/>
    <tableColumn id="9" xr3:uid="{6DD6482B-3EF6-4792-8894-3835287C081C}" name="Causa inmediata" dataDxfId="8"/>
    <tableColumn id="10" xr3:uid="{4578D3F1-7FBC-4F8D-9857-2B0B8F552809}" name="Días de Ausentismo" dataDxfId="7"/>
    <tableColumn id="11" xr3:uid="{BC737E4B-7EBB-4CAA-BC27-125D985DEFE7}" name="Breve descripción de lo sucedido"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B884DF-8FDA-4B83-88D8-11E4F7373C91}" name="Fechas_Inc_Acc" displayName="Fechas_Inc_Acc" ref="A2:E3" totalsRowShown="0" dataDxfId="5">
  <autoFilter ref="A2:E3" xr:uid="{09B884DF-8FDA-4B83-88D8-11E4F7373C91}"/>
  <tableColumns count="5">
    <tableColumn id="1" xr3:uid="{BA337977-9065-4908-BBE8-42EDB4E6612E}" name="Fecha del último accidente LTI" dataDxfId="4">
      <calculatedColumnFormula>_xlfn.MAXIFS(Incidentes_Accidentes[Fecha de Incidente/Accidente], Incidentes_Accidentes[Tipo de Accidente], "LTI")</calculatedColumnFormula>
    </tableColumn>
    <tableColumn id="2" xr3:uid="{E705894D-46F9-41DC-B955-AA49C46E6AE2}" name="Fecha del último accidente MTI" dataDxfId="3">
      <calculatedColumnFormula>_xlfn.MAXIFS(Incidentes_Accidentes[Fecha de Incidente/Accidente], Incidentes_Accidentes[Tipo de Accidente], "MTI")</calculatedColumnFormula>
    </tableColumn>
    <tableColumn id="3" xr3:uid="{84F8F3B9-A562-42C1-B3E3-066A4B525417}" name="Fecha del último accidente MDI" dataDxfId="2">
      <calculatedColumnFormula>_xlfn.MAXIFS(Incidentes_Accidentes[Fecha de Incidente/Accidente], Incidentes_Accidentes[Tipo de Accidente], "MDI")</calculatedColumnFormula>
    </tableColumn>
    <tableColumn id="4" xr3:uid="{ED31502B-6995-41AC-8B28-30147C1D6BFD}" name="Fecha del último accidente FAI" dataDxfId="1">
      <calculatedColumnFormula>_xlfn.MAXIFS(Incidentes_Accidentes[Fecha de Incidente/Accidente], Incidentes_Accidentes[Tipo de Accidente], "FAI")</calculatedColumnFormula>
    </tableColumn>
    <tableColumn id="5" xr3:uid="{C90A8EE4-D742-4885-BCB5-A616BF7583D8}" name="Fecha del último accidente Incidente" dataDxfId="0">
      <calculatedColumnFormula>_xlfn.MAXIFS(Incidentes_Accidentes[Fecha de Incidente/Accidente], Incidentes_Accidentes[Incidente o Accidente?], "Incidente")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2" dT="2025-05-02T14:09:15.48" personId="{75E74978-025A-4BEC-A9E8-772AE3E8C1F0}" id="{88D8A059-4194-41AB-AB5E-B64A05067D05}">
    <text>Se subio al nivel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47F6-6C15-45FE-885D-181E798D5EE1}">
  <sheetPr codeName="Hoja1"/>
  <dimension ref="A1:O1414"/>
  <sheetViews>
    <sheetView showGridLines="0" topLeftCell="C1" zoomScale="58" zoomScaleNormal="55" workbookViewId="0">
      <pane ySplit="4" topLeftCell="A1409" activePane="bottomLeft" state="frozen"/>
      <selection pane="bottomLeft" activeCell="K1413" sqref="K1413"/>
    </sheetView>
  </sheetViews>
  <sheetFormatPr baseColWidth="10" defaultColWidth="9.1796875" defaultRowHeight="14" x14ac:dyDescent="0.35"/>
  <cols>
    <col min="1" max="1" width="3.1796875" style="1" customWidth="1"/>
    <col min="2" max="2" width="13.7265625" style="5" customWidth="1"/>
    <col min="3" max="3" width="19" style="3" customWidth="1"/>
    <col min="4" max="4" width="18.81640625" style="1" customWidth="1"/>
    <col min="5" max="5" width="57.81640625" style="6" customWidth="1"/>
    <col min="6" max="6" width="27.7265625" style="2" customWidth="1"/>
    <col min="7" max="7" width="19.26953125" style="2" customWidth="1"/>
    <col min="8" max="8" width="28.81640625" style="2" customWidth="1"/>
    <col min="9" max="9" width="43.1796875" style="2" customWidth="1"/>
    <col min="10" max="10" width="33.81640625" style="1" customWidth="1"/>
    <col min="11" max="11" width="24.81640625" style="1" customWidth="1"/>
    <col min="12" max="12" width="24.453125" style="1" customWidth="1"/>
    <col min="13" max="13" width="6" style="1" hidden="1" customWidth="1"/>
    <col min="14" max="14" width="2" style="1" customWidth="1"/>
    <col min="15" max="15" width="6.26953125" style="2" customWidth="1"/>
    <col min="16" max="19" width="9.1796875" style="1" customWidth="1"/>
    <col min="20" max="20" width="24.54296875" style="1" customWidth="1"/>
    <col min="21" max="21" width="14.81640625" style="1" customWidth="1"/>
    <col min="22" max="22" width="9.1796875" style="1" customWidth="1"/>
    <col min="23" max="237" width="9.1796875" style="1"/>
    <col min="238" max="238" width="3.1796875" style="1" customWidth="1"/>
    <col min="239" max="239" width="11.26953125" style="1" bestFit="1" customWidth="1"/>
    <col min="240" max="240" width="20.54296875" style="1" customWidth="1"/>
    <col min="241" max="242" width="0" style="1" hidden="1" customWidth="1"/>
    <col min="243" max="243" width="54.81640625" style="1" customWidth="1"/>
    <col min="244" max="244" width="24.7265625" style="1" customWidth="1"/>
    <col min="245" max="245" width="14.1796875" style="1" customWidth="1"/>
    <col min="246" max="246" width="19.26953125" style="1" customWidth="1"/>
    <col min="247" max="247" width="9.1796875" style="1"/>
    <col min="248" max="248" width="6" style="1" customWidth="1"/>
    <col min="249" max="249" width="17.26953125" style="1" customWidth="1"/>
    <col min="250" max="250" width="13.453125" style="1" customWidth="1"/>
    <col min="251" max="251" width="9.26953125" style="1" customWidth="1"/>
    <col min="252" max="253" width="14.453125" style="1" customWidth="1"/>
    <col min="254" max="493" width="9.1796875" style="1"/>
    <col min="494" max="494" width="3.1796875" style="1" customWidth="1"/>
    <col min="495" max="495" width="11.26953125" style="1" bestFit="1" customWidth="1"/>
    <col min="496" max="496" width="20.54296875" style="1" customWidth="1"/>
    <col min="497" max="498" width="0" style="1" hidden="1" customWidth="1"/>
    <col min="499" max="499" width="54.81640625" style="1" customWidth="1"/>
    <col min="500" max="500" width="24.7265625" style="1" customWidth="1"/>
    <col min="501" max="501" width="14.1796875" style="1" customWidth="1"/>
    <col min="502" max="502" width="19.26953125" style="1" customWidth="1"/>
    <col min="503" max="503" width="9.1796875" style="1"/>
    <col min="504" max="504" width="6" style="1" customWidth="1"/>
    <col min="505" max="505" width="17.26953125" style="1" customWidth="1"/>
    <col min="506" max="506" width="13.453125" style="1" customWidth="1"/>
    <col min="507" max="507" width="9.26953125" style="1" customWidth="1"/>
    <col min="508" max="509" width="14.453125" style="1" customWidth="1"/>
    <col min="510" max="749" width="9.1796875" style="1"/>
    <col min="750" max="750" width="3.1796875" style="1" customWidth="1"/>
    <col min="751" max="751" width="11.26953125" style="1" bestFit="1" customWidth="1"/>
    <col min="752" max="752" width="20.54296875" style="1" customWidth="1"/>
    <col min="753" max="754" width="0" style="1" hidden="1" customWidth="1"/>
    <col min="755" max="755" width="54.81640625" style="1" customWidth="1"/>
    <col min="756" max="756" width="24.7265625" style="1" customWidth="1"/>
    <col min="757" max="757" width="14.1796875" style="1" customWidth="1"/>
    <col min="758" max="758" width="19.26953125" style="1" customWidth="1"/>
    <col min="759" max="759" width="9.1796875" style="1"/>
    <col min="760" max="760" width="6" style="1" customWidth="1"/>
    <col min="761" max="761" width="17.26953125" style="1" customWidth="1"/>
    <col min="762" max="762" width="13.453125" style="1" customWidth="1"/>
    <col min="763" max="763" width="9.26953125" style="1" customWidth="1"/>
    <col min="764" max="765" width="14.453125" style="1" customWidth="1"/>
    <col min="766" max="1005" width="9.1796875" style="1"/>
    <col min="1006" max="1006" width="3.1796875" style="1" customWidth="1"/>
    <col min="1007" max="1007" width="11.26953125" style="1" bestFit="1" customWidth="1"/>
    <col min="1008" max="1008" width="20.54296875" style="1" customWidth="1"/>
    <col min="1009" max="1010" width="0" style="1" hidden="1" customWidth="1"/>
    <col min="1011" max="1011" width="54.81640625" style="1" customWidth="1"/>
    <col min="1012" max="1012" width="24.7265625" style="1" customWidth="1"/>
    <col min="1013" max="1013" width="14.1796875" style="1" customWidth="1"/>
    <col min="1014" max="1014" width="19.26953125" style="1" customWidth="1"/>
    <col min="1015" max="1015" width="9.1796875" style="1"/>
    <col min="1016" max="1016" width="6" style="1" customWidth="1"/>
    <col min="1017" max="1017" width="17.26953125" style="1" customWidth="1"/>
    <col min="1018" max="1018" width="13.453125" style="1" customWidth="1"/>
    <col min="1019" max="1019" width="9.26953125" style="1" customWidth="1"/>
    <col min="1020" max="1021" width="14.453125" style="1" customWidth="1"/>
    <col min="1022" max="1261" width="9.1796875" style="1"/>
    <col min="1262" max="1262" width="3.1796875" style="1" customWidth="1"/>
    <col min="1263" max="1263" width="11.26953125" style="1" bestFit="1" customWidth="1"/>
    <col min="1264" max="1264" width="20.54296875" style="1" customWidth="1"/>
    <col min="1265" max="1266" width="0" style="1" hidden="1" customWidth="1"/>
    <col min="1267" max="1267" width="54.81640625" style="1" customWidth="1"/>
    <col min="1268" max="1268" width="24.7265625" style="1" customWidth="1"/>
    <col min="1269" max="1269" width="14.1796875" style="1" customWidth="1"/>
    <col min="1270" max="1270" width="19.26953125" style="1" customWidth="1"/>
    <col min="1271" max="1271" width="9.1796875" style="1"/>
    <col min="1272" max="1272" width="6" style="1" customWidth="1"/>
    <col min="1273" max="1273" width="17.26953125" style="1" customWidth="1"/>
    <col min="1274" max="1274" width="13.453125" style="1" customWidth="1"/>
    <col min="1275" max="1275" width="9.26953125" style="1" customWidth="1"/>
    <col min="1276" max="1277" width="14.453125" style="1" customWidth="1"/>
    <col min="1278" max="1517" width="9.1796875" style="1"/>
    <col min="1518" max="1518" width="3.1796875" style="1" customWidth="1"/>
    <col min="1519" max="1519" width="11.26953125" style="1" bestFit="1" customWidth="1"/>
    <col min="1520" max="1520" width="20.54296875" style="1" customWidth="1"/>
    <col min="1521" max="1522" width="0" style="1" hidden="1" customWidth="1"/>
    <col min="1523" max="1523" width="54.81640625" style="1" customWidth="1"/>
    <col min="1524" max="1524" width="24.7265625" style="1" customWidth="1"/>
    <col min="1525" max="1525" width="14.1796875" style="1" customWidth="1"/>
    <col min="1526" max="1526" width="19.26953125" style="1" customWidth="1"/>
    <col min="1527" max="1527" width="9.1796875" style="1"/>
    <col min="1528" max="1528" width="6" style="1" customWidth="1"/>
    <col min="1529" max="1529" width="17.26953125" style="1" customWidth="1"/>
    <col min="1530" max="1530" width="13.453125" style="1" customWidth="1"/>
    <col min="1531" max="1531" width="9.26953125" style="1" customWidth="1"/>
    <col min="1532" max="1533" width="14.453125" style="1" customWidth="1"/>
    <col min="1534" max="1773" width="9.1796875" style="1"/>
    <col min="1774" max="1774" width="3.1796875" style="1" customWidth="1"/>
    <col min="1775" max="1775" width="11.26953125" style="1" bestFit="1" customWidth="1"/>
    <col min="1776" max="1776" width="20.54296875" style="1" customWidth="1"/>
    <col min="1777" max="1778" width="0" style="1" hidden="1" customWidth="1"/>
    <col min="1779" max="1779" width="54.81640625" style="1" customWidth="1"/>
    <col min="1780" max="1780" width="24.7265625" style="1" customWidth="1"/>
    <col min="1781" max="1781" width="14.1796875" style="1" customWidth="1"/>
    <col min="1782" max="1782" width="19.26953125" style="1" customWidth="1"/>
    <col min="1783" max="1783" width="9.1796875" style="1"/>
    <col min="1784" max="1784" width="6" style="1" customWidth="1"/>
    <col min="1785" max="1785" width="17.26953125" style="1" customWidth="1"/>
    <col min="1786" max="1786" width="13.453125" style="1" customWidth="1"/>
    <col min="1787" max="1787" width="9.26953125" style="1" customWidth="1"/>
    <col min="1788" max="1789" width="14.453125" style="1" customWidth="1"/>
    <col min="1790" max="2029" width="9.1796875" style="1"/>
    <col min="2030" max="2030" width="3.1796875" style="1" customWidth="1"/>
    <col min="2031" max="2031" width="11.26953125" style="1" bestFit="1" customWidth="1"/>
    <col min="2032" max="2032" width="20.54296875" style="1" customWidth="1"/>
    <col min="2033" max="2034" width="0" style="1" hidden="1" customWidth="1"/>
    <col min="2035" max="2035" width="54.81640625" style="1" customWidth="1"/>
    <col min="2036" max="2036" width="24.7265625" style="1" customWidth="1"/>
    <col min="2037" max="2037" width="14.1796875" style="1" customWidth="1"/>
    <col min="2038" max="2038" width="19.26953125" style="1" customWidth="1"/>
    <col min="2039" max="2039" width="9.1796875" style="1"/>
    <col min="2040" max="2040" width="6" style="1" customWidth="1"/>
    <col min="2041" max="2041" width="17.26953125" style="1" customWidth="1"/>
    <col min="2042" max="2042" width="13.453125" style="1" customWidth="1"/>
    <col min="2043" max="2043" width="9.26953125" style="1" customWidth="1"/>
    <col min="2044" max="2045" width="14.453125" style="1" customWidth="1"/>
    <col min="2046" max="2285" width="9.1796875" style="1"/>
    <col min="2286" max="2286" width="3.1796875" style="1" customWidth="1"/>
    <col min="2287" max="2287" width="11.26953125" style="1" bestFit="1" customWidth="1"/>
    <col min="2288" max="2288" width="20.54296875" style="1" customWidth="1"/>
    <col min="2289" max="2290" width="0" style="1" hidden="1" customWidth="1"/>
    <col min="2291" max="2291" width="54.81640625" style="1" customWidth="1"/>
    <col min="2292" max="2292" width="24.7265625" style="1" customWidth="1"/>
    <col min="2293" max="2293" width="14.1796875" style="1" customWidth="1"/>
    <col min="2294" max="2294" width="19.26953125" style="1" customWidth="1"/>
    <col min="2295" max="2295" width="9.1796875" style="1"/>
    <col min="2296" max="2296" width="6" style="1" customWidth="1"/>
    <col min="2297" max="2297" width="17.26953125" style="1" customWidth="1"/>
    <col min="2298" max="2298" width="13.453125" style="1" customWidth="1"/>
    <col min="2299" max="2299" width="9.26953125" style="1" customWidth="1"/>
    <col min="2300" max="2301" width="14.453125" style="1" customWidth="1"/>
    <col min="2302" max="2541" width="9.1796875" style="1"/>
    <col min="2542" max="2542" width="3.1796875" style="1" customWidth="1"/>
    <col min="2543" max="2543" width="11.26953125" style="1" bestFit="1" customWidth="1"/>
    <col min="2544" max="2544" width="20.54296875" style="1" customWidth="1"/>
    <col min="2545" max="2546" width="0" style="1" hidden="1" customWidth="1"/>
    <col min="2547" max="2547" width="54.81640625" style="1" customWidth="1"/>
    <col min="2548" max="2548" width="24.7265625" style="1" customWidth="1"/>
    <col min="2549" max="2549" width="14.1796875" style="1" customWidth="1"/>
    <col min="2550" max="2550" width="19.26953125" style="1" customWidth="1"/>
    <col min="2551" max="2551" width="9.1796875" style="1"/>
    <col min="2552" max="2552" width="6" style="1" customWidth="1"/>
    <col min="2553" max="2553" width="17.26953125" style="1" customWidth="1"/>
    <col min="2554" max="2554" width="13.453125" style="1" customWidth="1"/>
    <col min="2555" max="2555" width="9.26953125" style="1" customWidth="1"/>
    <col min="2556" max="2557" width="14.453125" style="1" customWidth="1"/>
    <col min="2558" max="2797" width="9.1796875" style="1"/>
    <col min="2798" max="2798" width="3.1796875" style="1" customWidth="1"/>
    <col min="2799" max="2799" width="11.26953125" style="1" bestFit="1" customWidth="1"/>
    <col min="2800" max="2800" width="20.54296875" style="1" customWidth="1"/>
    <col min="2801" max="2802" width="0" style="1" hidden="1" customWidth="1"/>
    <col min="2803" max="2803" width="54.81640625" style="1" customWidth="1"/>
    <col min="2804" max="2804" width="24.7265625" style="1" customWidth="1"/>
    <col min="2805" max="2805" width="14.1796875" style="1" customWidth="1"/>
    <col min="2806" max="2806" width="19.26953125" style="1" customWidth="1"/>
    <col min="2807" max="2807" width="9.1796875" style="1"/>
    <col min="2808" max="2808" width="6" style="1" customWidth="1"/>
    <col min="2809" max="2809" width="17.26953125" style="1" customWidth="1"/>
    <col min="2810" max="2810" width="13.453125" style="1" customWidth="1"/>
    <col min="2811" max="2811" width="9.26953125" style="1" customWidth="1"/>
    <col min="2812" max="2813" width="14.453125" style="1" customWidth="1"/>
    <col min="2814" max="3053" width="9.1796875" style="1"/>
    <col min="3054" max="3054" width="3.1796875" style="1" customWidth="1"/>
    <col min="3055" max="3055" width="11.26953125" style="1" bestFit="1" customWidth="1"/>
    <col min="3056" max="3056" width="20.54296875" style="1" customWidth="1"/>
    <col min="3057" max="3058" width="0" style="1" hidden="1" customWidth="1"/>
    <col min="3059" max="3059" width="54.81640625" style="1" customWidth="1"/>
    <col min="3060" max="3060" width="24.7265625" style="1" customWidth="1"/>
    <col min="3061" max="3061" width="14.1796875" style="1" customWidth="1"/>
    <col min="3062" max="3062" width="19.26953125" style="1" customWidth="1"/>
    <col min="3063" max="3063" width="9.1796875" style="1"/>
    <col min="3064" max="3064" width="6" style="1" customWidth="1"/>
    <col min="3065" max="3065" width="17.26953125" style="1" customWidth="1"/>
    <col min="3066" max="3066" width="13.453125" style="1" customWidth="1"/>
    <col min="3067" max="3067" width="9.26953125" style="1" customWidth="1"/>
    <col min="3068" max="3069" width="14.453125" style="1" customWidth="1"/>
    <col min="3070" max="3309" width="9.1796875" style="1"/>
    <col min="3310" max="3310" width="3.1796875" style="1" customWidth="1"/>
    <col min="3311" max="3311" width="11.26953125" style="1" bestFit="1" customWidth="1"/>
    <col min="3312" max="3312" width="20.54296875" style="1" customWidth="1"/>
    <col min="3313" max="3314" width="0" style="1" hidden="1" customWidth="1"/>
    <col min="3315" max="3315" width="54.81640625" style="1" customWidth="1"/>
    <col min="3316" max="3316" width="24.7265625" style="1" customWidth="1"/>
    <col min="3317" max="3317" width="14.1796875" style="1" customWidth="1"/>
    <col min="3318" max="3318" width="19.26953125" style="1" customWidth="1"/>
    <col min="3319" max="3319" width="9.1796875" style="1"/>
    <col min="3320" max="3320" width="6" style="1" customWidth="1"/>
    <col min="3321" max="3321" width="17.26953125" style="1" customWidth="1"/>
    <col min="3322" max="3322" width="13.453125" style="1" customWidth="1"/>
    <col min="3323" max="3323" width="9.26953125" style="1" customWidth="1"/>
    <col min="3324" max="3325" width="14.453125" style="1" customWidth="1"/>
    <col min="3326" max="3565" width="9.1796875" style="1"/>
    <col min="3566" max="3566" width="3.1796875" style="1" customWidth="1"/>
    <col min="3567" max="3567" width="11.26953125" style="1" bestFit="1" customWidth="1"/>
    <col min="3568" max="3568" width="20.54296875" style="1" customWidth="1"/>
    <col min="3569" max="3570" width="0" style="1" hidden="1" customWidth="1"/>
    <col min="3571" max="3571" width="54.81640625" style="1" customWidth="1"/>
    <col min="3572" max="3572" width="24.7265625" style="1" customWidth="1"/>
    <col min="3573" max="3573" width="14.1796875" style="1" customWidth="1"/>
    <col min="3574" max="3574" width="19.26953125" style="1" customWidth="1"/>
    <col min="3575" max="3575" width="9.1796875" style="1"/>
    <col min="3576" max="3576" width="6" style="1" customWidth="1"/>
    <col min="3577" max="3577" width="17.26953125" style="1" customWidth="1"/>
    <col min="3578" max="3578" width="13.453125" style="1" customWidth="1"/>
    <col min="3579" max="3579" width="9.26953125" style="1" customWidth="1"/>
    <col min="3580" max="3581" width="14.453125" style="1" customWidth="1"/>
    <col min="3582" max="3821" width="9.1796875" style="1"/>
    <col min="3822" max="3822" width="3.1796875" style="1" customWidth="1"/>
    <col min="3823" max="3823" width="11.26953125" style="1" bestFit="1" customWidth="1"/>
    <col min="3824" max="3824" width="20.54296875" style="1" customWidth="1"/>
    <col min="3825" max="3826" width="0" style="1" hidden="1" customWidth="1"/>
    <col min="3827" max="3827" width="54.81640625" style="1" customWidth="1"/>
    <col min="3828" max="3828" width="24.7265625" style="1" customWidth="1"/>
    <col min="3829" max="3829" width="14.1796875" style="1" customWidth="1"/>
    <col min="3830" max="3830" width="19.26953125" style="1" customWidth="1"/>
    <col min="3831" max="3831" width="9.1796875" style="1"/>
    <col min="3832" max="3832" width="6" style="1" customWidth="1"/>
    <col min="3833" max="3833" width="17.26953125" style="1" customWidth="1"/>
    <col min="3834" max="3834" width="13.453125" style="1" customWidth="1"/>
    <col min="3835" max="3835" width="9.26953125" style="1" customWidth="1"/>
    <col min="3836" max="3837" width="14.453125" style="1" customWidth="1"/>
    <col min="3838" max="4077" width="9.1796875" style="1"/>
    <col min="4078" max="4078" width="3.1796875" style="1" customWidth="1"/>
    <col min="4079" max="4079" width="11.26953125" style="1" bestFit="1" customWidth="1"/>
    <col min="4080" max="4080" width="20.54296875" style="1" customWidth="1"/>
    <col min="4081" max="4082" width="0" style="1" hidden="1" customWidth="1"/>
    <col min="4083" max="4083" width="54.81640625" style="1" customWidth="1"/>
    <col min="4084" max="4084" width="24.7265625" style="1" customWidth="1"/>
    <col min="4085" max="4085" width="14.1796875" style="1" customWidth="1"/>
    <col min="4086" max="4086" width="19.26953125" style="1" customWidth="1"/>
    <col min="4087" max="4087" width="9.1796875" style="1"/>
    <col min="4088" max="4088" width="6" style="1" customWidth="1"/>
    <col min="4089" max="4089" width="17.26953125" style="1" customWidth="1"/>
    <col min="4090" max="4090" width="13.453125" style="1" customWidth="1"/>
    <col min="4091" max="4091" width="9.26953125" style="1" customWidth="1"/>
    <col min="4092" max="4093" width="14.453125" style="1" customWidth="1"/>
    <col min="4094" max="4333" width="9.1796875" style="1"/>
    <col min="4334" max="4334" width="3.1796875" style="1" customWidth="1"/>
    <col min="4335" max="4335" width="11.26953125" style="1" bestFit="1" customWidth="1"/>
    <col min="4336" max="4336" width="20.54296875" style="1" customWidth="1"/>
    <col min="4337" max="4338" width="0" style="1" hidden="1" customWidth="1"/>
    <col min="4339" max="4339" width="54.81640625" style="1" customWidth="1"/>
    <col min="4340" max="4340" width="24.7265625" style="1" customWidth="1"/>
    <col min="4341" max="4341" width="14.1796875" style="1" customWidth="1"/>
    <col min="4342" max="4342" width="19.26953125" style="1" customWidth="1"/>
    <col min="4343" max="4343" width="9.1796875" style="1"/>
    <col min="4344" max="4344" width="6" style="1" customWidth="1"/>
    <col min="4345" max="4345" width="17.26953125" style="1" customWidth="1"/>
    <col min="4346" max="4346" width="13.453125" style="1" customWidth="1"/>
    <col min="4347" max="4347" width="9.26953125" style="1" customWidth="1"/>
    <col min="4348" max="4349" width="14.453125" style="1" customWidth="1"/>
    <col min="4350" max="4589" width="9.1796875" style="1"/>
    <col min="4590" max="4590" width="3.1796875" style="1" customWidth="1"/>
    <col min="4591" max="4591" width="11.26953125" style="1" bestFit="1" customWidth="1"/>
    <col min="4592" max="4592" width="20.54296875" style="1" customWidth="1"/>
    <col min="4593" max="4594" width="0" style="1" hidden="1" customWidth="1"/>
    <col min="4595" max="4595" width="54.81640625" style="1" customWidth="1"/>
    <col min="4596" max="4596" width="24.7265625" style="1" customWidth="1"/>
    <col min="4597" max="4597" width="14.1796875" style="1" customWidth="1"/>
    <col min="4598" max="4598" width="19.26953125" style="1" customWidth="1"/>
    <col min="4599" max="4599" width="9.1796875" style="1"/>
    <col min="4600" max="4600" width="6" style="1" customWidth="1"/>
    <col min="4601" max="4601" width="17.26953125" style="1" customWidth="1"/>
    <col min="4602" max="4602" width="13.453125" style="1" customWidth="1"/>
    <col min="4603" max="4603" width="9.26953125" style="1" customWidth="1"/>
    <col min="4604" max="4605" width="14.453125" style="1" customWidth="1"/>
    <col min="4606" max="4845" width="9.1796875" style="1"/>
    <col min="4846" max="4846" width="3.1796875" style="1" customWidth="1"/>
    <col min="4847" max="4847" width="11.26953125" style="1" bestFit="1" customWidth="1"/>
    <col min="4848" max="4848" width="20.54296875" style="1" customWidth="1"/>
    <col min="4849" max="4850" width="0" style="1" hidden="1" customWidth="1"/>
    <col min="4851" max="4851" width="54.81640625" style="1" customWidth="1"/>
    <col min="4852" max="4852" width="24.7265625" style="1" customWidth="1"/>
    <col min="4853" max="4853" width="14.1796875" style="1" customWidth="1"/>
    <col min="4854" max="4854" width="19.26953125" style="1" customWidth="1"/>
    <col min="4855" max="4855" width="9.1796875" style="1"/>
    <col min="4856" max="4856" width="6" style="1" customWidth="1"/>
    <col min="4857" max="4857" width="17.26953125" style="1" customWidth="1"/>
    <col min="4858" max="4858" width="13.453125" style="1" customWidth="1"/>
    <col min="4859" max="4859" width="9.26953125" style="1" customWidth="1"/>
    <col min="4860" max="4861" width="14.453125" style="1" customWidth="1"/>
    <col min="4862" max="5101" width="9.1796875" style="1"/>
    <col min="5102" max="5102" width="3.1796875" style="1" customWidth="1"/>
    <col min="5103" max="5103" width="11.26953125" style="1" bestFit="1" customWidth="1"/>
    <col min="5104" max="5104" width="20.54296875" style="1" customWidth="1"/>
    <col min="5105" max="5106" width="0" style="1" hidden="1" customWidth="1"/>
    <col min="5107" max="5107" width="54.81640625" style="1" customWidth="1"/>
    <col min="5108" max="5108" width="24.7265625" style="1" customWidth="1"/>
    <col min="5109" max="5109" width="14.1796875" style="1" customWidth="1"/>
    <col min="5110" max="5110" width="19.26953125" style="1" customWidth="1"/>
    <col min="5111" max="5111" width="9.1796875" style="1"/>
    <col min="5112" max="5112" width="6" style="1" customWidth="1"/>
    <col min="5113" max="5113" width="17.26953125" style="1" customWidth="1"/>
    <col min="5114" max="5114" width="13.453125" style="1" customWidth="1"/>
    <col min="5115" max="5115" width="9.26953125" style="1" customWidth="1"/>
    <col min="5116" max="5117" width="14.453125" style="1" customWidth="1"/>
    <col min="5118" max="5357" width="9.1796875" style="1"/>
    <col min="5358" max="5358" width="3.1796875" style="1" customWidth="1"/>
    <col min="5359" max="5359" width="11.26953125" style="1" bestFit="1" customWidth="1"/>
    <col min="5360" max="5360" width="20.54296875" style="1" customWidth="1"/>
    <col min="5361" max="5362" width="0" style="1" hidden="1" customWidth="1"/>
    <col min="5363" max="5363" width="54.81640625" style="1" customWidth="1"/>
    <col min="5364" max="5364" width="24.7265625" style="1" customWidth="1"/>
    <col min="5365" max="5365" width="14.1796875" style="1" customWidth="1"/>
    <col min="5366" max="5366" width="19.26953125" style="1" customWidth="1"/>
    <col min="5367" max="5367" width="9.1796875" style="1"/>
    <col min="5368" max="5368" width="6" style="1" customWidth="1"/>
    <col min="5369" max="5369" width="17.26953125" style="1" customWidth="1"/>
    <col min="5370" max="5370" width="13.453125" style="1" customWidth="1"/>
    <col min="5371" max="5371" width="9.26953125" style="1" customWidth="1"/>
    <col min="5372" max="5373" width="14.453125" style="1" customWidth="1"/>
    <col min="5374" max="5613" width="9.1796875" style="1"/>
    <col min="5614" max="5614" width="3.1796875" style="1" customWidth="1"/>
    <col min="5615" max="5615" width="11.26953125" style="1" bestFit="1" customWidth="1"/>
    <col min="5616" max="5616" width="20.54296875" style="1" customWidth="1"/>
    <col min="5617" max="5618" width="0" style="1" hidden="1" customWidth="1"/>
    <col min="5619" max="5619" width="54.81640625" style="1" customWidth="1"/>
    <col min="5620" max="5620" width="24.7265625" style="1" customWidth="1"/>
    <col min="5621" max="5621" width="14.1796875" style="1" customWidth="1"/>
    <col min="5622" max="5622" width="19.26953125" style="1" customWidth="1"/>
    <col min="5623" max="5623" width="9.1796875" style="1"/>
    <col min="5624" max="5624" width="6" style="1" customWidth="1"/>
    <col min="5625" max="5625" width="17.26953125" style="1" customWidth="1"/>
    <col min="5626" max="5626" width="13.453125" style="1" customWidth="1"/>
    <col min="5627" max="5627" width="9.26953125" style="1" customWidth="1"/>
    <col min="5628" max="5629" width="14.453125" style="1" customWidth="1"/>
    <col min="5630" max="5869" width="9.1796875" style="1"/>
    <col min="5870" max="5870" width="3.1796875" style="1" customWidth="1"/>
    <col min="5871" max="5871" width="11.26953125" style="1" bestFit="1" customWidth="1"/>
    <col min="5872" max="5872" width="20.54296875" style="1" customWidth="1"/>
    <col min="5873" max="5874" width="0" style="1" hidden="1" customWidth="1"/>
    <col min="5875" max="5875" width="54.81640625" style="1" customWidth="1"/>
    <col min="5876" max="5876" width="24.7265625" style="1" customWidth="1"/>
    <col min="5877" max="5877" width="14.1796875" style="1" customWidth="1"/>
    <col min="5878" max="5878" width="19.26953125" style="1" customWidth="1"/>
    <col min="5879" max="5879" width="9.1796875" style="1"/>
    <col min="5880" max="5880" width="6" style="1" customWidth="1"/>
    <col min="5881" max="5881" width="17.26953125" style="1" customWidth="1"/>
    <col min="5882" max="5882" width="13.453125" style="1" customWidth="1"/>
    <col min="5883" max="5883" width="9.26953125" style="1" customWidth="1"/>
    <col min="5884" max="5885" width="14.453125" style="1" customWidth="1"/>
    <col min="5886" max="6125" width="9.1796875" style="1"/>
    <col min="6126" max="6126" width="3.1796875" style="1" customWidth="1"/>
    <col min="6127" max="6127" width="11.26953125" style="1" bestFit="1" customWidth="1"/>
    <col min="6128" max="6128" width="20.54296875" style="1" customWidth="1"/>
    <col min="6129" max="6130" width="0" style="1" hidden="1" customWidth="1"/>
    <col min="6131" max="6131" width="54.81640625" style="1" customWidth="1"/>
    <col min="6132" max="6132" width="24.7265625" style="1" customWidth="1"/>
    <col min="6133" max="6133" width="14.1796875" style="1" customWidth="1"/>
    <col min="6134" max="6134" width="19.26953125" style="1" customWidth="1"/>
    <col min="6135" max="6135" width="9.1796875" style="1"/>
    <col min="6136" max="6136" width="6" style="1" customWidth="1"/>
    <col min="6137" max="6137" width="17.26953125" style="1" customWidth="1"/>
    <col min="6138" max="6138" width="13.453125" style="1" customWidth="1"/>
    <col min="6139" max="6139" width="9.26953125" style="1" customWidth="1"/>
    <col min="6140" max="6141" width="14.453125" style="1" customWidth="1"/>
    <col min="6142" max="6381" width="9.1796875" style="1"/>
    <col min="6382" max="6382" width="3.1796875" style="1" customWidth="1"/>
    <col min="6383" max="6383" width="11.26953125" style="1" bestFit="1" customWidth="1"/>
    <col min="6384" max="6384" width="20.54296875" style="1" customWidth="1"/>
    <col min="6385" max="6386" width="0" style="1" hidden="1" customWidth="1"/>
    <col min="6387" max="6387" width="54.81640625" style="1" customWidth="1"/>
    <col min="6388" max="6388" width="24.7265625" style="1" customWidth="1"/>
    <col min="6389" max="6389" width="14.1796875" style="1" customWidth="1"/>
    <col min="6390" max="6390" width="19.26953125" style="1" customWidth="1"/>
    <col min="6391" max="6391" width="9.1796875" style="1"/>
    <col min="6392" max="6392" width="6" style="1" customWidth="1"/>
    <col min="6393" max="6393" width="17.26953125" style="1" customWidth="1"/>
    <col min="6394" max="6394" width="13.453125" style="1" customWidth="1"/>
    <col min="6395" max="6395" width="9.26953125" style="1" customWidth="1"/>
    <col min="6396" max="6397" width="14.453125" style="1" customWidth="1"/>
    <col min="6398" max="6637" width="9.1796875" style="1"/>
    <col min="6638" max="6638" width="3.1796875" style="1" customWidth="1"/>
    <col min="6639" max="6639" width="11.26953125" style="1" bestFit="1" customWidth="1"/>
    <col min="6640" max="6640" width="20.54296875" style="1" customWidth="1"/>
    <col min="6641" max="6642" width="0" style="1" hidden="1" customWidth="1"/>
    <col min="6643" max="6643" width="54.81640625" style="1" customWidth="1"/>
    <col min="6644" max="6644" width="24.7265625" style="1" customWidth="1"/>
    <col min="6645" max="6645" width="14.1796875" style="1" customWidth="1"/>
    <col min="6646" max="6646" width="19.26953125" style="1" customWidth="1"/>
    <col min="6647" max="6647" width="9.1796875" style="1"/>
    <col min="6648" max="6648" width="6" style="1" customWidth="1"/>
    <col min="6649" max="6649" width="17.26953125" style="1" customWidth="1"/>
    <col min="6650" max="6650" width="13.453125" style="1" customWidth="1"/>
    <col min="6651" max="6651" width="9.26953125" style="1" customWidth="1"/>
    <col min="6652" max="6653" width="14.453125" style="1" customWidth="1"/>
    <col min="6654" max="6893" width="9.1796875" style="1"/>
    <col min="6894" max="6894" width="3.1796875" style="1" customWidth="1"/>
    <col min="6895" max="6895" width="11.26953125" style="1" bestFit="1" customWidth="1"/>
    <col min="6896" max="6896" width="20.54296875" style="1" customWidth="1"/>
    <col min="6897" max="6898" width="0" style="1" hidden="1" customWidth="1"/>
    <col min="6899" max="6899" width="54.81640625" style="1" customWidth="1"/>
    <col min="6900" max="6900" width="24.7265625" style="1" customWidth="1"/>
    <col min="6901" max="6901" width="14.1796875" style="1" customWidth="1"/>
    <col min="6902" max="6902" width="19.26953125" style="1" customWidth="1"/>
    <col min="6903" max="6903" width="9.1796875" style="1"/>
    <col min="6904" max="6904" width="6" style="1" customWidth="1"/>
    <col min="6905" max="6905" width="17.26953125" style="1" customWidth="1"/>
    <col min="6906" max="6906" width="13.453125" style="1" customWidth="1"/>
    <col min="6907" max="6907" width="9.26953125" style="1" customWidth="1"/>
    <col min="6908" max="6909" width="14.453125" style="1" customWidth="1"/>
    <col min="6910" max="7149" width="9.1796875" style="1"/>
    <col min="7150" max="7150" width="3.1796875" style="1" customWidth="1"/>
    <col min="7151" max="7151" width="11.26953125" style="1" bestFit="1" customWidth="1"/>
    <col min="7152" max="7152" width="20.54296875" style="1" customWidth="1"/>
    <col min="7153" max="7154" width="0" style="1" hidden="1" customWidth="1"/>
    <col min="7155" max="7155" width="54.81640625" style="1" customWidth="1"/>
    <col min="7156" max="7156" width="24.7265625" style="1" customWidth="1"/>
    <col min="7157" max="7157" width="14.1796875" style="1" customWidth="1"/>
    <col min="7158" max="7158" width="19.26953125" style="1" customWidth="1"/>
    <col min="7159" max="7159" width="9.1796875" style="1"/>
    <col min="7160" max="7160" width="6" style="1" customWidth="1"/>
    <col min="7161" max="7161" width="17.26953125" style="1" customWidth="1"/>
    <col min="7162" max="7162" width="13.453125" style="1" customWidth="1"/>
    <col min="7163" max="7163" width="9.26953125" style="1" customWidth="1"/>
    <col min="7164" max="7165" width="14.453125" style="1" customWidth="1"/>
    <col min="7166" max="7405" width="9.1796875" style="1"/>
    <col min="7406" max="7406" width="3.1796875" style="1" customWidth="1"/>
    <col min="7407" max="7407" width="11.26953125" style="1" bestFit="1" customWidth="1"/>
    <col min="7408" max="7408" width="20.54296875" style="1" customWidth="1"/>
    <col min="7409" max="7410" width="0" style="1" hidden="1" customWidth="1"/>
    <col min="7411" max="7411" width="54.81640625" style="1" customWidth="1"/>
    <col min="7412" max="7412" width="24.7265625" style="1" customWidth="1"/>
    <col min="7413" max="7413" width="14.1796875" style="1" customWidth="1"/>
    <col min="7414" max="7414" width="19.26953125" style="1" customWidth="1"/>
    <col min="7415" max="7415" width="9.1796875" style="1"/>
    <col min="7416" max="7416" width="6" style="1" customWidth="1"/>
    <col min="7417" max="7417" width="17.26953125" style="1" customWidth="1"/>
    <col min="7418" max="7418" width="13.453125" style="1" customWidth="1"/>
    <col min="7419" max="7419" width="9.26953125" style="1" customWidth="1"/>
    <col min="7420" max="7421" width="14.453125" style="1" customWidth="1"/>
    <col min="7422" max="7661" width="9.1796875" style="1"/>
    <col min="7662" max="7662" width="3.1796875" style="1" customWidth="1"/>
    <col min="7663" max="7663" width="11.26953125" style="1" bestFit="1" customWidth="1"/>
    <col min="7664" max="7664" width="20.54296875" style="1" customWidth="1"/>
    <col min="7665" max="7666" width="0" style="1" hidden="1" customWidth="1"/>
    <col min="7667" max="7667" width="54.81640625" style="1" customWidth="1"/>
    <col min="7668" max="7668" width="24.7265625" style="1" customWidth="1"/>
    <col min="7669" max="7669" width="14.1796875" style="1" customWidth="1"/>
    <col min="7670" max="7670" width="19.26953125" style="1" customWidth="1"/>
    <col min="7671" max="7671" width="9.1796875" style="1"/>
    <col min="7672" max="7672" width="6" style="1" customWidth="1"/>
    <col min="7673" max="7673" width="17.26953125" style="1" customWidth="1"/>
    <col min="7674" max="7674" width="13.453125" style="1" customWidth="1"/>
    <col min="7675" max="7675" width="9.26953125" style="1" customWidth="1"/>
    <col min="7676" max="7677" width="14.453125" style="1" customWidth="1"/>
    <col min="7678" max="7917" width="9.1796875" style="1"/>
    <col min="7918" max="7918" width="3.1796875" style="1" customWidth="1"/>
    <col min="7919" max="7919" width="11.26953125" style="1" bestFit="1" customWidth="1"/>
    <col min="7920" max="7920" width="20.54296875" style="1" customWidth="1"/>
    <col min="7921" max="7922" width="0" style="1" hidden="1" customWidth="1"/>
    <col min="7923" max="7923" width="54.81640625" style="1" customWidth="1"/>
    <col min="7924" max="7924" width="24.7265625" style="1" customWidth="1"/>
    <col min="7925" max="7925" width="14.1796875" style="1" customWidth="1"/>
    <col min="7926" max="7926" width="19.26953125" style="1" customWidth="1"/>
    <col min="7927" max="7927" width="9.1796875" style="1"/>
    <col min="7928" max="7928" width="6" style="1" customWidth="1"/>
    <col min="7929" max="7929" width="17.26953125" style="1" customWidth="1"/>
    <col min="7930" max="7930" width="13.453125" style="1" customWidth="1"/>
    <col min="7931" max="7931" width="9.26953125" style="1" customWidth="1"/>
    <col min="7932" max="7933" width="14.453125" style="1" customWidth="1"/>
    <col min="7934" max="8173" width="9.1796875" style="1"/>
    <col min="8174" max="8174" width="3.1796875" style="1" customWidth="1"/>
    <col min="8175" max="8175" width="11.26953125" style="1" bestFit="1" customWidth="1"/>
    <col min="8176" max="8176" width="20.54296875" style="1" customWidth="1"/>
    <col min="8177" max="8178" width="0" style="1" hidden="1" customWidth="1"/>
    <col min="8179" max="8179" width="54.81640625" style="1" customWidth="1"/>
    <col min="8180" max="8180" width="24.7265625" style="1" customWidth="1"/>
    <col min="8181" max="8181" width="14.1796875" style="1" customWidth="1"/>
    <col min="8182" max="8182" width="19.26953125" style="1" customWidth="1"/>
    <col min="8183" max="8183" width="9.1796875" style="1"/>
    <col min="8184" max="8184" width="6" style="1" customWidth="1"/>
    <col min="8185" max="8185" width="17.26953125" style="1" customWidth="1"/>
    <col min="8186" max="8186" width="13.453125" style="1" customWidth="1"/>
    <col min="8187" max="8187" width="9.26953125" style="1" customWidth="1"/>
    <col min="8188" max="8189" width="14.453125" style="1" customWidth="1"/>
    <col min="8190" max="8429" width="9.1796875" style="1"/>
    <col min="8430" max="8430" width="3.1796875" style="1" customWidth="1"/>
    <col min="8431" max="8431" width="11.26953125" style="1" bestFit="1" customWidth="1"/>
    <col min="8432" max="8432" width="20.54296875" style="1" customWidth="1"/>
    <col min="8433" max="8434" width="0" style="1" hidden="1" customWidth="1"/>
    <col min="8435" max="8435" width="54.81640625" style="1" customWidth="1"/>
    <col min="8436" max="8436" width="24.7265625" style="1" customWidth="1"/>
    <col min="8437" max="8437" width="14.1796875" style="1" customWidth="1"/>
    <col min="8438" max="8438" width="19.26953125" style="1" customWidth="1"/>
    <col min="8439" max="8439" width="9.1796875" style="1"/>
    <col min="8440" max="8440" width="6" style="1" customWidth="1"/>
    <col min="8441" max="8441" width="17.26953125" style="1" customWidth="1"/>
    <col min="8442" max="8442" width="13.453125" style="1" customWidth="1"/>
    <col min="8443" max="8443" width="9.26953125" style="1" customWidth="1"/>
    <col min="8444" max="8445" width="14.453125" style="1" customWidth="1"/>
    <col min="8446" max="8685" width="9.1796875" style="1"/>
    <col min="8686" max="8686" width="3.1796875" style="1" customWidth="1"/>
    <col min="8687" max="8687" width="11.26953125" style="1" bestFit="1" customWidth="1"/>
    <col min="8688" max="8688" width="20.54296875" style="1" customWidth="1"/>
    <col min="8689" max="8690" width="0" style="1" hidden="1" customWidth="1"/>
    <col min="8691" max="8691" width="54.81640625" style="1" customWidth="1"/>
    <col min="8692" max="8692" width="24.7265625" style="1" customWidth="1"/>
    <col min="8693" max="8693" width="14.1796875" style="1" customWidth="1"/>
    <col min="8694" max="8694" width="19.26953125" style="1" customWidth="1"/>
    <col min="8695" max="8695" width="9.1796875" style="1"/>
    <col min="8696" max="8696" width="6" style="1" customWidth="1"/>
    <col min="8697" max="8697" width="17.26953125" style="1" customWidth="1"/>
    <col min="8698" max="8698" width="13.453125" style="1" customWidth="1"/>
    <col min="8699" max="8699" width="9.26953125" style="1" customWidth="1"/>
    <col min="8700" max="8701" width="14.453125" style="1" customWidth="1"/>
    <col min="8702" max="8941" width="9.1796875" style="1"/>
    <col min="8942" max="8942" width="3.1796875" style="1" customWidth="1"/>
    <col min="8943" max="8943" width="11.26953125" style="1" bestFit="1" customWidth="1"/>
    <col min="8944" max="8944" width="20.54296875" style="1" customWidth="1"/>
    <col min="8945" max="8946" width="0" style="1" hidden="1" customWidth="1"/>
    <col min="8947" max="8947" width="54.81640625" style="1" customWidth="1"/>
    <col min="8948" max="8948" width="24.7265625" style="1" customWidth="1"/>
    <col min="8949" max="8949" width="14.1796875" style="1" customWidth="1"/>
    <col min="8950" max="8950" width="19.26953125" style="1" customWidth="1"/>
    <col min="8951" max="8951" width="9.1796875" style="1"/>
    <col min="8952" max="8952" width="6" style="1" customWidth="1"/>
    <col min="8953" max="8953" width="17.26953125" style="1" customWidth="1"/>
    <col min="8954" max="8954" width="13.453125" style="1" customWidth="1"/>
    <col min="8955" max="8955" width="9.26953125" style="1" customWidth="1"/>
    <col min="8956" max="8957" width="14.453125" style="1" customWidth="1"/>
    <col min="8958" max="9197" width="9.1796875" style="1"/>
    <col min="9198" max="9198" width="3.1796875" style="1" customWidth="1"/>
    <col min="9199" max="9199" width="11.26953125" style="1" bestFit="1" customWidth="1"/>
    <col min="9200" max="9200" width="20.54296875" style="1" customWidth="1"/>
    <col min="9201" max="9202" width="0" style="1" hidden="1" customWidth="1"/>
    <col min="9203" max="9203" width="54.81640625" style="1" customWidth="1"/>
    <col min="9204" max="9204" width="24.7265625" style="1" customWidth="1"/>
    <col min="9205" max="9205" width="14.1796875" style="1" customWidth="1"/>
    <col min="9206" max="9206" width="19.26953125" style="1" customWidth="1"/>
    <col min="9207" max="9207" width="9.1796875" style="1"/>
    <col min="9208" max="9208" width="6" style="1" customWidth="1"/>
    <col min="9209" max="9209" width="17.26953125" style="1" customWidth="1"/>
    <col min="9210" max="9210" width="13.453125" style="1" customWidth="1"/>
    <col min="9211" max="9211" width="9.26953125" style="1" customWidth="1"/>
    <col min="9212" max="9213" width="14.453125" style="1" customWidth="1"/>
    <col min="9214" max="9453" width="9.1796875" style="1"/>
    <col min="9454" max="9454" width="3.1796875" style="1" customWidth="1"/>
    <col min="9455" max="9455" width="11.26953125" style="1" bestFit="1" customWidth="1"/>
    <col min="9456" max="9456" width="20.54296875" style="1" customWidth="1"/>
    <col min="9457" max="9458" width="0" style="1" hidden="1" customWidth="1"/>
    <col min="9459" max="9459" width="54.81640625" style="1" customWidth="1"/>
    <col min="9460" max="9460" width="24.7265625" style="1" customWidth="1"/>
    <col min="9461" max="9461" width="14.1796875" style="1" customWidth="1"/>
    <col min="9462" max="9462" width="19.26953125" style="1" customWidth="1"/>
    <col min="9463" max="9463" width="9.1796875" style="1"/>
    <col min="9464" max="9464" width="6" style="1" customWidth="1"/>
    <col min="9465" max="9465" width="17.26953125" style="1" customWidth="1"/>
    <col min="9466" max="9466" width="13.453125" style="1" customWidth="1"/>
    <col min="9467" max="9467" width="9.26953125" style="1" customWidth="1"/>
    <col min="9468" max="9469" width="14.453125" style="1" customWidth="1"/>
    <col min="9470" max="9709" width="9.1796875" style="1"/>
    <col min="9710" max="9710" width="3.1796875" style="1" customWidth="1"/>
    <col min="9711" max="9711" width="11.26953125" style="1" bestFit="1" customWidth="1"/>
    <col min="9712" max="9712" width="20.54296875" style="1" customWidth="1"/>
    <col min="9713" max="9714" width="0" style="1" hidden="1" customWidth="1"/>
    <col min="9715" max="9715" width="54.81640625" style="1" customWidth="1"/>
    <col min="9716" max="9716" width="24.7265625" style="1" customWidth="1"/>
    <col min="9717" max="9717" width="14.1796875" style="1" customWidth="1"/>
    <col min="9718" max="9718" width="19.26953125" style="1" customWidth="1"/>
    <col min="9719" max="9719" width="9.1796875" style="1"/>
    <col min="9720" max="9720" width="6" style="1" customWidth="1"/>
    <col min="9721" max="9721" width="17.26953125" style="1" customWidth="1"/>
    <col min="9722" max="9722" width="13.453125" style="1" customWidth="1"/>
    <col min="9723" max="9723" width="9.26953125" style="1" customWidth="1"/>
    <col min="9724" max="9725" width="14.453125" style="1" customWidth="1"/>
    <col min="9726" max="9965" width="9.1796875" style="1"/>
    <col min="9966" max="9966" width="3.1796875" style="1" customWidth="1"/>
    <col min="9967" max="9967" width="11.26953125" style="1" bestFit="1" customWidth="1"/>
    <col min="9968" max="9968" width="20.54296875" style="1" customWidth="1"/>
    <col min="9969" max="9970" width="0" style="1" hidden="1" customWidth="1"/>
    <col min="9971" max="9971" width="54.81640625" style="1" customWidth="1"/>
    <col min="9972" max="9972" width="24.7265625" style="1" customWidth="1"/>
    <col min="9973" max="9973" width="14.1796875" style="1" customWidth="1"/>
    <col min="9974" max="9974" width="19.26953125" style="1" customWidth="1"/>
    <col min="9975" max="9975" width="9.1796875" style="1"/>
    <col min="9976" max="9976" width="6" style="1" customWidth="1"/>
    <col min="9977" max="9977" width="17.26953125" style="1" customWidth="1"/>
    <col min="9978" max="9978" width="13.453125" style="1" customWidth="1"/>
    <col min="9979" max="9979" width="9.26953125" style="1" customWidth="1"/>
    <col min="9980" max="9981" width="14.453125" style="1" customWidth="1"/>
    <col min="9982" max="10221" width="9.1796875" style="1"/>
    <col min="10222" max="10222" width="3.1796875" style="1" customWidth="1"/>
    <col min="10223" max="10223" width="11.26953125" style="1" bestFit="1" customWidth="1"/>
    <col min="10224" max="10224" width="20.54296875" style="1" customWidth="1"/>
    <col min="10225" max="10226" width="0" style="1" hidden="1" customWidth="1"/>
    <col min="10227" max="10227" width="54.81640625" style="1" customWidth="1"/>
    <col min="10228" max="10228" width="24.7265625" style="1" customWidth="1"/>
    <col min="10229" max="10229" width="14.1796875" style="1" customWidth="1"/>
    <col min="10230" max="10230" width="19.26953125" style="1" customWidth="1"/>
    <col min="10231" max="10231" width="9.1796875" style="1"/>
    <col min="10232" max="10232" width="6" style="1" customWidth="1"/>
    <col min="10233" max="10233" width="17.26953125" style="1" customWidth="1"/>
    <col min="10234" max="10234" width="13.453125" style="1" customWidth="1"/>
    <col min="10235" max="10235" width="9.26953125" style="1" customWidth="1"/>
    <col min="10236" max="10237" width="14.453125" style="1" customWidth="1"/>
    <col min="10238" max="10477" width="9.1796875" style="1"/>
    <col min="10478" max="10478" width="3.1796875" style="1" customWidth="1"/>
    <col min="10479" max="10479" width="11.26953125" style="1" bestFit="1" customWidth="1"/>
    <col min="10480" max="10480" width="20.54296875" style="1" customWidth="1"/>
    <col min="10481" max="10482" width="0" style="1" hidden="1" customWidth="1"/>
    <col min="10483" max="10483" width="54.81640625" style="1" customWidth="1"/>
    <col min="10484" max="10484" width="24.7265625" style="1" customWidth="1"/>
    <col min="10485" max="10485" width="14.1796875" style="1" customWidth="1"/>
    <col min="10486" max="10486" width="19.26953125" style="1" customWidth="1"/>
    <col min="10487" max="10487" width="9.1796875" style="1"/>
    <col min="10488" max="10488" width="6" style="1" customWidth="1"/>
    <col min="10489" max="10489" width="17.26953125" style="1" customWidth="1"/>
    <col min="10490" max="10490" width="13.453125" style="1" customWidth="1"/>
    <col min="10491" max="10491" width="9.26953125" style="1" customWidth="1"/>
    <col min="10492" max="10493" width="14.453125" style="1" customWidth="1"/>
    <col min="10494" max="10733" width="9.1796875" style="1"/>
    <col min="10734" max="10734" width="3.1796875" style="1" customWidth="1"/>
    <col min="10735" max="10735" width="11.26953125" style="1" bestFit="1" customWidth="1"/>
    <col min="10736" max="10736" width="20.54296875" style="1" customWidth="1"/>
    <col min="10737" max="10738" width="0" style="1" hidden="1" customWidth="1"/>
    <col min="10739" max="10739" width="54.81640625" style="1" customWidth="1"/>
    <col min="10740" max="10740" width="24.7265625" style="1" customWidth="1"/>
    <col min="10741" max="10741" width="14.1796875" style="1" customWidth="1"/>
    <col min="10742" max="10742" width="19.26953125" style="1" customWidth="1"/>
    <col min="10743" max="10743" width="9.1796875" style="1"/>
    <col min="10744" max="10744" width="6" style="1" customWidth="1"/>
    <col min="10745" max="10745" width="17.26953125" style="1" customWidth="1"/>
    <col min="10746" max="10746" width="13.453125" style="1" customWidth="1"/>
    <col min="10747" max="10747" width="9.26953125" style="1" customWidth="1"/>
    <col min="10748" max="10749" width="14.453125" style="1" customWidth="1"/>
    <col min="10750" max="10989" width="9.1796875" style="1"/>
    <col min="10990" max="10990" width="3.1796875" style="1" customWidth="1"/>
    <col min="10991" max="10991" width="11.26953125" style="1" bestFit="1" customWidth="1"/>
    <col min="10992" max="10992" width="20.54296875" style="1" customWidth="1"/>
    <col min="10993" max="10994" width="0" style="1" hidden="1" customWidth="1"/>
    <col min="10995" max="10995" width="54.81640625" style="1" customWidth="1"/>
    <col min="10996" max="10996" width="24.7265625" style="1" customWidth="1"/>
    <col min="10997" max="10997" width="14.1796875" style="1" customWidth="1"/>
    <col min="10998" max="10998" width="19.26953125" style="1" customWidth="1"/>
    <col min="10999" max="10999" width="9.1796875" style="1"/>
    <col min="11000" max="11000" width="6" style="1" customWidth="1"/>
    <col min="11001" max="11001" width="17.26953125" style="1" customWidth="1"/>
    <col min="11002" max="11002" width="13.453125" style="1" customWidth="1"/>
    <col min="11003" max="11003" width="9.26953125" style="1" customWidth="1"/>
    <col min="11004" max="11005" width="14.453125" style="1" customWidth="1"/>
    <col min="11006" max="11245" width="9.1796875" style="1"/>
    <col min="11246" max="11246" width="3.1796875" style="1" customWidth="1"/>
    <col min="11247" max="11247" width="11.26953125" style="1" bestFit="1" customWidth="1"/>
    <col min="11248" max="11248" width="20.54296875" style="1" customWidth="1"/>
    <col min="11249" max="11250" width="0" style="1" hidden="1" customWidth="1"/>
    <col min="11251" max="11251" width="54.81640625" style="1" customWidth="1"/>
    <col min="11252" max="11252" width="24.7265625" style="1" customWidth="1"/>
    <col min="11253" max="11253" width="14.1796875" style="1" customWidth="1"/>
    <col min="11254" max="11254" width="19.26953125" style="1" customWidth="1"/>
    <col min="11255" max="11255" width="9.1796875" style="1"/>
    <col min="11256" max="11256" width="6" style="1" customWidth="1"/>
    <col min="11257" max="11257" width="17.26953125" style="1" customWidth="1"/>
    <col min="11258" max="11258" width="13.453125" style="1" customWidth="1"/>
    <col min="11259" max="11259" width="9.26953125" style="1" customWidth="1"/>
    <col min="11260" max="11261" width="14.453125" style="1" customWidth="1"/>
    <col min="11262" max="11501" width="9.1796875" style="1"/>
    <col min="11502" max="11502" width="3.1796875" style="1" customWidth="1"/>
    <col min="11503" max="11503" width="11.26953125" style="1" bestFit="1" customWidth="1"/>
    <col min="11504" max="11504" width="20.54296875" style="1" customWidth="1"/>
    <col min="11505" max="11506" width="0" style="1" hidden="1" customWidth="1"/>
    <col min="11507" max="11507" width="54.81640625" style="1" customWidth="1"/>
    <col min="11508" max="11508" width="24.7265625" style="1" customWidth="1"/>
    <col min="11509" max="11509" width="14.1796875" style="1" customWidth="1"/>
    <col min="11510" max="11510" width="19.26953125" style="1" customWidth="1"/>
    <col min="11511" max="11511" width="9.1796875" style="1"/>
    <col min="11512" max="11512" width="6" style="1" customWidth="1"/>
    <col min="11513" max="11513" width="17.26953125" style="1" customWidth="1"/>
    <col min="11514" max="11514" width="13.453125" style="1" customWidth="1"/>
    <col min="11515" max="11515" width="9.26953125" style="1" customWidth="1"/>
    <col min="11516" max="11517" width="14.453125" style="1" customWidth="1"/>
    <col min="11518" max="11757" width="9.1796875" style="1"/>
    <col min="11758" max="11758" width="3.1796875" style="1" customWidth="1"/>
    <col min="11759" max="11759" width="11.26953125" style="1" bestFit="1" customWidth="1"/>
    <col min="11760" max="11760" width="20.54296875" style="1" customWidth="1"/>
    <col min="11761" max="11762" width="0" style="1" hidden="1" customWidth="1"/>
    <col min="11763" max="11763" width="54.81640625" style="1" customWidth="1"/>
    <col min="11764" max="11764" width="24.7265625" style="1" customWidth="1"/>
    <col min="11765" max="11765" width="14.1796875" style="1" customWidth="1"/>
    <col min="11766" max="11766" width="19.26953125" style="1" customWidth="1"/>
    <col min="11767" max="11767" width="9.1796875" style="1"/>
    <col min="11768" max="11768" width="6" style="1" customWidth="1"/>
    <col min="11769" max="11769" width="17.26953125" style="1" customWidth="1"/>
    <col min="11770" max="11770" width="13.453125" style="1" customWidth="1"/>
    <col min="11771" max="11771" width="9.26953125" style="1" customWidth="1"/>
    <col min="11772" max="11773" width="14.453125" style="1" customWidth="1"/>
    <col min="11774" max="12013" width="9.1796875" style="1"/>
    <col min="12014" max="12014" width="3.1796875" style="1" customWidth="1"/>
    <col min="12015" max="12015" width="11.26953125" style="1" bestFit="1" customWidth="1"/>
    <col min="12016" max="12016" width="20.54296875" style="1" customWidth="1"/>
    <col min="12017" max="12018" width="0" style="1" hidden="1" customWidth="1"/>
    <col min="12019" max="12019" width="54.81640625" style="1" customWidth="1"/>
    <col min="12020" max="12020" width="24.7265625" style="1" customWidth="1"/>
    <col min="12021" max="12021" width="14.1796875" style="1" customWidth="1"/>
    <col min="12022" max="12022" width="19.26953125" style="1" customWidth="1"/>
    <col min="12023" max="12023" width="9.1796875" style="1"/>
    <col min="12024" max="12024" width="6" style="1" customWidth="1"/>
    <col min="12025" max="12025" width="17.26953125" style="1" customWidth="1"/>
    <col min="12026" max="12026" width="13.453125" style="1" customWidth="1"/>
    <col min="12027" max="12027" width="9.26953125" style="1" customWidth="1"/>
    <col min="12028" max="12029" width="14.453125" style="1" customWidth="1"/>
    <col min="12030" max="12269" width="9.1796875" style="1"/>
    <col min="12270" max="12270" width="3.1796875" style="1" customWidth="1"/>
    <col min="12271" max="12271" width="11.26953125" style="1" bestFit="1" customWidth="1"/>
    <col min="12272" max="12272" width="20.54296875" style="1" customWidth="1"/>
    <col min="12273" max="12274" width="0" style="1" hidden="1" customWidth="1"/>
    <col min="12275" max="12275" width="54.81640625" style="1" customWidth="1"/>
    <col min="12276" max="12276" width="24.7265625" style="1" customWidth="1"/>
    <col min="12277" max="12277" width="14.1796875" style="1" customWidth="1"/>
    <col min="12278" max="12278" width="19.26953125" style="1" customWidth="1"/>
    <col min="12279" max="12279" width="9.1796875" style="1"/>
    <col min="12280" max="12280" width="6" style="1" customWidth="1"/>
    <col min="12281" max="12281" width="17.26953125" style="1" customWidth="1"/>
    <col min="12282" max="12282" width="13.453125" style="1" customWidth="1"/>
    <col min="12283" max="12283" width="9.26953125" style="1" customWidth="1"/>
    <col min="12284" max="12285" width="14.453125" style="1" customWidth="1"/>
    <col min="12286" max="12525" width="9.1796875" style="1"/>
    <col min="12526" max="12526" width="3.1796875" style="1" customWidth="1"/>
    <col min="12527" max="12527" width="11.26953125" style="1" bestFit="1" customWidth="1"/>
    <col min="12528" max="12528" width="20.54296875" style="1" customWidth="1"/>
    <col min="12529" max="12530" width="0" style="1" hidden="1" customWidth="1"/>
    <col min="12531" max="12531" width="54.81640625" style="1" customWidth="1"/>
    <col min="12532" max="12532" width="24.7265625" style="1" customWidth="1"/>
    <col min="12533" max="12533" width="14.1796875" style="1" customWidth="1"/>
    <col min="12534" max="12534" width="19.26953125" style="1" customWidth="1"/>
    <col min="12535" max="12535" width="9.1796875" style="1"/>
    <col min="12536" max="12536" width="6" style="1" customWidth="1"/>
    <col min="12537" max="12537" width="17.26953125" style="1" customWidth="1"/>
    <col min="12538" max="12538" width="13.453125" style="1" customWidth="1"/>
    <col min="12539" max="12539" width="9.26953125" style="1" customWidth="1"/>
    <col min="12540" max="12541" width="14.453125" style="1" customWidth="1"/>
    <col min="12542" max="12781" width="9.1796875" style="1"/>
    <col min="12782" max="12782" width="3.1796875" style="1" customWidth="1"/>
    <col min="12783" max="12783" width="11.26953125" style="1" bestFit="1" customWidth="1"/>
    <col min="12784" max="12784" width="20.54296875" style="1" customWidth="1"/>
    <col min="12785" max="12786" width="0" style="1" hidden="1" customWidth="1"/>
    <col min="12787" max="12787" width="54.81640625" style="1" customWidth="1"/>
    <col min="12788" max="12788" width="24.7265625" style="1" customWidth="1"/>
    <col min="12789" max="12789" width="14.1796875" style="1" customWidth="1"/>
    <col min="12790" max="12790" width="19.26953125" style="1" customWidth="1"/>
    <col min="12791" max="12791" width="9.1796875" style="1"/>
    <col min="12792" max="12792" width="6" style="1" customWidth="1"/>
    <col min="12793" max="12793" width="17.26953125" style="1" customWidth="1"/>
    <col min="12794" max="12794" width="13.453125" style="1" customWidth="1"/>
    <col min="12795" max="12795" width="9.26953125" style="1" customWidth="1"/>
    <col min="12796" max="12797" width="14.453125" style="1" customWidth="1"/>
    <col min="12798" max="13037" width="9.1796875" style="1"/>
    <col min="13038" max="13038" width="3.1796875" style="1" customWidth="1"/>
    <col min="13039" max="13039" width="11.26953125" style="1" bestFit="1" customWidth="1"/>
    <col min="13040" max="13040" width="20.54296875" style="1" customWidth="1"/>
    <col min="13041" max="13042" width="0" style="1" hidden="1" customWidth="1"/>
    <col min="13043" max="13043" width="54.81640625" style="1" customWidth="1"/>
    <col min="13044" max="13044" width="24.7265625" style="1" customWidth="1"/>
    <col min="13045" max="13045" width="14.1796875" style="1" customWidth="1"/>
    <col min="13046" max="13046" width="19.26953125" style="1" customWidth="1"/>
    <col min="13047" max="13047" width="9.1796875" style="1"/>
    <col min="13048" max="13048" width="6" style="1" customWidth="1"/>
    <col min="13049" max="13049" width="17.26953125" style="1" customWidth="1"/>
    <col min="13050" max="13050" width="13.453125" style="1" customWidth="1"/>
    <col min="13051" max="13051" width="9.26953125" style="1" customWidth="1"/>
    <col min="13052" max="13053" width="14.453125" style="1" customWidth="1"/>
    <col min="13054" max="13293" width="9.1796875" style="1"/>
    <col min="13294" max="13294" width="3.1796875" style="1" customWidth="1"/>
    <col min="13295" max="13295" width="11.26953125" style="1" bestFit="1" customWidth="1"/>
    <col min="13296" max="13296" width="20.54296875" style="1" customWidth="1"/>
    <col min="13297" max="13298" width="0" style="1" hidden="1" customWidth="1"/>
    <col min="13299" max="13299" width="54.81640625" style="1" customWidth="1"/>
    <col min="13300" max="13300" width="24.7265625" style="1" customWidth="1"/>
    <col min="13301" max="13301" width="14.1796875" style="1" customWidth="1"/>
    <col min="13302" max="13302" width="19.26953125" style="1" customWidth="1"/>
    <col min="13303" max="13303" width="9.1796875" style="1"/>
    <col min="13304" max="13304" width="6" style="1" customWidth="1"/>
    <col min="13305" max="13305" width="17.26953125" style="1" customWidth="1"/>
    <col min="13306" max="13306" width="13.453125" style="1" customWidth="1"/>
    <col min="13307" max="13307" width="9.26953125" style="1" customWidth="1"/>
    <col min="13308" max="13309" width="14.453125" style="1" customWidth="1"/>
    <col min="13310" max="13549" width="9.1796875" style="1"/>
    <col min="13550" max="13550" width="3.1796875" style="1" customWidth="1"/>
    <col min="13551" max="13551" width="11.26953125" style="1" bestFit="1" customWidth="1"/>
    <col min="13552" max="13552" width="20.54296875" style="1" customWidth="1"/>
    <col min="13553" max="13554" width="0" style="1" hidden="1" customWidth="1"/>
    <col min="13555" max="13555" width="54.81640625" style="1" customWidth="1"/>
    <col min="13556" max="13556" width="24.7265625" style="1" customWidth="1"/>
    <col min="13557" max="13557" width="14.1796875" style="1" customWidth="1"/>
    <col min="13558" max="13558" width="19.26953125" style="1" customWidth="1"/>
    <col min="13559" max="13559" width="9.1796875" style="1"/>
    <col min="13560" max="13560" width="6" style="1" customWidth="1"/>
    <col min="13561" max="13561" width="17.26953125" style="1" customWidth="1"/>
    <col min="13562" max="13562" width="13.453125" style="1" customWidth="1"/>
    <col min="13563" max="13563" width="9.26953125" style="1" customWidth="1"/>
    <col min="13564" max="13565" width="14.453125" style="1" customWidth="1"/>
    <col min="13566" max="13805" width="9.1796875" style="1"/>
    <col min="13806" max="13806" width="3.1796875" style="1" customWidth="1"/>
    <col min="13807" max="13807" width="11.26953125" style="1" bestFit="1" customWidth="1"/>
    <col min="13808" max="13808" width="20.54296875" style="1" customWidth="1"/>
    <col min="13809" max="13810" width="0" style="1" hidden="1" customWidth="1"/>
    <col min="13811" max="13811" width="54.81640625" style="1" customWidth="1"/>
    <col min="13812" max="13812" width="24.7265625" style="1" customWidth="1"/>
    <col min="13813" max="13813" width="14.1796875" style="1" customWidth="1"/>
    <col min="13814" max="13814" width="19.26953125" style="1" customWidth="1"/>
    <col min="13815" max="13815" width="9.1796875" style="1"/>
    <col min="13816" max="13816" width="6" style="1" customWidth="1"/>
    <col min="13817" max="13817" width="17.26953125" style="1" customWidth="1"/>
    <col min="13818" max="13818" width="13.453125" style="1" customWidth="1"/>
    <col min="13819" max="13819" width="9.26953125" style="1" customWidth="1"/>
    <col min="13820" max="13821" width="14.453125" style="1" customWidth="1"/>
    <col min="13822" max="14061" width="9.1796875" style="1"/>
    <col min="14062" max="14062" width="3.1796875" style="1" customWidth="1"/>
    <col min="14063" max="14063" width="11.26953125" style="1" bestFit="1" customWidth="1"/>
    <col min="14064" max="14064" width="20.54296875" style="1" customWidth="1"/>
    <col min="14065" max="14066" width="0" style="1" hidden="1" customWidth="1"/>
    <col min="14067" max="14067" width="54.81640625" style="1" customWidth="1"/>
    <col min="14068" max="14068" width="24.7265625" style="1" customWidth="1"/>
    <col min="14069" max="14069" width="14.1796875" style="1" customWidth="1"/>
    <col min="14070" max="14070" width="19.26953125" style="1" customWidth="1"/>
    <col min="14071" max="14071" width="9.1796875" style="1"/>
    <col min="14072" max="14072" width="6" style="1" customWidth="1"/>
    <col min="14073" max="14073" width="17.26953125" style="1" customWidth="1"/>
    <col min="14074" max="14074" width="13.453125" style="1" customWidth="1"/>
    <col min="14075" max="14075" width="9.26953125" style="1" customWidth="1"/>
    <col min="14076" max="14077" width="14.453125" style="1" customWidth="1"/>
    <col min="14078" max="14317" width="9.1796875" style="1"/>
    <col min="14318" max="14318" width="3.1796875" style="1" customWidth="1"/>
    <col min="14319" max="14319" width="11.26953125" style="1" bestFit="1" customWidth="1"/>
    <col min="14320" max="14320" width="20.54296875" style="1" customWidth="1"/>
    <col min="14321" max="14322" width="0" style="1" hidden="1" customWidth="1"/>
    <col min="14323" max="14323" width="54.81640625" style="1" customWidth="1"/>
    <col min="14324" max="14324" width="24.7265625" style="1" customWidth="1"/>
    <col min="14325" max="14325" width="14.1796875" style="1" customWidth="1"/>
    <col min="14326" max="14326" width="19.26953125" style="1" customWidth="1"/>
    <col min="14327" max="14327" width="9.1796875" style="1"/>
    <col min="14328" max="14328" width="6" style="1" customWidth="1"/>
    <col min="14329" max="14329" width="17.26953125" style="1" customWidth="1"/>
    <col min="14330" max="14330" width="13.453125" style="1" customWidth="1"/>
    <col min="14331" max="14331" width="9.26953125" style="1" customWidth="1"/>
    <col min="14332" max="14333" width="14.453125" style="1" customWidth="1"/>
    <col min="14334" max="14573" width="9.1796875" style="1"/>
    <col min="14574" max="14574" width="3.1796875" style="1" customWidth="1"/>
    <col min="14575" max="14575" width="11.26953125" style="1" bestFit="1" customWidth="1"/>
    <col min="14576" max="14576" width="20.54296875" style="1" customWidth="1"/>
    <col min="14577" max="14578" width="0" style="1" hidden="1" customWidth="1"/>
    <col min="14579" max="14579" width="54.81640625" style="1" customWidth="1"/>
    <col min="14580" max="14580" width="24.7265625" style="1" customWidth="1"/>
    <col min="14581" max="14581" width="14.1796875" style="1" customWidth="1"/>
    <col min="14582" max="14582" width="19.26953125" style="1" customWidth="1"/>
    <col min="14583" max="14583" width="9.1796875" style="1"/>
    <col min="14584" max="14584" width="6" style="1" customWidth="1"/>
    <col min="14585" max="14585" width="17.26953125" style="1" customWidth="1"/>
    <col min="14586" max="14586" width="13.453125" style="1" customWidth="1"/>
    <col min="14587" max="14587" width="9.26953125" style="1" customWidth="1"/>
    <col min="14588" max="14589" width="14.453125" style="1" customWidth="1"/>
    <col min="14590" max="14829" width="9.1796875" style="1"/>
    <col min="14830" max="14830" width="3.1796875" style="1" customWidth="1"/>
    <col min="14831" max="14831" width="11.26953125" style="1" bestFit="1" customWidth="1"/>
    <col min="14832" max="14832" width="20.54296875" style="1" customWidth="1"/>
    <col min="14833" max="14834" width="0" style="1" hidden="1" customWidth="1"/>
    <col min="14835" max="14835" width="54.81640625" style="1" customWidth="1"/>
    <col min="14836" max="14836" width="24.7265625" style="1" customWidth="1"/>
    <col min="14837" max="14837" width="14.1796875" style="1" customWidth="1"/>
    <col min="14838" max="14838" width="19.26953125" style="1" customWidth="1"/>
    <col min="14839" max="14839" width="9.1796875" style="1"/>
    <col min="14840" max="14840" width="6" style="1" customWidth="1"/>
    <col min="14841" max="14841" width="17.26953125" style="1" customWidth="1"/>
    <col min="14842" max="14842" width="13.453125" style="1" customWidth="1"/>
    <col min="14843" max="14843" width="9.26953125" style="1" customWidth="1"/>
    <col min="14844" max="14845" width="14.453125" style="1" customWidth="1"/>
    <col min="14846" max="15085" width="9.1796875" style="1"/>
    <col min="15086" max="15086" width="3.1796875" style="1" customWidth="1"/>
    <col min="15087" max="15087" width="11.26953125" style="1" bestFit="1" customWidth="1"/>
    <col min="15088" max="15088" width="20.54296875" style="1" customWidth="1"/>
    <col min="15089" max="15090" width="0" style="1" hidden="1" customWidth="1"/>
    <col min="15091" max="15091" width="54.81640625" style="1" customWidth="1"/>
    <col min="15092" max="15092" width="24.7265625" style="1" customWidth="1"/>
    <col min="15093" max="15093" width="14.1796875" style="1" customWidth="1"/>
    <col min="15094" max="15094" width="19.26953125" style="1" customWidth="1"/>
    <col min="15095" max="15095" width="9.1796875" style="1"/>
    <col min="15096" max="15096" width="6" style="1" customWidth="1"/>
    <col min="15097" max="15097" width="17.26953125" style="1" customWidth="1"/>
    <col min="15098" max="15098" width="13.453125" style="1" customWidth="1"/>
    <col min="15099" max="15099" width="9.26953125" style="1" customWidth="1"/>
    <col min="15100" max="15101" width="14.453125" style="1" customWidth="1"/>
    <col min="15102" max="15341" width="9.1796875" style="1"/>
    <col min="15342" max="15342" width="3.1796875" style="1" customWidth="1"/>
    <col min="15343" max="15343" width="11.26953125" style="1" bestFit="1" customWidth="1"/>
    <col min="15344" max="15344" width="20.54296875" style="1" customWidth="1"/>
    <col min="15345" max="15346" width="0" style="1" hidden="1" customWidth="1"/>
    <col min="15347" max="15347" width="54.81640625" style="1" customWidth="1"/>
    <col min="15348" max="15348" width="24.7265625" style="1" customWidth="1"/>
    <col min="15349" max="15349" width="14.1796875" style="1" customWidth="1"/>
    <col min="15350" max="15350" width="19.26953125" style="1" customWidth="1"/>
    <col min="15351" max="15351" width="9.1796875" style="1"/>
    <col min="15352" max="15352" width="6" style="1" customWidth="1"/>
    <col min="15353" max="15353" width="17.26953125" style="1" customWidth="1"/>
    <col min="15354" max="15354" width="13.453125" style="1" customWidth="1"/>
    <col min="15355" max="15355" width="9.26953125" style="1" customWidth="1"/>
    <col min="15356" max="15357" width="14.453125" style="1" customWidth="1"/>
    <col min="15358" max="15597" width="9.1796875" style="1"/>
    <col min="15598" max="15598" width="3.1796875" style="1" customWidth="1"/>
    <col min="15599" max="15599" width="11.26953125" style="1" bestFit="1" customWidth="1"/>
    <col min="15600" max="15600" width="20.54296875" style="1" customWidth="1"/>
    <col min="15601" max="15602" width="0" style="1" hidden="1" customWidth="1"/>
    <col min="15603" max="15603" width="54.81640625" style="1" customWidth="1"/>
    <col min="15604" max="15604" width="24.7265625" style="1" customWidth="1"/>
    <col min="15605" max="15605" width="14.1796875" style="1" customWidth="1"/>
    <col min="15606" max="15606" width="19.26953125" style="1" customWidth="1"/>
    <col min="15607" max="15607" width="9.1796875" style="1"/>
    <col min="15608" max="15608" width="6" style="1" customWidth="1"/>
    <col min="15609" max="15609" width="17.26953125" style="1" customWidth="1"/>
    <col min="15610" max="15610" width="13.453125" style="1" customWidth="1"/>
    <col min="15611" max="15611" width="9.26953125" style="1" customWidth="1"/>
    <col min="15612" max="15613" width="14.453125" style="1" customWidth="1"/>
    <col min="15614" max="15853" width="9.1796875" style="1"/>
    <col min="15854" max="15854" width="3.1796875" style="1" customWidth="1"/>
    <col min="15855" max="15855" width="11.26953125" style="1" bestFit="1" customWidth="1"/>
    <col min="15856" max="15856" width="20.54296875" style="1" customWidth="1"/>
    <col min="15857" max="15858" width="0" style="1" hidden="1" customWidth="1"/>
    <col min="15859" max="15859" width="54.81640625" style="1" customWidth="1"/>
    <col min="15860" max="15860" width="24.7265625" style="1" customWidth="1"/>
    <col min="15861" max="15861" width="14.1796875" style="1" customWidth="1"/>
    <col min="15862" max="15862" width="19.26953125" style="1" customWidth="1"/>
    <col min="15863" max="15863" width="9.1796875" style="1"/>
    <col min="15864" max="15864" width="6" style="1" customWidth="1"/>
    <col min="15865" max="15865" width="17.26953125" style="1" customWidth="1"/>
    <col min="15866" max="15866" width="13.453125" style="1" customWidth="1"/>
    <col min="15867" max="15867" width="9.26953125" style="1" customWidth="1"/>
    <col min="15868" max="15869" width="14.453125" style="1" customWidth="1"/>
    <col min="15870" max="16109" width="9.1796875" style="1"/>
    <col min="16110" max="16110" width="3.1796875" style="1" customWidth="1"/>
    <col min="16111" max="16111" width="11.26953125" style="1" bestFit="1" customWidth="1"/>
    <col min="16112" max="16112" width="20.54296875" style="1" customWidth="1"/>
    <col min="16113" max="16114" width="0" style="1" hidden="1" customWidth="1"/>
    <col min="16115" max="16115" width="54.81640625" style="1" customWidth="1"/>
    <col min="16116" max="16116" width="24.7265625" style="1" customWidth="1"/>
    <col min="16117" max="16117" width="14.1796875" style="1" customWidth="1"/>
    <col min="16118" max="16118" width="19.26953125" style="1" customWidth="1"/>
    <col min="16119" max="16119" width="9.1796875" style="1"/>
    <col min="16120" max="16120" width="6" style="1" customWidth="1"/>
    <col min="16121" max="16121" width="17.26953125" style="1" customWidth="1"/>
    <col min="16122" max="16122" width="13.453125" style="1" customWidth="1"/>
    <col min="16123" max="16123" width="9.26953125" style="1" customWidth="1"/>
    <col min="16124" max="16125" width="14.453125" style="1" customWidth="1"/>
    <col min="16126" max="16384" width="9.1796875" style="1"/>
  </cols>
  <sheetData>
    <row r="1" spans="1:15" ht="60" customHeight="1" x14ac:dyDescent="0.35">
      <c r="A1" s="26" t="s">
        <v>0</v>
      </c>
      <c r="B1" s="26"/>
      <c r="C1" s="26"/>
      <c r="D1" s="26"/>
      <c r="E1" s="26"/>
      <c r="F1" s="26"/>
      <c r="G1" s="26"/>
      <c r="H1" s="7"/>
      <c r="I1" s="7"/>
    </row>
    <row r="2" spans="1:15" ht="23" x14ac:dyDescent="0.35">
      <c r="A2" s="25" t="s">
        <v>1</v>
      </c>
      <c r="B2" s="25"/>
      <c r="C2" s="25"/>
      <c r="D2" s="25"/>
      <c r="E2" s="25"/>
      <c r="F2" s="25"/>
      <c r="G2" s="25"/>
      <c r="H2" s="25"/>
      <c r="I2" s="25"/>
      <c r="J2" s="25"/>
    </row>
    <row r="4" spans="1:15" s="3" customFormat="1" ht="28" x14ac:dyDescent="0.35">
      <c r="B4" s="4" t="s">
        <v>2</v>
      </c>
      <c r="C4" s="4" t="s">
        <v>3</v>
      </c>
      <c r="D4" s="4" t="s">
        <v>4</v>
      </c>
      <c r="E4" s="4" t="s">
        <v>5</v>
      </c>
      <c r="F4" s="4" t="s">
        <v>6</v>
      </c>
      <c r="G4" s="4" t="s">
        <v>7</v>
      </c>
      <c r="H4" s="4" t="s">
        <v>8</v>
      </c>
      <c r="I4" s="4" t="s">
        <v>9</v>
      </c>
      <c r="J4" s="4" t="s">
        <v>10</v>
      </c>
      <c r="K4" s="4" t="s">
        <v>11</v>
      </c>
      <c r="L4" s="4" t="s">
        <v>12</v>
      </c>
      <c r="M4" s="4"/>
    </row>
    <row r="5" spans="1:15" ht="42" hidden="1" x14ac:dyDescent="0.35">
      <c r="B5" s="2">
        <v>9893</v>
      </c>
      <c r="C5" s="5">
        <v>45910</v>
      </c>
      <c r="D5" s="3" t="s">
        <v>13</v>
      </c>
      <c r="E5" s="3" t="s">
        <v>14</v>
      </c>
      <c r="F5" s="14" t="s">
        <v>15</v>
      </c>
      <c r="G5" s="4" t="s">
        <v>16</v>
      </c>
      <c r="H5" s="2" t="s">
        <v>17</v>
      </c>
      <c r="I5" s="2" t="s">
        <v>18</v>
      </c>
      <c r="J5" s="2" t="s">
        <v>19</v>
      </c>
      <c r="K5" s="1" t="s">
        <v>20</v>
      </c>
      <c r="L5" s="1" t="s">
        <v>13</v>
      </c>
      <c r="O5" s="1"/>
    </row>
    <row r="6" spans="1:15" ht="42" hidden="1" x14ac:dyDescent="0.35">
      <c r="A6" s="2"/>
      <c r="B6" s="2">
        <v>9894</v>
      </c>
      <c r="C6" s="5">
        <v>45911</v>
      </c>
      <c r="D6" s="3" t="s">
        <v>21</v>
      </c>
      <c r="E6" s="3" t="s">
        <v>22</v>
      </c>
      <c r="F6" s="14" t="s">
        <v>23</v>
      </c>
      <c r="G6" s="4" t="s">
        <v>16</v>
      </c>
      <c r="H6" s="2" t="s">
        <v>17</v>
      </c>
      <c r="I6" s="2" t="s">
        <v>24</v>
      </c>
      <c r="J6" s="2" t="s">
        <v>25</v>
      </c>
      <c r="K6" s="1" t="s">
        <v>20</v>
      </c>
      <c r="L6" s="1" t="s">
        <v>21</v>
      </c>
      <c r="O6" s="1"/>
    </row>
    <row r="7" spans="1:15" ht="42" hidden="1" x14ac:dyDescent="0.35">
      <c r="A7" s="2"/>
      <c r="B7" s="2">
        <v>302</v>
      </c>
      <c r="C7" s="5">
        <v>45777</v>
      </c>
      <c r="D7" s="3" t="s">
        <v>26</v>
      </c>
      <c r="E7" s="3" t="s">
        <v>27</v>
      </c>
      <c r="F7" s="14" t="s">
        <v>28</v>
      </c>
      <c r="G7" s="4" t="s">
        <v>16</v>
      </c>
      <c r="H7" s="2" t="s">
        <v>17</v>
      </c>
      <c r="I7" s="2" t="s">
        <v>24</v>
      </c>
      <c r="J7" s="2" t="s">
        <v>29</v>
      </c>
      <c r="K7" s="1" t="s">
        <v>30</v>
      </c>
      <c r="L7" s="1" t="s">
        <v>26</v>
      </c>
      <c r="O7" s="1"/>
    </row>
    <row r="8" spans="1:15" ht="28" hidden="1" x14ac:dyDescent="0.35">
      <c r="A8" s="2"/>
      <c r="B8" s="2">
        <v>450</v>
      </c>
      <c r="C8" s="5">
        <v>45828</v>
      </c>
      <c r="D8" s="3" t="s">
        <v>26</v>
      </c>
      <c r="E8" s="3" t="s">
        <v>31</v>
      </c>
      <c r="F8" s="14" t="s">
        <v>32</v>
      </c>
      <c r="G8" s="4" t="s">
        <v>16</v>
      </c>
      <c r="H8" s="2" t="s">
        <v>17</v>
      </c>
      <c r="I8" s="2" t="s">
        <v>24</v>
      </c>
      <c r="J8" s="2" t="s">
        <v>33</v>
      </c>
      <c r="K8" s="1" t="s">
        <v>30</v>
      </c>
      <c r="L8" s="1" t="s">
        <v>26</v>
      </c>
      <c r="O8" s="1"/>
    </row>
    <row r="9" spans="1:15" ht="42" hidden="1" x14ac:dyDescent="0.35">
      <c r="A9" s="2"/>
      <c r="B9" s="2">
        <v>9625</v>
      </c>
      <c r="C9" s="5">
        <v>45898</v>
      </c>
      <c r="D9" s="3" t="s">
        <v>34</v>
      </c>
      <c r="E9" s="3" t="s">
        <v>35</v>
      </c>
      <c r="F9" s="14" t="s">
        <v>36</v>
      </c>
      <c r="G9" s="4" t="s">
        <v>16</v>
      </c>
      <c r="H9" s="2" t="s">
        <v>17</v>
      </c>
      <c r="I9" s="2" t="s">
        <v>37</v>
      </c>
      <c r="J9" s="2" t="s">
        <v>38</v>
      </c>
      <c r="K9" s="1" t="s">
        <v>30</v>
      </c>
      <c r="L9" s="1" t="s">
        <v>34</v>
      </c>
      <c r="O9" s="1"/>
    </row>
    <row r="10" spans="1:15" ht="42" hidden="1" x14ac:dyDescent="0.35">
      <c r="A10" s="2"/>
      <c r="B10" s="2">
        <v>9623</v>
      </c>
      <c r="C10" s="5">
        <v>45898</v>
      </c>
      <c r="D10" s="3" t="s">
        <v>26</v>
      </c>
      <c r="E10" s="3" t="s">
        <v>39</v>
      </c>
      <c r="F10" s="14" t="s">
        <v>40</v>
      </c>
      <c r="G10" s="4" t="s">
        <v>16</v>
      </c>
      <c r="H10" s="2" t="s">
        <v>17</v>
      </c>
      <c r="I10" s="2" t="s">
        <v>24</v>
      </c>
      <c r="J10" s="2" t="s">
        <v>41</v>
      </c>
      <c r="K10" s="1" t="s">
        <v>30</v>
      </c>
      <c r="L10" s="1" t="s">
        <v>26</v>
      </c>
      <c r="O10" s="1"/>
    </row>
    <row r="11" spans="1:15" ht="42" hidden="1" x14ac:dyDescent="0.35">
      <c r="A11" s="2"/>
      <c r="B11" s="2">
        <v>9930</v>
      </c>
      <c r="C11" s="5">
        <v>45930</v>
      </c>
      <c r="D11" s="3" t="s">
        <v>26</v>
      </c>
      <c r="E11" s="3" t="s">
        <v>42</v>
      </c>
      <c r="F11" s="14" t="s">
        <v>43</v>
      </c>
      <c r="G11" s="4" t="s">
        <v>16</v>
      </c>
      <c r="H11" s="2" t="s">
        <v>17</v>
      </c>
      <c r="I11" s="2" t="s">
        <v>24</v>
      </c>
      <c r="J11" s="2" t="s">
        <v>44</v>
      </c>
      <c r="K11" s="1" t="s">
        <v>30</v>
      </c>
      <c r="L11" s="1" t="s">
        <v>26</v>
      </c>
      <c r="O11" s="1"/>
    </row>
    <row r="12" spans="1:15" ht="42" hidden="1" x14ac:dyDescent="0.35">
      <c r="A12" s="2"/>
      <c r="B12" s="2">
        <v>10162</v>
      </c>
      <c r="C12" s="5">
        <v>45961</v>
      </c>
      <c r="D12" s="3" t="s">
        <v>26</v>
      </c>
      <c r="E12" s="3" t="s">
        <v>45</v>
      </c>
      <c r="F12" s="14" t="s">
        <v>46</v>
      </c>
      <c r="G12" s="4" t="s">
        <v>16</v>
      </c>
      <c r="H12" s="2" t="s">
        <v>17</v>
      </c>
      <c r="I12" s="2" t="s">
        <v>24</v>
      </c>
      <c r="J12" s="2" t="s">
        <v>44</v>
      </c>
      <c r="K12" s="1" t="s">
        <v>30</v>
      </c>
      <c r="L12" s="1" t="s">
        <v>26</v>
      </c>
      <c r="O12" s="1"/>
    </row>
    <row r="13" spans="1:15" ht="42" hidden="1" x14ac:dyDescent="0.35">
      <c r="A13" s="2"/>
      <c r="B13" s="2">
        <v>10161</v>
      </c>
      <c r="C13" s="5">
        <v>45961</v>
      </c>
      <c r="D13" s="3" t="s">
        <v>26</v>
      </c>
      <c r="E13" s="3" t="s">
        <v>47</v>
      </c>
      <c r="F13" s="14" t="s">
        <v>48</v>
      </c>
      <c r="G13" s="4" t="s">
        <v>16</v>
      </c>
      <c r="H13" s="2" t="s">
        <v>17</v>
      </c>
      <c r="I13" s="2" t="s">
        <v>24</v>
      </c>
      <c r="J13" s="2" t="s">
        <v>44</v>
      </c>
      <c r="K13" s="1" t="s">
        <v>30</v>
      </c>
      <c r="L13" s="1" t="s">
        <v>26</v>
      </c>
      <c r="O13" s="1"/>
    </row>
    <row r="14" spans="1:15" ht="42" hidden="1" x14ac:dyDescent="0.35">
      <c r="A14" s="2"/>
      <c r="B14" s="2">
        <v>10163</v>
      </c>
      <c r="C14" s="5">
        <v>45961</v>
      </c>
      <c r="D14" s="3" t="s">
        <v>26</v>
      </c>
      <c r="E14" s="3" t="s">
        <v>49</v>
      </c>
      <c r="F14" s="14" t="s">
        <v>50</v>
      </c>
      <c r="G14" s="4" t="s">
        <v>51</v>
      </c>
      <c r="H14" s="2" t="s">
        <v>17</v>
      </c>
      <c r="I14" s="2" t="s">
        <v>18</v>
      </c>
      <c r="J14" s="2" t="s">
        <v>19</v>
      </c>
      <c r="K14" s="1" t="s">
        <v>30</v>
      </c>
      <c r="L14" s="1" t="s">
        <v>26</v>
      </c>
      <c r="O14" s="1"/>
    </row>
    <row r="15" spans="1:15" ht="42" hidden="1" x14ac:dyDescent="0.35">
      <c r="A15" s="2"/>
      <c r="B15" s="2">
        <v>10372</v>
      </c>
      <c r="C15" s="5">
        <v>45989</v>
      </c>
      <c r="D15" s="3" t="s">
        <v>34</v>
      </c>
      <c r="E15" s="3" t="s">
        <v>52</v>
      </c>
      <c r="F15" s="14" t="s">
        <v>53</v>
      </c>
      <c r="G15" s="4" t="s">
        <v>51</v>
      </c>
      <c r="H15" s="2" t="s">
        <v>17</v>
      </c>
      <c r="I15" s="2" t="s">
        <v>24</v>
      </c>
      <c r="J15" s="2" t="s">
        <v>54</v>
      </c>
      <c r="K15" s="1" t="s">
        <v>30</v>
      </c>
      <c r="L15" s="1" t="s">
        <v>34</v>
      </c>
      <c r="O15" s="1"/>
    </row>
    <row r="16" spans="1:15" ht="42" hidden="1" x14ac:dyDescent="0.35">
      <c r="A16" s="2"/>
      <c r="B16" s="2">
        <v>10371</v>
      </c>
      <c r="C16" s="5">
        <v>45989</v>
      </c>
      <c r="D16" s="3" t="s">
        <v>26</v>
      </c>
      <c r="E16" s="3" t="s">
        <v>55</v>
      </c>
      <c r="F16" s="14" t="s">
        <v>56</v>
      </c>
      <c r="G16" s="4" t="s">
        <v>51</v>
      </c>
      <c r="H16" s="2" t="s">
        <v>17</v>
      </c>
      <c r="I16" s="2" t="s">
        <v>37</v>
      </c>
      <c r="J16" s="2" t="s">
        <v>38</v>
      </c>
      <c r="K16" s="1" t="s">
        <v>30</v>
      </c>
      <c r="L16" s="1" t="s">
        <v>26</v>
      </c>
      <c r="O16" s="1"/>
    </row>
    <row r="17" spans="1:15" ht="42" hidden="1" x14ac:dyDescent="0.35">
      <c r="A17" s="2"/>
      <c r="B17" s="2">
        <v>10370</v>
      </c>
      <c r="C17" s="5">
        <v>45989</v>
      </c>
      <c r="D17" s="3" t="s">
        <v>34</v>
      </c>
      <c r="E17" s="3" t="s">
        <v>57</v>
      </c>
      <c r="F17" s="14" t="s">
        <v>58</v>
      </c>
      <c r="G17" s="4" t="s">
        <v>16</v>
      </c>
      <c r="H17" s="2" t="s">
        <v>17</v>
      </c>
      <c r="I17" s="2" t="s">
        <v>37</v>
      </c>
      <c r="J17" s="2" t="s">
        <v>38</v>
      </c>
      <c r="K17" s="1" t="s">
        <v>30</v>
      </c>
      <c r="L17" s="1" t="s">
        <v>34</v>
      </c>
      <c r="O17" s="1"/>
    </row>
    <row r="18" spans="1:15" ht="28" hidden="1" x14ac:dyDescent="0.35">
      <c r="B18" s="2">
        <v>10369</v>
      </c>
      <c r="C18" s="5">
        <v>45989</v>
      </c>
      <c r="D18" s="3" t="s">
        <v>26</v>
      </c>
      <c r="E18" s="3" t="s">
        <v>59</v>
      </c>
      <c r="F18" s="14" t="s">
        <v>60</v>
      </c>
      <c r="G18" s="4" t="s">
        <v>16</v>
      </c>
      <c r="H18" s="2" t="s">
        <v>17</v>
      </c>
      <c r="I18" s="2" t="s">
        <v>24</v>
      </c>
      <c r="J18" s="2" t="s">
        <v>44</v>
      </c>
      <c r="K18" s="1" t="s">
        <v>30</v>
      </c>
      <c r="L18" s="1" t="s">
        <v>26</v>
      </c>
      <c r="O18" s="1"/>
    </row>
    <row r="19" spans="1:15" hidden="1" x14ac:dyDescent="0.35">
      <c r="B19" s="2">
        <v>10592</v>
      </c>
      <c r="C19" s="5">
        <v>46020</v>
      </c>
      <c r="D19" s="3" t="s">
        <v>26</v>
      </c>
      <c r="E19" s="3" t="s">
        <v>61</v>
      </c>
      <c r="F19" s="14" t="s">
        <v>62</v>
      </c>
      <c r="G19" s="4" t="s">
        <v>16</v>
      </c>
      <c r="H19" s="2" t="s">
        <v>17</v>
      </c>
      <c r="I19" s="2" t="s">
        <v>24</v>
      </c>
      <c r="J19" s="2" t="s">
        <v>63</v>
      </c>
      <c r="K19" s="1" t="s">
        <v>30</v>
      </c>
      <c r="L19" s="1" t="s">
        <v>26</v>
      </c>
      <c r="O19" s="1"/>
    </row>
    <row r="20" spans="1:15" ht="28" hidden="1" x14ac:dyDescent="0.35">
      <c r="B20" s="2">
        <v>10588</v>
      </c>
      <c r="C20" s="5">
        <v>46019</v>
      </c>
      <c r="D20" s="3" t="s">
        <v>34</v>
      </c>
      <c r="E20" s="3" t="s">
        <v>64</v>
      </c>
      <c r="F20" s="14" t="s">
        <v>65</v>
      </c>
      <c r="G20" s="4" t="s">
        <v>16</v>
      </c>
      <c r="H20" s="2" t="s">
        <v>17</v>
      </c>
      <c r="I20" s="2" t="s">
        <v>24</v>
      </c>
      <c r="J20" s="2" t="s">
        <v>33</v>
      </c>
      <c r="K20" s="1" t="s">
        <v>30</v>
      </c>
      <c r="L20" s="1" t="s">
        <v>34</v>
      </c>
      <c r="O20" s="1"/>
    </row>
    <row r="21" spans="1:15" hidden="1" x14ac:dyDescent="0.35">
      <c r="B21" s="2">
        <v>10586</v>
      </c>
      <c r="C21" s="5">
        <v>46020</v>
      </c>
      <c r="D21" s="3" t="s">
        <v>26</v>
      </c>
      <c r="E21" s="3" t="s">
        <v>66</v>
      </c>
      <c r="F21" s="14" t="s">
        <v>67</v>
      </c>
      <c r="G21" s="4" t="s">
        <v>16</v>
      </c>
      <c r="H21" s="2" t="s">
        <v>17</v>
      </c>
      <c r="I21" s="2" t="s">
        <v>18</v>
      </c>
      <c r="J21" s="2" t="s">
        <v>68</v>
      </c>
      <c r="K21" s="1" t="s">
        <v>30</v>
      </c>
      <c r="L21" s="1" t="s">
        <v>26</v>
      </c>
      <c r="O21" s="1"/>
    </row>
    <row r="22" spans="1:15" hidden="1" x14ac:dyDescent="0.35">
      <c r="B22" s="2">
        <v>10584</v>
      </c>
      <c r="C22" s="5">
        <v>46019</v>
      </c>
      <c r="D22" s="3" t="s">
        <v>26</v>
      </c>
      <c r="E22" s="3" t="s">
        <v>69</v>
      </c>
      <c r="F22" s="14" t="s">
        <v>70</v>
      </c>
      <c r="G22" s="4" t="s">
        <v>16</v>
      </c>
      <c r="H22" s="2" t="s">
        <v>17</v>
      </c>
      <c r="I22" s="2" t="s">
        <v>24</v>
      </c>
      <c r="J22" s="2" t="s">
        <v>44</v>
      </c>
      <c r="K22" s="1" t="s">
        <v>30</v>
      </c>
      <c r="L22" s="1" t="s">
        <v>26</v>
      </c>
      <c r="O22" s="1"/>
    </row>
    <row r="23" spans="1:15" ht="28" hidden="1" x14ac:dyDescent="0.35">
      <c r="B23" s="2">
        <v>10582</v>
      </c>
      <c r="C23" s="5">
        <v>46017</v>
      </c>
      <c r="D23" s="3" t="s">
        <v>34</v>
      </c>
      <c r="E23" s="3" t="s">
        <v>71</v>
      </c>
      <c r="F23" s="14" t="s">
        <v>53</v>
      </c>
      <c r="G23" s="4" t="s">
        <v>51</v>
      </c>
      <c r="H23" s="2" t="s">
        <v>17</v>
      </c>
      <c r="I23" s="2" t="s">
        <v>24</v>
      </c>
      <c r="J23" s="2" t="s">
        <v>72</v>
      </c>
      <c r="K23" s="1" t="s">
        <v>30</v>
      </c>
      <c r="L23" s="1" t="s">
        <v>34</v>
      </c>
      <c r="O23" s="1"/>
    </row>
    <row r="24" spans="1:15" ht="28" hidden="1" x14ac:dyDescent="0.35">
      <c r="B24" s="2">
        <v>10578</v>
      </c>
      <c r="C24" s="5">
        <v>46022</v>
      </c>
      <c r="D24" s="3" t="s">
        <v>34</v>
      </c>
      <c r="E24" s="3" t="s">
        <v>73</v>
      </c>
      <c r="F24" s="14" t="s">
        <v>74</v>
      </c>
      <c r="G24" s="4" t="s">
        <v>51</v>
      </c>
      <c r="H24" s="2" t="s">
        <v>17</v>
      </c>
      <c r="I24" s="2" t="s">
        <v>24</v>
      </c>
      <c r="J24" s="2" t="s">
        <v>44</v>
      </c>
      <c r="K24" s="1" t="s">
        <v>30</v>
      </c>
      <c r="L24" s="1" t="s">
        <v>34</v>
      </c>
      <c r="O24" s="1"/>
    </row>
    <row r="25" spans="1:15" ht="28" hidden="1" x14ac:dyDescent="0.35">
      <c r="B25" s="2">
        <v>10579</v>
      </c>
      <c r="C25" s="5">
        <v>46022</v>
      </c>
      <c r="D25" s="3" t="s">
        <v>26</v>
      </c>
      <c r="E25" s="3" t="s">
        <v>75</v>
      </c>
      <c r="F25" s="14" t="s">
        <v>76</v>
      </c>
      <c r="G25" s="4" t="s">
        <v>51</v>
      </c>
      <c r="H25" s="2" t="s">
        <v>17</v>
      </c>
      <c r="I25" s="2" t="s">
        <v>24</v>
      </c>
      <c r="J25" s="2" t="s">
        <v>33</v>
      </c>
      <c r="K25" s="1" t="s">
        <v>30</v>
      </c>
      <c r="L25" s="1" t="s">
        <v>26</v>
      </c>
      <c r="O25" s="1"/>
    </row>
    <row r="26" spans="1:15" ht="42" hidden="1" x14ac:dyDescent="0.35">
      <c r="B26" s="2">
        <v>163</v>
      </c>
      <c r="C26" s="5">
        <v>45716</v>
      </c>
      <c r="D26" s="3" t="s">
        <v>26</v>
      </c>
      <c r="E26" s="3" t="s">
        <v>77</v>
      </c>
      <c r="F26" s="14" t="s">
        <v>32</v>
      </c>
      <c r="G26" s="4" t="s">
        <v>51</v>
      </c>
      <c r="H26" s="2" t="s">
        <v>17</v>
      </c>
      <c r="I26" s="2" t="s">
        <v>18</v>
      </c>
      <c r="J26" s="2" t="s">
        <v>19</v>
      </c>
      <c r="K26" s="1" t="s">
        <v>78</v>
      </c>
      <c r="L26" s="1" t="s">
        <v>26</v>
      </c>
      <c r="O26" s="1"/>
    </row>
    <row r="27" spans="1:15" ht="42" hidden="1" x14ac:dyDescent="0.35">
      <c r="B27" s="2">
        <v>193</v>
      </c>
      <c r="C27" s="5">
        <v>45733</v>
      </c>
      <c r="D27" s="3" t="s">
        <v>26</v>
      </c>
      <c r="E27" s="3" t="s">
        <v>79</v>
      </c>
      <c r="F27" s="14" t="s">
        <v>80</v>
      </c>
      <c r="G27" s="4" t="s">
        <v>51</v>
      </c>
      <c r="H27" s="2" t="s">
        <v>17</v>
      </c>
      <c r="I27" s="2" t="s">
        <v>37</v>
      </c>
      <c r="J27" s="2" t="s">
        <v>81</v>
      </c>
      <c r="K27" s="1" t="s">
        <v>78</v>
      </c>
      <c r="L27" s="1" t="s">
        <v>26</v>
      </c>
      <c r="O27" s="1"/>
    </row>
    <row r="28" spans="1:15" ht="42" hidden="1" x14ac:dyDescent="0.35">
      <c r="B28" s="2">
        <v>11585</v>
      </c>
      <c r="C28" s="24">
        <v>46112</v>
      </c>
      <c r="D28" s="3" t="s">
        <v>34</v>
      </c>
      <c r="E28" s="3" t="s">
        <v>82</v>
      </c>
      <c r="F28" s="14" t="s">
        <v>83</v>
      </c>
      <c r="G28" s="4" t="s">
        <v>51</v>
      </c>
      <c r="H28" s="2" t="s">
        <v>17</v>
      </c>
      <c r="I28" s="2" t="s">
        <v>37</v>
      </c>
      <c r="J28" s="2" t="s">
        <v>38</v>
      </c>
      <c r="K28" s="1" t="s">
        <v>30</v>
      </c>
      <c r="L28" s="1" t="s">
        <v>34</v>
      </c>
      <c r="O28" s="1"/>
    </row>
    <row r="29" spans="1:15" ht="42" hidden="1" x14ac:dyDescent="0.35">
      <c r="B29" s="2">
        <v>11584</v>
      </c>
      <c r="C29" s="24">
        <v>46112</v>
      </c>
      <c r="D29" s="3" t="s">
        <v>34</v>
      </c>
      <c r="E29" s="3" t="s">
        <v>84</v>
      </c>
      <c r="F29" s="14" t="s">
        <v>85</v>
      </c>
      <c r="G29" s="4" t="s">
        <v>51</v>
      </c>
      <c r="H29" s="2" t="s">
        <v>17</v>
      </c>
      <c r="I29" s="2" t="s">
        <v>37</v>
      </c>
      <c r="J29" s="2" t="s">
        <v>81</v>
      </c>
      <c r="K29" s="1" t="s">
        <v>30</v>
      </c>
      <c r="L29" s="1" t="s">
        <v>34</v>
      </c>
      <c r="O29" s="1"/>
    </row>
    <row r="30" spans="1:15" ht="56" hidden="1" x14ac:dyDescent="0.35">
      <c r="B30" s="2">
        <v>11582</v>
      </c>
      <c r="C30" s="24">
        <v>46112</v>
      </c>
      <c r="D30" s="3" t="s">
        <v>26</v>
      </c>
      <c r="E30" s="3" t="s">
        <v>86</v>
      </c>
      <c r="F30" s="14" t="s">
        <v>87</v>
      </c>
      <c r="G30" s="4" t="s">
        <v>51</v>
      </c>
      <c r="H30" s="2" t="s">
        <v>17</v>
      </c>
      <c r="I30" s="2" t="s">
        <v>24</v>
      </c>
      <c r="J30" s="2" t="s">
        <v>44</v>
      </c>
      <c r="K30" s="1" t="s">
        <v>30</v>
      </c>
      <c r="L30" s="1" t="s">
        <v>26</v>
      </c>
      <c r="O30" s="1"/>
    </row>
    <row r="31" spans="1:15" ht="42" hidden="1" x14ac:dyDescent="0.35">
      <c r="B31" s="2">
        <v>11581</v>
      </c>
      <c r="C31" s="24">
        <v>46112</v>
      </c>
      <c r="D31" s="3" t="s">
        <v>26</v>
      </c>
      <c r="E31" s="3" t="s">
        <v>88</v>
      </c>
      <c r="F31" s="14" t="s">
        <v>89</v>
      </c>
      <c r="G31" s="4" t="s">
        <v>16</v>
      </c>
      <c r="H31" s="2" t="s">
        <v>17</v>
      </c>
      <c r="I31" s="2" t="s">
        <v>24</v>
      </c>
      <c r="J31" s="2" t="s">
        <v>44</v>
      </c>
      <c r="K31" s="1" t="s">
        <v>30</v>
      </c>
      <c r="L31" s="1" t="s">
        <v>26</v>
      </c>
      <c r="O31" s="1"/>
    </row>
    <row r="32" spans="1:15" ht="56" hidden="1" x14ac:dyDescent="0.35">
      <c r="B32" s="2">
        <v>11586</v>
      </c>
      <c r="C32" s="24">
        <v>46112</v>
      </c>
      <c r="D32" s="3" t="s">
        <v>34</v>
      </c>
      <c r="E32" s="3" t="s">
        <v>90</v>
      </c>
      <c r="F32" s="14" t="s">
        <v>91</v>
      </c>
      <c r="G32" s="4" t="s">
        <v>51</v>
      </c>
      <c r="H32" s="2" t="s">
        <v>17</v>
      </c>
      <c r="I32" s="2" t="s">
        <v>24</v>
      </c>
      <c r="J32" s="2" t="s">
        <v>33</v>
      </c>
      <c r="K32" s="1" t="s">
        <v>30</v>
      </c>
      <c r="L32" s="1" t="s">
        <v>34</v>
      </c>
      <c r="O32" s="1"/>
    </row>
    <row r="33" spans="2:15" ht="42" hidden="1" x14ac:dyDescent="0.35">
      <c r="B33" s="2">
        <v>10016</v>
      </c>
      <c r="C33" s="5">
        <v>45940</v>
      </c>
      <c r="D33" s="3" t="s">
        <v>21</v>
      </c>
      <c r="E33" s="3" t="s">
        <v>92</v>
      </c>
      <c r="F33" s="14" t="s">
        <v>93</v>
      </c>
      <c r="G33" s="4" t="s">
        <v>16</v>
      </c>
      <c r="H33" s="2" t="s">
        <v>17</v>
      </c>
      <c r="I33" s="2" t="s">
        <v>24</v>
      </c>
      <c r="J33" s="2" t="s">
        <v>72</v>
      </c>
      <c r="K33" s="1" t="s">
        <v>94</v>
      </c>
      <c r="L33" s="1" t="s">
        <v>95</v>
      </c>
      <c r="O33" s="1"/>
    </row>
    <row r="34" spans="2:15" ht="28" hidden="1" x14ac:dyDescent="0.35">
      <c r="B34" s="2">
        <v>64</v>
      </c>
      <c r="C34" s="5">
        <v>45679</v>
      </c>
      <c r="D34" s="3" t="s">
        <v>96</v>
      </c>
      <c r="E34" s="3" t="s">
        <v>97</v>
      </c>
      <c r="F34" s="14" t="s">
        <v>98</v>
      </c>
      <c r="G34" s="4" t="s">
        <v>16</v>
      </c>
      <c r="H34" s="2" t="s">
        <v>17</v>
      </c>
      <c r="I34" s="2" t="s">
        <v>24</v>
      </c>
      <c r="J34" t="s">
        <v>29</v>
      </c>
      <c r="K34" s="1" t="s">
        <v>99</v>
      </c>
      <c r="L34" s="1" t="s">
        <v>96</v>
      </c>
      <c r="O34" s="1"/>
    </row>
    <row r="35" spans="2:15" ht="28" hidden="1" x14ac:dyDescent="0.35">
      <c r="B35" s="2">
        <v>65</v>
      </c>
      <c r="C35" s="5">
        <v>45679</v>
      </c>
      <c r="D35" s="3" t="s">
        <v>96</v>
      </c>
      <c r="E35" s="3" t="s">
        <v>100</v>
      </c>
      <c r="F35" s="14" t="s">
        <v>101</v>
      </c>
      <c r="G35" s="4" t="s">
        <v>51</v>
      </c>
      <c r="H35" s="2" t="s">
        <v>17</v>
      </c>
      <c r="I35" s="2" t="s">
        <v>24</v>
      </c>
      <c r="J35" t="s">
        <v>44</v>
      </c>
      <c r="K35" s="1" t="s">
        <v>99</v>
      </c>
      <c r="L35" s="1" t="s">
        <v>96</v>
      </c>
      <c r="O35" s="1"/>
    </row>
    <row r="36" spans="2:15" ht="28" hidden="1" x14ac:dyDescent="0.35">
      <c r="B36" s="2">
        <v>265</v>
      </c>
      <c r="C36" s="5">
        <v>45768</v>
      </c>
      <c r="D36" s="3" t="s">
        <v>96</v>
      </c>
      <c r="E36" s="3" t="s">
        <v>102</v>
      </c>
      <c r="F36" s="14" t="s">
        <v>103</v>
      </c>
      <c r="G36" s="4" t="s">
        <v>16</v>
      </c>
      <c r="H36" s="2" t="s">
        <v>17</v>
      </c>
      <c r="I36" s="2" t="s">
        <v>18</v>
      </c>
      <c r="J36" s="2" t="s">
        <v>68</v>
      </c>
      <c r="K36" s="1" t="s">
        <v>99</v>
      </c>
      <c r="L36" s="1" t="s">
        <v>95</v>
      </c>
      <c r="O36" s="1"/>
    </row>
    <row r="37" spans="2:15" ht="28" hidden="1" x14ac:dyDescent="0.35">
      <c r="B37" s="2">
        <v>444</v>
      </c>
      <c r="C37" s="5">
        <v>45826</v>
      </c>
      <c r="D37" s="3" t="s">
        <v>104</v>
      </c>
      <c r="E37" s="3" t="s">
        <v>105</v>
      </c>
      <c r="F37" s="14" t="s">
        <v>106</v>
      </c>
      <c r="G37" s="4" t="s">
        <v>16</v>
      </c>
      <c r="H37" s="2" t="s">
        <v>17</v>
      </c>
      <c r="I37" s="2" t="s">
        <v>24</v>
      </c>
      <c r="J37" s="2" t="s">
        <v>33</v>
      </c>
      <c r="K37" s="1" t="s">
        <v>107</v>
      </c>
      <c r="L37" s="1" t="s">
        <v>104</v>
      </c>
      <c r="O37" s="1"/>
    </row>
    <row r="38" spans="2:15" ht="42" hidden="1" x14ac:dyDescent="0.35">
      <c r="B38" s="2">
        <v>480</v>
      </c>
      <c r="C38" s="5">
        <v>45836</v>
      </c>
      <c r="D38" s="3" t="s">
        <v>104</v>
      </c>
      <c r="E38" s="3" t="s">
        <v>108</v>
      </c>
      <c r="F38" s="14" t="s">
        <v>109</v>
      </c>
      <c r="G38" s="4" t="s">
        <v>16</v>
      </c>
      <c r="H38" s="2" t="s">
        <v>17</v>
      </c>
      <c r="I38" s="2" t="s">
        <v>37</v>
      </c>
      <c r="J38" s="2" t="s">
        <v>81</v>
      </c>
      <c r="K38" s="1" t="s">
        <v>107</v>
      </c>
      <c r="L38" s="1" t="s">
        <v>104</v>
      </c>
      <c r="O38" s="1"/>
    </row>
    <row r="39" spans="2:15" ht="42" hidden="1" x14ac:dyDescent="0.35">
      <c r="B39" s="2">
        <v>9405</v>
      </c>
      <c r="C39" s="5">
        <v>45875</v>
      </c>
      <c r="D39" s="3" t="s">
        <v>104</v>
      </c>
      <c r="E39" s="3" t="s">
        <v>110</v>
      </c>
      <c r="F39" s="14" t="s">
        <v>111</v>
      </c>
      <c r="G39" s="4" t="s">
        <v>51</v>
      </c>
      <c r="H39" s="2" t="s">
        <v>17</v>
      </c>
      <c r="I39" s="2" t="s">
        <v>37</v>
      </c>
      <c r="J39" s="2" t="s">
        <v>112</v>
      </c>
      <c r="K39" s="1" t="s">
        <v>107</v>
      </c>
      <c r="L39" s="1" t="s">
        <v>104</v>
      </c>
      <c r="O39" s="1"/>
    </row>
    <row r="40" spans="2:15" ht="28" hidden="1" x14ac:dyDescent="0.35">
      <c r="B40" s="2">
        <v>9467</v>
      </c>
      <c r="C40" s="5">
        <v>45881</v>
      </c>
      <c r="D40" s="3" t="s">
        <v>104</v>
      </c>
      <c r="E40" s="3" t="s">
        <v>113</v>
      </c>
      <c r="F40" s="14" t="s">
        <v>114</v>
      </c>
      <c r="G40" s="4" t="s">
        <v>16</v>
      </c>
      <c r="H40" s="2" t="s">
        <v>17</v>
      </c>
      <c r="I40" s="2" t="s">
        <v>37</v>
      </c>
      <c r="J40" s="2" t="s">
        <v>81</v>
      </c>
      <c r="K40" s="1" t="s">
        <v>107</v>
      </c>
      <c r="L40" s="1" t="s">
        <v>104</v>
      </c>
      <c r="O40" s="1"/>
    </row>
    <row r="41" spans="2:15" ht="42" hidden="1" x14ac:dyDescent="0.35">
      <c r="B41" s="2">
        <v>9593</v>
      </c>
      <c r="C41" s="5">
        <v>45896</v>
      </c>
      <c r="D41" s="3" t="s">
        <v>104</v>
      </c>
      <c r="E41" s="3" t="s">
        <v>115</v>
      </c>
      <c r="F41" s="14" t="s">
        <v>116</v>
      </c>
      <c r="G41" s="4" t="s">
        <v>16</v>
      </c>
      <c r="H41" s="2" t="s">
        <v>17</v>
      </c>
      <c r="I41" s="2" t="s">
        <v>24</v>
      </c>
      <c r="J41" s="2" t="s">
        <v>54</v>
      </c>
      <c r="K41" s="1" t="s">
        <v>107</v>
      </c>
      <c r="L41" s="1" t="s">
        <v>104</v>
      </c>
      <c r="O41" s="1"/>
    </row>
    <row r="42" spans="2:15" ht="42" hidden="1" x14ac:dyDescent="0.35">
      <c r="B42" s="2">
        <v>9619</v>
      </c>
      <c r="C42" s="5">
        <v>45886</v>
      </c>
      <c r="D42" s="3" t="s">
        <v>104</v>
      </c>
      <c r="E42" s="3" t="s">
        <v>117</v>
      </c>
      <c r="F42" s="14" t="s">
        <v>106</v>
      </c>
      <c r="G42" s="4" t="s">
        <v>16</v>
      </c>
      <c r="H42" s="2" t="s">
        <v>17</v>
      </c>
      <c r="I42" s="2" t="s">
        <v>24</v>
      </c>
      <c r="J42" s="2" t="s">
        <v>33</v>
      </c>
      <c r="K42" s="1" t="s">
        <v>107</v>
      </c>
      <c r="L42" s="1" t="s">
        <v>104</v>
      </c>
      <c r="O42" s="1"/>
    </row>
    <row r="43" spans="2:15" ht="28" hidden="1" x14ac:dyDescent="0.35">
      <c r="B43" s="2">
        <v>9783</v>
      </c>
      <c r="C43" s="5">
        <v>45919</v>
      </c>
      <c r="D43" s="3" t="s">
        <v>104</v>
      </c>
      <c r="E43" s="3" t="s">
        <v>118</v>
      </c>
      <c r="F43" s="14" t="s">
        <v>119</v>
      </c>
      <c r="G43" s="4" t="s">
        <v>16</v>
      </c>
      <c r="H43" s="2" t="s">
        <v>17</v>
      </c>
      <c r="I43" s="2" t="s">
        <v>24</v>
      </c>
      <c r="J43" s="2" t="s">
        <v>33</v>
      </c>
      <c r="K43" s="1" t="s">
        <v>107</v>
      </c>
      <c r="L43" s="1" t="s">
        <v>104</v>
      </c>
      <c r="O43" s="1"/>
    </row>
    <row r="44" spans="2:15" ht="28" hidden="1" x14ac:dyDescent="0.35">
      <c r="B44" s="2">
        <v>9900</v>
      </c>
      <c r="C44" s="5">
        <v>45925</v>
      </c>
      <c r="D44" s="3" t="s">
        <v>104</v>
      </c>
      <c r="E44" s="3" t="s">
        <v>120</v>
      </c>
      <c r="F44" s="14" t="s">
        <v>119</v>
      </c>
      <c r="G44" s="4" t="s">
        <v>16</v>
      </c>
      <c r="H44" s="2" t="s">
        <v>17</v>
      </c>
      <c r="I44" s="2" t="s">
        <v>37</v>
      </c>
      <c r="J44" s="2" t="s">
        <v>121</v>
      </c>
      <c r="K44" s="1" t="s">
        <v>107</v>
      </c>
      <c r="L44" s="1" t="s">
        <v>104</v>
      </c>
      <c r="O44" s="1"/>
    </row>
    <row r="45" spans="2:15" ht="28" hidden="1" x14ac:dyDescent="0.35">
      <c r="B45" s="2">
        <v>10001</v>
      </c>
      <c r="C45" s="5">
        <v>45936</v>
      </c>
      <c r="D45" s="3" t="s">
        <v>104</v>
      </c>
      <c r="E45" s="3" t="s">
        <v>122</v>
      </c>
      <c r="F45" s="14" t="s">
        <v>123</v>
      </c>
      <c r="G45" s="4" t="s">
        <v>51</v>
      </c>
      <c r="H45" s="2" t="s">
        <v>17</v>
      </c>
      <c r="I45" s="2" t="s">
        <v>37</v>
      </c>
      <c r="J45" s="2" t="s">
        <v>38</v>
      </c>
      <c r="K45" s="1" t="s">
        <v>107</v>
      </c>
      <c r="L45" s="1" t="s">
        <v>104</v>
      </c>
      <c r="O45" s="1"/>
    </row>
    <row r="46" spans="2:15" ht="28" hidden="1" x14ac:dyDescent="0.35">
      <c r="B46" s="2">
        <v>10028</v>
      </c>
      <c r="C46" s="5">
        <v>45940</v>
      </c>
      <c r="D46" s="3" t="s">
        <v>104</v>
      </c>
      <c r="E46" s="3" t="s">
        <v>124</v>
      </c>
      <c r="F46" s="14" t="s">
        <v>125</v>
      </c>
      <c r="G46" s="4" t="s">
        <v>51</v>
      </c>
      <c r="H46" s="2" t="s">
        <v>17</v>
      </c>
      <c r="I46" s="2" t="s">
        <v>24</v>
      </c>
      <c r="J46" s="2" t="s">
        <v>54</v>
      </c>
      <c r="K46" s="1" t="s">
        <v>107</v>
      </c>
      <c r="L46" s="1" t="s">
        <v>104</v>
      </c>
      <c r="O46" s="1"/>
    </row>
    <row r="47" spans="2:15" ht="42" hidden="1" x14ac:dyDescent="0.35">
      <c r="B47" s="2">
        <v>10099</v>
      </c>
      <c r="C47" s="5">
        <v>45950</v>
      </c>
      <c r="D47" s="3" t="s">
        <v>104</v>
      </c>
      <c r="E47" s="3" t="s">
        <v>126</v>
      </c>
      <c r="F47" s="14" t="s">
        <v>127</v>
      </c>
      <c r="G47" s="4" t="s">
        <v>16</v>
      </c>
      <c r="H47" s="2" t="s">
        <v>17</v>
      </c>
      <c r="I47" s="2" t="s">
        <v>24</v>
      </c>
      <c r="J47" s="2" t="s">
        <v>33</v>
      </c>
      <c r="K47" s="1" t="s">
        <v>107</v>
      </c>
      <c r="L47" s="1" t="s">
        <v>104</v>
      </c>
      <c r="O47" s="1"/>
    </row>
    <row r="48" spans="2:15" ht="42" hidden="1" x14ac:dyDescent="0.35">
      <c r="B48" s="2">
        <v>10144</v>
      </c>
      <c r="C48" s="5">
        <v>45958</v>
      </c>
      <c r="D48" s="3" t="s">
        <v>104</v>
      </c>
      <c r="E48" s="3" t="s">
        <v>128</v>
      </c>
      <c r="F48" s="14" t="s">
        <v>129</v>
      </c>
      <c r="G48" s="4" t="s">
        <v>51</v>
      </c>
      <c r="H48" s="2" t="s">
        <v>17</v>
      </c>
      <c r="I48" s="2" t="s">
        <v>37</v>
      </c>
      <c r="J48" s="2" t="s">
        <v>38</v>
      </c>
      <c r="K48" s="1" t="s">
        <v>107</v>
      </c>
      <c r="L48" s="1" t="s">
        <v>104</v>
      </c>
      <c r="O48" s="1"/>
    </row>
    <row r="49" spans="2:15" ht="42" hidden="1" x14ac:dyDescent="0.35">
      <c r="B49" s="2">
        <v>10212</v>
      </c>
      <c r="C49" s="5">
        <v>45966</v>
      </c>
      <c r="D49" s="3" t="s">
        <v>104</v>
      </c>
      <c r="E49" s="3" t="s">
        <v>130</v>
      </c>
      <c r="F49" s="14" t="s">
        <v>131</v>
      </c>
      <c r="G49" s="4" t="s">
        <v>16</v>
      </c>
      <c r="H49" s="2" t="s">
        <v>17</v>
      </c>
      <c r="I49" s="2" t="s">
        <v>37</v>
      </c>
      <c r="J49" s="2" t="s">
        <v>121</v>
      </c>
      <c r="K49" s="1" t="s">
        <v>107</v>
      </c>
      <c r="L49" s="1" t="s">
        <v>104</v>
      </c>
      <c r="O49" s="1"/>
    </row>
    <row r="50" spans="2:15" ht="42" hidden="1" x14ac:dyDescent="0.35">
      <c r="B50" s="2">
        <v>10380</v>
      </c>
      <c r="C50" s="5">
        <v>45989</v>
      </c>
      <c r="D50" s="3" t="s">
        <v>104</v>
      </c>
      <c r="E50" s="3" t="s">
        <v>132</v>
      </c>
      <c r="F50" s="14" t="s">
        <v>133</v>
      </c>
      <c r="G50" s="4" t="s">
        <v>16</v>
      </c>
      <c r="H50" s="2" t="s">
        <v>17</v>
      </c>
      <c r="I50" s="2" t="s">
        <v>24</v>
      </c>
      <c r="J50" s="2" t="s">
        <v>33</v>
      </c>
      <c r="K50" s="1" t="s">
        <v>107</v>
      </c>
      <c r="L50" s="1" t="s">
        <v>104</v>
      </c>
      <c r="O50" s="1"/>
    </row>
    <row r="51" spans="2:15" ht="28" hidden="1" x14ac:dyDescent="0.35">
      <c r="B51" s="2">
        <v>10379</v>
      </c>
      <c r="C51" s="5">
        <v>45988</v>
      </c>
      <c r="D51" s="3" t="s">
        <v>134</v>
      </c>
      <c r="E51" s="3" t="s">
        <v>135</v>
      </c>
      <c r="F51" s="14" t="s">
        <v>136</v>
      </c>
      <c r="G51" s="4" t="s">
        <v>51</v>
      </c>
      <c r="H51" s="2" t="s">
        <v>17</v>
      </c>
      <c r="I51" s="2" t="s">
        <v>37</v>
      </c>
      <c r="J51" s="2" t="s">
        <v>81</v>
      </c>
      <c r="K51" s="1" t="s">
        <v>107</v>
      </c>
      <c r="L51" s="1" t="s">
        <v>134</v>
      </c>
      <c r="O51" s="1"/>
    </row>
    <row r="52" spans="2:15" ht="55.5" hidden="1" customHeight="1" x14ac:dyDescent="0.35">
      <c r="B52" s="2">
        <v>10488</v>
      </c>
      <c r="C52" s="5">
        <v>45993</v>
      </c>
      <c r="D52" s="3" t="s">
        <v>104</v>
      </c>
      <c r="E52" s="3" t="s">
        <v>137</v>
      </c>
      <c r="F52" s="14" t="s">
        <v>138</v>
      </c>
      <c r="G52" s="4" t="s">
        <v>16</v>
      </c>
      <c r="H52" s="2" t="s">
        <v>17</v>
      </c>
      <c r="I52" s="2" t="s">
        <v>37</v>
      </c>
      <c r="J52" s="2" t="s">
        <v>81</v>
      </c>
      <c r="K52" s="1" t="s">
        <v>107</v>
      </c>
      <c r="L52" s="1" t="s">
        <v>104</v>
      </c>
      <c r="O52" s="1"/>
    </row>
    <row r="53" spans="2:15" ht="42" hidden="1" x14ac:dyDescent="0.35">
      <c r="B53" s="2">
        <v>10489</v>
      </c>
      <c r="C53" s="5">
        <v>45995</v>
      </c>
      <c r="D53" s="3" t="s">
        <v>104</v>
      </c>
      <c r="E53" s="3" t="s">
        <v>139</v>
      </c>
      <c r="F53" s="14" t="s">
        <v>109</v>
      </c>
      <c r="G53" s="4" t="s">
        <v>16</v>
      </c>
      <c r="H53" s="2" t="s">
        <v>17</v>
      </c>
      <c r="I53" s="2" t="s">
        <v>37</v>
      </c>
      <c r="J53" s="2" t="s">
        <v>121</v>
      </c>
      <c r="K53" s="1" t="s">
        <v>107</v>
      </c>
      <c r="L53" s="1" t="s">
        <v>134</v>
      </c>
      <c r="O53" s="1"/>
    </row>
    <row r="54" spans="2:15" ht="42" hidden="1" x14ac:dyDescent="0.35">
      <c r="B54" s="2">
        <v>10503</v>
      </c>
      <c r="C54" s="5">
        <v>46007</v>
      </c>
      <c r="D54" s="3" t="s">
        <v>104</v>
      </c>
      <c r="E54" s="3" t="s">
        <v>140</v>
      </c>
      <c r="F54" s="14" t="s">
        <v>141</v>
      </c>
      <c r="G54" s="4" t="s">
        <v>51</v>
      </c>
      <c r="H54" s="2" t="s">
        <v>17</v>
      </c>
      <c r="I54" s="2" t="s">
        <v>37</v>
      </c>
      <c r="J54" s="2" t="s">
        <v>121</v>
      </c>
      <c r="K54" s="1" t="s">
        <v>107</v>
      </c>
      <c r="L54" s="1" t="s">
        <v>104</v>
      </c>
      <c r="O54" s="1"/>
    </row>
    <row r="55" spans="2:15" ht="42" hidden="1" x14ac:dyDescent="0.35">
      <c r="B55" s="2">
        <v>10522</v>
      </c>
      <c r="C55" s="5">
        <v>46014</v>
      </c>
      <c r="D55" s="3" t="s">
        <v>104</v>
      </c>
      <c r="E55" s="3" t="s">
        <v>142</v>
      </c>
      <c r="F55" s="14" t="s">
        <v>143</v>
      </c>
      <c r="G55" s="4" t="s">
        <v>16</v>
      </c>
      <c r="H55" s="2" t="s">
        <v>17</v>
      </c>
      <c r="I55" s="2" t="s">
        <v>37</v>
      </c>
      <c r="J55" s="2" t="s">
        <v>38</v>
      </c>
      <c r="K55" s="1" t="s">
        <v>107</v>
      </c>
      <c r="L55" s="1" t="s">
        <v>104</v>
      </c>
      <c r="O55" s="1"/>
    </row>
    <row r="56" spans="2:15" ht="42" hidden="1" x14ac:dyDescent="0.35">
      <c r="B56" s="2">
        <v>10523</v>
      </c>
      <c r="C56" s="5">
        <v>46007</v>
      </c>
      <c r="D56" s="3" t="s">
        <v>104</v>
      </c>
      <c r="E56" s="3" t="s">
        <v>144</v>
      </c>
      <c r="F56" s="14" t="s">
        <v>145</v>
      </c>
      <c r="G56" s="4" t="s">
        <v>16</v>
      </c>
      <c r="H56" s="2" t="s">
        <v>17</v>
      </c>
      <c r="I56" s="2" t="s">
        <v>37</v>
      </c>
      <c r="J56" s="2" t="s">
        <v>81</v>
      </c>
      <c r="K56" s="1" t="s">
        <v>107</v>
      </c>
      <c r="L56" s="1" t="s">
        <v>104</v>
      </c>
      <c r="O56" s="1"/>
    </row>
    <row r="57" spans="2:15" ht="56" hidden="1" x14ac:dyDescent="0.35">
      <c r="B57" s="2">
        <v>10625</v>
      </c>
      <c r="C57" s="5">
        <v>46027</v>
      </c>
      <c r="D57" s="3" t="s">
        <v>104</v>
      </c>
      <c r="E57" s="3" t="s">
        <v>146</v>
      </c>
      <c r="F57" s="14" t="s">
        <v>114</v>
      </c>
      <c r="G57" s="4" t="s">
        <v>16</v>
      </c>
      <c r="H57" s="2" t="s">
        <v>17</v>
      </c>
      <c r="I57" s="2" t="s">
        <v>24</v>
      </c>
      <c r="J57" s="2" t="s">
        <v>33</v>
      </c>
      <c r="K57" s="1" t="s">
        <v>107</v>
      </c>
      <c r="L57" s="1" t="s">
        <v>104</v>
      </c>
      <c r="O57" s="1"/>
    </row>
    <row r="58" spans="2:15" ht="42" hidden="1" x14ac:dyDescent="0.35">
      <c r="B58" s="2">
        <v>10764</v>
      </c>
      <c r="C58" s="5">
        <v>46035</v>
      </c>
      <c r="D58" s="3" t="s">
        <v>104</v>
      </c>
      <c r="E58" s="3" t="s">
        <v>147</v>
      </c>
      <c r="F58" s="14" t="s">
        <v>106</v>
      </c>
      <c r="G58" s="4" t="s">
        <v>16</v>
      </c>
      <c r="H58" s="2" t="s">
        <v>17</v>
      </c>
      <c r="I58" s="2" t="s">
        <v>37</v>
      </c>
      <c r="J58" s="2" t="s">
        <v>81</v>
      </c>
      <c r="K58" s="1" t="s">
        <v>107</v>
      </c>
      <c r="L58" s="1" t="s">
        <v>104</v>
      </c>
      <c r="O58" s="1"/>
    </row>
    <row r="59" spans="2:15" ht="28" hidden="1" x14ac:dyDescent="0.35">
      <c r="B59" s="2">
        <v>10829</v>
      </c>
      <c r="C59" s="5">
        <v>46043</v>
      </c>
      <c r="D59" s="3" t="s">
        <v>104</v>
      </c>
      <c r="E59" s="3" t="s">
        <v>148</v>
      </c>
      <c r="F59" s="14" t="s">
        <v>149</v>
      </c>
      <c r="G59" s="4" t="s">
        <v>16</v>
      </c>
      <c r="H59" s="2" t="s">
        <v>17</v>
      </c>
      <c r="I59" s="2" t="s">
        <v>37</v>
      </c>
      <c r="J59" s="2" t="s">
        <v>38</v>
      </c>
      <c r="K59" s="1" t="s">
        <v>107</v>
      </c>
      <c r="L59" s="1" t="s">
        <v>104</v>
      </c>
      <c r="O59" s="1"/>
    </row>
    <row r="60" spans="2:15" ht="56" hidden="1" x14ac:dyDescent="0.35">
      <c r="B60" s="2">
        <v>10931</v>
      </c>
      <c r="C60" s="5">
        <v>46049</v>
      </c>
      <c r="D60" s="3" t="s">
        <v>104</v>
      </c>
      <c r="E60" s="3" t="s">
        <v>150</v>
      </c>
      <c r="F60" s="14" t="s">
        <v>151</v>
      </c>
      <c r="G60" s="4" t="s">
        <v>16</v>
      </c>
      <c r="H60" s="2" t="s">
        <v>17</v>
      </c>
      <c r="I60" s="2" t="s">
        <v>37</v>
      </c>
      <c r="J60" s="2" t="s">
        <v>121</v>
      </c>
      <c r="K60" s="1" t="s">
        <v>107</v>
      </c>
      <c r="L60" s="1" t="s">
        <v>104</v>
      </c>
      <c r="O60" s="1"/>
    </row>
    <row r="61" spans="2:15" ht="42" hidden="1" x14ac:dyDescent="0.35">
      <c r="B61" s="2">
        <v>11060</v>
      </c>
      <c r="C61" s="24">
        <v>46055</v>
      </c>
      <c r="D61" s="3" t="s">
        <v>104</v>
      </c>
      <c r="E61" s="3" t="s">
        <v>152</v>
      </c>
      <c r="F61" s="14" t="s">
        <v>153</v>
      </c>
      <c r="G61" s="4" t="s">
        <v>16</v>
      </c>
      <c r="H61" s="2" t="s">
        <v>17</v>
      </c>
      <c r="I61" s="2" t="s">
        <v>24</v>
      </c>
      <c r="J61" s="2" t="s">
        <v>54</v>
      </c>
      <c r="K61" s="1" t="s">
        <v>107</v>
      </c>
      <c r="L61" s="1" t="s">
        <v>104</v>
      </c>
      <c r="O61" s="1"/>
    </row>
    <row r="62" spans="2:15" ht="28" hidden="1" x14ac:dyDescent="0.35">
      <c r="B62" s="2">
        <v>11061</v>
      </c>
      <c r="C62" s="24">
        <v>46066</v>
      </c>
      <c r="D62" s="3" t="s">
        <v>104</v>
      </c>
      <c r="E62" s="3" t="s">
        <v>154</v>
      </c>
      <c r="F62" s="14" t="s">
        <v>109</v>
      </c>
      <c r="G62" s="4" t="s">
        <v>16</v>
      </c>
      <c r="H62" s="2" t="s">
        <v>17</v>
      </c>
      <c r="I62" s="2" t="s">
        <v>37</v>
      </c>
      <c r="J62" s="2" t="s">
        <v>81</v>
      </c>
      <c r="K62" s="1" t="s">
        <v>107</v>
      </c>
      <c r="L62" s="1" t="s">
        <v>104</v>
      </c>
      <c r="O62" s="1"/>
    </row>
    <row r="63" spans="2:15" ht="42" hidden="1" x14ac:dyDescent="0.35">
      <c r="B63" s="2">
        <v>11316</v>
      </c>
      <c r="C63" s="24">
        <v>46087</v>
      </c>
      <c r="D63" s="3" t="s">
        <v>134</v>
      </c>
      <c r="E63" s="3" t="s">
        <v>155</v>
      </c>
      <c r="F63" s="14" t="s">
        <v>156</v>
      </c>
      <c r="G63" s="4" t="s">
        <v>51</v>
      </c>
      <c r="H63" s="2" t="s">
        <v>17</v>
      </c>
      <c r="I63" s="2" t="s">
        <v>37</v>
      </c>
      <c r="J63" s="2" t="s">
        <v>81</v>
      </c>
      <c r="K63" s="1" t="s">
        <v>107</v>
      </c>
      <c r="L63" s="1" t="s">
        <v>134</v>
      </c>
      <c r="O63" s="1"/>
    </row>
    <row r="64" spans="2:15" ht="56" hidden="1" x14ac:dyDescent="0.35">
      <c r="B64" s="2">
        <v>11495</v>
      </c>
      <c r="C64" s="24">
        <v>46104</v>
      </c>
      <c r="D64" s="3" t="s">
        <v>134</v>
      </c>
      <c r="E64" s="3" t="s">
        <v>157</v>
      </c>
      <c r="F64" s="14" t="s">
        <v>158</v>
      </c>
      <c r="G64" s="4" t="s">
        <v>16</v>
      </c>
      <c r="H64" s="2" t="s">
        <v>17</v>
      </c>
      <c r="I64" s="2" t="s">
        <v>37</v>
      </c>
      <c r="J64" s="2" t="s">
        <v>121</v>
      </c>
      <c r="K64" s="1" t="s">
        <v>107</v>
      </c>
      <c r="L64" s="1" t="s">
        <v>134</v>
      </c>
      <c r="O64" s="1"/>
    </row>
    <row r="65" spans="2:15" ht="56" hidden="1" x14ac:dyDescent="0.35">
      <c r="B65" s="2">
        <v>11494</v>
      </c>
      <c r="C65" s="24">
        <v>46101</v>
      </c>
      <c r="D65" s="3" t="s">
        <v>134</v>
      </c>
      <c r="E65" s="3" t="s">
        <v>159</v>
      </c>
      <c r="F65" s="14" t="s">
        <v>160</v>
      </c>
      <c r="G65" s="4" t="s">
        <v>51</v>
      </c>
      <c r="H65" s="2" t="s">
        <v>17</v>
      </c>
      <c r="I65" s="2" t="s">
        <v>24</v>
      </c>
      <c r="J65" s="2" t="s">
        <v>54</v>
      </c>
      <c r="K65" s="1" t="s">
        <v>107</v>
      </c>
      <c r="L65" s="1" t="s">
        <v>134</v>
      </c>
      <c r="O65" s="1"/>
    </row>
    <row r="66" spans="2:15" ht="56" hidden="1" x14ac:dyDescent="0.35">
      <c r="B66" s="2">
        <v>11493</v>
      </c>
      <c r="C66" s="24">
        <v>46093</v>
      </c>
      <c r="D66" s="3" t="s">
        <v>134</v>
      </c>
      <c r="E66" s="3" t="s">
        <v>161</v>
      </c>
      <c r="F66" s="14" t="s">
        <v>162</v>
      </c>
      <c r="G66" s="4" t="s">
        <v>16</v>
      </c>
      <c r="H66" s="2" t="s">
        <v>17</v>
      </c>
      <c r="I66" s="2" t="s">
        <v>24</v>
      </c>
      <c r="J66" s="2" t="s">
        <v>33</v>
      </c>
      <c r="K66" s="1" t="s">
        <v>107</v>
      </c>
      <c r="L66" s="1" t="s">
        <v>134</v>
      </c>
      <c r="O66" s="1"/>
    </row>
    <row r="67" spans="2:15" ht="42" hidden="1" x14ac:dyDescent="0.35">
      <c r="B67" s="2">
        <v>9272</v>
      </c>
      <c r="C67" s="5">
        <v>45866</v>
      </c>
      <c r="D67" s="3" t="s">
        <v>104</v>
      </c>
      <c r="E67" s="3" t="s">
        <v>163</v>
      </c>
      <c r="F67" s="14" t="s">
        <v>164</v>
      </c>
      <c r="G67" s="4" t="s">
        <v>16</v>
      </c>
      <c r="H67" s="2" t="s">
        <v>17</v>
      </c>
      <c r="I67" s="2" t="s">
        <v>37</v>
      </c>
      <c r="J67" s="2" t="s">
        <v>81</v>
      </c>
      <c r="K67" s="1" t="s">
        <v>165</v>
      </c>
      <c r="L67" s="1" t="s">
        <v>104</v>
      </c>
      <c r="O67" s="1"/>
    </row>
    <row r="68" spans="2:15" ht="42" hidden="1" x14ac:dyDescent="0.35">
      <c r="B68" s="2">
        <v>24</v>
      </c>
      <c r="C68" s="5">
        <v>45665</v>
      </c>
      <c r="D68" s="3" t="s">
        <v>134</v>
      </c>
      <c r="E68" s="3" t="s">
        <v>166</v>
      </c>
      <c r="F68" s="14" t="s">
        <v>167</v>
      </c>
      <c r="G68" s="4" t="s">
        <v>51</v>
      </c>
      <c r="H68" s="2" t="s">
        <v>17</v>
      </c>
      <c r="I68" s="2" t="s">
        <v>18</v>
      </c>
      <c r="J68" t="s">
        <v>19</v>
      </c>
      <c r="K68" s="1" t="s">
        <v>168</v>
      </c>
      <c r="L68" s="1" t="s">
        <v>134</v>
      </c>
      <c r="O68" s="1"/>
    </row>
    <row r="69" spans="2:15" ht="42" hidden="1" x14ac:dyDescent="0.35">
      <c r="B69" s="2">
        <v>366</v>
      </c>
      <c r="C69" s="5">
        <v>45798</v>
      </c>
      <c r="D69" s="3" t="s">
        <v>21</v>
      </c>
      <c r="E69" s="3" t="s">
        <v>169</v>
      </c>
      <c r="F69" s="14" t="s">
        <v>170</v>
      </c>
      <c r="G69" s="4" t="s">
        <v>16</v>
      </c>
      <c r="H69" s="2" t="s">
        <v>17</v>
      </c>
      <c r="I69" s="2" t="s">
        <v>18</v>
      </c>
      <c r="J69" s="2" t="s">
        <v>171</v>
      </c>
      <c r="K69" s="1" t="s">
        <v>168</v>
      </c>
      <c r="L69" s="1" t="s">
        <v>13</v>
      </c>
      <c r="O69" s="1"/>
    </row>
    <row r="70" spans="2:15" ht="42" hidden="1" x14ac:dyDescent="0.35">
      <c r="B70" s="2">
        <v>10527</v>
      </c>
      <c r="C70" s="5">
        <v>45995</v>
      </c>
      <c r="D70" s="3" t="s">
        <v>13</v>
      </c>
      <c r="E70" s="3" t="s">
        <v>172</v>
      </c>
      <c r="F70" s="14" t="s">
        <v>15</v>
      </c>
      <c r="G70" s="4" t="s">
        <v>16</v>
      </c>
      <c r="H70" s="2" t="s">
        <v>17</v>
      </c>
      <c r="I70" s="2" t="s">
        <v>18</v>
      </c>
      <c r="J70" s="2" t="s">
        <v>171</v>
      </c>
      <c r="K70" s="1" t="s">
        <v>168</v>
      </c>
      <c r="L70" s="1" t="s">
        <v>13</v>
      </c>
      <c r="O70" s="1"/>
    </row>
    <row r="71" spans="2:15" ht="56" hidden="1" x14ac:dyDescent="0.35">
      <c r="B71" s="2">
        <v>10620</v>
      </c>
      <c r="C71" s="5">
        <v>46014</v>
      </c>
      <c r="D71" s="3" t="s">
        <v>13</v>
      </c>
      <c r="E71" s="3" t="s">
        <v>173</v>
      </c>
      <c r="F71" s="14" t="s">
        <v>174</v>
      </c>
      <c r="G71" s="4" t="s">
        <v>16</v>
      </c>
      <c r="H71" s="2" t="s">
        <v>17</v>
      </c>
      <c r="I71" s="2" t="s">
        <v>18</v>
      </c>
      <c r="J71" s="2" t="s">
        <v>171</v>
      </c>
      <c r="K71" s="1" t="s">
        <v>168</v>
      </c>
      <c r="L71" s="1" t="s">
        <v>13</v>
      </c>
      <c r="O71" s="1"/>
    </row>
    <row r="72" spans="2:15" ht="56" hidden="1" x14ac:dyDescent="0.35">
      <c r="B72" s="2">
        <v>10621</v>
      </c>
      <c r="C72" s="5">
        <v>46014</v>
      </c>
      <c r="D72" s="3" t="s">
        <v>21</v>
      </c>
      <c r="E72" s="3" t="s">
        <v>175</v>
      </c>
      <c r="F72" s="14" t="s">
        <v>176</v>
      </c>
      <c r="G72" s="4" t="s">
        <v>16</v>
      </c>
      <c r="H72" s="2" t="s">
        <v>17</v>
      </c>
      <c r="I72" s="2" t="s">
        <v>24</v>
      </c>
      <c r="J72" s="2" t="s">
        <v>33</v>
      </c>
      <c r="K72" s="1" t="s">
        <v>168</v>
      </c>
      <c r="L72" s="1" t="s">
        <v>21</v>
      </c>
      <c r="O72" s="1"/>
    </row>
    <row r="73" spans="2:15" ht="28" hidden="1" x14ac:dyDescent="0.35">
      <c r="B73" s="2">
        <v>10712</v>
      </c>
      <c r="C73" s="5">
        <v>46038</v>
      </c>
      <c r="D73" s="3" t="s">
        <v>95</v>
      </c>
      <c r="E73" s="3" t="s">
        <v>177</v>
      </c>
      <c r="F73" s="14" t="s">
        <v>178</v>
      </c>
      <c r="G73" s="4" t="s">
        <v>16</v>
      </c>
      <c r="H73" s="2" t="s">
        <v>17</v>
      </c>
      <c r="I73" s="2" t="s">
        <v>24</v>
      </c>
      <c r="J73" s="2" t="s">
        <v>44</v>
      </c>
      <c r="K73" s="1" t="s">
        <v>168</v>
      </c>
      <c r="L73" s="1" t="s">
        <v>21</v>
      </c>
      <c r="O73" s="1"/>
    </row>
    <row r="74" spans="2:15" hidden="1" x14ac:dyDescent="0.35">
      <c r="B74" s="2">
        <v>361</v>
      </c>
      <c r="C74" s="5">
        <v>45796</v>
      </c>
      <c r="D74" s="3" t="s">
        <v>104</v>
      </c>
      <c r="E74" s="3" t="s">
        <v>179</v>
      </c>
      <c r="F74" s="14" t="s">
        <v>109</v>
      </c>
      <c r="G74" s="4" t="s">
        <v>51</v>
      </c>
      <c r="H74" s="2" t="s">
        <v>17</v>
      </c>
      <c r="I74" s="2" t="s">
        <v>24</v>
      </c>
      <c r="J74" s="2" t="s">
        <v>33</v>
      </c>
      <c r="K74" s="1" t="s">
        <v>180</v>
      </c>
      <c r="L74" s="1" t="s">
        <v>95</v>
      </c>
      <c r="O74" s="1"/>
    </row>
    <row r="75" spans="2:15" ht="56" hidden="1" x14ac:dyDescent="0.35">
      <c r="B75" s="2">
        <v>413</v>
      </c>
      <c r="C75" s="5">
        <v>45814</v>
      </c>
      <c r="D75" s="3" t="s">
        <v>13</v>
      </c>
      <c r="E75" s="3" t="s">
        <v>181</v>
      </c>
      <c r="F75" s="14" t="s">
        <v>182</v>
      </c>
      <c r="G75" s="4" t="s">
        <v>16</v>
      </c>
      <c r="H75" s="2" t="s">
        <v>17</v>
      </c>
      <c r="I75" s="2" t="s">
        <v>18</v>
      </c>
      <c r="J75" s="2" t="s">
        <v>19</v>
      </c>
      <c r="K75" s="1" t="s">
        <v>183</v>
      </c>
      <c r="L75" s="1" t="s">
        <v>95</v>
      </c>
      <c r="O75" s="1"/>
    </row>
    <row r="76" spans="2:15" ht="56" hidden="1" x14ac:dyDescent="0.35">
      <c r="B76" s="2">
        <v>460</v>
      </c>
      <c r="C76" s="5">
        <v>45832</v>
      </c>
      <c r="D76" s="3" t="s">
        <v>13</v>
      </c>
      <c r="E76" s="3" t="s">
        <v>184</v>
      </c>
      <c r="F76" s="14" t="s">
        <v>174</v>
      </c>
      <c r="G76" s="4" t="s">
        <v>16</v>
      </c>
      <c r="H76" s="2" t="s">
        <v>17</v>
      </c>
      <c r="I76" s="2" t="s">
        <v>18</v>
      </c>
      <c r="J76" s="2" t="s">
        <v>19</v>
      </c>
      <c r="K76" s="1" t="s">
        <v>183</v>
      </c>
      <c r="L76" s="1" t="s">
        <v>13</v>
      </c>
      <c r="O76" s="1"/>
    </row>
    <row r="77" spans="2:15" ht="42" hidden="1" x14ac:dyDescent="0.35">
      <c r="B77" s="2">
        <v>9300</v>
      </c>
      <c r="C77" s="5">
        <v>45868</v>
      </c>
      <c r="D77" s="3" t="s">
        <v>21</v>
      </c>
      <c r="E77" s="3" t="s">
        <v>185</v>
      </c>
      <c r="F77" s="14" t="s">
        <v>186</v>
      </c>
      <c r="G77" s="4" t="s">
        <v>16</v>
      </c>
      <c r="H77" s="2" t="s">
        <v>17</v>
      </c>
      <c r="I77" s="2" t="s">
        <v>18</v>
      </c>
      <c r="J77" s="2" t="s">
        <v>68</v>
      </c>
      <c r="K77" s="1" t="s">
        <v>183</v>
      </c>
      <c r="L77" s="1" t="s">
        <v>95</v>
      </c>
      <c r="O77" s="1"/>
    </row>
    <row r="78" spans="2:15" ht="56" hidden="1" x14ac:dyDescent="0.35">
      <c r="B78" s="2">
        <v>9302</v>
      </c>
      <c r="C78" s="5">
        <v>45868</v>
      </c>
      <c r="D78" s="3" t="s">
        <v>21</v>
      </c>
      <c r="E78" s="3" t="s">
        <v>187</v>
      </c>
      <c r="F78" s="14" t="s">
        <v>182</v>
      </c>
      <c r="G78" s="4" t="s">
        <v>16</v>
      </c>
      <c r="H78" s="2" t="s">
        <v>17</v>
      </c>
      <c r="I78" s="2" t="s">
        <v>18</v>
      </c>
      <c r="J78" s="2" t="s">
        <v>68</v>
      </c>
      <c r="K78" s="1" t="s">
        <v>183</v>
      </c>
      <c r="L78" s="1" t="s">
        <v>95</v>
      </c>
      <c r="O78" s="1"/>
    </row>
    <row r="79" spans="2:15" ht="56" hidden="1" x14ac:dyDescent="0.35">
      <c r="B79" s="2">
        <v>9439</v>
      </c>
      <c r="C79" s="5">
        <v>45881</v>
      </c>
      <c r="D79" s="3" t="s">
        <v>21</v>
      </c>
      <c r="E79" s="3" t="s">
        <v>188</v>
      </c>
      <c r="F79" s="14" t="s">
        <v>189</v>
      </c>
      <c r="G79" s="4" t="s">
        <v>16</v>
      </c>
      <c r="H79" s="2" t="s">
        <v>17</v>
      </c>
      <c r="I79" s="2" t="s">
        <v>24</v>
      </c>
      <c r="J79" s="2" t="s">
        <v>33</v>
      </c>
      <c r="K79" s="1" t="s">
        <v>183</v>
      </c>
      <c r="L79" s="1" t="s">
        <v>95</v>
      </c>
      <c r="O79" s="1"/>
    </row>
    <row r="80" spans="2:15" ht="56" hidden="1" x14ac:dyDescent="0.35">
      <c r="B80" s="2">
        <v>9438</v>
      </c>
      <c r="C80" s="5">
        <v>45881</v>
      </c>
      <c r="D80" s="3" t="s">
        <v>190</v>
      </c>
      <c r="E80" s="3" t="s">
        <v>191</v>
      </c>
      <c r="F80" s="14" t="s">
        <v>192</v>
      </c>
      <c r="G80" s="4" t="s">
        <v>16</v>
      </c>
      <c r="H80" s="2" t="s">
        <v>17</v>
      </c>
      <c r="I80" s="2" t="s">
        <v>24</v>
      </c>
      <c r="J80" s="2" t="s">
        <v>33</v>
      </c>
      <c r="K80" s="1" t="s">
        <v>183</v>
      </c>
      <c r="L80" s="1" t="s">
        <v>95</v>
      </c>
      <c r="O80" s="1"/>
    </row>
    <row r="81" spans="2:15" ht="56" hidden="1" x14ac:dyDescent="0.35">
      <c r="B81" s="2">
        <v>9653</v>
      </c>
      <c r="C81" s="5">
        <v>45903</v>
      </c>
      <c r="D81" s="3" t="s">
        <v>193</v>
      </c>
      <c r="E81" s="3" t="s">
        <v>194</v>
      </c>
      <c r="F81" s="14" t="s">
        <v>195</v>
      </c>
      <c r="G81" s="4" t="s">
        <v>51</v>
      </c>
      <c r="H81" s="2" t="s">
        <v>17</v>
      </c>
      <c r="I81" s="2" t="s">
        <v>24</v>
      </c>
      <c r="J81" s="2" t="s">
        <v>41</v>
      </c>
      <c r="K81" s="1" t="s">
        <v>183</v>
      </c>
      <c r="L81" s="1" t="s">
        <v>95</v>
      </c>
      <c r="O81" s="1"/>
    </row>
    <row r="82" spans="2:15" ht="42" hidden="1" x14ac:dyDescent="0.35">
      <c r="B82" s="2">
        <v>9873</v>
      </c>
      <c r="C82" s="5">
        <v>45926</v>
      </c>
      <c r="D82" s="3" t="s">
        <v>196</v>
      </c>
      <c r="E82" s="3" t="s">
        <v>197</v>
      </c>
      <c r="F82" s="14" t="s">
        <v>198</v>
      </c>
      <c r="G82" s="4" t="s">
        <v>16</v>
      </c>
      <c r="H82" s="2" t="s">
        <v>17</v>
      </c>
      <c r="I82" s="2" t="s">
        <v>24</v>
      </c>
      <c r="J82" s="2" t="s">
        <v>41</v>
      </c>
      <c r="K82" s="1" t="s">
        <v>183</v>
      </c>
      <c r="L82" s="1" t="s">
        <v>95</v>
      </c>
      <c r="O82" s="1"/>
    </row>
    <row r="83" spans="2:15" ht="42" hidden="1" x14ac:dyDescent="0.35">
      <c r="B83" s="2">
        <v>10141</v>
      </c>
      <c r="C83" s="5">
        <v>45954</v>
      </c>
      <c r="D83" s="3" t="s">
        <v>13</v>
      </c>
      <c r="E83" s="3" t="s">
        <v>199</v>
      </c>
      <c r="F83" s="14" t="s">
        <v>200</v>
      </c>
      <c r="G83" s="4" t="s">
        <v>16</v>
      </c>
      <c r="H83" s="2" t="s">
        <v>17</v>
      </c>
      <c r="I83" s="2" t="s">
        <v>24</v>
      </c>
      <c r="J83" s="2" t="s">
        <v>44</v>
      </c>
      <c r="K83" s="1" t="s">
        <v>183</v>
      </c>
      <c r="L83" s="1" t="s">
        <v>95</v>
      </c>
      <c r="O83" s="1"/>
    </row>
    <row r="84" spans="2:15" ht="42" hidden="1" x14ac:dyDescent="0.35">
      <c r="B84" s="2">
        <v>10153</v>
      </c>
      <c r="C84" s="5">
        <v>45960</v>
      </c>
      <c r="D84" s="3" t="s">
        <v>13</v>
      </c>
      <c r="E84" s="3" t="s">
        <v>201</v>
      </c>
      <c r="F84" s="14" t="s">
        <v>202</v>
      </c>
      <c r="G84" s="4" t="s">
        <v>16</v>
      </c>
      <c r="H84" s="2" t="s">
        <v>17</v>
      </c>
      <c r="I84" s="2" t="s">
        <v>24</v>
      </c>
      <c r="J84" s="2" t="s">
        <v>33</v>
      </c>
      <c r="K84" s="1" t="s">
        <v>183</v>
      </c>
      <c r="L84" s="1" t="s">
        <v>95</v>
      </c>
      <c r="O84" s="1"/>
    </row>
    <row r="85" spans="2:15" ht="42" hidden="1" x14ac:dyDescent="0.35">
      <c r="B85" s="2">
        <v>10343</v>
      </c>
      <c r="C85" s="5">
        <v>45985</v>
      </c>
      <c r="D85" s="3" t="s">
        <v>21</v>
      </c>
      <c r="E85" s="3" t="s">
        <v>203</v>
      </c>
      <c r="F85" s="14" t="s">
        <v>204</v>
      </c>
      <c r="G85" s="4" t="s">
        <v>16</v>
      </c>
      <c r="H85" s="2" t="s">
        <v>17</v>
      </c>
      <c r="I85" s="2" t="s">
        <v>24</v>
      </c>
      <c r="J85" s="2" t="s">
        <v>33</v>
      </c>
      <c r="K85" s="1" t="s">
        <v>183</v>
      </c>
      <c r="L85" s="1" t="s">
        <v>95</v>
      </c>
      <c r="O85" s="1"/>
    </row>
    <row r="86" spans="2:15" ht="56" hidden="1" x14ac:dyDescent="0.35">
      <c r="B86" s="2">
        <v>10367</v>
      </c>
      <c r="C86" s="5">
        <v>45989</v>
      </c>
      <c r="D86" s="3" t="s">
        <v>205</v>
      </c>
      <c r="E86" s="3" t="s">
        <v>206</v>
      </c>
      <c r="F86" s="14" t="s">
        <v>207</v>
      </c>
      <c r="G86" s="4" t="s">
        <v>16</v>
      </c>
      <c r="H86" s="2" t="s">
        <v>17</v>
      </c>
      <c r="I86" s="2" t="s">
        <v>24</v>
      </c>
      <c r="J86" s="2" t="s">
        <v>41</v>
      </c>
      <c r="K86" s="1" t="s">
        <v>183</v>
      </c>
      <c r="L86" s="1" t="s">
        <v>95</v>
      </c>
      <c r="O86" s="1"/>
    </row>
    <row r="87" spans="2:15" ht="42" hidden="1" x14ac:dyDescent="0.35">
      <c r="B87" s="2">
        <v>10536</v>
      </c>
      <c r="C87" s="5">
        <v>46015</v>
      </c>
      <c r="D87" s="3" t="s">
        <v>26</v>
      </c>
      <c r="E87" s="3" t="s">
        <v>208</v>
      </c>
      <c r="F87" s="14" t="s">
        <v>58</v>
      </c>
      <c r="G87" s="4" t="s">
        <v>16</v>
      </c>
      <c r="H87" s="2" t="s">
        <v>17</v>
      </c>
      <c r="I87" s="2" t="s">
        <v>24</v>
      </c>
      <c r="J87" s="2" t="s">
        <v>41</v>
      </c>
      <c r="K87" s="1" t="s">
        <v>183</v>
      </c>
      <c r="L87" s="1" t="s">
        <v>95</v>
      </c>
      <c r="O87" s="1"/>
    </row>
    <row r="88" spans="2:15" ht="70" hidden="1" x14ac:dyDescent="0.35">
      <c r="B88" s="2">
        <v>10537</v>
      </c>
      <c r="C88" s="5">
        <v>46020</v>
      </c>
      <c r="D88" s="3" t="s">
        <v>196</v>
      </c>
      <c r="E88" s="3" t="s">
        <v>209</v>
      </c>
      <c r="F88" s="14" t="s">
        <v>210</v>
      </c>
      <c r="G88" s="4" t="s">
        <v>51</v>
      </c>
      <c r="H88" s="2" t="s">
        <v>17</v>
      </c>
      <c r="I88" s="2" t="s">
        <v>24</v>
      </c>
      <c r="J88" s="2" t="s">
        <v>44</v>
      </c>
      <c r="K88" s="1" t="s">
        <v>183</v>
      </c>
      <c r="L88" s="1" t="s">
        <v>95</v>
      </c>
      <c r="O88" s="1"/>
    </row>
    <row r="89" spans="2:15" ht="42" hidden="1" x14ac:dyDescent="0.35">
      <c r="B89" s="2">
        <v>10982</v>
      </c>
      <c r="C89" s="5">
        <v>46045</v>
      </c>
      <c r="D89" s="3" t="s">
        <v>104</v>
      </c>
      <c r="E89" s="3" t="s">
        <v>211</v>
      </c>
      <c r="F89" s="14" t="s">
        <v>212</v>
      </c>
      <c r="G89" s="4" t="s">
        <v>51</v>
      </c>
      <c r="H89" s="2" t="s">
        <v>17</v>
      </c>
      <c r="I89" s="2" t="s">
        <v>37</v>
      </c>
      <c r="J89" s="2" t="s">
        <v>38</v>
      </c>
      <c r="K89" s="1" t="s">
        <v>183</v>
      </c>
      <c r="L89" s="1" t="s">
        <v>95</v>
      </c>
      <c r="O89" s="1"/>
    </row>
    <row r="90" spans="2:15" ht="42" hidden="1" x14ac:dyDescent="0.35">
      <c r="B90" s="2">
        <v>10981</v>
      </c>
      <c r="C90" s="5">
        <v>46043</v>
      </c>
      <c r="D90" s="3" t="s">
        <v>193</v>
      </c>
      <c r="E90" s="3" t="s">
        <v>213</v>
      </c>
      <c r="F90" s="14" t="s">
        <v>214</v>
      </c>
      <c r="G90" s="4" t="s">
        <v>51</v>
      </c>
      <c r="H90" s="2" t="s">
        <v>17</v>
      </c>
      <c r="I90" s="2" t="s">
        <v>37</v>
      </c>
      <c r="J90" s="2" t="s">
        <v>38</v>
      </c>
      <c r="K90" s="1" t="s">
        <v>183</v>
      </c>
      <c r="L90" s="1" t="s">
        <v>95</v>
      </c>
      <c r="O90" s="1"/>
    </row>
    <row r="91" spans="2:15" ht="56" hidden="1" x14ac:dyDescent="0.35">
      <c r="B91" s="2">
        <v>325</v>
      </c>
      <c r="C91" s="5">
        <v>45784</v>
      </c>
      <c r="D91" s="3" t="s">
        <v>21</v>
      </c>
      <c r="E91" s="3" t="s">
        <v>215</v>
      </c>
      <c r="F91" s="14" t="s">
        <v>216</v>
      </c>
      <c r="G91" s="4" t="s">
        <v>16</v>
      </c>
      <c r="H91" s="2" t="s">
        <v>17</v>
      </c>
      <c r="I91" s="2" t="s">
        <v>24</v>
      </c>
      <c r="J91" s="2" t="s">
        <v>29</v>
      </c>
      <c r="K91" s="1" t="s">
        <v>217</v>
      </c>
      <c r="L91" s="1" t="s">
        <v>95</v>
      </c>
      <c r="O91" s="1"/>
    </row>
    <row r="92" spans="2:15" ht="56" hidden="1" x14ac:dyDescent="0.35">
      <c r="B92" s="2">
        <v>392</v>
      </c>
      <c r="C92" s="5">
        <v>45805</v>
      </c>
      <c r="D92" s="3" t="s">
        <v>21</v>
      </c>
      <c r="E92" s="3" t="s">
        <v>218</v>
      </c>
      <c r="F92" s="14" t="s">
        <v>219</v>
      </c>
      <c r="G92" s="4" t="s">
        <v>16</v>
      </c>
      <c r="H92" s="2" t="s">
        <v>17</v>
      </c>
      <c r="I92" s="2" t="s">
        <v>24</v>
      </c>
      <c r="J92" s="2" t="s">
        <v>29</v>
      </c>
      <c r="K92" s="1" t="s">
        <v>217</v>
      </c>
      <c r="L92" s="1" t="s">
        <v>95</v>
      </c>
      <c r="O92" s="1"/>
    </row>
    <row r="93" spans="2:15" ht="28" hidden="1" x14ac:dyDescent="0.35">
      <c r="B93" s="2">
        <v>11218</v>
      </c>
      <c r="C93" s="24">
        <v>46073</v>
      </c>
      <c r="D93" s="3" t="s">
        <v>220</v>
      </c>
      <c r="E93" s="3" t="s">
        <v>221</v>
      </c>
      <c r="F93" s="14" t="s">
        <v>222</v>
      </c>
      <c r="G93" s="4" t="s">
        <v>51</v>
      </c>
      <c r="H93" s="2" t="s">
        <v>17</v>
      </c>
      <c r="I93" s="2" t="s">
        <v>18</v>
      </c>
      <c r="J93" s="2" t="s">
        <v>19</v>
      </c>
      <c r="K93" s="1" t="s">
        <v>183</v>
      </c>
      <c r="L93" s="1" t="s">
        <v>95</v>
      </c>
      <c r="O93" s="1"/>
    </row>
    <row r="94" spans="2:15" ht="42" hidden="1" x14ac:dyDescent="0.35">
      <c r="B94" s="2">
        <v>11224</v>
      </c>
      <c r="C94" s="24">
        <v>46076</v>
      </c>
      <c r="D94" s="3" t="s">
        <v>193</v>
      </c>
      <c r="E94" s="3" t="s">
        <v>223</v>
      </c>
      <c r="F94" s="14" t="s">
        <v>224</v>
      </c>
      <c r="G94" s="4" t="s">
        <v>51</v>
      </c>
      <c r="H94" s="2" t="s">
        <v>17</v>
      </c>
      <c r="I94" s="2" t="s">
        <v>37</v>
      </c>
      <c r="J94" s="2" t="s">
        <v>121</v>
      </c>
      <c r="K94" s="1" t="s">
        <v>183</v>
      </c>
      <c r="L94" s="1" t="s">
        <v>95</v>
      </c>
      <c r="O94" s="1"/>
    </row>
    <row r="95" spans="2:15" ht="42" hidden="1" x14ac:dyDescent="0.35">
      <c r="B95" s="2">
        <v>11517</v>
      </c>
      <c r="C95" s="24">
        <v>46106</v>
      </c>
      <c r="D95" s="3" t="s">
        <v>193</v>
      </c>
      <c r="E95" s="3" t="s">
        <v>225</v>
      </c>
      <c r="F95" s="14" t="s">
        <v>226</v>
      </c>
      <c r="G95" s="4" t="s">
        <v>51</v>
      </c>
      <c r="H95" s="2" t="s">
        <v>17</v>
      </c>
      <c r="I95" s="2" t="s">
        <v>24</v>
      </c>
      <c r="J95" s="2" t="s">
        <v>54</v>
      </c>
      <c r="K95" s="1" t="s">
        <v>183</v>
      </c>
      <c r="L95" s="1" t="s">
        <v>95</v>
      </c>
      <c r="O95" s="1"/>
    </row>
    <row r="96" spans="2:15" ht="42" hidden="1" x14ac:dyDescent="0.35">
      <c r="B96" s="2">
        <v>11295</v>
      </c>
      <c r="C96" s="24">
        <v>46086</v>
      </c>
      <c r="D96" s="3" t="s">
        <v>227</v>
      </c>
      <c r="E96" s="3" t="s">
        <v>228</v>
      </c>
      <c r="F96" s="14" t="s">
        <v>229</v>
      </c>
      <c r="G96" s="4" t="s">
        <v>51</v>
      </c>
      <c r="H96" s="2" t="s">
        <v>17</v>
      </c>
      <c r="I96" s="2" t="s">
        <v>18</v>
      </c>
      <c r="J96" s="2" t="s">
        <v>19</v>
      </c>
      <c r="K96" s="1" t="s">
        <v>230</v>
      </c>
      <c r="L96" s="1" t="s">
        <v>227</v>
      </c>
      <c r="O96" s="1"/>
    </row>
    <row r="97" spans="2:15" ht="42" hidden="1" x14ac:dyDescent="0.35">
      <c r="B97" s="2">
        <v>356</v>
      </c>
      <c r="C97" s="5">
        <v>45792</v>
      </c>
      <c r="D97" s="3" t="s">
        <v>95</v>
      </c>
      <c r="E97" s="3" t="s">
        <v>231</v>
      </c>
      <c r="F97" s="14" t="s">
        <v>232</v>
      </c>
      <c r="G97" s="4" t="s">
        <v>51</v>
      </c>
      <c r="H97" s="2" t="s">
        <v>17</v>
      </c>
      <c r="I97" s="2" t="s">
        <v>18</v>
      </c>
      <c r="J97" s="2" t="s">
        <v>19</v>
      </c>
      <c r="K97" s="1" t="s">
        <v>233</v>
      </c>
      <c r="L97" s="1" t="s">
        <v>234</v>
      </c>
      <c r="O97" s="1"/>
    </row>
    <row r="98" spans="2:15" ht="28" hidden="1" x14ac:dyDescent="0.35">
      <c r="B98" s="2">
        <v>9633</v>
      </c>
      <c r="C98" s="5">
        <v>45896</v>
      </c>
      <c r="D98" s="3" t="s">
        <v>104</v>
      </c>
      <c r="E98" s="3" t="s">
        <v>235</v>
      </c>
      <c r="F98" s="14" t="s">
        <v>236</v>
      </c>
      <c r="G98" s="4" t="s">
        <v>51</v>
      </c>
      <c r="H98" s="2" t="s">
        <v>17</v>
      </c>
      <c r="I98" s="2" t="s">
        <v>37</v>
      </c>
      <c r="J98" s="2" t="s">
        <v>38</v>
      </c>
      <c r="K98" s="1" t="s">
        <v>233</v>
      </c>
      <c r="L98" s="1" t="s">
        <v>234</v>
      </c>
      <c r="O98" s="1"/>
    </row>
    <row r="99" spans="2:15" ht="28" hidden="1" x14ac:dyDescent="0.35">
      <c r="B99" s="2">
        <v>9632</v>
      </c>
      <c r="C99" s="5">
        <v>45896</v>
      </c>
      <c r="D99" s="3" t="s">
        <v>104</v>
      </c>
      <c r="E99" s="3" t="s">
        <v>237</v>
      </c>
      <c r="F99" s="14" t="s">
        <v>238</v>
      </c>
      <c r="G99" s="4" t="s">
        <v>51</v>
      </c>
      <c r="H99" s="2" t="s">
        <v>17</v>
      </c>
      <c r="I99" s="2" t="s">
        <v>37</v>
      </c>
      <c r="J99" s="2" t="s">
        <v>38</v>
      </c>
      <c r="K99" s="1" t="s">
        <v>233</v>
      </c>
      <c r="L99" s="1" t="s">
        <v>234</v>
      </c>
      <c r="O99" s="1"/>
    </row>
    <row r="100" spans="2:15" ht="28" hidden="1" x14ac:dyDescent="0.35">
      <c r="B100" s="2">
        <v>9888</v>
      </c>
      <c r="C100" s="5">
        <v>45930</v>
      </c>
      <c r="D100" s="3" t="s">
        <v>193</v>
      </c>
      <c r="E100" s="3" t="s">
        <v>239</v>
      </c>
      <c r="F100" s="14" t="s">
        <v>240</v>
      </c>
      <c r="G100" s="4" t="s">
        <v>51</v>
      </c>
      <c r="H100" s="2" t="s">
        <v>17</v>
      </c>
      <c r="I100" s="2" t="s">
        <v>24</v>
      </c>
      <c r="J100" s="2" t="s">
        <v>241</v>
      </c>
      <c r="K100" s="1" t="s">
        <v>233</v>
      </c>
      <c r="L100" s="1" t="s">
        <v>234</v>
      </c>
      <c r="O100" s="1"/>
    </row>
    <row r="101" spans="2:15" ht="28" hidden="1" x14ac:dyDescent="0.35">
      <c r="B101" s="2">
        <v>9919</v>
      </c>
      <c r="C101" s="5">
        <v>45930</v>
      </c>
      <c r="D101" s="3" t="s">
        <v>95</v>
      </c>
      <c r="E101" s="3" t="s">
        <v>242</v>
      </c>
      <c r="F101" s="14" t="s">
        <v>243</v>
      </c>
      <c r="G101" s="4" t="s">
        <v>16</v>
      </c>
      <c r="H101" s="2" t="s">
        <v>17</v>
      </c>
      <c r="I101" s="2" t="s">
        <v>24</v>
      </c>
      <c r="J101" s="2" t="s">
        <v>72</v>
      </c>
      <c r="K101" s="1" t="s">
        <v>233</v>
      </c>
      <c r="L101" s="1" t="s">
        <v>234</v>
      </c>
      <c r="O101" s="1"/>
    </row>
    <row r="102" spans="2:15" hidden="1" x14ac:dyDescent="0.35">
      <c r="B102" s="2">
        <v>10011</v>
      </c>
      <c r="C102" s="5">
        <v>45943</v>
      </c>
      <c r="D102" s="3" t="s">
        <v>21</v>
      </c>
      <c r="E102" s="3" t="s">
        <v>244</v>
      </c>
      <c r="F102" s="14" t="s">
        <v>245</v>
      </c>
      <c r="G102" s="4" t="s">
        <v>51</v>
      </c>
      <c r="H102" s="2" t="s">
        <v>17</v>
      </c>
      <c r="I102" s="2" t="s">
        <v>24</v>
      </c>
      <c r="J102" s="2" t="s">
        <v>44</v>
      </c>
      <c r="K102" s="1" t="s">
        <v>233</v>
      </c>
      <c r="L102" s="1" t="s">
        <v>234</v>
      </c>
      <c r="O102" s="1"/>
    </row>
    <row r="103" spans="2:15" ht="28" hidden="1" x14ac:dyDescent="0.35">
      <c r="B103" s="2">
        <v>10024</v>
      </c>
      <c r="C103" s="5">
        <v>45944</v>
      </c>
      <c r="D103" s="3" t="s">
        <v>193</v>
      </c>
      <c r="E103" s="3" t="s">
        <v>246</v>
      </c>
      <c r="F103" s="14" t="s">
        <v>247</v>
      </c>
      <c r="G103" s="4" t="s">
        <v>51</v>
      </c>
      <c r="H103" s="2" t="s">
        <v>17</v>
      </c>
      <c r="I103" s="2" t="s">
        <v>24</v>
      </c>
      <c r="J103" s="2" t="s">
        <v>33</v>
      </c>
      <c r="K103" s="1" t="s">
        <v>233</v>
      </c>
      <c r="L103" s="1" t="s">
        <v>234</v>
      </c>
      <c r="O103" s="1"/>
    </row>
    <row r="104" spans="2:15" ht="56" hidden="1" x14ac:dyDescent="0.35">
      <c r="B104" s="2">
        <v>10056</v>
      </c>
      <c r="C104" s="5">
        <v>45947</v>
      </c>
      <c r="D104" s="3" t="s">
        <v>234</v>
      </c>
      <c r="E104" s="3" t="s">
        <v>248</v>
      </c>
      <c r="F104" s="14" t="s">
        <v>249</v>
      </c>
      <c r="G104" s="4" t="s">
        <v>51</v>
      </c>
      <c r="H104" s="2" t="s">
        <v>17</v>
      </c>
      <c r="I104" s="2" t="s">
        <v>24</v>
      </c>
      <c r="J104" s="2" t="s">
        <v>63</v>
      </c>
      <c r="K104" s="1" t="s">
        <v>233</v>
      </c>
      <c r="L104" s="1" t="s">
        <v>234</v>
      </c>
      <c r="O104" s="1"/>
    </row>
    <row r="105" spans="2:15" ht="56" hidden="1" x14ac:dyDescent="0.35">
      <c r="B105" s="2">
        <v>10150</v>
      </c>
      <c r="C105" s="5">
        <v>45961</v>
      </c>
      <c r="D105" s="3" t="s">
        <v>250</v>
      </c>
      <c r="E105" s="3" t="s">
        <v>251</v>
      </c>
      <c r="F105" s="14" t="s">
        <v>252</v>
      </c>
      <c r="G105" s="4" t="s">
        <v>51</v>
      </c>
      <c r="H105" s="2" t="s">
        <v>17</v>
      </c>
      <c r="I105" s="2" t="s">
        <v>37</v>
      </c>
      <c r="J105" s="2" t="s">
        <v>121</v>
      </c>
      <c r="K105" s="1" t="s">
        <v>233</v>
      </c>
      <c r="L105" s="1" t="s">
        <v>234</v>
      </c>
      <c r="O105" s="1"/>
    </row>
    <row r="106" spans="2:15" ht="28" hidden="1" x14ac:dyDescent="0.35">
      <c r="B106" s="2">
        <v>10149</v>
      </c>
      <c r="C106" s="5">
        <v>45961</v>
      </c>
      <c r="D106" s="3" t="s">
        <v>21</v>
      </c>
      <c r="E106" s="3" t="s">
        <v>253</v>
      </c>
      <c r="F106" s="14" t="s">
        <v>254</v>
      </c>
      <c r="G106" s="4" t="s">
        <v>16</v>
      </c>
      <c r="H106" s="2" t="s">
        <v>17</v>
      </c>
      <c r="I106" s="2" t="s">
        <v>24</v>
      </c>
      <c r="J106" s="2" t="s">
        <v>54</v>
      </c>
      <c r="K106" s="1" t="s">
        <v>233</v>
      </c>
      <c r="L106" s="1" t="s">
        <v>234</v>
      </c>
      <c r="O106" s="1"/>
    </row>
    <row r="107" spans="2:15" ht="28" hidden="1" x14ac:dyDescent="0.35">
      <c r="B107" s="2">
        <v>10148</v>
      </c>
      <c r="C107" s="5">
        <v>45961</v>
      </c>
      <c r="D107" s="3" t="s">
        <v>193</v>
      </c>
      <c r="E107" s="3" t="s">
        <v>255</v>
      </c>
      <c r="F107" s="14" t="s">
        <v>256</v>
      </c>
      <c r="G107" s="4" t="s">
        <v>51</v>
      </c>
      <c r="H107" s="2" t="s">
        <v>17</v>
      </c>
      <c r="I107" s="2" t="s">
        <v>37</v>
      </c>
      <c r="J107" s="2" t="s">
        <v>112</v>
      </c>
      <c r="K107" s="1" t="s">
        <v>233</v>
      </c>
      <c r="L107" s="1" t="s">
        <v>234</v>
      </c>
      <c r="O107" s="1"/>
    </row>
    <row r="108" spans="2:15" ht="28" hidden="1" x14ac:dyDescent="0.35">
      <c r="B108" s="2">
        <v>10359</v>
      </c>
      <c r="C108" s="5">
        <v>45989</v>
      </c>
      <c r="D108" s="3" t="s">
        <v>193</v>
      </c>
      <c r="E108" s="3" t="s">
        <v>257</v>
      </c>
      <c r="F108" s="14" t="s">
        <v>258</v>
      </c>
      <c r="G108" s="4" t="s">
        <v>51</v>
      </c>
      <c r="H108" s="2" t="s">
        <v>17</v>
      </c>
      <c r="I108" s="2" t="s">
        <v>24</v>
      </c>
      <c r="J108" s="2" t="s">
        <v>44</v>
      </c>
      <c r="K108" s="1" t="s">
        <v>233</v>
      </c>
      <c r="L108" s="1" t="s">
        <v>234</v>
      </c>
      <c r="O108" s="1"/>
    </row>
    <row r="109" spans="2:15" ht="28" hidden="1" x14ac:dyDescent="0.35">
      <c r="B109" s="2">
        <v>10361</v>
      </c>
      <c r="C109" s="5">
        <v>45989</v>
      </c>
      <c r="D109" s="3" t="s">
        <v>193</v>
      </c>
      <c r="E109" s="3" t="s">
        <v>259</v>
      </c>
      <c r="F109" s="14" t="s">
        <v>260</v>
      </c>
      <c r="G109" s="4" t="s">
        <v>51</v>
      </c>
      <c r="H109" s="2" t="s">
        <v>17</v>
      </c>
      <c r="I109" s="2" t="s">
        <v>24</v>
      </c>
      <c r="J109" s="2" t="s">
        <v>261</v>
      </c>
      <c r="K109" s="1" t="s">
        <v>233</v>
      </c>
      <c r="L109" s="1" t="s">
        <v>234</v>
      </c>
      <c r="O109" s="1"/>
    </row>
    <row r="110" spans="2:15" ht="28" hidden="1" x14ac:dyDescent="0.35">
      <c r="B110" s="2">
        <v>10501</v>
      </c>
      <c r="C110" s="5">
        <v>46010</v>
      </c>
      <c r="D110" s="3" t="s">
        <v>96</v>
      </c>
      <c r="E110" s="3" t="s">
        <v>262</v>
      </c>
      <c r="F110" s="14" t="s">
        <v>263</v>
      </c>
      <c r="G110" s="4" t="s">
        <v>16</v>
      </c>
      <c r="H110" s="2" t="s">
        <v>17</v>
      </c>
      <c r="I110" s="2" t="s">
        <v>37</v>
      </c>
      <c r="J110" s="2" t="s">
        <v>38</v>
      </c>
      <c r="K110" s="1" t="s">
        <v>233</v>
      </c>
      <c r="L110" s="1" t="s">
        <v>234</v>
      </c>
      <c r="O110" s="1"/>
    </row>
    <row r="111" spans="2:15" hidden="1" x14ac:dyDescent="0.35">
      <c r="B111" s="2">
        <v>10519</v>
      </c>
      <c r="C111" s="5">
        <v>46020</v>
      </c>
      <c r="D111" s="3" t="s">
        <v>234</v>
      </c>
      <c r="E111" s="3" t="s">
        <v>264</v>
      </c>
      <c r="F111" s="14" t="s">
        <v>265</v>
      </c>
      <c r="G111" s="4" t="s">
        <v>16</v>
      </c>
      <c r="H111" s="2" t="s">
        <v>17</v>
      </c>
      <c r="I111" s="2" t="s">
        <v>24</v>
      </c>
      <c r="J111" s="2" t="s">
        <v>54</v>
      </c>
      <c r="K111" s="1" t="s">
        <v>233</v>
      </c>
      <c r="L111" s="1" t="s">
        <v>234</v>
      </c>
      <c r="O111" s="1"/>
    </row>
    <row r="112" spans="2:15" ht="28" hidden="1" x14ac:dyDescent="0.35">
      <c r="B112" s="2">
        <v>10521</v>
      </c>
      <c r="C112" s="5">
        <v>46021</v>
      </c>
      <c r="D112" s="3" t="s">
        <v>193</v>
      </c>
      <c r="E112" s="3" t="s">
        <v>266</v>
      </c>
      <c r="F112" s="14" t="s">
        <v>267</v>
      </c>
      <c r="G112" s="4" t="s">
        <v>51</v>
      </c>
      <c r="H112" s="2" t="s">
        <v>17</v>
      </c>
      <c r="I112" s="2" t="s">
        <v>24</v>
      </c>
      <c r="J112" s="2" t="s">
        <v>44</v>
      </c>
      <c r="K112" s="1" t="s">
        <v>233</v>
      </c>
      <c r="L112" s="1" t="s">
        <v>234</v>
      </c>
      <c r="O112" s="1"/>
    </row>
    <row r="113" spans="2:15" ht="28" hidden="1" x14ac:dyDescent="0.35">
      <c r="B113" s="2">
        <v>10686</v>
      </c>
      <c r="C113" s="5">
        <v>46034</v>
      </c>
      <c r="D113" s="3" t="s">
        <v>193</v>
      </c>
      <c r="E113" s="3" t="s">
        <v>268</v>
      </c>
      <c r="F113" s="14" t="s">
        <v>269</v>
      </c>
      <c r="G113" s="4" t="s">
        <v>51</v>
      </c>
      <c r="H113" s="2" t="s">
        <v>17</v>
      </c>
      <c r="I113" s="2" t="s">
        <v>24</v>
      </c>
      <c r="J113" s="2" t="s">
        <v>54</v>
      </c>
      <c r="K113" s="1" t="s">
        <v>233</v>
      </c>
      <c r="L113" s="1" t="s">
        <v>234</v>
      </c>
      <c r="O113" s="1"/>
    </row>
    <row r="114" spans="2:15" hidden="1" x14ac:dyDescent="0.35">
      <c r="B114" s="2">
        <v>10782</v>
      </c>
      <c r="C114" s="5">
        <v>46041</v>
      </c>
      <c r="D114" s="3" t="s">
        <v>234</v>
      </c>
      <c r="E114" s="3" t="s">
        <v>270</v>
      </c>
      <c r="F114" s="14" t="s">
        <v>271</v>
      </c>
      <c r="G114" s="4" t="s">
        <v>16</v>
      </c>
      <c r="H114" s="2" t="s">
        <v>17</v>
      </c>
      <c r="I114" s="2" t="s">
        <v>24</v>
      </c>
      <c r="J114" s="2" t="s">
        <v>54</v>
      </c>
      <c r="K114" s="1" t="s">
        <v>233</v>
      </c>
      <c r="L114" s="1" t="s">
        <v>234</v>
      </c>
      <c r="O114" s="1"/>
    </row>
    <row r="115" spans="2:15" ht="28" hidden="1" x14ac:dyDescent="0.35">
      <c r="B115" s="2">
        <v>10783</v>
      </c>
      <c r="C115" s="5">
        <v>46041</v>
      </c>
      <c r="D115" s="3" t="s">
        <v>234</v>
      </c>
      <c r="E115" s="3" t="s">
        <v>272</v>
      </c>
      <c r="F115" s="14" t="s">
        <v>273</v>
      </c>
      <c r="G115" s="4" t="s">
        <v>51</v>
      </c>
      <c r="H115" s="2" t="s">
        <v>17</v>
      </c>
      <c r="I115" s="2" t="s">
        <v>24</v>
      </c>
      <c r="J115" s="2" t="s">
        <v>54</v>
      </c>
      <c r="K115" s="1" t="s">
        <v>233</v>
      </c>
      <c r="L115" s="1" t="s">
        <v>234</v>
      </c>
      <c r="O115" s="1"/>
    </row>
    <row r="116" spans="2:15" ht="28" hidden="1" x14ac:dyDescent="0.35">
      <c r="B116" s="2">
        <v>10784</v>
      </c>
      <c r="C116" s="5">
        <v>46041</v>
      </c>
      <c r="D116" s="3" t="s">
        <v>234</v>
      </c>
      <c r="E116" s="3" t="s">
        <v>274</v>
      </c>
      <c r="F116" s="14" t="s">
        <v>275</v>
      </c>
      <c r="G116" s="4" t="s">
        <v>51</v>
      </c>
      <c r="H116" s="2" t="s">
        <v>17</v>
      </c>
      <c r="I116" s="2" t="s">
        <v>24</v>
      </c>
      <c r="J116" s="2" t="s">
        <v>33</v>
      </c>
      <c r="K116" s="1" t="s">
        <v>233</v>
      </c>
      <c r="L116" s="1" t="s">
        <v>234</v>
      </c>
      <c r="O116" s="1"/>
    </row>
    <row r="117" spans="2:15" ht="28" hidden="1" x14ac:dyDescent="0.35">
      <c r="B117" s="2">
        <v>10842</v>
      </c>
      <c r="C117" s="5">
        <v>46050</v>
      </c>
      <c r="D117" s="3" t="s">
        <v>276</v>
      </c>
      <c r="E117" s="3" t="s">
        <v>277</v>
      </c>
      <c r="F117" s="14" t="s">
        <v>247</v>
      </c>
      <c r="G117" s="4" t="s">
        <v>51</v>
      </c>
      <c r="H117" s="2" t="s">
        <v>17</v>
      </c>
      <c r="I117" s="2" t="s">
        <v>37</v>
      </c>
      <c r="J117" s="2" t="s">
        <v>38</v>
      </c>
      <c r="K117" s="1" t="s">
        <v>233</v>
      </c>
      <c r="L117" s="1" t="s">
        <v>234</v>
      </c>
      <c r="O117" s="1"/>
    </row>
    <row r="118" spans="2:15" ht="56" hidden="1" x14ac:dyDescent="0.35">
      <c r="B118" s="2">
        <v>10975</v>
      </c>
      <c r="C118" s="5">
        <v>46056</v>
      </c>
      <c r="D118" s="3" t="s">
        <v>278</v>
      </c>
      <c r="E118" s="3" t="s">
        <v>279</v>
      </c>
      <c r="F118" s="14" t="s">
        <v>280</v>
      </c>
      <c r="G118" s="4" t="s">
        <v>51</v>
      </c>
      <c r="H118" s="2" t="s">
        <v>281</v>
      </c>
      <c r="I118" s="2" t="s">
        <v>18</v>
      </c>
      <c r="J118" s="2" t="s">
        <v>19</v>
      </c>
      <c r="K118" s="1" t="s">
        <v>233</v>
      </c>
      <c r="L118" s="1" t="s">
        <v>234</v>
      </c>
      <c r="O118" s="1"/>
    </row>
    <row r="119" spans="2:15" ht="42" hidden="1" x14ac:dyDescent="0.35">
      <c r="B119" s="2">
        <v>10996</v>
      </c>
      <c r="C119" s="5">
        <v>46058</v>
      </c>
      <c r="D119" s="3" t="s">
        <v>190</v>
      </c>
      <c r="E119" s="3" t="s">
        <v>282</v>
      </c>
      <c r="F119" s="14" t="s">
        <v>283</v>
      </c>
      <c r="G119" s="4" t="s">
        <v>51</v>
      </c>
      <c r="H119" s="2" t="s">
        <v>17</v>
      </c>
      <c r="I119" s="2" t="s">
        <v>37</v>
      </c>
      <c r="J119" s="2" t="s">
        <v>81</v>
      </c>
      <c r="K119" s="1" t="s">
        <v>233</v>
      </c>
      <c r="L119" s="1" t="s">
        <v>234</v>
      </c>
      <c r="O119" s="1"/>
    </row>
    <row r="120" spans="2:15" ht="70" hidden="1" x14ac:dyDescent="0.35">
      <c r="B120" s="2">
        <v>11472</v>
      </c>
      <c r="C120" s="24">
        <v>46101</v>
      </c>
      <c r="D120" s="3" t="s">
        <v>193</v>
      </c>
      <c r="E120" s="3" t="s">
        <v>284</v>
      </c>
      <c r="F120" s="14" t="s">
        <v>285</v>
      </c>
      <c r="G120" s="4" t="s">
        <v>51</v>
      </c>
      <c r="H120" s="2" t="s">
        <v>17</v>
      </c>
      <c r="I120" s="2" t="s">
        <v>37</v>
      </c>
      <c r="J120" s="2" t="s">
        <v>112</v>
      </c>
      <c r="K120" s="1" t="s">
        <v>286</v>
      </c>
      <c r="L120" s="1" t="s">
        <v>234</v>
      </c>
      <c r="O120" s="1"/>
    </row>
    <row r="121" spans="2:15" ht="28" hidden="1" x14ac:dyDescent="0.35">
      <c r="B121" s="2">
        <v>9199</v>
      </c>
      <c r="C121" s="5">
        <v>45854</v>
      </c>
      <c r="D121" s="3" t="s">
        <v>196</v>
      </c>
      <c r="E121" s="3" t="s">
        <v>287</v>
      </c>
      <c r="F121" s="14" t="s">
        <v>288</v>
      </c>
      <c r="G121" s="4" t="s">
        <v>16</v>
      </c>
      <c r="H121" s="2" t="s">
        <v>17</v>
      </c>
      <c r="I121" s="2" t="s">
        <v>24</v>
      </c>
      <c r="J121" s="2" t="s">
        <v>289</v>
      </c>
      <c r="K121" s="1" t="s">
        <v>288</v>
      </c>
      <c r="L121" s="1" t="s">
        <v>196</v>
      </c>
      <c r="O121" s="1"/>
    </row>
    <row r="122" spans="2:15" ht="42" hidden="1" x14ac:dyDescent="0.35">
      <c r="B122" s="2">
        <v>9169</v>
      </c>
      <c r="C122" s="5">
        <v>45845</v>
      </c>
      <c r="D122" s="3" t="s">
        <v>104</v>
      </c>
      <c r="E122" s="3" t="s">
        <v>290</v>
      </c>
      <c r="F122" s="14" t="s">
        <v>127</v>
      </c>
      <c r="G122" s="4" t="s">
        <v>16</v>
      </c>
      <c r="H122" s="2" t="s">
        <v>17</v>
      </c>
      <c r="I122" s="2" t="s">
        <v>18</v>
      </c>
      <c r="J122" s="2" t="s">
        <v>291</v>
      </c>
      <c r="K122" s="1" t="s">
        <v>127</v>
      </c>
      <c r="L122" s="1" t="s">
        <v>278</v>
      </c>
      <c r="O122" s="1"/>
    </row>
    <row r="123" spans="2:15" ht="28" hidden="1" x14ac:dyDescent="0.35">
      <c r="B123" s="2">
        <v>9178</v>
      </c>
      <c r="C123" s="5">
        <v>45855</v>
      </c>
      <c r="D123" s="3" t="s">
        <v>104</v>
      </c>
      <c r="E123" s="3" t="s">
        <v>292</v>
      </c>
      <c r="F123" s="14" t="s">
        <v>127</v>
      </c>
      <c r="G123" s="4" t="s">
        <v>16</v>
      </c>
      <c r="H123" s="2" t="s">
        <v>17</v>
      </c>
      <c r="I123" s="2" t="s">
        <v>24</v>
      </c>
      <c r="J123" s="2" t="s">
        <v>54</v>
      </c>
      <c r="K123" s="1" t="s">
        <v>127</v>
      </c>
      <c r="L123" s="1" t="s">
        <v>278</v>
      </c>
      <c r="O123" s="1"/>
    </row>
    <row r="124" spans="2:15" ht="42" hidden="1" x14ac:dyDescent="0.35">
      <c r="B124" s="2">
        <v>228</v>
      </c>
      <c r="C124" s="5">
        <v>45747</v>
      </c>
      <c r="D124" s="3" t="s">
        <v>26</v>
      </c>
      <c r="E124" s="3" t="s">
        <v>293</v>
      </c>
      <c r="F124" s="14" t="s">
        <v>294</v>
      </c>
      <c r="G124" s="4" t="s">
        <v>51</v>
      </c>
      <c r="H124" s="2" t="s">
        <v>17</v>
      </c>
      <c r="I124" s="2" t="s">
        <v>37</v>
      </c>
      <c r="J124" s="2" t="s">
        <v>38</v>
      </c>
      <c r="K124" s="1" t="s">
        <v>295</v>
      </c>
      <c r="L124" s="1" t="s">
        <v>26</v>
      </c>
      <c r="O124" s="1"/>
    </row>
    <row r="125" spans="2:15" ht="56" hidden="1" x14ac:dyDescent="0.35">
      <c r="B125" s="2">
        <v>10990</v>
      </c>
      <c r="C125" s="5">
        <v>46050</v>
      </c>
      <c r="D125" s="3" t="s">
        <v>278</v>
      </c>
      <c r="E125" s="3" t="s">
        <v>296</v>
      </c>
      <c r="F125" s="14" t="s">
        <v>297</v>
      </c>
      <c r="G125" s="4" t="s">
        <v>51</v>
      </c>
      <c r="H125" s="2" t="s">
        <v>17</v>
      </c>
      <c r="I125" s="2" t="s">
        <v>298</v>
      </c>
      <c r="J125" s="2" t="s">
        <v>299</v>
      </c>
      <c r="K125" s="1" t="s">
        <v>300</v>
      </c>
      <c r="L125" s="1" t="s">
        <v>278</v>
      </c>
      <c r="O125" s="1"/>
    </row>
    <row r="126" spans="2:15" ht="42" hidden="1" x14ac:dyDescent="0.35">
      <c r="B126" s="2">
        <v>11018</v>
      </c>
      <c r="C126" s="5">
        <v>46062</v>
      </c>
      <c r="D126" s="3" t="s">
        <v>278</v>
      </c>
      <c r="E126" s="3" t="s">
        <v>301</v>
      </c>
      <c r="F126" s="14" t="s">
        <v>302</v>
      </c>
      <c r="G126" s="4" t="s">
        <v>51</v>
      </c>
      <c r="H126" s="2" t="s">
        <v>17</v>
      </c>
      <c r="I126" s="2" t="s">
        <v>18</v>
      </c>
      <c r="J126" s="2" t="s">
        <v>19</v>
      </c>
      <c r="K126" s="1" t="s">
        <v>300</v>
      </c>
      <c r="L126" s="1" t="s">
        <v>278</v>
      </c>
      <c r="O126" s="1"/>
    </row>
    <row r="127" spans="2:15" ht="42" hidden="1" x14ac:dyDescent="0.35">
      <c r="B127" s="2">
        <v>11052</v>
      </c>
      <c r="C127" s="5">
        <v>46062</v>
      </c>
      <c r="D127" s="3" t="s">
        <v>278</v>
      </c>
      <c r="E127" s="3" t="s">
        <v>303</v>
      </c>
      <c r="F127" s="14" t="s">
        <v>302</v>
      </c>
      <c r="G127" s="4" t="s">
        <v>51</v>
      </c>
      <c r="H127" s="2" t="s">
        <v>17</v>
      </c>
      <c r="I127" s="2" t="s">
        <v>18</v>
      </c>
      <c r="J127" s="2" t="s">
        <v>19</v>
      </c>
      <c r="K127" s="1" t="s">
        <v>300</v>
      </c>
      <c r="L127" s="1" t="s">
        <v>278</v>
      </c>
      <c r="O127" s="1"/>
    </row>
    <row r="128" spans="2:15" ht="42" hidden="1" x14ac:dyDescent="0.35">
      <c r="B128" s="2">
        <v>333</v>
      </c>
      <c r="C128" s="5">
        <v>45784</v>
      </c>
      <c r="D128" s="3" t="s">
        <v>220</v>
      </c>
      <c r="E128" s="3" t="s">
        <v>304</v>
      </c>
      <c r="F128" s="14" t="s">
        <v>305</v>
      </c>
      <c r="G128" s="4" t="s">
        <v>51</v>
      </c>
      <c r="H128" s="2" t="s">
        <v>17</v>
      </c>
      <c r="I128" s="2" t="s">
        <v>18</v>
      </c>
      <c r="J128" s="2" t="s">
        <v>19</v>
      </c>
      <c r="K128" s="1" t="s">
        <v>306</v>
      </c>
      <c r="L128" s="1" t="s">
        <v>220</v>
      </c>
      <c r="O128" s="1"/>
    </row>
    <row r="129" spans="2:15" ht="42" hidden="1" x14ac:dyDescent="0.35">
      <c r="B129" s="2">
        <v>347</v>
      </c>
      <c r="C129" s="5">
        <v>45790</v>
      </c>
      <c r="D129" s="3" t="s">
        <v>220</v>
      </c>
      <c r="E129" s="3" t="s">
        <v>307</v>
      </c>
      <c r="F129" s="14" t="s">
        <v>306</v>
      </c>
      <c r="G129" s="4" t="s">
        <v>16</v>
      </c>
      <c r="H129" s="2" t="s">
        <v>17</v>
      </c>
      <c r="I129" s="2" t="s">
        <v>24</v>
      </c>
      <c r="J129" s="2" t="s">
        <v>41</v>
      </c>
      <c r="K129" s="1" t="s">
        <v>306</v>
      </c>
      <c r="L129" s="1" t="s">
        <v>220</v>
      </c>
      <c r="O129" s="1"/>
    </row>
    <row r="130" spans="2:15" ht="42" hidden="1" x14ac:dyDescent="0.35">
      <c r="B130" s="2">
        <v>411</v>
      </c>
      <c r="C130" s="5">
        <v>45813</v>
      </c>
      <c r="D130" s="3" t="s">
        <v>220</v>
      </c>
      <c r="E130" s="3" t="s">
        <v>308</v>
      </c>
      <c r="F130" s="14" t="s">
        <v>309</v>
      </c>
      <c r="G130" s="4" t="s">
        <v>51</v>
      </c>
      <c r="H130" s="2" t="s">
        <v>17</v>
      </c>
      <c r="I130" s="2" t="s">
        <v>18</v>
      </c>
      <c r="J130" s="2" t="s">
        <v>171</v>
      </c>
      <c r="K130" s="1" t="s">
        <v>306</v>
      </c>
      <c r="L130" s="1" t="s">
        <v>220</v>
      </c>
      <c r="O130" s="1"/>
    </row>
    <row r="131" spans="2:15" ht="28" hidden="1" x14ac:dyDescent="0.35">
      <c r="B131" s="2">
        <v>437</v>
      </c>
      <c r="C131" s="5">
        <v>45825</v>
      </c>
      <c r="D131" s="3" t="s">
        <v>220</v>
      </c>
      <c r="E131" s="3" t="s">
        <v>310</v>
      </c>
      <c r="F131" s="14" t="s">
        <v>311</v>
      </c>
      <c r="G131" s="4" t="s">
        <v>16</v>
      </c>
      <c r="H131" s="2" t="s">
        <v>17</v>
      </c>
      <c r="I131" s="2" t="s">
        <v>18</v>
      </c>
      <c r="J131" s="2" t="s">
        <v>68</v>
      </c>
      <c r="K131" s="1" t="s">
        <v>306</v>
      </c>
      <c r="L131" s="1" t="s">
        <v>220</v>
      </c>
      <c r="O131" s="1"/>
    </row>
    <row r="132" spans="2:15" ht="28" hidden="1" x14ac:dyDescent="0.35">
      <c r="B132" s="2">
        <v>461</v>
      </c>
      <c r="C132" s="5">
        <v>45833</v>
      </c>
      <c r="D132" s="3" t="s">
        <v>220</v>
      </c>
      <c r="E132" s="3" t="s">
        <v>312</v>
      </c>
      <c r="F132" s="14" t="s">
        <v>313</v>
      </c>
      <c r="G132" s="4" t="s">
        <v>51</v>
      </c>
      <c r="H132" s="2" t="s">
        <v>17</v>
      </c>
      <c r="I132" s="2" t="s">
        <v>18</v>
      </c>
      <c r="J132" s="2" t="s">
        <v>171</v>
      </c>
      <c r="K132" s="1" t="s">
        <v>306</v>
      </c>
      <c r="L132" s="1" t="s">
        <v>220</v>
      </c>
      <c r="O132" s="1"/>
    </row>
    <row r="133" spans="2:15" ht="42" hidden="1" x14ac:dyDescent="0.35">
      <c r="B133" s="2">
        <v>491</v>
      </c>
      <c r="C133" s="5">
        <v>45845</v>
      </c>
      <c r="D133" s="3" t="s">
        <v>220</v>
      </c>
      <c r="E133" s="3" t="s">
        <v>314</v>
      </c>
      <c r="F133" s="14" t="s">
        <v>315</v>
      </c>
      <c r="G133" s="4" t="s">
        <v>51</v>
      </c>
      <c r="H133" s="2" t="s">
        <v>17</v>
      </c>
      <c r="I133" s="2" t="s">
        <v>24</v>
      </c>
      <c r="J133" s="2" t="s">
        <v>72</v>
      </c>
      <c r="K133" s="1" t="s">
        <v>306</v>
      </c>
      <c r="L133" s="1" t="s">
        <v>220</v>
      </c>
      <c r="O133" s="1"/>
    </row>
    <row r="134" spans="2:15" ht="56" hidden="1" x14ac:dyDescent="0.35">
      <c r="B134" s="2">
        <v>9200</v>
      </c>
      <c r="C134" s="5">
        <v>45849</v>
      </c>
      <c r="D134" s="3" t="s">
        <v>220</v>
      </c>
      <c r="E134" s="3" t="s">
        <v>316</v>
      </c>
      <c r="F134" s="14" t="s">
        <v>317</v>
      </c>
      <c r="G134" s="4" t="s">
        <v>51</v>
      </c>
      <c r="H134" s="2" t="s">
        <v>17</v>
      </c>
      <c r="I134" s="2" t="s">
        <v>24</v>
      </c>
      <c r="J134" s="2" t="s">
        <v>72</v>
      </c>
      <c r="K134" s="1" t="s">
        <v>306</v>
      </c>
      <c r="L134" s="1" t="s">
        <v>220</v>
      </c>
      <c r="O134" s="1"/>
    </row>
    <row r="135" spans="2:15" ht="42" hidden="1" x14ac:dyDescent="0.35">
      <c r="B135" s="2">
        <v>9507</v>
      </c>
      <c r="C135" s="5">
        <v>45883</v>
      </c>
      <c r="D135" s="3" t="s">
        <v>220</v>
      </c>
      <c r="E135" s="3" t="s">
        <v>318</v>
      </c>
      <c r="F135" s="14" t="s">
        <v>305</v>
      </c>
      <c r="G135" s="4" t="s">
        <v>51</v>
      </c>
      <c r="H135" s="2" t="s">
        <v>17</v>
      </c>
      <c r="I135" s="2" t="s">
        <v>24</v>
      </c>
      <c r="J135" s="2" t="s">
        <v>44</v>
      </c>
      <c r="K135" s="1" t="s">
        <v>306</v>
      </c>
      <c r="L135" s="1" t="s">
        <v>220</v>
      </c>
      <c r="O135" s="1"/>
    </row>
    <row r="136" spans="2:15" ht="28" hidden="1" x14ac:dyDescent="0.35">
      <c r="B136" s="2">
        <v>9706</v>
      </c>
      <c r="C136" s="5">
        <v>45903</v>
      </c>
      <c r="D136" s="3" t="s">
        <v>220</v>
      </c>
      <c r="E136" s="3" t="s">
        <v>319</v>
      </c>
      <c r="F136" s="14" t="s">
        <v>313</v>
      </c>
      <c r="G136" s="4" t="s">
        <v>51</v>
      </c>
      <c r="H136" s="2" t="s">
        <v>17</v>
      </c>
      <c r="I136" s="2" t="s">
        <v>24</v>
      </c>
      <c r="J136" s="2" t="s">
        <v>72</v>
      </c>
      <c r="K136" s="1" t="s">
        <v>306</v>
      </c>
      <c r="L136" s="1" t="s">
        <v>220</v>
      </c>
      <c r="O136" s="1"/>
    </row>
    <row r="137" spans="2:15" ht="56" hidden="1" x14ac:dyDescent="0.35">
      <c r="B137" s="2">
        <v>10248</v>
      </c>
      <c r="C137" s="5">
        <v>45974</v>
      </c>
      <c r="D137" s="3" t="s">
        <v>220</v>
      </c>
      <c r="E137" s="3" t="s">
        <v>320</v>
      </c>
      <c r="F137" s="14" t="s">
        <v>315</v>
      </c>
      <c r="G137" s="4" t="s">
        <v>51</v>
      </c>
      <c r="H137" s="2" t="s">
        <v>17</v>
      </c>
      <c r="I137" s="2" t="s">
        <v>24</v>
      </c>
      <c r="J137" s="2" t="s">
        <v>44</v>
      </c>
      <c r="K137" s="1" t="s">
        <v>306</v>
      </c>
      <c r="L137" s="1" t="s">
        <v>220</v>
      </c>
      <c r="O137" s="1"/>
    </row>
    <row r="138" spans="2:15" ht="56" hidden="1" x14ac:dyDescent="0.35">
      <c r="B138" s="2">
        <v>10249</v>
      </c>
      <c r="C138" s="5">
        <v>45975</v>
      </c>
      <c r="D138" s="3" t="s">
        <v>220</v>
      </c>
      <c r="E138" s="3" t="s">
        <v>321</v>
      </c>
      <c r="F138" s="14" t="s">
        <v>322</v>
      </c>
      <c r="G138" s="4" t="s">
        <v>51</v>
      </c>
      <c r="H138" s="2" t="s">
        <v>17</v>
      </c>
      <c r="I138" s="2" t="s">
        <v>24</v>
      </c>
      <c r="J138" s="2" t="s">
        <v>44</v>
      </c>
      <c r="K138" s="1" t="s">
        <v>306</v>
      </c>
      <c r="L138" s="1" t="s">
        <v>220</v>
      </c>
      <c r="O138" s="1"/>
    </row>
    <row r="139" spans="2:15" ht="42" hidden="1" x14ac:dyDescent="0.35">
      <c r="B139" s="2">
        <v>10293</v>
      </c>
      <c r="C139" s="5">
        <v>45978</v>
      </c>
      <c r="D139" s="3" t="s">
        <v>220</v>
      </c>
      <c r="E139" s="3" t="s">
        <v>323</v>
      </c>
      <c r="F139" s="14" t="s">
        <v>317</v>
      </c>
      <c r="G139" s="4" t="s">
        <v>51</v>
      </c>
      <c r="H139" s="2" t="s">
        <v>17</v>
      </c>
      <c r="I139" s="2" t="s">
        <v>24</v>
      </c>
      <c r="J139" s="2" t="s">
        <v>72</v>
      </c>
      <c r="K139" s="1" t="s">
        <v>306</v>
      </c>
      <c r="L139" s="1" t="s">
        <v>220</v>
      </c>
      <c r="O139" s="1"/>
    </row>
    <row r="140" spans="2:15" ht="42" hidden="1" x14ac:dyDescent="0.35">
      <c r="B140" s="2">
        <v>10436</v>
      </c>
      <c r="C140" s="5">
        <v>45992</v>
      </c>
      <c r="D140" s="3" t="s">
        <v>220</v>
      </c>
      <c r="E140" s="3" t="s">
        <v>324</v>
      </c>
      <c r="F140" s="14" t="s">
        <v>317</v>
      </c>
      <c r="G140" s="4" t="s">
        <v>51</v>
      </c>
      <c r="H140" s="2" t="s">
        <v>17</v>
      </c>
      <c r="I140" s="2" t="s">
        <v>24</v>
      </c>
      <c r="J140" s="2" t="s">
        <v>29</v>
      </c>
      <c r="K140" s="1" t="s">
        <v>306</v>
      </c>
      <c r="L140" s="1" t="s">
        <v>220</v>
      </c>
      <c r="O140" s="1"/>
    </row>
    <row r="141" spans="2:15" ht="42" hidden="1" x14ac:dyDescent="0.35">
      <c r="B141" s="2">
        <v>55</v>
      </c>
      <c r="C141" s="5">
        <v>45673</v>
      </c>
      <c r="D141" s="3" t="s">
        <v>220</v>
      </c>
      <c r="E141" s="3" t="s">
        <v>325</v>
      </c>
      <c r="F141" s="14" t="s">
        <v>326</v>
      </c>
      <c r="G141" s="4" t="s">
        <v>16</v>
      </c>
      <c r="H141" s="2" t="s">
        <v>17</v>
      </c>
      <c r="I141" s="2" t="s">
        <v>18</v>
      </c>
      <c r="J141" t="s">
        <v>19</v>
      </c>
      <c r="K141" s="1" t="s">
        <v>327</v>
      </c>
      <c r="L141" s="1" t="s">
        <v>220</v>
      </c>
      <c r="O141" s="1"/>
    </row>
    <row r="142" spans="2:15" ht="42" hidden="1" x14ac:dyDescent="0.35">
      <c r="B142" s="2">
        <v>56</v>
      </c>
      <c r="C142" s="5">
        <v>45673</v>
      </c>
      <c r="D142" s="3" t="s">
        <v>220</v>
      </c>
      <c r="E142" s="3" t="s">
        <v>328</v>
      </c>
      <c r="F142" s="14" t="s">
        <v>329</v>
      </c>
      <c r="G142" s="4" t="s">
        <v>16</v>
      </c>
      <c r="H142" s="2" t="s">
        <v>17</v>
      </c>
      <c r="I142" s="2" t="s">
        <v>18</v>
      </c>
      <c r="J142" t="s">
        <v>19</v>
      </c>
      <c r="K142" s="1" t="s">
        <v>327</v>
      </c>
      <c r="L142" s="1" t="s">
        <v>220</v>
      </c>
      <c r="O142" s="1"/>
    </row>
    <row r="143" spans="2:15" ht="42" hidden="1" x14ac:dyDescent="0.35">
      <c r="B143" s="2">
        <v>57</v>
      </c>
      <c r="C143" s="5">
        <v>45673</v>
      </c>
      <c r="D143" s="3" t="s">
        <v>220</v>
      </c>
      <c r="E143" s="3" t="s">
        <v>330</v>
      </c>
      <c r="F143" s="14" t="s">
        <v>331</v>
      </c>
      <c r="G143" s="4" t="s">
        <v>16</v>
      </c>
      <c r="H143" s="2" t="s">
        <v>17</v>
      </c>
      <c r="I143" s="2" t="s">
        <v>18</v>
      </c>
      <c r="J143" t="s">
        <v>19</v>
      </c>
      <c r="K143" s="1" t="s">
        <v>327</v>
      </c>
      <c r="L143" s="1" t="s">
        <v>220</v>
      </c>
      <c r="O143" s="1"/>
    </row>
    <row r="144" spans="2:15" ht="42" hidden="1" x14ac:dyDescent="0.35">
      <c r="B144" s="2">
        <v>58</v>
      </c>
      <c r="C144" s="5">
        <v>45673</v>
      </c>
      <c r="D144" s="3" t="s">
        <v>220</v>
      </c>
      <c r="E144" s="3" t="s">
        <v>332</v>
      </c>
      <c r="F144" s="14" t="s">
        <v>333</v>
      </c>
      <c r="G144" s="4" t="s">
        <v>16</v>
      </c>
      <c r="H144" s="2" t="s">
        <v>17</v>
      </c>
      <c r="I144" s="2" t="s">
        <v>37</v>
      </c>
      <c r="J144" t="s">
        <v>112</v>
      </c>
      <c r="K144" s="1" t="s">
        <v>327</v>
      </c>
      <c r="L144" s="1" t="s">
        <v>220</v>
      </c>
      <c r="O144" s="1"/>
    </row>
    <row r="145" spans="2:15" ht="42" hidden="1" x14ac:dyDescent="0.35">
      <c r="B145" s="2">
        <v>145</v>
      </c>
      <c r="C145" s="5">
        <v>45716</v>
      </c>
      <c r="D145" s="3" t="s">
        <v>220</v>
      </c>
      <c r="E145" s="3" t="s">
        <v>334</v>
      </c>
      <c r="F145" s="14" t="s">
        <v>335</v>
      </c>
      <c r="G145" s="4" t="s">
        <v>51</v>
      </c>
      <c r="H145" s="2" t="s">
        <v>17</v>
      </c>
      <c r="I145" s="2" t="s">
        <v>24</v>
      </c>
      <c r="J145" s="2" t="s">
        <v>72</v>
      </c>
      <c r="K145" s="1" t="s">
        <v>327</v>
      </c>
      <c r="L145" s="1" t="s">
        <v>220</v>
      </c>
      <c r="O145" s="1"/>
    </row>
    <row r="146" spans="2:15" ht="42" hidden="1" x14ac:dyDescent="0.35">
      <c r="B146" s="2">
        <v>146</v>
      </c>
      <c r="C146" s="5">
        <v>45716</v>
      </c>
      <c r="D146" s="3" t="s">
        <v>220</v>
      </c>
      <c r="E146" s="3" t="s">
        <v>336</v>
      </c>
      <c r="F146" s="14" t="s">
        <v>337</v>
      </c>
      <c r="G146" s="4" t="s">
        <v>51</v>
      </c>
      <c r="H146" s="2" t="s">
        <v>17</v>
      </c>
      <c r="I146" s="2" t="s">
        <v>24</v>
      </c>
      <c r="J146" s="2" t="s">
        <v>72</v>
      </c>
      <c r="K146" s="1" t="s">
        <v>327</v>
      </c>
      <c r="L146" s="1" t="s">
        <v>220</v>
      </c>
      <c r="O146" s="1"/>
    </row>
    <row r="147" spans="2:15" ht="42" hidden="1" x14ac:dyDescent="0.35">
      <c r="B147" s="2">
        <v>147</v>
      </c>
      <c r="C147" s="5">
        <v>45716</v>
      </c>
      <c r="D147" s="3" t="s">
        <v>220</v>
      </c>
      <c r="E147" s="3" t="s">
        <v>338</v>
      </c>
      <c r="F147" s="14" t="s">
        <v>309</v>
      </c>
      <c r="G147" s="4" t="s">
        <v>51</v>
      </c>
      <c r="H147" s="2" t="s">
        <v>17</v>
      </c>
      <c r="I147" s="2" t="s">
        <v>24</v>
      </c>
      <c r="J147" s="2" t="s">
        <v>72</v>
      </c>
      <c r="K147" s="1" t="s">
        <v>327</v>
      </c>
      <c r="L147" s="1" t="s">
        <v>220</v>
      </c>
      <c r="O147" s="1"/>
    </row>
    <row r="148" spans="2:15" ht="42" hidden="1" x14ac:dyDescent="0.35">
      <c r="B148" s="2">
        <v>218</v>
      </c>
      <c r="C148" s="5">
        <v>45747</v>
      </c>
      <c r="D148" s="3" t="s">
        <v>220</v>
      </c>
      <c r="E148" s="3" t="s">
        <v>339</v>
      </c>
      <c r="F148" s="14" t="s">
        <v>305</v>
      </c>
      <c r="G148" s="4" t="s">
        <v>51</v>
      </c>
      <c r="H148" s="2" t="s">
        <v>17</v>
      </c>
      <c r="I148" s="2" t="s">
        <v>24</v>
      </c>
      <c r="J148" s="2" t="s">
        <v>340</v>
      </c>
      <c r="K148" s="1" t="s">
        <v>327</v>
      </c>
      <c r="L148" s="1" t="s">
        <v>220</v>
      </c>
      <c r="O148" s="1"/>
    </row>
    <row r="149" spans="2:15" ht="28" hidden="1" x14ac:dyDescent="0.35">
      <c r="B149" s="2">
        <v>247</v>
      </c>
      <c r="C149" s="5">
        <v>45754</v>
      </c>
      <c r="D149" s="3" t="s">
        <v>220</v>
      </c>
      <c r="E149" s="3" t="s">
        <v>341</v>
      </c>
      <c r="F149" s="14" t="s">
        <v>309</v>
      </c>
      <c r="G149" s="4" t="s">
        <v>51</v>
      </c>
      <c r="H149" s="2" t="s">
        <v>17</v>
      </c>
      <c r="I149" s="2" t="s">
        <v>24</v>
      </c>
      <c r="J149" s="2" t="s">
        <v>54</v>
      </c>
      <c r="K149" s="1" t="s">
        <v>327</v>
      </c>
      <c r="L149" s="1" t="s">
        <v>220</v>
      </c>
      <c r="O149" s="1"/>
    </row>
    <row r="150" spans="2:15" ht="28" hidden="1" x14ac:dyDescent="0.35">
      <c r="B150" s="2">
        <v>256</v>
      </c>
      <c r="C150" s="5">
        <v>45761</v>
      </c>
      <c r="D150" s="3" t="s">
        <v>220</v>
      </c>
      <c r="E150" s="3" t="s">
        <v>342</v>
      </c>
      <c r="F150" s="14" t="s">
        <v>305</v>
      </c>
      <c r="G150" s="4" t="s">
        <v>51</v>
      </c>
      <c r="H150" s="2" t="s">
        <v>17</v>
      </c>
      <c r="I150" s="2" t="s">
        <v>24</v>
      </c>
      <c r="J150" s="2" t="s">
        <v>44</v>
      </c>
      <c r="K150" s="1" t="s">
        <v>327</v>
      </c>
      <c r="L150" s="1" t="s">
        <v>220</v>
      </c>
      <c r="O150" s="1"/>
    </row>
    <row r="151" spans="2:15" ht="56" hidden="1" x14ac:dyDescent="0.35">
      <c r="B151" s="2">
        <v>148</v>
      </c>
      <c r="C151" s="5">
        <v>45716</v>
      </c>
      <c r="D151" s="3" t="s">
        <v>220</v>
      </c>
      <c r="E151" s="3" t="s">
        <v>343</v>
      </c>
      <c r="F151" s="14" t="s">
        <v>306</v>
      </c>
      <c r="G151" s="4" t="s">
        <v>16</v>
      </c>
      <c r="H151" s="2" t="s">
        <v>17</v>
      </c>
      <c r="I151" s="2" t="s">
        <v>37</v>
      </c>
      <c r="J151" s="2" t="s">
        <v>38</v>
      </c>
      <c r="K151" s="1" t="s">
        <v>305</v>
      </c>
      <c r="L151" s="1" t="s">
        <v>220</v>
      </c>
      <c r="O151" s="1"/>
    </row>
    <row r="152" spans="2:15" ht="42" hidden="1" x14ac:dyDescent="0.35">
      <c r="B152" s="2">
        <v>217</v>
      </c>
      <c r="C152" s="5">
        <v>45747</v>
      </c>
      <c r="D152" s="3" t="s">
        <v>220</v>
      </c>
      <c r="E152" s="3" t="s">
        <v>344</v>
      </c>
      <c r="F152" s="14" t="s">
        <v>306</v>
      </c>
      <c r="G152" s="4" t="s">
        <v>16</v>
      </c>
      <c r="H152" s="2" t="s">
        <v>17</v>
      </c>
      <c r="I152" s="2" t="s">
        <v>18</v>
      </c>
      <c r="J152" s="2" t="s">
        <v>68</v>
      </c>
      <c r="K152" s="1" t="s">
        <v>305</v>
      </c>
      <c r="L152" s="1" t="s">
        <v>220</v>
      </c>
      <c r="O152" s="1"/>
    </row>
    <row r="153" spans="2:15" ht="42" hidden="1" x14ac:dyDescent="0.35">
      <c r="B153" s="2">
        <v>219</v>
      </c>
      <c r="C153" s="5">
        <v>45747</v>
      </c>
      <c r="D153" s="3" t="s">
        <v>220</v>
      </c>
      <c r="E153" s="3" t="s">
        <v>345</v>
      </c>
      <c r="F153" s="14" t="s">
        <v>346</v>
      </c>
      <c r="G153" s="4" t="s">
        <v>51</v>
      </c>
      <c r="H153" s="2" t="s">
        <v>17</v>
      </c>
      <c r="I153" s="2" t="s">
        <v>24</v>
      </c>
      <c r="J153" s="2" t="s">
        <v>347</v>
      </c>
      <c r="K153" s="1" t="s">
        <v>305</v>
      </c>
      <c r="L153" s="1" t="s">
        <v>220</v>
      </c>
      <c r="O153" s="1"/>
    </row>
    <row r="154" spans="2:15" ht="42" hidden="1" x14ac:dyDescent="0.35">
      <c r="B154" s="2">
        <v>220</v>
      </c>
      <c r="C154" s="5">
        <v>45747</v>
      </c>
      <c r="D154" s="3" t="s">
        <v>220</v>
      </c>
      <c r="E154" s="3" t="s">
        <v>348</v>
      </c>
      <c r="F154" s="14" t="s">
        <v>349</v>
      </c>
      <c r="G154" s="4" t="s">
        <v>51</v>
      </c>
      <c r="H154" s="2" t="s">
        <v>17</v>
      </c>
      <c r="I154" s="2" t="s">
        <v>24</v>
      </c>
      <c r="J154" s="2" t="s">
        <v>347</v>
      </c>
      <c r="K154" s="1" t="s">
        <v>305</v>
      </c>
      <c r="L154" s="1" t="s">
        <v>220</v>
      </c>
      <c r="O154" s="1"/>
    </row>
    <row r="155" spans="2:15" ht="42" hidden="1" x14ac:dyDescent="0.35">
      <c r="B155" s="2">
        <v>292</v>
      </c>
      <c r="C155" s="5">
        <v>45777</v>
      </c>
      <c r="D155" s="3" t="s">
        <v>220</v>
      </c>
      <c r="E155" s="3" t="s">
        <v>350</v>
      </c>
      <c r="F155" s="14" t="s">
        <v>351</v>
      </c>
      <c r="G155" s="4" t="s">
        <v>51</v>
      </c>
      <c r="H155" s="2" t="s">
        <v>17</v>
      </c>
      <c r="I155" s="2" t="s">
        <v>24</v>
      </c>
      <c r="J155" s="2" t="s">
        <v>33</v>
      </c>
      <c r="K155" s="1" t="s">
        <v>305</v>
      </c>
      <c r="L155" s="1" t="s">
        <v>220</v>
      </c>
      <c r="O155" s="1"/>
    </row>
    <row r="156" spans="2:15" ht="42" hidden="1" x14ac:dyDescent="0.35">
      <c r="B156" s="2">
        <v>358</v>
      </c>
      <c r="C156" s="5">
        <v>45793</v>
      </c>
      <c r="D156" s="3" t="s">
        <v>220</v>
      </c>
      <c r="E156" s="3" t="s">
        <v>352</v>
      </c>
      <c r="F156" s="14" t="s">
        <v>353</v>
      </c>
      <c r="G156" s="4" t="s">
        <v>51</v>
      </c>
      <c r="H156" s="2" t="s">
        <v>17</v>
      </c>
      <c r="I156" s="2" t="s">
        <v>24</v>
      </c>
      <c r="J156" s="2" t="s">
        <v>44</v>
      </c>
      <c r="K156" s="1" t="s">
        <v>305</v>
      </c>
      <c r="L156" s="1" t="s">
        <v>220</v>
      </c>
      <c r="O156" s="1"/>
    </row>
    <row r="157" spans="2:15" ht="56" hidden="1" x14ac:dyDescent="0.35">
      <c r="B157" s="2">
        <v>378</v>
      </c>
      <c r="C157" s="5">
        <v>45803</v>
      </c>
      <c r="D157" s="3" t="s">
        <v>220</v>
      </c>
      <c r="E157" s="3" t="s">
        <v>354</v>
      </c>
      <c r="F157" s="14" t="s">
        <v>355</v>
      </c>
      <c r="G157" s="4" t="s">
        <v>51</v>
      </c>
      <c r="H157" s="2" t="s">
        <v>17</v>
      </c>
      <c r="I157" s="2" t="s">
        <v>24</v>
      </c>
      <c r="J157" s="2" t="s">
        <v>72</v>
      </c>
      <c r="K157" s="1" t="s">
        <v>305</v>
      </c>
      <c r="L157" s="1" t="s">
        <v>220</v>
      </c>
      <c r="O157" s="1"/>
    </row>
    <row r="158" spans="2:15" ht="42" hidden="1" x14ac:dyDescent="0.35">
      <c r="B158" s="2">
        <v>9274</v>
      </c>
      <c r="C158" s="5">
        <v>45866</v>
      </c>
      <c r="D158" s="3" t="s">
        <v>220</v>
      </c>
      <c r="E158" s="3" t="s">
        <v>356</v>
      </c>
      <c r="F158" s="14" t="s">
        <v>355</v>
      </c>
      <c r="G158" s="4" t="s">
        <v>51</v>
      </c>
      <c r="H158" s="2" t="s">
        <v>17</v>
      </c>
      <c r="I158" s="2" t="s">
        <v>18</v>
      </c>
      <c r="J158" s="2" t="s">
        <v>19</v>
      </c>
      <c r="K158" s="1" t="s">
        <v>305</v>
      </c>
      <c r="L158" s="1" t="s">
        <v>220</v>
      </c>
      <c r="O158" s="1"/>
    </row>
    <row r="159" spans="2:15" ht="42" hidden="1" x14ac:dyDescent="0.35">
      <c r="B159" s="2">
        <v>9370</v>
      </c>
      <c r="C159" s="5">
        <v>45874</v>
      </c>
      <c r="D159" s="3" t="s">
        <v>220</v>
      </c>
      <c r="E159" s="3" t="s">
        <v>357</v>
      </c>
      <c r="F159" s="14" t="s">
        <v>358</v>
      </c>
      <c r="G159" s="4" t="s">
        <v>51</v>
      </c>
      <c r="H159" s="2" t="s">
        <v>359</v>
      </c>
      <c r="I159" s="2" t="s">
        <v>24</v>
      </c>
      <c r="J159" s="2" t="s">
        <v>44</v>
      </c>
      <c r="K159" s="1" t="s">
        <v>305</v>
      </c>
      <c r="L159" s="1" t="s">
        <v>220</v>
      </c>
      <c r="O159" s="1"/>
    </row>
    <row r="160" spans="2:15" ht="42" hidden="1" x14ac:dyDescent="0.35">
      <c r="B160" s="2">
        <v>10342</v>
      </c>
      <c r="C160" s="5">
        <v>45980</v>
      </c>
      <c r="D160" s="3" t="s">
        <v>220</v>
      </c>
      <c r="E160" s="3" t="s">
        <v>360</v>
      </c>
      <c r="F160" s="14" t="s">
        <v>361</v>
      </c>
      <c r="G160" s="4" t="s">
        <v>16</v>
      </c>
      <c r="H160" s="2" t="s">
        <v>17</v>
      </c>
      <c r="I160" s="2" t="s">
        <v>18</v>
      </c>
      <c r="J160" s="2" t="s">
        <v>19</v>
      </c>
      <c r="K160" s="1" t="s">
        <v>305</v>
      </c>
      <c r="L160" s="1" t="s">
        <v>220</v>
      </c>
      <c r="O160" s="1"/>
    </row>
    <row r="161" spans="2:15" ht="56" hidden="1" x14ac:dyDescent="0.35">
      <c r="B161" s="2">
        <v>10341</v>
      </c>
      <c r="C161" s="5">
        <v>45986</v>
      </c>
      <c r="D161" s="3" t="s">
        <v>220</v>
      </c>
      <c r="E161" s="3" t="s">
        <v>362</v>
      </c>
      <c r="F161" s="14" t="s">
        <v>317</v>
      </c>
      <c r="G161" s="4" t="s">
        <v>51</v>
      </c>
      <c r="H161" s="2" t="s">
        <v>17</v>
      </c>
      <c r="I161" s="2" t="s">
        <v>24</v>
      </c>
      <c r="J161" s="2" t="s">
        <v>72</v>
      </c>
      <c r="K161" s="1" t="s">
        <v>363</v>
      </c>
      <c r="L161" s="1" t="s">
        <v>220</v>
      </c>
      <c r="O161" s="1"/>
    </row>
    <row r="162" spans="2:15" ht="42" hidden="1" x14ac:dyDescent="0.35">
      <c r="B162" s="2">
        <v>10608</v>
      </c>
      <c r="C162" s="5">
        <v>46015</v>
      </c>
      <c r="D162" s="3" t="s">
        <v>220</v>
      </c>
      <c r="E162" s="3" t="s">
        <v>364</v>
      </c>
      <c r="F162" s="14" t="s">
        <v>309</v>
      </c>
      <c r="G162" s="4" t="s">
        <v>51</v>
      </c>
      <c r="H162" s="2" t="s">
        <v>17</v>
      </c>
      <c r="I162" s="2" t="s">
        <v>24</v>
      </c>
      <c r="J162" s="2" t="s">
        <v>72</v>
      </c>
      <c r="K162" s="1" t="s">
        <v>305</v>
      </c>
      <c r="L162" s="1" t="s">
        <v>220</v>
      </c>
      <c r="O162" s="1"/>
    </row>
    <row r="163" spans="2:15" ht="42" hidden="1" x14ac:dyDescent="0.35">
      <c r="B163" s="2">
        <v>10607</v>
      </c>
      <c r="C163" s="5">
        <v>46015</v>
      </c>
      <c r="D163" s="3" t="s">
        <v>220</v>
      </c>
      <c r="E163" s="3" t="s">
        <v>365</v>
      </c>
      <c r="F163" s="14" t="s">
        <v>315</v>
      </c>
      <c r="G163" s="4" t="s">
        <v>51</v>
      </c>
      <c r="H163" s="2" t="s">
        <v>17</v>
      </c>
      <c r="I163" s="2" t="s">
        <v>24</v>
      </c>
      <c r="J163" s="2" t="s">
        <v>29</v>
      </c>
      <c r="K163" s="1" t="s">
        <v>305</v>
      </c>
      <c r="L163" s="1" t="s">
        <v>220</v>
      </c>
      <c r="O163" s="1"/>
    </row>
    <row r="164" spans="2:15" ht="42" hidden="1" x14ac:dyDescent="0.35">
      <c r="B164" s="2">
        <v>17</v>
      </c>
      <c r="C164" s="5">
        <v>45663</v>
      </c>
      <c r="D164" s="3" t="s">
        <v>96</v>
      </c>
      <c r="E164" s="3" t="s">
        <v>366</v>
      </c>
      <c r="F164" s="14" t="s">
        <v>367</v>
      </c>
      <c r="G164" s="4" t="s">
        <v>51</v>
      </c>
      <c r="H164" s="2" t="s">
        <v>17</v>
      </c>
      <c r="I164" s="2" t="s">
        <v>18</v>
      </c>
      <c r="J164" t="s">
        <v>19</v>
      </c>
      <c r="K164" s="1" t="s">
        <v>368</v>
      </c>
      <c r="L164" s="1" t="s">
        <v>96</v>
      </c>
      <c r="O164" s="1"/>
    </row>
    <row r="165" spans="2:15" ht="42" hidden="1" x14ac:dyDescent="0.35">
      <c r="B165" s="2">
        <v>11403</v>
      </c>
      <c r="C165" s="24">
        <v>46094</v>
      </c>
      <c r="D165" s="3" t="s">
        <v>227</v>
      </c>
      <c r="E165" s="3" t="s">
        <v>369</v>
      </c>
      <c r="F165" s="14" t="s">
        <v>370</v>
      </c>
      <c r="G165" s="4" t="s">
        <v>51</v>
      </c>
      <c r="H165" s="2" t="s">
        <v>17</v>
      </c>
      <c r="I165" s="2" t="s">
        <v>37</v>
      </c>
      <c r="J165" s="2" t="s">
        <v>112</v>
      </c>
      <c r="K165" s="1" t="s">
        <v>368</v>
      </c>
      <c r="L165" s="1" t="s">
        <v>96</v>
      </c>
      <c r="O165" s="1"/>
    </row>
    <row r="166" spans="2:15" ht="42" hidden="1" x14ac:dyDescent="0.35">
      <c r="B166" s="2">
        <v>10880</v>
      </c>
      <c r="C166" s="5">
        <v>46050</v>
      </c>
      <c r="D166" s="3" t="s">
        <v>371</v>
      </c>
      <c r="E166" s="3" t="s">
        <v>372</v>
      </c>
      <c r="F166" s="14" t="s">
        <v>373</v>
      </c>
      <c r="G166" s="4" t="s">
        <v>16</v>
      </c>
      <c r="H166" s="2" t="s">
        <v>281</v>
      </c>
      <c r="I166" s="2" t="s">
        <v>24</v>
      </c>
      <c r="J166" s="2" t="s">
        <v>33</v>
      </c>
      <c r="K166" s="1" t="s">
        <v>374</v>
      </c>
      <c r="L166" s="1" t="s">
        <v>250</v>
      </c>
      <c r="O166" s="1"/>
    </row>
    <row r="167" spans="2:15" ht="42" hidden="1" x14ac:dyDescent="0.35">
      <c r="B167" s="2">
        <v>1</v>
      </c>
      <c r="C167" s="5">
        <v>45659</v>
      </c>
      <c r="D167" s="3" t="s">
        <v>250</v>
      </c>
      <c r="E167" s="3" t="s">
        <v>375</v>
      </c>
      <c r="F167" s="14" t="s">
        <v>376</v>
      </c>
      <c r="G167" s="4" t="s">
        <v>16</v>
      </c>
      <c r="H167" s="2" t="s">
        <v>281</v>
      </c>
      <c r="I167" s="2" t="s">
        <v>24</v>
      </c>
      <c r="J167" t="s">
        <v>54</v>
      </c>
      <c r="K167" s="1" t="s">
        <v>377</v>
      </c>
      <c r="L167" s="1" t="s">
        <v>250</v>
      </c>
      <c r="O167" s="1"/>
    </row>
    <row r="168" spans="2:15" ht="42" hidden="1" x14ac:dyDescent="0.35">
      <c r="B168" s="2">
        <v>5</v>
      </c>
      <c r="C168" s="5">
        <v>45660</v>
      </c>
      <c r="D168" s="3" t="s">
        <v>250</v>
      </c>
      <c r="E168" s="3" t="s">
        <v>378</v>
      </c>
      <c r="F168" s="14" t="s">
        <v>379</v>
      </c>
      <c r="G168" s="4" t="s">
        <v>16</v>
      </c>
      <c r="H168" s="2" t="s">
        <v>17</v>
      </c>
      <c r="I168" s="2" t="s">
        <v>18</v>
      </c>
      <c r="J168" t="s">
        <v>19</v>
      </c>
      <c r="K168" s="1" t="s">
        <v>377</v>
      </c>
      <c r="L168" s="1" t="s">
        <v>250</v>
      </c>
      <c r="O168" s="1"/>
    </row>
    <row r="169" spans="2:15" ht="61" hidden="1" customHeight="1" x14ac:dyDescent="0.35">
      <c r="B169" s="2">
        <v>39</v>
      </c>
      <c r="C169" s="5">
        <v>45670</v>
      </c>
      <c r="D169" s="3" t="s">
        <v>250</v>
      </c>
      <c r="E169" s="3" t="s">
        <v>380</v>
      </c>
      <c r="F169" s="14" t="s">
        <v>381</v>
      </c>
      <c r="G169" s="4" t="s">
        <v>16</v>
      </c>
      <c r="H169" s="2" t="s">
        <v>17</v>
      </c>
      <c r="I169" s="2" t="s">
        <v>24</v>
      </c>
      <c r="J169" t="s">
        <v>33</v>
      </c>
      <c r="K169" s="1" t="s">
        <v>377</v>
      </c>
      <c r="L169" s="1" t="s">
        <v>250</v>
      </c>
      <c r="O169" s="1"/>
    </row>
    <row r="170" spans="2:15" ht="56" hidden="1" x14ac:dyDescent="0.35">
      <c r="B170" s="2">
        <v>68</v>
      </c>
      <c r="C170" s="5">
        <v>45679</v>
      </c>
      <c r="D170" s="3" t="s">
        <v>190</v>
      </c>
      <c r="E170" s="3" t="s">
        <v>382</v>
      </c>
      <c r="F170" s="14" t="s">
        <v>315</v>
      </c>
      <c r="G170" s="4" t="s">
        <v>51</v>
      </c>
      <c r="H170" s="2" t="s">
        <v>17</v>
      </c>
      <c r="I170" s="2" t="s">
        <v>24</v>
      </c>
      <c r="J170" t="s">
        <v>33</v>
      </c>
      <c r="K170" s="1" t="s">
        <v>377</v>
      </c>
      <c r="L170" s="1" t="s">
        <v>190</v>
      </c>
      <c r="O170" s="1"/>
    </row>
    <row r="171" spans="2:15" ht="42" hidden="1" x14ac:dyDescent="0.35">
      <c r="B171" s="2">
        <v>79</v>
      </c>
      <c r="C171" s="5">
        <v>45687</v>
      </c>
      <c r="D171" s="3" t="s">
        <v>250</v>
      </c>
      <c r="E171" s="3" t="s">
        <v>383</v>
      </c>
      <c r="F171" s="14" t="s">
        <v>384</v>
      </c>
      <c r="G171" s="4" t="s">
        <v>51</v>
      </c>
      <c r="H171" s="2" t="s">
        <v>17</v>
      </c>
      <c r="I171" s="2" t="s">
        <v>24</v>
      </c>
      <c r="J171" t="s">
        <v>33</v>
      </c>
      <c r="K171" s="1" t="s">
        <v>377</v>
      </c>
      <c r="L171" s="1" t="s">
        <v>250</v>
      </c>
      <c r="O171" s="1"/>
    </row>
    <row r="172" spans="2:15" ht="42" hidden="1" x14ac:dyDescent="0.35">
      <c r="B172" s="2">
        <v>93</v>
      </c>
      <c r="C172" s="5">
        <v>45690</v>
      </c>
      <c r="D172" s="3" t="s">
        <v>190</v>
      </c>
      <c r="E172" s="3" t="s">
        <v>385</v>
      </c>
      <c r="F172" s="14" t="s">
        <v>85</v>
      </c>
      <c r="G172" s="4" t="s">
        <v>16</v>
      </c>
      <c r="H172" s="2" t="s">
        <v>17</v>
      </c>
      <c r="I172" s="2" t="s">
        <v>24</v>
      </c>
      <c r="J172" s="2" t="s">
        <v>44</v>
      </c>
      <c r="K172" s="1" t="s">
        <v>386</v>
      </c>
      <c r="L172" s="1" t="s">
        <v>190</v>
      </c>
      <c r="O172" s="1"/>
    </row>
    <row r="173" spans="2:15" ht="56" hidden="1" x14ac:dyDescent="0.35">
      <c r="B173" s="2">
        <v>94</v>
      </c>
      <c r="C173" s="5">
        <v>45690</v>
      </c>
      <c r="D173" s="3" t="s">
        <v>190</v>
      </c>
      <c r="E173" s="3" t="s">
        <v>387</v>
      </c>
      <c r="F173" s="14" t="s">
        <v>388</v>
      </c>
      <c r="G173" s="4" t="s">
        <v>16</v>
      </c>
      <c r="H173" s="2" t="s">
        <v>17</v>
      </c>
      <c r="I173" s="2" t="s">
        <v>24</v>
      </c>
      <c r="J173" s="2" t="s">
        <v>44</v>
      </c>
      <c r="K173" s="1" t="s">
        <v>386</v>
      </c>
      <c r="L173" s="1" t="s">
        <v>190</v>
      </c>
      <c r="O173" s="1"/>
    </row>
    <row r="174" spans="2:15" ht="28" hidden="1" x14ac:dyDescent="0.35">
      <c r="B174" s="2">
        <v>98</v>
      </c>
      <c r="C174" s="5">
        <v>45693</v>
      </c>
      <c r="D174" s="3" t="s">
        <v>250</v>
      </c>
      <c r="E174" s="3" t="s">
        <v>389</v>
      </c>
      <c r="F174" s="14" t="s">
        <v>390</v>
      </c>
      <c r="G174" s="4" t="s">
        <v>16</v>
      </c>
      <c r="H174" s="2" t="s">
        <v>17</v>
      </c>
      <c r="I174" s="2" t="s">
        <v>24</v>
      </c>
      <c r="J174" s="2" t="s">
        <v>33</v>
      </c>
      <c r="K174" s="1" t="s">
        <v>386</v>
      </c>
      <c r="L174" s="1" t="s">
        <v>250</v>
      </c>
      <c r="O174" s="1"/>
    </row>
    <row r="175" spans="2:15" ht="42" hidden="1" x14ac:dyDescent="0.35">
      <c r="B175" s="2">
        <v>176</v>
      </c>
      <c r="C175" s="5">
        <v>45723</v>
      </c>
      <c r="D175" s="3" t="s">
        <v>250</v>
      </c>
      <c r="E175" s="3" t="s">
        <v>391</v>
      </c>
      <c r="F175" s="14" t="s">
        <v>381</v>
      </c>
      <c r="G175" s="4" t="s">
        <v>16</v>
      </c>
      <c r="H175" s="2" t="s">
        <v>17</v>
      </c>
      <c r="I175" s="2" t="s">
        <v>24</v>
      </c>
      <c r="J175" s="2" t="s">
        <v>33</v>
      </c>
      <c r="K175" s="1" t="s">
        <v>377</v>
      </c>
      <c r="L175" s="1" t="s">
        <v>250</v>
      </c>
      <c r="O175" s="1"/>
    </row>
    <row r="176" spans="2:15" ht="28" hidden="1" x14ac:dyDescent="0.35">
      <c r="B176" s="2">
        <v>194</v>
      </c>
      <c r="C176" s="5">
        <v>45734</v>
      </c>
      <c r="D176" s="3" t="s">
        <v>134</v>
      </c>
      <c r="E176" s="3" t="s">
        <v>392</v>
      </c>
      <c r="F176" s="14" t="s">
        <v>393</v>
      </c>
      <c r="G176" s="4" t="s">
        <v>16</v>
      </c>
      <c r="H176" s="2" t="s">
        <v>17</v>
      </c>
      <c r="I176" s="2" t="s">
        <v>18</v>
      </c>
      <c r="J176" s="2" t="s">
        <v>19</v>
      </c>
      <c r="K176" s="1" t="s">
        <v>394</v>
      </c>
      <c r="L176" s="1" t="s">
        <v>395</v>
      </c>
      <c r="O176" s="1"/>
    </row>
    <row r="177" spans="2:15" ht="56" hidden="1" x14ac:dyDescent="0.35">
      <c r="B177" s="2">
        <v>209</v>
      </c>
      <c r="C177" s="5">
        <v>45743</v>
      </c>
      <c r="D177" s="3" t="s">
        <v>193</v>
      </c>
      <c r="E177" s="3" t="s">
        <v>396</v>
      </c>
      <c r="F177" s="14" t="s">
        <v>397</v>
      </c>
      <c r="G177" s="4" t="s">
        <v>51</v>
      </c>
      <c r="H177" s="2" t="s">
        <v>17</v>
      </c>
      <c r="I177" s="2" t="s">
        <v>24</v>
      </c>
      <c r="J177" s="2" t="s">
        <v>44</v>
      </c>
      <c r="K177" s="1" t="s">
        <v>394</v>
      </c>
      <c r="L177" s="1" t="s">
        <v>395</v>
      </c>
      <c r="O177" s="1"/>
    </row>
    <row r="178" spans="2:15" ht="56" hidden="1" x14ac:dyDescent="0.35">
      <c r="B178" s="2">
        <v>318</v>
      </c>
      <c r="C178" s="5">
        <v>45782</v>
      </c>
      <c r="D178" s="3" t="s">
        <v>190</v>
      </c>
      <c r="E178" s="3" t="s">
        <v>398</v>
      </c>
      <c r="F178" s="14" t="s">
        <v>399</v>
      </c>
      <c r="G178" s="4" t="s">
        <v>51</v>
      </c>
      <c r="H178" s="2" t="s">
        <v>17</v>
      </c>
      <c r="I178" s="2" t="s">
        <v>24</v>
      </c>
      <c r="J178" s="2" t="s">
        <v>241</v>
      </c>
      <c r="K178" s="1" t="s">
        <v>394</v>
      </c>
      <c r="L178" s="1" t="s">
        <v>395</v>
      </c>
      <c r="O178" s="1"/>
    </row>
    <row r="179" spans="2:15" ht="42" hidden="1" x14ac:dyDescent="0.35">
      <c r="B179" s="2">
        <v>319</v>
      </c>
      <c r="C179" s="5">
        <v>45782</v>
      </c>
      <c r="D179" s="3" t="s">
        <v>193</v>
      </c>
      <c r="E179" s="3" t="s">
        <v>400</v>
      </c>
      <c r="F179" s="14" t="s">
        <v>401</v>
      </c>
      <c r="G179" s="4" t="s">
        <v>51</v>
      </c>
      <c r="H179" s="2" t="s">
        <v>17</v>
      </c>
      <c r="I179" s="2" t="s">
        <v>24</v>
      </c>
      <c r="J179" s="2" t="s">
        <v>54</v>
      </c>
      <c r="K179" s="1" t="s">
        <v>394</v>
      </c>
      <c r="L179" s="1" t="s">
        <v>395</v>
      </c>
      <c r="O179" s="1"/>
    </row>
    <row r="180" spans="2:15" ht="42" hidden="1" x14ac:dyDescent="0.35">
      <c r="B180" s="2">
        <v>9442</v>
      </c>
      <c r="C180" s="5">
        <v>45881</v>
      </c>
      <c r="D180" s="3" t="s">
        <v>104</v>
      </c>
      <c r="E180" s="3" t="s">
        <v>402</v>
      </c>
      <c r="F180" s="14" t="s">
        <v>403</v>
      </c>
      <c r="G180" s="4" t="s">
        <v>51</v>
      </c>
      <c r="H180" s="2" t="s">
        <v>17</v>
      </c>
      <c r="I180" s="2" t="s">
        <v>24</v>
      </c>
      <c r="J180" s="2" t="s">
        <v>241</v>
      </c>
      <c r="K180" s="1" t="s">
        <v>394</v>
      </c>
      <c r="L180" s="1" t="s">
        <v>395</v>
      </c>
      <c r="O180" s="1"/>
    </row>
    <row r="181" spans="2:15" ht="42" hidden="1" x14ac:dyDescent="0.35">
      <c r="B181" s="2">
        <v>9441</v>
      </c>
      <c r="C181" s="5">
        <v>45881</v>
      </c>
      <c r="D181" s="3" t="s">
        <v>104</v>
      </c>
      <c r="E181" s="3" t="s">
        <v>404</v>
      </c>
      <c r="F181" s="14" t="s">
        <v>405</v>
      </c>
      <c r="G181" s="4" t="s">
        <v>16</v>
      </c>
      <c r="H181" s="2" t="s">
        <v>17</v>
      </c>
      <c r="I181" s="2" t="s">
        <v>24</v>
      </c>
      <c r="J181" s="2" t="s">
        <v>241</v>
      </c>
      <c r="K181" s="1" t="s">
        <v>394</v>
      </c>
      <c r="L181" s="1" t="s">
        <v>395</v>
      </c>
      <c r="O181" s="1"/>
    </row>
    <row r="182" spans="2:15" ht="42" hidden="1" x14ac:dyDescent="0.35">
      <c r="B182" s="2">
        <v>9818</v>
      </c>
      <c r="C182" s="5">
        <v>45923</v>
      </c>
      <c r="D182" s="3" t="s">
        <v>220</v>
      </c>
      <c r="E182" s="3" t="s">
        <v>406</v>
      </c>
      <c r="F182" s="14" t="s">
        <v>305</v>
      </c>
      <c r="G182" s="4" t="s">
        <v>51</v>
      </c>
      <c r="H182" s="2" t="s">
        <v>17</v>
      </c>
      <c r="I182" s="2" t="s">
        <v>407</v>
      </c>
      <c r="J182" s="2" t="s">
        <v>408</v>
      </c>
      <c r="K182" s="1" t="s">
        <v>394</v>
      </c>
      <c r="L182" s="1" t="s">
        <v>395</v>
      </c>
      <c r="O182" s="1"/>
    </row>
    <row r="183" spans="2:15" ht="42" hidden="1" x14ac:dyDescent="0.35">
      <c r="B183" s="2">
        <v>104</v>
      </c>
      <c r="C183" s="5">
        <v>45695</v>
      </c>
      <c r="D183" s="3" t="s">
        <v>190</v>
      </c>
      <c r="E183" s="3" t="s">
        <v>409</v>
      </c>
      <c r="F183" s="14" t="s">
        <v>410</v>
      </c>
      <c r="G183" s="4" t="s">
        <v>16</v>
      </c>
      <c r="H183" s="2" t="s">
        <v>17</v>
      </c>
      <c r="I183" s="2" t="s">
        <v>24</v>
      </c>
      <c r="J183" s="2" t="s">
        <v>54</v>
      </c>
      <c r="K183" s="1" t="s">
        <v>411</v>
      </c>
      <c r="L183" s="1" t="s">
        <v>190</v>
      </c>
      <c r="O183" s="1"/>
    </row>
    <row r="184" spans="2:15" ht="28" hidden="1" x14ac:dyDescent="0.35">
      <c r="B184" s="2">
        <v>105</v>
      </c>
      <c r="C184" s="5">
        <v>45695</v>
      </c>
      <c r="D184" s="3" t="s">
        <v>190</v>
      </c>
      <c r="E184" s="3" t="s">
        <v>412</v>
      </c>
      <c r="F184" s="14" t="s">
        <v>413</v>
      </c>
      <c r="G184" s="4" t="s">
        <v>16</v>
      </c>
      <c r="H184" s="2" t="s">
        <v>17</v>
      </c>
      <c r="I184" s="2" t="s">
        <v>24</v>
      </c>
      <c r="J184" s="2" t="s">
        <v>54</v>
      </c>
      <c r="K184" s="1" t="s">
        <v>411</v>
      </c>
      <c r="L184" s="1" t="s">
        <v>190</v>
      </c>
      <c r="O184" s="1"/>
    </row>
    <row r="185" spans="2:15" ht="42" hidden="1" x14ac:dyDescent="0.35">
      <c r="B185" s="2">
        <v>9975</v>
      </c>
      <c r="C185" s="5">
        <v>45937</v>
      </c>
      <c r="D185" s="3" t="s">
        <v>190</v>
      </c>
      <c r="E185" s="3" t="s">
        <v>414</v>
      </c>
      <c r="F185" s="14" t="s">
        <v>415</v>
      </c>
      <c r="G185" s="4" t="s">
        <v>16</v>
      </c>
      <c r="H185" s="2" t="s">
        <v>17</v>
      </c>
      <c r="I185" s="2" t="s">
        <v>18</v>
      </c>
      <c r="J185" s="2" t="s">
        <v>68</v>
      </c>
      <c r="K185" s="1" t="s">
        <v>416</v>
      </c>
      <c r="L185" s="1" t="s">
        <v>190</v>
      </c>
      <c r="O185" s="1"/>
    </row>
    <row r="186" spans="2:15" ht="42" hidden="1" x14ac:dyDescent="0.35">
      <c r="B186" s="2">
        <v>10368</v>
      </c>
      <c r="C186" s="5">
        <v>45989</v>
      </c>
      <c r="D186" s="3" t="s">
        <v>190</v>
      </c>
      <c r="E186" s="3" t="s">
        <v>417</v>
      </c>
      <c r="F186" s="14" t="s">
        <v>418</v>
      </c>
      <c r="G186" s="4" t="s">
        <v>16</v>
      </c>
      <c r="H186" s="2" t="s">
        <v>17</v>
      </c>
      <c r="I186" s="2" t="s">
        <v>24</v>
      </c>
      <c r="J186" s="2" t="s">
        <v>54</v>
      </c>
      <c r="K186" s="1" t="s">
        <v>416</v>
      </c>
      <c r="L186" s="1" t="s">
        <v>190</v>
      </c>
      <c r="O186" s="1"/>
    </row>
    <row r="187" spans="2:15" ht="28" hidden="1" x14ac:dyDescent="0.35">
      <c r="B187" s="2">
        <v>10539</v>
      </c>
      <c r="C187" s="5">
        <v>46020</v>
      </c>
      <c r="D187" s="3" t="s">
        <v>190</v>
      </c>
      <c r="E187" s="3" t="s">
        <v>419</v>
      </c>
      <c r="F187" s="14" t="s">
        <v>420</v>
      </c>
      <c r="G187" s="4" t="s">
        <v>16</v>
      </c>
      <c r="H187" s="2" t="s">
        <v>17</v>
      </c>
      <c r="I187" s="2" t="s">
        <v>24</v>
      </c>
      <c r="J187" s="2" t="s">
        <v>54</v>
      </c>
      <c r="K187" s="1" t="s">
        <v>416</v>
      </c>
      <c r="L187" s="1" t="s">
        <v>190</v>
      </c>
      <c r="O187" s="1"/>
    </row>
    <row r="188" spans="2:15" ht="42" hidden="1" x14ac:dyDescent="0.35">
      <c r="B188" s="2">
        <v>11439</v>
      </c>
      <c r="C188" s="24">
        <v>46097</v>
      </c>
      <c r="D188" s="3" t="s">
        <v>190</v>
      </c>
      <c r="E188" s="3" t="s">
        <v>421</v>
      </c>
      <c r="F188" s="14" t="s">
        <v>422</v>
      </c>
      <c r="G188" s="4" t="s">
        <v>16</v>
      </c>
      <c r="H188" s="2" t="s">
        <v>281</v>
      </c>
      <c r="I188" s="2" t="s">
        <v>18</v>
      </c>
      <c r="J188" s="2" t="s">
        <v>171</v>
      </c>
      <c r="K188" s="1" t="s">
        <v>423</v>
      </c>
      <c r="L188" s="1" t="s">
        <v>190</v>
      </c>
      <c r="O188" s="1"/>
    </row>
    <row r="189" spans="2:15" ht="56" hidden="1" x14ac:dyDescent="0.35">
      <c r="B189" s="2">
        <v>195</v>
      </c>
      <c r="C189" s="5">
        <v>45734</v>
      </c>
      <c r="D189" s="3" t="s">
        <v>13</v>
      </c>
      <c r="E189" s="3" t="s">
        <v>424</v>
      </c>
      <c r="F189" s="14" t="s">
        <v>425</v>
      </c>
      <c r="G189" s="4" t="s">
        <v>51</v>
      </c>
      <c r="H189" s="2" t="s">
        <v>17</v>
      </c>
      <c r="I189" s="2" t="s">
        <v>24</v>
      </c>
      <c r="J189" s="2" t="s">
        <v>72</v>
      </c>
      <c r="K189" s="1" t="s">
        <v>426</v>
      </c>
      <c r="L189" s="1" t="s">
        <v>95</v>
      </c>
      <c r="O189" s="1"/>
    </row>
    <row r="190" spans="2:15" ht="56" hidden="1" x14ac:dyDescent="0.35">
      <c r="B190" s="2">
        <v>421</v>
      </c>
      <c r="C190" s="5">
        <v>45818</v>
      </c>
      <c r="D190" s="3" t="s">
        <v>34</v>
      </c>
      <c r="E190" s="3" t="s">
        <v>427</v>
      </c>
      <c r="F190" s="14" t="s">
        <v>428</v>
      </c>
      <c r="G190" s="4" t="s">
        <v>51</v>
      </c>
      <c r="H190" s="2" t="s">
        <v>17</v>
      </c>
      <c r="I190" s="2" t="s">
        <v>24</v>
      </c>
      <c r="J190" s="2" t="s">
        <v>44</v>
      </c>
      <c r="K190" s="1" t="s">
        <v>426</v>
      </c>
      <c r="L190" s="1" t="s">
        <v>95</v>
      </c>
      <c r="O190" s="1"/>
    </row>
    <row r="191" spans="2:15" ht="56" hidden="1" x14ac:dyDescent="0.35">
      <c r="B191" s="2">
        <v>9434</v>
      </c>
      <c r="C191" s="5">
        <v>45881</v>
      </c>
      <c r="D191" s="3" t="s">
        <v>21</v>
      </c>
      <c r="E191" s="3" t="s">
        <v>429</v>
      </c>
      <c r="F191" s="14" t="s">
        <v>430</v>
      </c>
      <c r="G191" s="4" t="s">
        <v>16</v>
      </c>
      <c r="H191" s="2" t="s">
        <v>281</v>
      </c>
      <c r="I191" s="2" t="s">
        <v>18</v>
      </c>
      <c r="J191" s="2" t="s">
        <v>68</v>
      </c>
      <c r="K191" s="1" t="s">
        <v>426</v>
      </c>
      <c r="L191" s="1" t="s">
        <v>95</v>
      </c>
      <c r="O191" s="1"/>
    </row>
    <row r="192" spans="2:15" ht="42" hidden="1" x14ac:dyDescent="0.35">
      <c r="B192" s="2">
        <v>10337</v>
      </c>
      <c r="C192" s="5">
        <v>45983</v>
      </c>
      <c r="D192" s="3" t="s">
        <v>104</v>
      </c>
      <c r="E192" s="3" t="s">
        <v>431</v>
      </c>
      <c r="F192" s="14" t="s">
        <v>432</v>
      </c>
      <c r="G192" s="4" t="s">
        <v>51</v>
      </c>
      <c r="H192" s="2" t="s">
        <v>17</v>
      </c>
      <c r="I192" s="2" t="s">
        <v>24</v>
      </c>
      <c r="J192" s="2" t="s">
        <v>241</v>
      </c>
      <c r="K192" s="1" t="s">
        <v>426</v>
      </c>
      <c r="L192" s="1" t="s">
        <v>95</v>
      </c>
      <c r="O192" s="1"/>
    </row>
    <row r="193" spans="2:15" ht="28" hidden="1" x14ac:dyDescent="0.35">
      <c r="B193" s="2">
        <v>10932</v>
      </c>
      <c r="C193" s="5">
        <v>46052</v>
      </c>
      <c r="D193" s="3" t="s">
        <v>234</v>
      </c>
      <c r="E193" s="3" t="s">
        <v>433</v>
      </c>
      <c r="F193" s="14" t="s">
        <v>434</v>
      </c>
      <c r="G193" s="4" t="s">
        <v>51</v>
      </c>
      <c r="H193" s="2" t="s">
        <v>17</v>
      </c>
      <c r="I193" s="2" t="s">
        <v>407</v>
      </c>
      <c r="J193" s="2" t="s">
        <v>408</v>
      </c>
      <c r="K193" s="1" t="s">
        <v>426</v>
      </c>
      <c r="L193" s="1" t="s">
        <v>95</v>
      </c>
      <c r="O193" s="1"/>
    </row>
    <row r="194" spans="2:15" ht="28" hidden="1" x14ac:dyDescent="0.35">
      <c r="B194" s="2">
        <v>11442</v>
      </c>
      <c r="C194" s="24">
        <v>46098</v>
      </c>
      <c r="D194" s="3" t="s">
        <v>21</v>
      </c>
      <c r="E194" s="3" t="s">
        <v>435</v>
      </c>
      <c r="F194" s="14" t="s">
        <v>436</v>
      </c>
      <c r="G194" s="4" t="s">
        <v>16</v>
      </c>
      <c r="H194" s="2" t="s">
        <v>17</v>
      </c>
      <c r="I194" s="2" t="s">
        <v>24</v>
      </c>
      <c r="J194" s="2" t="s">
        <v>29</v>
      </c>
      <c r="K194" s="1" t="s">
        <v>426</v>
      </c>
      <c r="L194" s="1" t="s">
        <v>95</v>
      </c>
      <c r="O194" s="1"/>
    </row>
    <row r="195" spans="2:15" ht="42" hidden="1" x14ac:dyDescent="0.35">
      <c r="B195" s="2">
        <v>243</v>
      </c>
      <c r="C195" s="5">
        <v>45754</v>
      </c>
      <c r="D195" s="3" t="s">
        <v>34</v>
      </c>
      <c r="E195" s="3" t="s">
        <v>437</v>
      </c>
      <c r="F195" s="14" t="s">
        <v>438</v>
      </c>
      <c r="G195" s="4" t="s">
        <v>51</v>
      </c>
      <c r="H195" s="2" t="s">
        <v>17</v>
      </c>
      <c r="I195" s="2" t="s">
        <v>18</v>
      </c>
      <c r="J195" s="2" t="s">
        <v>19</v>
      </c>
      <c r="K195" s="1" t="s">
        <v>439</v>
      </c>
      <c r="L195" s="1" t="s">
        <v>34</v>
      </c>
      <c r="O195" s="1"/>
    </row>
    <row r="196" spans="2:15" ht="28" hidden="1" x14ac:dyDescent="0.35">
      <c r="B196" s="2">
        <v>9255</v>
      </c>
      <c r="C196" s="5">
        <v>45859</v>
      </c>
      <c r="D196" s="3" t="s">
        <v>34</v>
      </c>
      <c r="E196" s="3" t="s">
        <v>440</v>
      </c>
      <c r="F196" s="14" t="s">
        <v>186</v>
      </c>
      <c r="G196" s="4" t="s">
        <v>16</v>
      </c>
      <c r="H196" s="2" t="s">
        <v>17</v>
      </c>
      <c r="I196" s="2" t="s">
        <v>37</v>
      </c>
      <c r="J196" s="2" t="s">
        <v>38</v>
      </c>
      <c r="K196" s="1" t="s">
        <v>439</v>
      </c>
      <c r="L196" s="1" t="s">
        <v>34</v>
      </c>
      <c r="O196" s="1"/>
    </row>
    <row r="197" spans="2:15" ht="42" hidden="1" x14ac:dyDescent="0.35">
      <c r="B197" s="2">
        <v>11076</v>
      </c>
      <c r="C197" s="24">
        <v>46066</v>
      </c>
      <c r="D197" s="3" t="s">
        <v>34</v>
      </c>
      <c r="E197" s="3" t="s">
        <v>441</v>
      </c>
      <c r="F197" s="14" t="s">
        <v>442</v>
      </c>
      <c r="G197" s="4" t="s">
        <v>51</v>
      </c>
      <c r="H197" s="2" t="s">
        <v>17</v>
      </c>
      <c r="I197" s="2" t="s">
        <v>18</v>
      </c>
      <c r="J197" s="2" t="s">
        <v>19</v>
      </c>
      <c r="K197" s="1" t="s">
        <v>439</v>
      </c>
      <c r="L197" s="1" t="s">
        <v>26</v>
      </c>
      <c r="O197" s="1"/>
    </row>
    <row r="198" spans="2:15" ht="28" hidden="1" x14ac:dyDescent="0.35">
      <c r="B198" s="2">
        <v>245</v>
      </c>
      <c r="C198" s="5">
        <v>45754</v>
      </c>
      <c r="D198" s="3" t="s">
        <v>13</v>
      </c>
      <c r="E198" s="3" t="s">
        <v>443</v>
      </c>
      <c r="F198" s="14" t="s">
        <v>444</v>
      </c>
      <c r="G198" s="4" t="s">
        <v>16</v>
      </c>
      <c r="H198" s="2" t="s">
        <v>17</v>
      </c>
      <c r="I198" s="2" t="s">
        <v>24</v>
      </c>
      <c r="J198" s="2" t="s">
        <v>33</v>
      </c>
      <c r="K198" s="1" t="s">
        <v>445</v>
      </c>
      <c r="L198" s="1" t="s">
        <v>95</v>
      </c>
      <c r="O198" s="1"/>
    </row>
    <row r="199" spans="2:15" ht="28" hidden="1" x14ac:dyDescent="0.35">
      <c r="B199" s="2">
        <v>246</v>
      </c>
      <c r="C199" s="5">
        <v>45754</v>
      </c>
      <c r="D199" s="3" t="s">
        <v>13</v>
      </c>
      <c r="E199" s="3" t="s">
        <v>446</v>
      </c>
      <c r="F199" s="14" t="s">
        <v>447</v>
      </c>
      <c r="G199" s="4" t="s">
        <v>16</v>
      </c>
      <c r="H199" s="2" t="s">
        <v>17</v>
      </c>
      <c r="I199" s="2" t="s">
        <v>24</v>
      </c>
      <c r="J199" s="2" t="s">
        <v>72</v>
      </c>
      <c r="K199" s="1" t="s">
        <v>445</v>
      </c>
      <c r="L199" s="1" t="s">
        <v>95</v>
      </c>
      <c r="O199" s="1"/>
    </row>
    <row r="200" spans="2:15" ht="42" hidden="1" x14ac:dyDescent="0.35">
      <c r="B200" s="2">
        <v>322</v>
      </c>
      <c r="C200" s="5">
        <v>45783</v>
      </c>
      <c r="D200" s="3" t="s">
        <v>234</v>
      </c>
      <c r="E200" s="3" t="s">
        <v>448</v>
      </c>
      <c r="F200" s="14" t="s">
        <v>449</v>
      </c>
      <c r="G200" s="4" t="s">
        <v>51</v>
      </c>
      <c r="H200" s="2" t="s">
        <v>17</v>
      </c>
      <c r="I200" s="2" t="s">
        <v>298</v>
      </c>
      <c r="J200" s="2" t="s">
        <v>299</v>
      </c>
      <c r="K200" s="1" t="s">
        <v>445</v>
      </c>
      <c r="L200" s="1" t="s">
        <v>95</v>
      </c>
      <c r="O200" s="1"/>
    </row>
    <row r="201" spans="2:15" ht="84" hidden="1" customHeight="1" x14ac:dyDescent="0.35">
      <c r="B201" s="2">
        <v>330</v>
      </c>
      <c r="C201" s="5">
        <v>45784</v>
      </c>
      <c r="D201" s="3" t="s">
        <v>234</v>
      </c>
      <c r="E201" s="3" t="s">
        <v>450</v>
      </c>
      <c r="F201" s="14" t="s">
        <v>451</v>
      </c>
      <c r="G201" s="4" t="s">
        <v>51</v>
      </c>
      <c r="H201" s="2" t="s">
        <v>17</v>
      </c>
      <c r="I201" s="2" t="s">
        <v>24</v>
      </c>
      <c r="J201" s="2" t="s">
        <v>44</v>
      </c>
      <c r="K201" s="1" t="s">
        <v>445</v>
      </c>
      <c r="L201" s="1" t="s">
        <v>95</v>
      </c>
      <c r="O201" s="1"/>
    </row>
    <row r="202" spans="2:15" ht="28" hidden="1" x14ac:dyDescent="0.35">
      <c r="B202" s="2">
        <v>331</v>
      </c>
      <c r="C202" s="5">
        <v>45784</v>
      </c>
      <c r="D202" s="3" t="s">
        <v>234</v>
      </c>
      <c r="E202" s="3" t="s">
        <v>452</v>
      </c>
      <c r="F202" s="14" t="s">
        <v>453</v>
      </c>
      <c r="G202" s="4" t="s">
        <v>51</v>
      </c>
      <c r="H202" s="2" t="s">
        <v>17</v>
      </c>
      <c r="I202" s="2" t="s">
        <v>24</v>
      </c>
      <c r="J202" s="2" t="s">
        <v>44</v>
      </c>
      <c r="K202" s="1" t="s">
        <v>445</v>
      </c>
      <c r="L202" s="1" t="s">
        <v>95</v>
      </c>
      <c r="O202" s="1"/>
    </row>
    <row r="203" spans="2:15" ht="28" hidden="1" x14ac:dyDescent="0.35">
      <c r="B203" s="2">
        <v>9285</v>
      </c>
      <c r="C203" s="5">
        <v>45867</v>
      </c>
      <c r="D203" s="3" t="s">
        <v>134</v>
      </c>
      <c r="E203" s="3" t="s">
        <v>454</v>
      </c>
      <c r="F203" s="14" t="s">
        <v>455</v>
      </c>
      <c r="G203" s="4" t="s">
        <v>16</v>
      </c>
      <c r="H203" s="2" t="s">
        <v>17</v>
      </c>
      <c r="I203" s="2" t="s">
        <v>24</v>
      </c>
      <c r="J203" s="2" t="s">
        <v>33</v>
      </c>
      <c r="K203" s="1" t="s">
        <v>445</v>
      </c>
      <c r="L203" s="1" t="s">
        <v>95</v>
      </c>
      <c r="O203" s="1"/>
    </row>
    <row r="204" spans="2:15" hidden="1" x14ac:dyDescent="0.35">
      <c r="B204" s="2">
        <v>9385</v>
      </c>
      <c r="C204" s="5">
        <v>45876</v>
      </c>
      <c r="D204" s="3" t="s">
        <v>193</v>
      </c>
      <c r="E204" s="3" t="s">
        <v>456</v>
      </c>
      <c r="F204" s="14" t="s">
        <v>457</v>
      </c>
      <c r="G204" s="4" t="s">
        <v>51</v>
      </c>
      <c r="H204" s="2" t="s">
        <v>17</v>
      </c>
      <c r="I204" s="2" t="s">
        <v>37</v>
      </c>
      <c r="J204" s="2" t="s">
        <v>38</v>
      </c>
      <c r="K204" s="1" t="s">
        <v>445</v>
      </c>
      <c r="L204" s="1" t="s">
        <v>95</v>
      </c>
      <c r="O204" s="1"/>
    </row>
    <row r="205" spans="2:15" ht="28" hidden="1" x14ac:dyDescent="0.35">
      <c r="B205" s="2">
        <v>9444</v>
      </c>
      <c r="C205" s="5">
        <v>45881</v>
      </c>
      <c r="D205" s="3" t="s">
        <v>21</v>
      </c>
      <c r="E205" s="3" t="s">
        <v>458</v>
      </c>
      <c r="F205" s="14" t="s">
        <v>459</v>
      </c>
      <c r="G205" s="4" t="s">
        <v>51</v>
      </c>
      <c r="H205" s="2" t="s">
        <v>17</v>
      </c>
      <c r="I205" s="2" t="s">
        <v>18</v>
      </c>
      <c r="J205" s="2" t="s">
        <v>68</v>
      </c>
      <c r="K205" s="1" t="s">
        <v>445</v>
      </c>
      <c r="L205" s="1" t="s">
        <v>95</v>
      </c>
      <c r="O205" s="1"/>
    </row>
    <row r="206" spans="2:15" ht="28" hidden="1" x14ac:dyDescent="0.35">
      <c r="B206" s="2">
        <v>9437</v>
      </c>
      <c r="C206" s="5">
        <v>45881</v>
      </c>
      <c r="D206" s="3" t="s">
        <v>21</v>
      </c>
      <c r="E206" s="3" t="s">
        <v>460</v>
      </c>
      <c r="F206" s="14" t="s">
        <v>444</v>
      </c>
      <c r="G206" s="4" t="s">
        <v>16</v>
      </c>
      <c r="H206" s="2" t="s">
        <v>17</v>
      </c>
      <c r="I206" s="2" t="s">
        <v>18</v>
      </c>
      <c r="J206" s="2" t="s">
        <v>68</v>
      </c>
      <c r="K206" s="1" t="s">
        <v>445</v>
      </c>
      <c r="L206" s="1" t="s">
        <v>95</v>
      </c>
      <c r="O206" s="1"/>
    </row>
    <row r="207" spans="2:15" ht="28" hidden="1" x14ac:dyDescent="0.35">
      <c r="B207" s="2">
        <v>9827</v>
      </c>
      <c r="C207" s="5">
        <v>45904</v>
      </c>
      <c r="D207" s="3" t="s">
        <v>134</v>
      </c>
      <c r="E207" s="3" t="s">
        <v>461</v>
      </c>
      <c r="F207" s="14" t="s">
        <v>455</v>
      </c>
      <c r="G207" s="4" t="s">
        <v>16</v>
      </c>
      <c r="H207" s="2" t="s">
        <v>17</v>
      </c>
      <c r="I207" s="2" t="s">
        <v>24</v>
      </c>
      <c r="J207" s="2" t="s">
        <v>33</v>
      </c>
      <c r="K207" s="1" t="s">
        <v>445</v>
      </c>
      <c r="L207" s="1" t="s">
        <v>95</v>
      </c>
      <c r="O207" s="1"/>
    </row>
    <row r="208" spans="2:15" ht="28" hidden="1" x14ac:dyDescent="0.35">
      <c r="B208" s="2">
        <v>9826</v>
      </c>
      <c r="C208" s="5">
        <v>45924</v>
      </c>
      <c r="D208" s="3" t="s">
        <v>134</v>
      </c>
      <c r="E208" s="3" t="s">
        <v>462</v>
      </c>
      <c r="F208" s="14" t="s">
        <v>127</v>
      </c>
      <c r="G208" s="4" t="s">
        <v>16</v>
      </c>
      <c r="H208" s="2" t="s">
        <v>17</v>
      </c>
      <c r="I208" s="2" t="s">
        <v>24</v>
      </c>
      <c r="J208" s="2" t="s">
        <v>33</v>
      </c>
      <c r="K208" s="1" t="s">
        <v>445</v>
      </c>
      <c r="L208" s="1" t="s">
        <v>95</v>
      </c>
      <c r="O208" s="1"/>
    </row>
    <row r="209" spans="2:15" ht="28" hidden="1" x14ac:dyDescent="0.35">
      <c r="B209" s="2">
        <v>10179</v>
      </c>
      <c r="C209" s="5">
        <v>45960</v>
      </c>
      <c r="D209" s="3" t="s">
        <v>104</v>
      </c>
      <c r="E209" s="3" t="s">
        <v>463</v>
      </c>
      <c r="F209" s="14" t="s">
        <v>333</v>
      </c>
      <c r="G209" s="4" t="s">
        <v>16</v>
      </c>
      <c r="H209" s="2" t="s">
        <v>17</v>
      </c>
      <c r="I209" s="2" t="s">
        <v>24</v>
      </c>
      <c r="J209" s="2" t="s">
        <v>33</v>
      </c>
      <c r="K209" s="1" t="s">
        <v>445</v>
      </c>
      <c r="L209" s="1" t="s">
        <v>95</v>
      </c>
      <c r="O209" s="1"/>
    </row>
    <row r="210" spans="2:15" ht="28" hidden="1" x14ac:dyDescent="0.35">
      <c r="B210" s="2">
        <v>10180</v>
      </c>
      <c r="C210" s="5">
        <v>45960</v>
      </c>
      <c r="D210" s="3" t="s">
        <v>104</v>
      </c>
      <c r="E210" s="3" t="s">
        <v>464</v>
      </c>
      <c r="F210" s="14" t="s">
        <v>465</v>
      </c>
      <c r="G210" s="4" t="s">
        <v>16</v>
      </c>
      <c r="H210" s="2" t="s">
        <v>17</v>
      </c>
      <c r="I210" s="2" t="s">
        <v>24</v>
      </c>
      <c r="J210" s="2" t="s">
        <v>33</v>
      </c>
      <c r="K210" s="1" t="s">
        <v>445</v>
      </c>
      <c r="L210" s="1" t="s">
        <v>95</v>
      </c>
      <c r="O210" s="1"/>
    </row>
    <row r="211" spans="2:15" ht="28" hidden="1" x14ac:dyDescent="0.35">
      <c r="B211" s="2">
        <v>10364</v>
      </c>
      <c r="C211" s="5">
        <v>45989</v>
      </c>
      <c r="D211" s="3" t="s">
        <v>134</v>
      </c>
      <c r="E211" s="3" t="s">
        <v>466</v>
      </c>
      <c r="F211" s="14" t="s">
        <v>467</v>
      </c>
      <c r="G211" s="4" t="s">
        <v>51</v>
      </c>
      <c r="H211" s="2" t="s">
        <v>17</v>
      </c>
      <c r="I211" s="2" t="s">
        <v>24</v>
      </c>
      <c r="J211" s="2" t="s">
        <v>33</v>
      </c>
      <c r="K211" s="1" t="s">
        <v>445</v>
      </c>
      <c r="L211" s="1" t="s">
        <v>95</v>
      </c>
      <c r="O211" s="1"/>
    </row>
    <row r="212" spans="2:15" ht="28" hidden="1" x14ac:dyDescent="0.35">
      <c r="B212" s="2">
        <v>10363</v>
      </c>
      <c r="C212" s="5">
        <v>45989</v>
      </c>
      <c r="D212" s="3" t="s">
        <v>134</v>
      </c>
      <c r="E212" s="3" t="s">
        <v>468</v>
      </c>
      <c r="F212" s="14" t="s">
        <v>469</v>
      </c>
      <c r="G212" s="4" t="s">
        <v>51</v>
      </c>
      <c r="H212" s="2" t="s">
        <v>17</v>
      </c>
      <c r="I212" s="2" t="s">
        <v>24</v>
      </c>
      <c r="J212" s="2" t="s">
        <v>33</v>
      </c>
      <c r="K212" s="1" t="s">
        <v>445</v>
      </c>
      <c r="L212" s="1" t="s">
        <v>95</v>
      </c>
      <c r="O212" s="1"/>
    </row>
    <row r="213" spans="2:15" ht="28" hidden="1" x14ac:dyDescent="0.35">
      <c r="B213" s="2">
        <v>10516</v>
      </c>
      <c r="C213" s="5">
        <v>46010</v>
      </c>
      <c r="D213" s="3" t="s">
        <v>104</v>
      </c>
      <c r="E213" s="3" t="s">
        <v>470</v>
      </c>
      <c r="F213" s="14" t="s">
        <v>333</v>
      </c>
      <c r="G213" s="4" t="s">
        <v>16</v>
      </c>
      <c r="H213" s="2" t="s">
        <v>17</v>
      </c>
      <c r="I213" s="2" t="s">
        <v>24</v>
      </c>
      <c r="J213" s="2" t="s">
        <v>33</v>
      </c>
      <c r="K213" s="1" t="s">
        <v>445</v>
      </c>
      <c r="L213" s="1" t="s">
        <v>95</v>
      </c>
      <c r="O213" s="1"/>
    </row>
    <row r="214" spans="2:15" ht="28" hidden="1" x14ac:dyDescent="0.35">
      <c r="B214" s="2">
        <v>10517</v>
      </c>
      <c r="C214" s="5">
        <v>46010</v>
      </c>
      <c r="D214" s="3" t="s">
        <v>104</v>
      </c>
      <c r="E214" s="3" t="s">
        <v>471</v>
      </c>
      <c r="F214" s="14" t="s">
        <v>138</v>
      </c>
      <c r="G214" s="4" t="s">
        <v>51</v>
      </c>
      <c r="H214" s="2" t="s">
        <v>17</v>
      </c>
      <c r="I214" s="2" t="s">
        <v>24</v>
      </c>
      <c r="J214" s="2" t="s">
        <v>33</v>
      </c>
      <c r="K214" s="1" t="s">
        <v>445</v>
      </c>
      <c r="L214" s="1" t="s">
        <v>95</v>
      </c>
      <c r="O214" s="1"/>
    </row>
    <row r="215" spans="2:15" ht="28" hidden="1" x14ac:dyDescent="0.35">
      <c r="B215" s="2">
        <v>11118</v>
      </c>
      <c r="C215" s="24">
        <v>46071</v>
      </c>
      <c r="D215" s="3" t="s">
        <v>21</v>
      </c>
      <c r="E215" s="3" t="s">
        <v>472</v>
      </c>
      <c r="F215" s="14" t="s">
        <v>473</v>
      </c>
      <c r="G215" s="4" t="s">
        <v>51</v>
      </c>
      <c r="H215" s="2" t="s">
        <v>17</v>
      </c>
      <c r="I215" s="2" t="s">
        <v>24</v>
      </c>
      <c r="J215" s="2" t="s">
        <v>44</v>
      </c>
      <c r="K215" s="1" t="s">
        <v>445</v>
      </c>
      <c r="L215" s="1" t="s">
        <v>95</v>
      </c>
      <c r="O215" s="1"/>
    </row>
    <row r="216" spans="2:15" ht="42" hidden="1" x14ac:dyDescent="0.35">
      <c r="B216" s="2">
        <v>11116</v>
      </c>
      <c r="C216" s="24">
        <v>46071</v>
      </c>
      <c r="D216" s="3" t="s">
        <v>21</v>
      </c>
      <c r="E216" s="3" t="s">
        <v>474</v>
      </c>
      <c r="F216" s="14" t="s">
        <v>475</v>
      </c>
      <c r="G216" s="4" t="s">
        <v>51</v>
      </c>
      <c r="H216" s="2" t="s">
        <v>17</v>
      </c>
      <c r="I216" s="2" t="s">
        <v>24</v>
      </c>
      <c r="J216" s="2" t="s">
        <v>44</v>
      </c>
      <c r="K216" s="1" t="s">
        <v>445</v>
      </c>
      <c r="L216" s="1" t="s">
        <v>95</v>
      </c>
      <c r="O216" s="1"/>
    </row>
    <row r="217" spans="2:15" hidden="1" x14ac:dyDescent="0.35">
      <c r="B217" s="2">
        <v>11531</v>
      </c>
      <c r="C217" s="24">
        <v>46108</v>
      </c>
      <c r="D217" s="3" t="s">
        <v>21</v>
      </c>
      <c r="E217" s="3" t="s">
        <v>476</v>
      </c>
      <c r="F217" s="14" t="s">
        <v>477</v>
      </c>
      <c r="G217" s="4" t="s">
        <v>16</v>
      </c>
      <c r="H217" s="2" t="s">
        <v>17</v>
      </c>
      <c r="I217" s="2" t="s">
        <v>24</v>
      </c>
      <c r="J217" s="2" t="s">
        <v>44</v>
      </c>
      <c r="K217" s="1" t="s">
        <v>445</v>
      </c>
      <c r="L217" s="1" t="s">
        <v>95</v>
      </c>
      <c r="O217" s="1"/>
    </row>
    <row r="218" spans="2:15" ht="28" hidden="1" x14ac:dyDescent="0.35">
      <c r="B218" s="2">
        <v>70</v>
      </c>
      <c r="C218" s="5">
        <v>45684</v>
      </c>
      <c r="D218" s="3" t="s">
        <v>104</v>
      </c>
      <c r="E218" s="3" t="s">
        <v>478</v>
      </c>
      <c r="F218" s="14" t="s">
        <v>109</v>
      </c>
      <c r="G218" s="4" t="s">
        <v>51</v>
      </c>
      <c r="H218" s="2" t="s">
        <v>17</v>
      </c>
      <c r="I218" s="2" t="s">
        <v>24</v>
      </c>
      <c r="J218" t="s">
        <v>33</v>
      </c>
      <c r="K218" s="1" t="s">
        <v>479</v>
      </c>
      <c r="L218" s="1" t="s">
        <v>95</v>
      </c>
      <c r="O218" s="1"/>
    </row>
    <row r="219" spans="2:15" ht="42" hidden="1" x14ac:dyDescent="0.35">
      <c r="B219" s="2">
        <v>127</v>
      </c>
      <c r="C219" s="5">
        <v>45709</v>
      </c>
      <c r="D219" s="3" t="s">
        <v>193</v>
      </c>
      <c r="E219" s="3" t="s">
        <v>480</v>
      </c>
      <c r="F219" s="14" t="s">
        <v>481</v>
      </c>
      <c r="G219" s="4" t="s">
        <v>51</v>
      </c>
      <c r="H219" s="2" t="s">
        <v>17</v>
      </c>
      <c r="I219" s="2" t="s">
        <v>18</v>
      </c>
      <c r="J219" s="2" t="s">
        <v>19</v>
      </c>
      <c r="K219" s="1" t="s">
        <v>479</v>
      </c>
      <c r="L219" s="1" t="s">
        <v>95</v>
      </c>
      <c r="O219" s="1"/>
    </row>
    <row r="220" spans="2:15" ht="28" hidden="1" x14ac:dyDescent="0.35">
      <c r="B220" s="2">
        <v>173</v>
      </c>
      <c r="C220" s="5">
        <v>45721</v>
      </c>
      <c r="D220" s="3" t="s">
        <v>134</v>
      </c>
      <c r="E220" s="3" t="s">
        <v>482</v>
      </c>
      <c r="F220" s="14" t="s">
        <v>483</v>
      </c>
      <c r="G220" s="4" t="s">
        <v>16</v>
      </c>
      <c r="H220" s="2" t="s">
        <v>17</v>
      </c>
      <c r="I220" s="2" t="s">
        <v>24</v>
      </c>
      <c r="J220" s="2" t="s">
        <v>484</v>
      </c>
      <c r="K220" s="1" t="s">
        <v>479</v>
      </c>
      <c r="L220" s="1" t="s">
        <v>95</v>
      </c>
      <c r="O220" s="1"/>
    </row>
    <row r="221" spans="2:15" ht="28" hidden="1" x14ac:dyDescent="0.35">
      <c r="B221" s="2">
        <v>174</v>
      </c>
      <c r="C221" s="5">
        <v>45721</v>
      </c>
      <c r="D221" s="3" t="s">
        <v>134</v>
      </c>
      <c r="E221" s="3" t="s">
        <v>485</v>
      </c>
      <c r="F221" s="14" t="s">
        <v>455</v>
      </c>
      <c r="G221" s="4" t="s">
        <v>16</v>
      </c>
      <c r="H221" s="2" t="s">
        <v>17</v>
      </c>
      <c r="I221" s="2" t="s">
        <v>24</v>
      </c>
      <c r="J221" s="2" t="s">
        <v>44</v>
      </c>
      <c r="K221" s="1" t="s">
        <v>479</v>
      </c>
      <c r="L221" s="1" t="s">
        <v>95</v>
      </c>
      <c r="O221" s="1"/>
    </row>
    <row r="222" spans="2:15" ht="28" hidden="1" x14ac:dyDescent="0.35">
      <c r="B222" s="2">
        <v>182</v>
      </c>
      <c r="C222" s="5">
        <v>45727</v>
      </c>
      <c r="D222" s="3" t="s">
        <v>193</v>
      </c>
      <c r="E222" s="3" t="s">
        <v>486</v>
      </c>
      <c r="F222" s="14" t="s">
        <v>487</v>
      </c>
      <c r="G222" s="4" t="s">
        <v>51</v>
      </c>
      <c r="H222" s="2" t="s">
        <v>17</v>
      </c>
      <c r="I222" s="2" t="s">
        <v>37</v>
      </c>
      <c r="J222" s="2" t="s">
        <v>81</v>
      </c>
      <c r="K222" s="1" t="s">
        <v>479</v>
      </c>
      <c r="L222" s="1" t="s">
        <v>95</v>
      </c>
      <c r="O222" s="1"/>
    </row>
    <row r="223" spans="2:15" ht="42" hidden="1" x14ac:dyDescent="0.35">
      <c r="B223" s="2">
        <v>187</v>
      </c>
      <c r="C223" s="5">
        <v>45729</v>
      </c>
      <c r="D223" s="3" t="s">
        <v>193</v>
      </c>
      <c r="E223" s="3" t="s">
        <v>488</v>
      </c>
      <c r="F223" s="14" t="s">
        <v>489</v>
      </c>
      <c r="G223" s="4" t="s">
        <v>51</v>
      </c>
      <c r="H223" s="2" t="s">
        <v>17</v>
      </c>
      <c r="I223" s="2" t="s">
        <v>37</v>
      </c>
      <c r="J223" s="2" t="s">
        <v>38</v>
      </c>
      <c r="K223" s="1" t="s">
        <v>479</v>
      </c>
      <c r="L223" s="1" t="s">
        <v>95</v>
      </c>
      <c r="O223" s="1"/>
    </row>
    <row r="224" spans="2:15" ht="42" hidden="1" x14ac:dyDescent="0.35">
      <c r="B224" s="2">
        <v>9626</v>
      </c>
      <c r="C224" s="5">
        <v>45898</v>
      </c>
      <c r="D224" s="3" t="s">
        <v>34</v>
      </c>
      <c r="E224" s="3" t="s">
        <v>490</v>
      </c>
      <c r="F224" s="14" t="s">
        <v>491</v>
      </c>
      <c r="G224" s="4" t="s">
        <v>16</v>
      </c>
      <c r="H224" s="2" t="s">
        <v>17</v>
      </c>
      <c r="I224" s="2" t="s">
        <v>24</v>
      </c>
      <c r="J224" s="2" t="s">
        <v>289</v>
      </c>
      <c r="K224" s="1" t="s">
        <v>492</v>
      </c>
      <c r="L224" s="1" t="s">
        <v>34</v>
      </c>
      <c r="O224" s="1"/>
    </row>
    <row r="225" spans="2:15" ht="42" hidden="1" x14ac:dyDescent="0.35">
      <c r="B225" s="2">
        <v>20</v>
      </c>
      <c r="C225" s="5">
        <v>45664</v>
      </c>
      <c r="D225" s="3" t="s">
        <v>278</v>
      </c>
      <c r="E225" s="3" t="s">
        <v>493</v>
      </c>
      <c r="F225" s="14" t="s">
        <v>494</v>
      </c>
      <c r="G225" s="4" t="s">
        <v>16</v>
      </c>
      <c r="H225" s="2" t="s">
        <v>17</v>
      </c>
      <c r="I225" s="2" t="s">
        <v>24</v>
      </c>
      <c r="J225" t="s">
        <v>72</v>
      </c>
      <c r="K225" s="1" t="s">
        <v>495</v>
      </c>
      <c r="L225" s="1" t="s">
        <v>278</v>
      </c>
      <c r="O225" s="1"/>
    </row>
    <row r="226" spans="2:15" ht="42" hidden="1" x14ac:dyDescent="0.35">
      <c r="B226" s="2">
        <v>21</v>
      </c>
      <c r="C226" s="5">
        <v>45665</v>
      </c>
      <c r="D226" s="3" t="s">
        <v>278</v>
      </c>
      <c r="E226" s="3" t="s">
        <v>496</v>
      </c>
      <c r="F226" s="14" t="s">
        <v>497</v>
      </c>
      <c r="G226" s="4" t="s">
        <v>16</v>
      </c>
      <c r="H226" s="2" t="s">
        <v>17</v>
      </c>
      <c r="I226" s="2" t="s">
        <v>24</v>
      </c>
      <c r="J226" t="s">
        <v>72</v>
      </c>
      <c r="K226" s="1" t="s">
        <v>495</v>
      </c>
      <c r="L226" s="1" t="s">
        <v>278</v>
      </c>
      <c r="O226" s="1"/>
    </row>
    <row r="227" spans="2:15" ht="42" hidden="1" x14ac:dyDescent="0.35">
      <c r="B227" s="2">
        <v>452</v>
      </c>
      <c r="C227" s="5">
        <v>45829</v>
      </c>
      <c r="D227" s="3" t="s">
        <v>21</v>
      </c>
      <c r="E227" s="3" t="s">
        <v>498</v>
      </c>
      <c r="F227" s="14" t="s">
        <v>499</v>
      </c>
      <c r="G227" s="4" t="s">
        <v>16</v>
      </c>
      <c r="H227" s="2" t="s">
        <v>17</v>
      </c>
      <c r="I227" s="2" t="s">
        <v>24</v>
      </c>
      <c r="J227" s="2" t="s">
        <v>261</v>
      </c>
      <c r="K227" s="1" t="s">
        <v>495</v>
      </c>
      <c r="L227" s="1" t="s">
        <v>278</v>
      </c>
      <c r="O227" s="1"/>
    </row>
    <row r="228" spans="2:15" ht="28" hidden="1" x14ac:dyDescent="0.35">
      <c r="B228" s="2">
        <v>9793</v>
      </c>
      <c r="C228" s="5">
        <v>45919</v>
      </c>
      <c r="D228" s="3" t="s">
        <v>134</v>
      </c>
      <c r="E228" s="3" t="s">
        <v>500</v>
      </c>
      <c r="F228" s="14" t="s">
        <v>501</v>
      </c>
      <c r="G228" s="4" t="s">
        <v>16</v>
      </c>
      <c r="H228" s="2" t="s">
        <v>17</v>
      </c>
      <c r="I228" s="2" t="s">
        <v>37</v>
      </c>
      <c r="J228" s="2" t="s">
        <v>81</v>
      </c>
      <c r="K228" s="1" t="s">
        <v>495</v>
      </c>
      <c r="L228" s="1" t="s">
        <v>278</v>
      </c>
      <c r="O228" s="1"/>
    </row>
    <row r="229" spans="2:15" ht="56" hidden="1" x14ac:dyDescent="0.35">
      <c r="B229" s="2">
        <v>9792</v>
      </c>
      <c r="C229" s="5">
        <v>45918</v>
      </c>
      <c r="D229" s="3" t="s">
        <v>95</v>
      </c>
      <c r="E229" s="3" t="s">
        <v>502</v>
      </c>
      <c r="F229" s="14" t="s">
        <v>243</v>
      </c>
      <c r="G229" s="4" t="s">
        <v>16</v>
      </c>
      <c r="H229" s="2" t="s">
        <v>17</v>
      </c>
      <c r="I229" s="2" t="s">
        <v>24</v>
      </c>
      <c r="J229" s="2" t="s">
        <v>72</v>
      </c>
      <c r="K229" s="1" t="s">
        <v>503</v>
      </c>
      <c r="L229" s="1" t="s">
        <v>190</v>
      </c>
      <c r="O229" s="1"/>
    </row>
    <row r="230" spans="2:15" ht="42" hidden="1" x14ac:dyDescent="0.35">
      <c r="B230" s="2">
        <v>10169</v>
      </c>
      <c r="C230" s="5">
        <v>45961</v>
      </c>
      <c r="D230" s="3" t="s">
        <v>278</v>
      </c>
      <c r="E230" s="3" t="s">
        <v>504</v>
      </c>
      <c r="F230" s="14" t="s">
        <v>505</v>
      </c>
      <c r="G230" s="4" t="s">
        <v>51</v>
      </c>
      <c r="H230" s="2" t="s">
        <v>17</v>
      </c>
      <c r="I230" s="2" t="s">
        <v>24</v>
      </c>
      <c r="J230" s="2" t="s">
        <v>44</v>
      </c>
      <c r="K230" s="1" t="s">
        <v>503</v>
      </c>
      <c r="L230" s="1" t="s">
        <v>190</v>
      </c>
      <c r="O230" s="1"/>
    </row>
    <row r="231" spans="2:15" ht="42" hidden="1" x14ac:dyDescent="0.35">
      <c r="B231" s="2">
        <v>10373</v>
      </c>
      <c r="C231" s="5">
        <v>45989</v>
      </c>
      <c r="D231" s="3" t="s">
        <v>190</v>
      </c>
      <c r="E231" s="3" t="s">
        <v>506</v>
      </c>
      <c r="F231" s="14" t="s">
        <v>507</v>
      </c>
      <c r="G231" s="4" t="s">
        <v>51</v>
      </c>
      <c r="H231" s="2" t="s">
        <v>17</v>
      </c>
      <c r="I231" s="2" t="s">
        <v>24</v>
      </c>
      <c r="J231" s="2" t="s">
        <v>41</v>
      </c>
      <c r="K231" s="1" t="s">
        <v>503</v>
      </c>
      <c r="L231" s="1" t="s">
        <v>190</v>
      </c>
      <c r="O231" s="1"/>
    </row>
    <row r="232" spans="2:15" ht="56" hidden="1" x14ac:dyDescent="0.35">
      <c r="B232" s="2">
        <v>10483</v>
      </c>
      <c r="C232" s="5">
        <v>46002</v>
      </c>
      <c r="D232" s="3" t="s">
        <v>190</v>
      </c>
      <c r="E232" s="3" t="s">
        <v>508</v>
      </c>
      <c r="F232" s="14" t="s">
        <v>509</v>
      </c>
      <c r="G232" s="4" t="s">
        <v>51</v>
      </c>
      <c r="H232" s="2" t="s">
        <v>17</v>
      </c>
      <c r="I232" s="2" t="s">
        <v>18</v>
      </c>
      <c r="J232" s="2" t="s">
        <v>19</v>
      </c>
      <c r="K232" s="1" t="s">
        <v>503</v>
      </c>
      <c r="L232" s="1" t="s">
        <v>190</v>
      </c>
      <c r="O232" s="1"/>
    </row>
    <row r="233" spans="2:15" ht="42" hidden="1" x14ac:dyDescent="0.35">
      <c r="B233" s="2">
        <v>10538</v>
      </c>
      <c r="C233" s="5">
        <v>46020</v>
      </c>
      <c r="D233" s="3" t="s">
        <v>220</v>
      </c>
      <c r="E233" s="3" t="s">
        <v>510</v>
      </c>
      <c r="F233" s="14" t="s">
        <v>511</v>
      </c>
      <c r="G233" s="4" t="s">
        <v>51</v>
      </c>
      <c r="H233" s="2" t="s">
        <v>17</v>
      </c>
      <c r="I233" s="2" t="s">
        <v>37</v>
      </c>
      <c r="J233" s="2" t="s">
        <v>38</v>
      </c>
      <c r="K233" s="1" t="s">
        <v>503</v>
      </c>
      <c r="L233" s="1" t="s">
        <v>250</v>
      </c>
      <c r="O233" s="1"/>
    </row>
    <row r="234" spans="2:15" ht="42" hidden="1" x14ac:dyDescent="0.35">
      <c r="B234" s="2">
        <v>10543</v>
      </c>
      <c r="C234" s="5">
        <v>46021</v>
      </c>
      <c r="D234" s="3" t="s">
        <v>250</v>
      </c>
      <c r="E234" s="3" t="s">
        <v>512</v>
      </c>
      <c r="F234" s="14" t="s">
        <v>513</v>
      </c>
      <c r="G234" s="4" t="s">
        <v>51</v>
      </c>
      <c r="H234" s="2" t="s">
        <v>17</v>
      </c>
      <c r="I234" s="2" t="s">
        <v>24</v>
      </c>
      <c r="J234" s="2" t="s">
        <v>44</v>
      </c>
      <c r="K234" s="1" t="s">
        <v>503</v>
      </c>
      <c r="L234" s="1" t="s">
        <v>250</v>
      </c>
      <c r="O234" s="1"/>
    </row>
    <row r="235" spans="2:15" ht="42" hidden="1" x14ac:dyDescent="0.35">
      <c r="B235" s="2">
        <v>10540</v>
      </c>
      <c r="C235" s="5">
        <v>46020</v>
      </c>
      <c r="D235" s="3" t="s">
        <v>250</v>
      </c>
      <c r="E235" s="3" t="s">
        <v>514</v>
      </c>
      <c r="F235" s="14" t="s">
        <v>53</v>
      </c>
      <c r="G235" s="4" t="s">
        <v>51</v>
      </c>
      <c r="H235" s="2" t="s">
        <v>17</v>
      </c>
      <c r="I235" s="2" t="s">
        <v>24</v>
      </c>
      <c r="J235" s="2" t="s">
        <v>72</v>
      </c>
      <c r="K235" s="1" t="s">
        <v>503</v>
      </c>
      <c r="L235" s="1" t="s">
        <v>250</v>
      </c>
      <c r="O235" s="1"/>
    </row>
    <row r="236" spans="2:15" ht="42" hidden="1" x14ac:dyDescent="0.35">
      <c r="B236" s="2">
        <v>11012</v>
      </c>
      <c r="C236" s="5">
        <v>46057</v>
      </c>
      <c r="D236" s="3" t="s">
        <v>278</v>
      </c>
      <c r="E236" s="3" t="s">
        <v>515</v>
      </c>
      <c r="F236" s="14" t="s">
        <v>516</v>
      </c>
      <c r="G236" s="4" t="s">
        <v>51</v>
      </c>
      <c r="H236" s="2" t="s">
        <v>17</v>
      </c>
      <c r="I236" s="2" t="s">
        <v>37</v>
      </c>
      <c r="J236" s="2" t="s">
        <v>517</v>
      </c>
      <c r="K236" s="1" t="s">
        <v>503</v>
      </c>
      <c r="L236" s="1" t="s">
        <v>278</v>
      </c>
      <c r="O236" s="1"/>
    </row>
    <row r="237" spans="2:15" ht="28" hidden="1" x14ac:dyDescent="0.35">
      <c r="B237" s="2">
        <v>371</v>
      </c>
      <c r="C237" s="5">
        <v>45799</v>
      </c>
      <c r="D237" s="3" t="s">
        <v>21</v>
      </c>
      <c r="E237" s="3" t="s">
        <v>518</v>
      </c>
      <c r="F237" s="14" t="s">
        <v>519</v>
      </c>
      <c r="G237" s="4" t="s">
        <v>16</v>
      </c>
      <c r="H237" s="2" t="s">
        <v>17</v>
      </c>
      <c r="I237" s="2" t="s">
        <v>24</v>
      </c>
      <c r="J237" s="2" t="s">
        <v>72</v>
      </c>
      <c r="K237" s="1" t="s">
        <v>520</v>
      </c>
      <c r="L237" s="1" t="s">
        <v>190</v>
      </c>
      <c r="O237" s="1"/>
    </row>
    <row r="238" spans="2:15" ht="42" hidden="1" x14ac:dyDescent="0.35">
      <c r="B238" s="2">
        <v>406</v>
      </c>
      <c r="C238" s="5">
        <v>45812</v>
      </c>
      <c r="D238" s="3" t="s">
        <v>134</v>
      </c>
      <c r="E238" s="3" t="s">
        <v>521</v>
      </c>
      <c r="F238" s="14" t="s">
        <v>522</v>
      </c>
      <c r="G238" s="4" t="s">
        <v>51</v>
      </c>
      <c r="H238" s="2" t="s">
        <v>17</v>
      </c>
      <c r="I238" s="2" t="s">
        <v>18</v>
      </c>
      <c r="J238" s="2" t="s">
        <v>19</v>
      </c>
      <c r="K238" s="1" t="s">
        <v>520</v>
      </c>
      <c r="L238" s="1" t="s">
        <v>190</v>
      </c>
      <c r="O238" s="1"/>
    </row>
    <row r="239" spans="2:15" ht="42" hidden="1" x14ac:dyDescent="0.35">
      <c r="B239" s="2">
        <v>442</v>
      </c>
      <c r="C239" s="5">
        <v>45826</v>
      </c>
      <c r="D239" s="3" t="s">
        <v>190</v>
      </c>
      <c r="E239" s="3" t="s">
        <v>523</v>
      </c>
      <c r="F239" s="14" t="s">
        <v>524</v>
      </c>
      <c r="G239" s="4" t="s">
        <v>51</v>
      </c>
      <c r="H239" s="2" t="s">
        <v>17</v>
      </c>
      <c r="I239" s="2" t="s">
        <v>18</v>
      </c>
      <c r="J239" s="2" t="s">
        <v>68</v>
      </c>
      <c r="K239" s="1" t="s">
        <v>520</v>
      </c>
      <c r="L239" s="1" t="s">
        <v>190</v>
      </c>
      <c r="O239" s="1"/>
    </row>
    <row r="240" spans="2:15" ht="56" hidden="1" x14ac:dyDescent="0.35">
      <c r="B240" s="2">
        <v>224</v>
      </c>
      <c r="C240" s="5">
        <v>45747</v>
      </c>
      <c r="D240" s="3" t="s">
        <v>250</v>
      </c>
      <c r="E240" s="3" t="s">
        <v>525</v>
      </c>
      <c r="F240" s="14" t="s">
        <v>85</v>
      </c>
      <c r="G240" s="4" t="s">
        <v>51</v>
      </c>
      <c r="H240" s="2" t="s">
        <v>17</v>
      </c>
      <c r="I240" s="2" t="s">
        <v>24</v>
      </c>
      <c r="J240" s="2" t="s">
        <v>241</v>
      </c>
      <c r="K240" s="1" t="s">
        <v>418</v>
      </c>
      <c r="L240" s="1" t="s">
        <v>250</v>
      </c>
      <c r="O240" s="1"/>
    </row>
    <row r="241" spans="2:15" ht="42" hidden="1" x14ac:dyDescent="0.35">
      <c r="B241" s="2">
        <v>11219</v>
      </c>
      <c r="C241" s="24">
        <v>46073</v>
      </c>
      <c r="D241" s="3" t="s">
        <v>13</v>
      </c>
      <c r="E241" s="3" t="s">
        <v>526</v>
      </c>
      <c r="F241" s="14" t="s">
        <v>527</v>
      </c>
      <c r="G241" s="4" t="s">
        <v>16</v>
      </c>
      <c r="H241" s="2" t="s">
        <v>17</v>
      </c>
      <c r="I241" s="2" t="s">
        <v>24</v>
      </c>
      <c r="J241" s="2" t="s">
        <v>72</v>
      </c>
      <c r="K241" s="1" t="s">
        <v>418</v>
      </c>
      <c r="L241" s="1" t="s">
        <v>190</v>
      </c>
      <c r="O241" s="1"/>
    </row>
    <row r="242" spans="2:15" ht="42" hidden="1" x14ac:dyDescent="0.35">
      <c r="B242" s="2">
        <v>11395</v>
      </c>
      <c r="C242" s="24">
        <v>46093</v>
      </c>
      <c r="D242" s="3" t="s">
        <v>250</v>
      </c>
      <c r="E242" s="3" t="s">
        <v>528</v>
      </c>
      <c r="F242" s="14" t="s">
        <v>529</v>
      </c>
      <c r="G242" s="4" t="s">
        <v>51</v>
      </c>
      <c r="H242" s="2" t="s">
        <v>17</v>
      </c>
      <c r="I242" s="2" t="s">
        <v>24</v>
      </c>
      <c r="J242" s="2" t="s">
        <v>33</v>
      </c>
      <c r="K242" s="1" t="s">
        <v>418</v>
      </c>
      <c r="L242" s="1" t="s">
        <v>190</v>
      </c>
      <c r="O242" s="1"/>
    </row>
    <row r="243" spans="2:15" ht="42" hidden="1" x14ac:dyDescent="0.35">
      <c r="B243" s="2">
        <v>154</v>
      </c>
      <c r="C243" s="5">
        <v>45716</v>
      </c>
      <c r="D243" s="3" t="s">
        <v>34</v>
      </c>
      <c r="E243" s="3" t="s">
        <v>530</v>
      </c>
      <c r="F243" s="14" t="s">
        <v>531</v>
      </c>
      <c r="G243" s="4" t="s">
        <v>51</v>
      </c>
      <c r="H243" s="2" t="s">
        <v>17</v>
      </c>
      <c r="I243" s="2" t="s">
        <v>18</v>
      </c>
      <c r="J243" s="2" t="s">
        <v>19</v>
      </c>
      <c r="K243" s="1" t="s">
        <v>532</v>
      </c>
      <c r="L243" s="1" t="s">
        <v>34</v>
      </c>
      <c r="O243" s="1"/>
    </row>
    <row r="244" spans="2:15" ht="28" hidden="1" x14ac:dyDescent="0.35">
      <c r="B244" s="2">
        <v>112</v>
      </c>
      <c r="C244" s="5">
        <v>45701</v>
      </c>
      <c r="D244" s="3" t="s">
        <v>104</v>
      </c>
      <c r="E244" s="3" t="s">
        <v>533</v>
      </c>
      <c r="F244" s="14" t="s">
        <v>534</v>
      </c>
      <c r="G244" s="4" t="s">
        <v>16</v>
      </c>
      <c r="H244" s="2" t="s">
        <v>17</v>
      </c>
      <c r="I244" s="2" t="s">
        <v>24</v>
      </c>
      <c r="J244" s="2" t="s">
        <v>33</v>
      </c>
      <c r="K244" s="1" t="s">
        <v>535</v>
      </c>
      <c r="L244" s="1" t="s">
        <v>95</v>
      </c>
      <c r="O244" s="1"/>
    </row>
    <row r="245" spans="2:15" ht="28" hidden="1" x14ac:dyDescent="0.35">
      <c r="B245" s="2">
        <v>10541</v>
      </c>
      <c r="C245" s="5">
        <v>46020</v>
      </c>
      <c r="D245" s="3" t="s">
        <v>26</v>
      </c>
      <c r="E245" s="3" t="s">
        <v>536</v>
      </c>
      <c r="F245" s="14" t="s">
        <v>537</v>
      </c>
      <c r="G245" s="4" t="s">
        <v>51</v>
      </c>
      <c r="H245" s="2" t="s">
        <v>17</v>
      </c>
      <c r="I245" s="2" t="s">
        <v>24</v>
      </c>
      <c r="J245" s="2" t="s">
        <v>72</v>
      </c>
      <c r="K245" s="1" t="s">
        <v>535</v>
      </c>
      <c r="L245" s="1" t="s">
        <v>278</v>
      </c>
      <c r="O245" s="1"/>
    </row>
    <row r="246" spans="2:15" ht="28" hidden="1" x14ac:dyDescent="0.35">
      <c r="B246" s="2">
        <v>10542</v>
      </c>
      <c r="C246" s="5">
        <v>46020</v>
      </c>
      <c r="D246" s="3" t="s">
        <v>278</v>
      </c>
      <c r="E246" s="3" t="s">
        <v>538</v>
      </c>
      <c r="F246" s="14" t="s">
        <v>539</v>
      </c>
      <c r="G246" s="4" t="s">
        <v>51</v>
      </c>
      <c r="H246" s="2" t="s">
        <v>17</v>
      </c>
      <c r="I246" s="2" t="s">
        <v>24</v>
      </c>
      <c r="J246" s="2" t="s">
        <v>54</v>
      </c>
      <c r="K246" s="1" t="s">
        <v>535</v>
      </c>
      <c r="L246" s="1" t="s">
        <v>278</v>
      </c>
      <c r="O246" s="1"/>
    </row>
    <row r="247" spans="2:15" ht="28" hidden="1" x14ac:dyDescent="0.35">
      <c r="B247" s="2">
        <v>11010</v>
      </c>
      <c r="C247" s="5">
        <v>46057</v>
      </c>
      <c r="D247" s="3" t="s">
        <v>278</v>
      </c>
      <c r="E247" s="3" t="s">
        <v>540</v>
      </c>
      <c r="F247" s="14" t="s">
        <v>541</v>
      </c>
      <c r="G247" s="4" t="s">
        <v>51</v>
      </c>
      <c r="H247" s="2" t="s">
        <v>17</v>
      </c>
      <c r="I247" s="2" t="s">
        <v>24</v>
      </c>
      <c r="J247" s="2" t="s">
        <v>54</v>
      </c>
      <c r="K247" s="1" t="s">
        <v>535</v>
      </c>
      <c r="L247" s="1" t="s">
        <v>278</v>
      </c>
      <c r="O247" s="1"/>
    </row>
    <row r="248" spans="2:15" ht="28" hidden="1" x14ac:dyDescent="0.35">
      <c r="B248" s="2">
        <v>11011</v>
      </c>
      <c r="C248" s="5">
        <v>46057</v>
      </c>
      <c r="D248" s="3" t="s">
        <v>278</v>
      </c>
      <c r="E248" s="3" t="s">
        <v>542</v>
      </c>
      <c r="F248" s="14" t="s">
        <v>543</v>
      </c>
      <c r="G248" s="4" t="s">
        <v>51</v>
      </c>
      <c r="H248" s="2" t="s">
        <v>17</v>
      </c>
      <c r="I248" s="2" t="s">
        <v>24</v>
      </c>
      <c r="J248" s="2" t="s">
        <v>54</v>
      </c>
      <c r="K248" s="1" t="s">
        <v>535</v>
      </c>
      <c r="L248" s="1" t="s">
        <v>278</v>
      </c>
      <c r="O248" s="1"/>
    </row>
    <row r="249" spans="2:15" ht="42" hidden="1" x14ac:dyDescent="0.35">
      <c r="B249" s="2">
        <v>470</v>
      </c>
      <c r="C249" s="5">
        <v>45835</v>
      </c>
      <c r="D249" s="3" t="s">
        <v>104</v>
      </c>
      <c r="E249" s="3" t="s">
        <v>544</v>
      </c>
      <c r="F249" s="14" t="s">
        <v>545</v>
      </c>
      <c r="G249" s="4" t="s">
        <v>16</v>
      </c>
      <c r="H249" s="2" t="s">
        <v>17</v>
      </c>
      <c r="I249" s="2" t="s">
        <v>18</v>
      </c>
      <c r="J249" s="2" t="s">
        <v>19</v>
      </c>
      <c r="K249" s="1" t="s">
        <v>546</v>
      </c>
      <c r="L249" s="1" t="s">
        <v>234</v>
      </c>
      <c r="O249" s="1"/>
    </row>
    <row r="250" spans="2:15" ht="56" hidden="1" x14ac:dyDescent="0.35">
      <c r="B250" s="2">
        <v>471</v>
      </c>
      <c r="C250" s="5">
        <v>45835</v>
      </c>
      <c r="D250" s="3" t="s">
        <v>234</v>
      </c>
      <c r="E250" s="3" t="s">
        <v>547</v>
      </c>
      <c r="F250" s="14" t="s">
        <v>548</v>
      </c>
      <c r="G250" s="4" t="s">
        <v>16</v>
      </c>
      <c r="H250" s="2" t="s">
        <v>17</v>
      </c>
      <c r="I250" s="2" t="s">
        <v>24</v>
      </c>
      <c r="J250" s="2" t="s">
        <v>54</v>
      </c>
      <c r="K250" s="1" t="s">
        <v>546</v>
      </c>
      <c r="L250" s="1" t="s">
        <v>234</v>
      </c>
      <c r="O250" s="1"/>
    </row>
    <row r="251" spans="2:15" ht="42" hidden="1" x14ac:dyDescent="0.35">
      <c r="B251" s="2">
        <v>472</v>
      </c>
      <c r="C251" s="5">
        <v>45835</v>
      </c>
      <c r="D251" s="3" t="s">
        <v>234</v>
      </c>
      <c r="E251" s="3" t="s">
        <v>549</v>
      </c>
      <c r="F251" s="14" t="s">
        <v>550</v>
      </c>
      <c r="G251" s="4" t="s">
        <v>16</v>
      </c>
      <c r="H251" s="2" t="s">
        <v>17</v>
      </c>
      <c r="I251" s="2" t="s">
        <v>37</v>
      </c>
      <c r="J251" s="2" t="s">
        <v>38</v>
      </c>
      <c r="K251" s="1" t="s">
        <v>546</v>
      </c>
      <c r="L251" s="1" t="s">
        <v>234</v>
      </c>
      <c r="O251" s="1"/>
    </row>
    <row r="252" spans="2:15" ht="42" hidden="1" x14ac:dyDescent="0.35">
      <c r="B252" s="2">
        <v>9276</v>
      </c>
      <c r="C252" s="5">
        <v>45866</v>
      </c>
      <c r="D252" s="3" t="s">
        <v>196</v>
      </c>
      <c r="E252" s="3" t="s">
        <v>551</v>
      </c>
      <c r="F252" s="14" t="s">
        <v>101</v>
      </c>
      <c r="G252" s="4" t="s">
        <v>16</v>
      </c>
      <c r="H252" s="2" t="s">
        <v>17</v>
      </c>
      <c r="I252" s="2" t="s">
        <v>18</v>
      </c>
      <c r="J252" s="2" t="s">
        <v>19</v>
      </c>
      <c r="K252" s="1" t="s">
        <v>546</v>
      </c>
      <c r="L252" s="1" t="s">
        <v>234</v>
      </c>
      <c r="O252" s="1"/>
    </row>
    <row r="253" spans="2:15" ht="28" hidden="1" x14ac:dyDescent="0.35">
      <c r="B253" s="2">
        <v>9315</v>
      </c>
      <c r="C253" s="5">
        <v>45869</v>
      </c>
      <c r="D253" s="3" t="s">
        <v>234</v>
      </c>
      <c r="E253" s="3" t="s">
        <v>552</v>
      </c>
      <c r="F253" s="14" t="s">
        <v>553</v>
      </c>
      <c r="G253" s="4" t="s">
        <v>51</v>
      </c>
      <c r="H253" s="2" t="s">
        <v>17</v>
      </c>
      <c r="I253" s="2" t="s">
        <v>18</v>
      </c>
      <c r="J253" s="2" t="s">
        <v>19</v>
      </c>
      <c r="K253" s="1" t="s">
        <v>546</v>
      </c>
      <c r="L253" s="1" t="s">
        <v>234</v>
      </c>
      <c r="O253" s="1"/>
    </row>
    <row r="254" spans="2:15" ht="28" hidden="1" x14ac:dyDescent="0.35">
      <c r="B254" s="2">
        <v>9422</v>
      </c>
      <c r="C254" s="5">
        <v>45880</v>
      </c>
      <c r="D254" s="3" t="s">
        <v>234</v>
      </c>
      <c r="E254" s="3" t="s">
        <v>554</v>
      </c>
      <c r="F254" s="14" t="s">
        <v>555</v>
      </c>
      <c r="G254" s="4" t="s">
        <v>51</v>
      </c>
      <c r="H254" s="2" t="s">
        <v>17</v>
      </c>
      <c r="I254" s="2" t="s">
        <v>18</v>
      </c>
      <c r="J254" s="2" t="s">
        <v>556</v>
      </c>
      <c r="K254" s="1" t="s">
        <v>546</v>
      </c>
      <c r="L254" s="1" t="s">
        <v>234</v>
      </c>
      <c r="O254" s="1"/>
    </row>
    <row r="255" spans="2:15" ht="28" hidden="1" x14ac:dyDescent="0.35">
      <c r="B255" s="2">
        <v>9423</v>
      </c>
      <c r="C255" s="5">
        <v>45881</v>
      </c>
      <c r="D255" s="3" t="s">
        <v>234</v>
      </c>
      <c r="E255" s="3" t="s">
        <v>557</v>
      </c>
      <c r="F255" s="14" t="s">
        <v>457</v>
      </c>
      <c r="G255" s="4" t="s">
        <v>51</v>
      </c>
      <c r="H255" s="2" t="s">
        <v>17</v>
      </c>
      <c r="I255" s="2" t="s">
        <v>24</v>
      </c>
      <c r="J255" s="2" t="s">
        <v>54</v>
      </c>
      <c r="K255" s="1" t="s">
        <v>546</v>
      </c>
      <c r="L255" s="1" t="s">
        <v>234</v>
      </c>
      <c r="O255" s="1"/>
    </row>
    <row r="256" spans="2:15" ht="28" hidden="1" x14ac:dyDescent="0.35">
      <c r="B256" s="2">
        <v>9513</v>
      </c>
      <c r="C256" s="5">
        <v>45884</v>
      </c>
      <c r="D256" s="3" t="s">
        <v>104</v>
      </c>
      <c r="E256" s="3" t="s">
        <v>558</v>
      </c>
      <c r="F256" s="14" t="s">
        <v>127</v>
      </c>
      <c r="G256" s="4" t="s">
        <v>16</v>
      </c>
      <c r="H256" s="2" t="s">
        <v>17</v>
      </c>
      <c r="I256" s="2" t="s">
        <v>18</v>
      </c>
      <c r="J256" s="2" t="s">
        <v>19</v>
      </c>
      <c r="K256" s="1" t="s">
        <v>546</v>
      </c>
      <c r="L256" s="1" t="s">
        <v>234</v>
      </c>
      <c r="O256" s="1"/>
    </row>
    <row r="257" spans="2:15" ht="56" hidden="1" x14ac:dyDescent="0.35">
      <c r="B257" s="2">
        <v>9586</v>
      </c>
      <c r="C257" s="5">
        <v>45896</v>
      </c>
      <c r="D257" s="3" t="s">
        <v>95</v>
      </c>
      <c r="E257" s="3" t="s">
        <v>559</v>
      </c>
      <c r="F257" s="14" t="s">
        <v>243</v>
      </c>
      <c r="G257" s="4" t="s">
        <v>16</v>
      </c>
      <c r="H257" s="2" t="s">
        <v>17</v>
      </c>
      <c r="I257" s="2" t="s">
        <v>37</v>
      </c>
      <c r="J257" s="2" t="s">
        <v>112</v>
      </c>
      <c r="K257" s="1" t="s">
        <v>546</v>
      </c>
      <c r="L257" s="1" t="s">
        <v>234</v>
      </c>
      <c r="O257" s="1"/>
    </row>
    <row r="258" spans="2:15" ht="28" hidden="1" x14ac:dyDescent="0.35">
      <c r="B258" s="2">
        <v>9662</v>
      </c>
      <c r="C258" s="5">
        <v>45903</v>
      </c>
      <c r="D258" s="3" t="s">
        <v>134</v>
      </c>
      <c r="E258" s="3" t="s">
        <v>560</v>
      </c>
      <c r="F258" s="14" t="s">
        <v>522</v>
      </c>
      <c r="G258" s="4" t="s">
        <v>16</v>
      </c>
      <c r="H258" s="2" t="s">
        <v>17</v>
      </c>
      <c r="I258" s="2" t="s">
        <v>37</v>
      </c>
      <c r="J258" s="2" t="s">
        <v>112</v>
      </c>
      <c r="K258" s="1" t="s">
        <v>546</v>
      </c>
      <c r="L258" s="1" t="s">
        <v>234</v>
      </c>
      <c r="O258" s="1"/>
    </row>
    <row r="259" spans="2:15" ht="28" hidden="1" x14ac:dyDescent="0.35">
      <c r="B259" s="2">
        <v>9889</v>
      </c>
      <c r="C259" s="5">
        <v>45910</v>
      </c>
      <c r="D259" s="3" t="s">
        <v>234</v>
      </c>
      <c r="E259" s="3" t="s">
        <v>561</v>
      </c>
      <c r="F259" s="14" t="s">
        <v>457</v>
      </c>
      <c r="G259" s="4" t="s">
        <v>51</v>
      </c>
      <c r="H259" s="2" t="s">
        <v>281</v>
      </c>
      <c r="I259" s="2" t="s">
        <v>24</v>
      </c>
      <c r="J259" s="2" t="s">
        <v>54</v>
      </c>
      <c r="K259" s="1" t="s">
        <v>546</v>
      </c>
      <c r="L259" s="1" t="s">
        <v>234</v>
      </c>
      <c r="O259" s="1"/>
    </row>
    <row r="260" spans="2:15" ht="28" hidden="1" x14ac:dyDescent="0.35">
      <c r="B260" s="2">
        <v>9890</v>
      </c>
      <c r="C260" s="5">
        <v>45917</v>
      </c>
      <c r="D260" s="3" t="s">
        <v>234</v>
      </c>
      <c r="E260" s="3" t="s">
        <v>562</v>
      </c>
      <c r="F260" s="14" t="s">
        <v>563</v>
      </c>
      <c r="G260" s="4" t="s">
        <v>51</v>
      </c>
      <c r="H260" s="2" t="s">
        <v>281</v>
      </c>
      <c r="I260" s="2" t="s">
        <v>24</v>
      </c>
      <c r="J260" s="2" t="s">
        <v>54</v>
      </c>
      <c r="K260" s="1" t="s">
        <v>546</v>
      </c>
      <c r="L260" s="1" t="s">
        <v>234</v>
      </c>
      <c r="O260" s="1"/>
    </row>
    <row r="261" spans="2:15" ht="42" hidden="1" x14ac:dyDescent="0.35">
      <c r="B261" s="2">
        <v>417</v>
      </c>
      <c r="C261" s="5">
        <v>45814</v>
      </c>
      <c r="D261" s="3" t="s">
        <v>190</v>
      </c>
      <c r="E261" s="3" t="s">
        <v>564</v>
      </c>
      <c r="F261" s="14" t="s">
        <v>565</v>
      </c>
      <c r="G261" s="4" t="s">
        <v>16</v>
      </c>
      <c r="H261" s="2" t="s">
        <v>17</v>
      </c>
      <c r="I261" s="2" t="s">
        <v>37</v>
      </c>
      <c r="J261" s="2" t="s">
        <v>121</v>
      </c>
      <c r="K261" s="1" t="s">
        <v>566</v>
      </c>
      <c r="L261" s="1" t="s">
        <v>190</v>
      </c>
      <c r="O261" s="1"/>
    </row>
    <row r="262" spans="2:15" ht="42" hidden="1" x14ac:dyDescent="0.35">
      <c r="B262" s="2">
        <v>67</v>
      </c>
      <c r="C262" s="5">
        <v>45679</v>
      </c>
      <c r="D262" s="3" t="s">
        <v>190</v>
      </c>
      <c r="E262" s="3" t="s">
        <v>567</v>
      </c>
      <c r="F262" s="14" t="s">
        <v>405</v>
      </c>
      <c r="G262" s="4" t="s">
        <v>16</v>
      </c>
      <c r="H262" s="2" t="s">
        <v>17</v>
      </c>
      <c r="I262" s="2" t="s">
        <v>18</v>
      </c>
      <c r="J262" t="s">
        <v>68</v>
      </c>
      <c r="K262" s="1" t="s">
        <v>410</v>
      </c>
      <c r="L262" s="1" t="s">
        <v>190</v>
      </c>
      <c r="O262" s="1"/>
    </row>
    <row r="263" spans="2:15" ht="42" hidden="1" x14ac:dyDescent="0.35">
      <c r="B263" s="2">
        <v>69</v>
      </c>
      <c r="C263" s="5">
        <v>45680</v>
      </c>
      <c r="D263" s="3" t="s">
        <v>193</v>
      </c>
      <c r="E263" s="3" t="s">
        <v>568</v>
      </c>
      <c r="F263" s="14" t="s">
        <v>569</v>
      </c>
      <c r="G263" s="4" t="s">
        <v>51</v>
      </c>
      <c r="H263" s="2" t="s">
        <v>17</v>
      </c>
      <c r="I263" s="2" t="s">
        <v>24</v>
      </c>
      <c r="J263" t="s">
        <v>44</v>
      </c>
      <c r="K263" s="1" t="s">
        <v>410</v>
      </c>
      <c r="L263" s="1" t="s">
        <v>190</v>
      </c>
      <c r="O263" s="1"/>
    </row>
    <row r="264" spans="2:15" ht="42" hidden="1" x14ac:dyDescent="0.35">
      <c r="B264" s="2">
        <v>140</v>
      </c>
      <c r="C264" s="5">
        <v>45716</v>
      </c>
      <c r="D264" s="3" t="s">
        <v>250</v>
      </c>
      <c r="E264" s="3" t="s">
        <v>570</v>
      </c>
      <c r="F264" s="14" t="s">
        <v>571</v>
      </c>
      <c r="G264" s="4" t="s">
        <v>51</v>
      </c>
      <c r="H264" s="2" t="s">
        <v>17</v>
      </c>
      <c r="I264" s="2" t="s">
        <v>24</v>
      </c>
      <c r="J264" s="2" t="s">
        <v>54</v>
      </c>
      <c r="K264" s="1" t="s">
        <v>410</v>
      </c>
      <c r="L264" s="1" t="s">
        <v>250</v>
      </c>
      <c r="O264" s="1"/>
    </row>
    <row r="265" spans="2:15" ht="56" hidden="1" x14ac:dyDescent="0.35">
      <c r="B265" s="2">
        <v>185</v>
      </c>
      <c r="C265" s="5">
        <v>45728</v>
      </c>
      <c r="D265" s="3" t="s">
        <v>34</v>
      </c>
      <c r="E265" s="3" t="s">
        <v>572</v>
      </c>
      <c r="F265" s="14" t="s">
        <v>573</v>
      </c>
      <c r="G265" s="4" t="s">
        <v>51</v>
      </c>
      <c r="H265" s="2" t="s">
        <v>17</v>
      </c>
      <c r="I265" s="2" t="s">
        <v>18</v>
      </c>
      <c r="J265" s="2" t="s">
        <v>19</v>
      </c>
      <c r="K265" s="1" t="s">
        <v>410</v>
      </c>
      <c r="L265" s="1" t="s">
        <v>190</v>
      </c>
      <c r="O265" s="1"/>
    </row>
    <row r="266" spans="2:15" ht="42" hidden="1" x14ac:dyDescent="0.35">
      <c r="B266" s="2">
        <v>375</v>
      </c>
      <c r="C266" s="5">
        <v>45799</v>
      </c>
      <c r="D266" s="3" t="s">
        <v>395</v>
      </c>
      <c r="E266" s="3" t="s">
        <v>574</v>
      </c>
      <c r="F266" s="14" t="s">
        <v>575</v>
      </c>
      <c r="G266" s="4" t="s">
        <v>51</v>
      </c>
      <c r="H266" s="2" t="s">
        <v>17</v>
      </c>
      <c r="I266" s="2" t="s">
        <v>37</v>
      </c>
      <c r="J266" s="2" t="s">
        <v>112</v>
      </c>
      <c r="K266" s="1" t="s">
        <v>410</v>
      </c>
      <c r="L266" s="1" t="s">
        <v>250</v>
      </c>
      <c r="O266" s="1"/>
    </row>
    <row r="267" spans="2:15" ht="42" hidden="1" x14ac:dyDescent="0.35">
      <c r="B267" s="2">
        <v>376</v>
      </c>
      <c r="C267" s="5">
        <v>45799</v>
      </c>
      <c r="D267" s="3" t="s">
        <v>13</v>
      </c>
      <c r="E267" s="3" t="s">
        <v>576</v>
      </c>
      <c r="F267" s="14" t="s">
        <v>577</v>
      </c>
      <c r="G267" s="4" t="s">
        <v>51</v>
      </c>
      <c r="H267" s="2" t="s">
        <v>17</v>
      </c>
      <c r="I267" s="2" t="s">
        <v>37</v>
      </c>
      <c r="J267" s="2" t="s">
        <v>112</v>
      </c>
      <c r="K267" s="1" t="s">
        <v>410</v>
      </c>
      <c r="L267" s="1" t="s">
        <v>250</v>
      </c>
      <c r="O267" s="1"/>
    </row>
    <row r="268" spans="2:15" ht="56" hidden="1" x14ac:dyDescent="0.35">
      <c r="B268" s="2">
        <v>9629</v>
      </c>
      <c r="C268" s="5">
        <v>45896</v>
      </c>
      <c r="D268" s="3" t="s">
        <v>21</v>
      </c>
      <c r="E268" s="3" t="s">
        <v>578</v>
      </c>
      <c r="F268" s="14" t="s">
        <v>579</v>
      </c>
      <c r="G268" s="4" t="s">
        <v>16</v>
      </c>
      <c r="H268" s="2" t="s">
        <v>17</v>
      </c>
      <c r="I268" s="2" t="s">
        <v>24</v>
      </c>
      <c r="J268" s="2" t="s">
        <v>72</v>
      </c>
      <c r="K268" s="1" t="s">
        <v>410</v>
      </c>
      <c r="L268" s="1" t="s">
        <v>220</v>
      </c>
      <c r="O268" s="1"/>
    </row>
    <row r="269" spans="2:15" ht="42" hidden="1" x14ac:dyDescent="0.35">
      <c r="B269" s="2">
        <v>9844</v>
      </c>
      <c r="C269" s="5">
        <v>45924</v>
      </c>
      <c r="D269" s="3" t="s">
        <v>21</v>
      </c>
      <c r="E269" s="3" t="s">
        <v>580</v>
      </c>
      <c r="F269" s="14" t="s">
        <v>182</v>
      </c>
      <c r="G269" s="4" t="s">
        <v>16</v>
      </c>
      <c r="H269" s="2" t="s">
        <v>17</v>
      </c>
      <c r="I269" s="2" t="s">
        <v>37</v>
      </c>
      <c r="J269" s="2" t="s">
        <v>112</v>
      </c>
      <c r="K269" s="1" t="s">
        <v>410</v>
      </c>
      <c r="L269" s="1" t="s">
        <v>21</v>
      </c>
      <c r="O269" s="1"/>
    </row>
    <row r="270" spans="2:15" ht="28" hidden="1" x14ac:dyDescent="0.35">
      <c r="B270" s="2">
        <v>9857</v>
      </c>
      <c r="C270" s="5">
        <v>45924</v>
      </c>
      <c r="D270" s="3" t="s">
        <v>21</v>
      </c>
      <c r="E270" s="3" t="s">
        <v>581</v>
      </c>
      <c r="F270" s="14" t="s">
        <v>582</v>
      </c>
      <c r="G270" s="4" t="s">
        <v>16</v>
      </c>
      <c r="H270" s="2" t="s">
        <v>17</v>
      </c>
      <c r="I270" s="2" t="s">
        <v>24</v>
      </c>
      <c r="J270" s="2" t="s">
        <v>72</v>
      </c>
      <c r="K270" s="1" t="s">
        <v>410</v>
      </c>
      <c r="L270" s="1" t="s">
        <v>13</v>
      </c>
      <c r="O270" s="1"/>
    </row>
    <row r="271" spans="2:15" ht="42" hidden="1" x14ac:dyDescent="0.35">
      <c r="B271" s="2">
        <v>54</v>
      </c>
      <c r="C271" s="5">
        <v>45673</v>
      </c>
      <c r="D271" s="3" t="s">
        <v>371</v>
      </c>
      <c r="E271" s="3" t="s">
        <v>583</v>
      </c>
      <c r="F271" s="14" t="s">
        <v>584</v>
      </c>
      <c r="G271" s="4" t="s">
        <v>16</v>
      </c>
      <c r="H271" s="2" t="s">
        <v>17</v>
      </c>
      <c r="I271" s="2" t="s">
        <v>18</v>
      </c>
      <c r="J271" t="s">
        <v>68</v>
      </c>
      <c r="K271" s="1" t="s">
        <v>585</v>
      </c>
      <c r="L271" s="1" t="s">
        <v>371</v>
      </c>
      <c r="O271" s="1"/>
    </row>
    <row r="272" spans="2:15" ht="42" hidden="1" x14ac:dyDescent="0.35">
      <c r="B272" s="2">
        <v>175</v>
      </c>
      <c r="C272" s="5">
        <v>45722</v>
      </c>
      <c r="D272" s="3" t="s">
        <v>371</v>
      </c>
      <c r="E272" s="3" t="s">
        <v>586</v>
      </c>
      <c r="F272" s="14" t="s">
        <v>587</v>
      </c>
      <c r="G272" s="4" t="s">
        <v>51</v>
      </c>
      <c r="H272" s="2" t="s">
        <v>17</v>
      </c>
      <c r="I272" s="2" t="s">
        <v>18</v>
      </c>
      <c r="J272" s="2" t="s">
        <v>19</v>
      </c>
      <c r="K272" s="1" t="s">
        <v>585</v>
      </c>
      <c r="L272" s="1" t="s">
        <v>371</v>
      </c>
      <c r="O272" s="1"/>
    </row>
    <row r="273" spans="2:15" ht="28" hidden="1" x14ac:dyDescent="0.35">
      <c r="B273" s="2">
        <v>466</v>
      </c>
      <c r="C273" s="5">
        <v>45833</v>
      </c>
      <c r="D273" s="3" t="s">
        <v>371</v>
      </c>
      <c r="E273" s="3" t="s">
        <v>588</v>
      </c>
      <c r="F273" s="14" t="s">
        <v>589</v>
      </c>
      <c r="G273" s="4" t="s">
        <v>51</v>
      </c>
      <c r="H273" s="2" t="s">
        <v>17</v>
      </c>
      <c r="I273" s="2" t="s">
        <v>24</v>
      </c>
      <c r="J273" s="2" t="s">
        <v>289</v>
      </c>
      <c r="K273" s="1" t="s">
        <v>590</v>
      </c>
      <c r="L273" s="1" t="s">
        <v>371</v>
      </c>
      <c r="O273" s="1"/>
    </row>
    <row r="274" spans="2:15" ht="28" hidden="1" x14ac:dyDescent="0.35">
      <c r="B274" s="2">
        <v>307</v>
      </c>
      <c r="C274" s="5">
        <v>45777</v>
      </c>
      <c r="D274" s="3" t="s">
        <v>250</v>
      </c>
      <c r="E274" s="3" t="s">
        <v>591</v>
      </c>
      <c r="F274" s="14" t="s">
        <v>592</v>
      </c>
      <c r="G274" s="4" t="s">
        <v>16</v>
      </c>
      <c r="H274" s="2" t="s">
        <v>17</v>
      </c>
      <c r="I274" s="2" t="s">
        <v>24</v>
      </c>
      <c r="J274" s="2" t="s">
        <v>33</v>
      </c>
      <c r="K274" s="1" t="s">
        <v>593</v>
      </c>
      <c r="L274" s="1" t="s">
        <v>250</v>
      </c>
      <c r="O274" s="1"/>
    </row>
    <row r="275" spans="2:15" ht="42" hidden="1" x14ac:dyDescent="0.35">
      <c r="B275" s="2">
        <v>10344</v>
      </c>
      <c r="C275" s="5">
        <v>45986</v>
      </c>
      <c r="D275" s="3" t="s">
        <v>196</v>
      </c>
      <c r="E275" s="3" t="s">
        <v>594</v>
      </c>
      <c r="F275" s="14" t="s">
        <v>595</v>
      </c>
      <c r="G275" s="4" t="s">
        <v>16</v>
      </c>
      <c r="H275" s="2" t="s">
        <v>281</v>
      </c>
      <c r="I275" s="2" t="s">
        <v>24</v>
      </c>
      <c r="J275" s="2" t="s">
        <v>41</v>
      </c>
      <c r="K275" s="1" t="s">
        <v>40</v>
      </c>
      <c r="L275" s="1" t="s">
        <v>26</v>
      </c>
      <c r="O275" s="1"/>
    </row>
    <row r="276" spans="2:15" ht="42" hidden="1" x14ac:dyDescent="0.35">
      <c r="B276" s="2">
        <v>155</v>
      </c>
      <c r="C276" s="5">
        <v>45716</v>
      </c>
      <c r="D276" s="3" t="s">
        <v>34</v>
      </c>
      <c r="E276" s="3" t="s">
        <v>596</v>
      </c>
      <c r="F276" s="14" t="s">
        <v>597</v>
      </c>
      <c r="G276" s="4" t="s">
        <v>51</v>
      </c>
      <c r="H276" s="2" t="s">
        <v>17</v>
      </c>
      <c r="I276" s="2" t="s">
        <v>24</v>
      </c>
      <c r="J276" s="2" t="s">
        <v>44</v>
      </c>
      <c r="K276" s="1" t="s">
        <v>598</v>
      </c>
      <c r="L276" s="1" t="s">
        <v>34</v>
      </c>
      <c r="O276" s="1"/>
    </row>
    <row r="277" spans="2:15" ht="42" hidden="1" x14ac:dyDescent="0.35">
      <c r="B277" s="2">
        <v>156</v>
      </c>
      <c r="C277" s="5">
        <v>45716</v>
      </c>
      <c r="D277" s="3" t="s">
        <v>34</v>
      </c>
      <c r="E277" s="3" t="s">
        <v>599</v>
      </c>
      <c r="F277" s="14" t="s">
        <v>600</v>
      </c>
      <c r="G277" s="4" t="s">
        <v>51</v>
      </c>
      <c r="H277" s="2" t="s">
        <v>17</v>
      </c>
      <c r="I277" s="2" t="s">
        <v>24</v>
      </c>
      <c r="J277" s="2" t="s">
        <v>44</v>
      </c>
      <c r="K277" s="1" t="s">
        <v>598</v>
      </c>
      <c r="L277" s="1" t="s">
        <v>34</v>
      </c>
      <c r="O277" s="1"/>
    </row>
    <row r="278" spans="2:15" ht="42" hidden="1" x14ac:dyDescent="0.35">
      <c r="B278" s="2">
        <v>230</v>
      </c>
      <c r="C278" s="5">
        <v>45747</v>
      </c>
      <c r="D278" s="3" t="s">
        <v>26</v>
      </c>
      <c r="E278" s="3" t="s">
        <v>601</v>
      </c>
      <c r="F278" s="14" t="s">
        <v>602</v>
      </c>
      <c r="G278" s="4" t="s">
        <v>16</v>
      </c>
      <c r="H278" s="2" t="s">
        <v>17</v>
      </c>
      <c r="I278" s="2" t="s">
        <v>18</v>
      </c>
      <c r="J278" s="2" t="s">
        <v>291</v>
      </c>
      <c r="K278" s="1" t="s">
        <v>598</v>
      </c>
      <c r="L278" s="1" t="s">
        <v>26</v>
      </c>
      <c r="O278" s="1"/>
    </row>
    <row r="279" spans="2:15" ht="56" hidden="1" x14ac:dyDescent="0.35">
      <c r="B279" s="2">
        <v>231</v>
      </c>
      <c r="C279" s="5">
        <v>45747</v>
      </c>
      <c r="D279" s="3" t="s">
        <v>34</v>
      </c>
      <c r="E279" s="3" t="s">
        <v>603</v>
      </c>
      <c r="F279" s="14" t="s">
        <v>53</v>
      </c>
      <c r="G279" s="4" t="s">
        <v>16</v>
      </c>
      <c r="H279" s="2" t="s">
        <v>17</v>
      </c>
      <c r="I279" s="2" t="s">
        <v>18</v>
      </c>
      <c r="J279" s="2" t="s">
        <v>291</v>
      </c>
      <c r="K279" s="1" t="s">
        <v>598</v>
      </c>
      <c r="L279" s="1" t="s">
        <v>34</v>
      </c>
      <c r="O279" s="1"/>
    </row>
    <row r="280" spans="2:15" ht="42" hidden="1" x14ac:dyDescent="0.35">
      <c r="B280" s="2">
        <v>301</v>
      </c>
      <c r="C280" s="5">
        <v>45777</v>
      </c>
      <c r="D280" s="3" t="s">
        <v>26</v>
      </c>
      <c r="E280" s="3" t="s">
        <v>604</v>
      </c>
      <c r="F280" s="14" t="s">
        <v>605</v>
      </c>
      <c r="G280" s="4" t="s">
        <v>16</v>
      </c>
      <c r="H280" s="2" t="s">
        <v>17</v>
      </c>
      <c r="I280" s="2" t="s">
        <v>24</v>
      </c>
      <c r="J280" s="2" t="s">
        <v>44</v>
      </c>
      <c r="K280" s="1" t="s">
        <v>598</v>
      </c>
      <c r="L280" s="1" t="s">
        <v>26</v>
      </c>
      <c r="O280" s="1"/>
    </row>
    <row r="281" spans="2:15" ht="42" hidden="1" x14ac:dyDescent="0.35">
      <c r="B281" s="2">
        <v>9175</v>
      </c>
      <c r="C281" s="5">
        <v>45855</v>
      </c>
      <c r="D281" s="3" t="s">
        <v>21</v>
      </c>
      <c r="E281" s="3" t="s">
        <v>606</v>
      </c>
      <c r="F281" s="14" t="s">
        <v>607</v>
      </c>
      <c r="G281" s="4" t="s">
        <v>16</v>
      </c>
      <c r="H281" s="2" t="s">
        <v>17</v>
      </c>
      <c r="I281" s="2" t="s">
        <v>18</v>
      </c>
      <c r="J281" s="2" t="s">
        <v>68</v>
      </c>
      <c r="K281" s="1" t="s">
        <v>607</v>
      </c>
      <c r="L281" s="1" t="s">
        <v>190</v>
      </c>
      <c r="O281" s="1"/>
    </row>
    <row r="282" spans="2:15" ht="42" hidden="1" x14ac:dyDescent="0.35">
      <c r="B282" s="2">
        <v>29</v>
      </c>
      <c r="C282" s="5">
        <v>45666</v>
      </c>
      <c r="D282" s="3" t="s">
        <v>104</v>
      </c>
      <c r="E282" s="3" t="s">
        <v>608</v>
      </c>
      <c r="F282" s="14" t="s">
        <v>609</v>
      </c>
      <c r="G282" s="4" t="s">
        <v>51</v>
      </c>
      <c r="H282" s="2" t="s">
        <v>17</v>
      </c>
      <c r="I282" s="2" t="s">
        <v>24</v>
      </c>
      <c r="J282" t="s">
        <v>33</v>
      </c>
      <c r="K282" s="1" t="s">
        <v>483</v>
      </c>
      <c r="L282" s="1" t="s">
        <v>104</v>
      </c>
      <c r="O282" s="1"/>
    </row>
    <row r="283" spans="2:15" ht="42" hidden="1" x14ac:dyDescent="0.35">
      <c r="B283" s="2">
        <v>92</v>
      </c>
      <c r="C283" s="5">
        <v>45688</v>
      </c>
      <c r="D283" s="3" t="s">
        <v>104</v>
      </c>
      <c r="E283" s="3" t="s">
        <v>610</v>
      </c>
      <c r="F283" s="14" t="s">
        <v>106</v>
      </c>
      <c r="G283" s="4" t="s">
        <v>16</v>
      </c>
      <c r="H283" s="2" t="s">
        <v>17</v>
      </c>
      <c r="I283" s="2" t="s">
        <v>24</v>
      </c>
      <c r="J283" t="s">
        <v>44</v>
      </c>
      <c r="K283" s="1" t="s">
        <v>483</v>
      </c>
      <c r="L283" s="1" t="s">
        <v>104</v>
      </c>
      <c r="O283" s="1"/>
    </row>
    <row r="284" spans="2:15" ht="28" hidden="1" x14ac:dyDescent="0.35">
      <c r="B284" s="2">
        <v>95</v>
      </c>
      <c r="C284" s="5">
        <v>45691</v>
      </c>
      <c r="D284" s="3" t="s">
        <v>104</v>
      </c>
      <c r="E284" s="3" t="s">
        <v>611</v>
      </c>
      <c r="F284" s="14" t="s">
        <v>109</v>
      </c>
      <c r="G284" s="4" t="s">
        <v>16</v>
      </c>
      <c r="H284" s="2" t="s">
        <v>17</v>
      </c>
      <c r="I284" s="2" t="s">
        <v>18</v>
      </c>
      <c r="J284" s="2" t="s">
        <v>68</v>
      </c>
      <c r="K284" s="1" t="s">
        <v>483</v>
      </c>
      <c r="L284" s="1" t="s">
        <v>104</v>
      </c>
      <c r="O284" s="1"/>
    </row>
    <row r="285" spans="2:15" ht="28" hidden="1" x14ac:dyDescent="0.35">
      <c r="B285" s="2">
        <v>110</v>
      </c>
      <c r="C285" s="5">
        <v>45701</v>
      </c>
      <c r="D285" s="3" t="s">
        <v>134</v>
      </c>
      <c r="E285" s="3" t="s">
        <v>612</v>
      </c>
      <c r="F285" s="14" t="s">
        <v>192</v>
      </c>
      <c r="G285" s="4" t="s">
        <v>16</v>
      </c>
      <c r="H285" s="2" t="s">
        <v>17</v>
      </c>
      <c r="I285" s="2" t="s">
        <v>18</v>
      </c>
      <c r="J285" s="2" t="s">
        <v>68</v>
      </c>
      <c r="K285" s="1" t="s">
        <v>483</v>
      </c>
      <c r="L285" s="1" t="s">
        <v>134</v>
      </c>
      <c r="O285" s="1"/>
    </row>
    <row r="286" spans="2:15" ht="28" hidden="1" x14ac:dyDescent="0.35">
      <c r="B286" s="2">
        <v>125</v>
      </c>
      <c r="C286" s="5">
        <v>45709</v>
      </c>
      <c r="D286" s="3" t="s">
        <v>96</v>
      </c>
      <c r="E286" s="3" t="s">
        <v>613</v>
      </c>
      <c r="F286" s="14" t="s">
        <v>614</v>
      </c>
      <c r="G286" s="4" t="s">
        <v>51</v>
      </c>
      <c r="H286" s="2" t="s">
        <v>17</v>
      </c>
      <c r="I286" s="2" t="s">
        <v>18</v>
      </c>
      <c r="J286" s="2" t="s">
        <v>19</v>
      </c>
      <c r="K286" s="1" t="s">
        <v>483</v>
      </c>
      <c r="L286" s="1" t="s">
        <v>95</v>
      </c>
      <c r="O286" s="1"/>
    </row>
    <row r="287" spans="2:15" ht="28" hidden="1" x14ac:dyDescent="0.35">
      <c r="B287" s="2">
        <v>239</v>
      </c>
      <c r="C287" s="5">
        <v>45751</v>
      </c>
      <c r="D287" s="3" t="s">
        <v>13</v>
      </c>
      <c r="E287" s="3" t="s">
        <v>615</v>
      </c>
      <c r="F287" s="14" t="s">
        <v>333</v>
      </c>
      <c r="G287" s="4" t="s">
        <v>16</v>
      </c>
      <c r="H287" s="2" t="s">
        <v>17</v>
      </c>
      <c r="I287" s="2" t="s">
        <v>24</v>
      </c>
      <c r="J287" s="2" t="s">
        <v>33</v>
      </c>
      <c r="K287" s="1" t="s">
        <v>483</v>
      </c>
      <c r="L287" s="1" t="s">
        <v>104</v>
      </c>
      <c r="O287" s="1"/>
    </row>
    <row r="288" spans="2:15" ht="28" hidden="1" x14ac:dyDescent="0.35">
      <c r="B288" s="2">
        <v>240</v>
      </c>
      <c r="C288" s="5">
        <v>45751</v>
      </c>
      <c r="D288" s="3" t="s">
        <v>13</v>
      </c>
      <c r="E288" s="3" t="s">
        <v>616</v>
      </c>
      <c r="F288" s="14" t="s">
        <v>617</v>
      </c>
      <c r="G288" s="4" t="s">
        <v>16</v>
      </c>
      <c r="H288" s="2" t="s">
        <v>17</v>
      </c>
      <c r="I288" s="2" t="s">
        <v>24</v>
      </c>
      <c r="J288" s="2" t="s">
        <v>72</v>
      </c>
      <c r="K288" s="1" t="s">
        <v>483</v>
      </c>
      <c r="L288" s="1" t="s">
        <v>134</v>
      </c>
      <c r="O288" s="1"/>
    </row>
    <row r="289" spans="2:15" ht="42" hidden="1" x14ac:dyDescent="0.35">
      <c r="B289" s="2">
        <v>294</v>
      </c>
      <c r="C289" s="5">
        <v>45777</v>
      </c>
      <c r="D289" s="3" t="s">
        <v>134</v>
      </c>
      <c r="E289" s="3" t="s">
        <v>618</v>
      </c>
      <c r="F289" s="14" t="s">
        <v>127</v>
      </c>
      <c r="G289" s="4" t="s">
        <v>16</v>
      </c>
      <c r="H289" s="2" t="s">
        <v>17</v>
      </c>
      <c r="I289" s="2" t="s">
        <v>18</v>
      </c>
      <c r="J289" s="2" t="s">
        <v>68</v>
      </c>
      <c r="K289" s="1" t="s">
        <v>483</v>
      </c>
      <c r="L289" s="1" t="s">
        <v>134</v>
      </c>
      <c r="O289" s="1"/>
    </row>
    <row r="290" spans="2:15" ht="42" hidden="1" x14ac:dyDescent="0.35">
      <c r="B290" s="2">
        <v>295</v>
      </c>
      <c r="C290" s="5">
        <v>45777</v>
      </c>
      <c r="D290" s="3" t="s">
        <v>104</v>
      </c>
      <c r="E290" s="3" t="s">
        <v>619</v>
      </c>
      <c r="F290" s="14" t="s">
        <v>620</v>
      </c>
      <c r="G290" s="4" t="s">
        <v>51</v>
      </c>
      <c r="H290" s="2" t="s">
        <v>17</v>
      </c>
      <c r="I290" s="2" t="s">
        <v>18</v>
      </c>
      <c r="J290" s="2" t="s">
        <v>19</v>
      </c>
      <c r="K290" s="1" t="s">
        <v>483</v>
      </c>
      <c r="L290" s="1" t="s">
        <v>104</v>
      </c>
      <c r="O290" s="1"/>
    </row>
    <row r="291" spans="2:15" ht="28" hidden="1" x14ac:dyDescent="0.35">
      <c r="B291" s="2">
        <v>313</v>
      </c>
      <c r="C291" s="5">
        <v>45779</v>
      </c>
      <c r="D291" s="3" t="s">
        <v>134</v>
      </c>
      <c r="E291" s="3" t="s">
        <v>621</v>
      </c>
      <c r="F291" s="14" t="s">
        <v>85</v>
      </c>
      <c r="G291" s="4" t="s">
        <v>16</v>
      </c>
      <c r="H291" s="2" t="s">
        <v>17</v>
      </c>
      <c r="I291" s="2" t="s">
        <v>37</v>
      </c>
      <c r="J291" s="2" t="s">
        <v>81</v>
      </c>
      <c r="K291" s="1" t="s">
        <v>483</v>
      </c>
      <c r="L291" s="1" t="s">
        <v>134</v>
      </c>
      <c r="O291" s="1"/>
    </row>
    <row r="292" spans="2:15" ht="42" hidden="1" x14ac:dyDescent="0.35">
      <c r="B292" s="2">
        <v>314</v>
      </c>
      <c r="C292" s="5">
        <v>45779</v>
      </c>
      <c r="D292" s="3" t="s">
        <v>104</v>
      </c>
      <c r="E292" s="3" t="s">
        <v>622</v>
      </c>
      <c r="F292" s="14" t="s">
        <v>158</v>
      </c>
      <c r="G292" s="4" t="s">
        <v>16</v>
      </c>
      <c r="H292" s="2" t="s">
        <v>17</v>
      </c>
      <c r="I292" s="2" t="s">
        <v>37</v>
      </c>
      <c r="J292" s="2" t="s">
        <v>112</v>
      </c>
      <c r="K292" s="1" t="s">
        <v>483</v>
      </c>
      <c r="L292" s="1" t="s">
        <v>104</v>
      </c>
      <c r="O292" s="1"/>
    </row>
    <row r="293" spans="2:15" ht="42" hidden="1" x14ac:dyDescent="0.35">
      <c r="B293" s="2">
        <v>317</v>
      </c>
      <c r="C293" s="5">
        <v>45782</v>
      </c>
      <c r="D293" s="3" t="s">
        <v>134</v>
      </c>
      <c r="E293" s="3" t="s">
        <v>623</v>
      </c>
      <c r="F293" s="14" t="s">
        <v>624</v>
      </c>
      <c r="G293" s="4" t="s">
        <v>16</v>
      </c>
      <c r="H293" s="2" t="s">
        <v>17</v>
      </c>
      <c r="I293" s="2" t="s">
        <v>24</v>
      </c>
      <c r="J293" s="2" t="s">
        <v>54</v>
      </c>
      <c r="K293" s="1" t="s">
        <v>483</v>
      </c>
      <c r="L293" s="1" t="s">
        <v>134</v>
      </c>
      <c r="O293" s="1"/>
    </row>
    <row r="294" spans="2:15" ht="28" hidden="1" x14ac:dyDescent="0.35">
      <c r="B294" s="2">
        <v>377</v>
      </c>
      <c r="C294" s="5">
        <v>45800</v>
      </c>
      <c r="D294" s="3" t="s">
        <v>134</v>
      </c>
      <c r="E294" s="3" t="s">
        <v>625</v>
      </c>
      <c r="F294" s="14" t="s">
        <v>626</v>
      </c>
      <c r="G294" s="4" t="s">
        <v>51</v>
      </c>
      <c r="H294" s="2" t="s">
        <v>17</v>
      </c>
      <c r="I294" s="2" t="s">
        <v>24</v>
      </c>
      <c r="J294" s="2" t="s">
        <v>33</v>
      </c>
      <c r="K294" s="1" t="s">
        <v>483</v>
      </c>
      <c r="L294" s="1" t="s">
        <v>134</v>
      </c>
      <c r="O294" s="1"/>
    </row>
    <row r="295" spans="2:15" ht="28" hidden="1" x14ac:dyDescent="0.35">
      <c r="B295" s="2">
        <v>387</v>
      </c>
      <c r="C295" s="5">
        <v>45804</v>
      </c>
      <c r="D295" s="3" t="s">
        <v>134</v>
      </c>
      <c r="E295" s="3" t="s">
        <v>627</v>
      </c>
      <c r="F295" s="14" t="s">
        <v>628</v>
      </c>
      <c r="G295" s="4" t="s">
        <v>16</v>
      </c>
      <c r="H295" s="2" t="s">
        <v>17</v>
      </c>
      <c r="I295" s="2" t="s">
        <v>18</v>
      </c>
      <c r="J295" s="2" t="s">
        <v>291</v>
      </c>
      <c r="K295" s="1" t="s">
        <v>483</v>
      </c>
      <c r="L295" s="1" t="s">
        <v>104</v>
      </c>
      <c r="O295" s="1"/>
    </row>
    <row r="296" spans="2:15" ht="28" hidden="1" x14ac:dyDescent="0.35">
      <c r="B296" s="2">
        <v>481</v>
      </c>
      <c r="C296" s="5">
        <v>45838</v>
      </c>
      <c r="D296" s="3" t="s">
        <v>104</v>
      </c>
      <c r="E296" s="3" t="s">
        <v>629</v>
      </c>
      <c r="F296" s="14" t="s">
        <v>131</v>
      </c>
      <c r="G296" s="4" t="s">
        <v>16</v>
      </c>
      <c r="H296" s="2" t="s">
        <v>17</v>
      </c>
      <c r="I296" s="2" t="s">
        <v>37</v>
      </c>
      <c r="J296" s="2" t="s">
        <v>121</v>
      </c>
      <c r="K296" s="1" t="s">
        <v>483</v>
      </c>
      <c r="L296" s="1" t="s">
        <v>104</v>
      </c>
      <c r="O296" s="1"/>
    </row>
    <row r="297" spans="2:15" ht="28" hidden="1" x14ac:dyDescent="0.35">
      <c r="B297" s="2">
        <v>9369</v>
      </c>
      <c r="C297" s="5">
        <v>45874</v>
      </c>
      <c r="D297" s="3" t="s">
        <v>278</v>
      </c>
      <c r="E297" s="3" t="s">
        <v>630</v>
      </c>
      <c r="F297" s="14" t="s">
        <v>631</v>
      </c>
      <c r="G297" s="4" t="s">
        <v>16</v>
      </c>
      <c r="H297" s="2" t="s">
        <v>17</v>
      </c>
      <c r="I297" s="2" t="s">
        <v>24</v>
      </c>
      <c r="J297" s="2" t="s">
        <v>54</v>
      </c>
      <c r="K297" s="1" t="s">
        <v>483</v>
      </c>
      <c r="L297" s="1" t="s">
        <v>278</v>
      </c>
      <c r="O297" s="1"/>
    </row>
    <row r="298" spans="2:15" ht="42" hidden="1" x14ac:dyDescent="0.35">
      <c r="B298" s="2">
        <v>9389</v>
      </c>
      <c r="C298" s="5">
        <v>45878</v>
      </c>
      <c r="D298" s="3" t="s">
        <v>21</v>
      </c>
      <c r="E298" s="3" t="s">
        <v>632</v>
      </c>
      <c r="F298" s="14" t="s">
        <v>633</v>
      </c>
      <c r="G298" s="4" t="s">
        <v>16</v>
      </c>
      <c r="H298" s="2" t="s">
        <v>17</v>
      </c>
      <c r="I298" s="2" t="s">
        <v>24</v>
      </c>
      <c r="J298" s="2" t="s">
        <v>72</v>
      </c>
      <c r="K298" s="1" t="s">
        <v>483</v>
      </c>
      <c r="L298" s="1" t="s">
        <v>278</v>
      </c>
      <c r="O298" s="1"/>
    </row>
    <row r="299" spans="2:15" ht="56" hidden="1" x14ac:dyDescent="0.35">
      <c r="B299" s="2">
        <v>9537</v>
      </c>
      <c r="C299" s="5">
        <v>45889</v>
      </c>
      <c r="D299" s="3" t="s">
        <v>21</v>
      </c>
      <c r="E299" s="3" t="s">
        <v>634</v>
      </c>
      <c r="F299" s="14" t="s">
        <v>420</v>
      </c>
      <c r="G299" s="4" t="s">
        <v>16</v>
      </c>
      <c r="H299" s="2" t="s">
        <v>17</v>
      </c>
      <c r="I299" s="2" t="s">
        <v>37</v>
      </c>
      <c r="J299" s="2" t="s">
        <v>112</v>
      </c>
      <c r="K299" s="1" t="s">
        <v>483</v>
      </c>
      <c r="L299" s="1" t="s">
        <v>278</v>
      </c>
      <c r="O299" s="1"/>
    </row>
    <row r="300" spans="2:15" ht="56" hidden="1" x14ac:dyDescent="0.35">
      <c r="B300" s="2">
        <v>9536</v>
      </c>
      <c r="C300" s="5">
        <v>45889</v>
      </c>
      <c r="D300" s="3" t="s">
        <v>21</v>
      </c>
      <c r="E300" s="3" t="s">
        <v>635</v>
      </c>
      <c r="F300" s="14" t="s">
        <v>607</v>
      </c>
      <c r="G300" s="4" t="s">
        <v>16</v>
      </c>
      <c r="H300" s="2" t="s">
        <v>17</v>
      </c>
      <c r="I300" s="2" t="s">
        <v>37</v>
      </c>
      <c r="J300" s="2" t="s">
        <v>112</v>
      </c>
      <c r="K300" s="1" t="s">
        <v>483</v>
      </c>
      <c r="L300" s="1" t="s">
        <v>278</v>
      </c>
      <c r="O300" s="1"/>
    </row>
    <row r="301" spans="2:15" ht="56" hidden="1" x14ac:dyDescent="0.35">
      <c r="B301" s="2">
        <v>9668</v>
      </c>
      <c r="C301" s="5">
        <v>45903</v>
      </c>
      <c r="D301" s="3" t="s">
        <v>278</v>
      </c>
      <c r="E301" s="3" t="s">
        <v>636</v>
      </c>
      <c r="F301" s="14" t="s">
        <v>637</v>
      </c>
      <c r="G301" s="4" t="s">
        <v>51</v>
      </c>
      <c r="H301" s="2" t="s">
        <v>17</v>
      </c>
      <c r="I301" s="2" t="s">
        <v>37</v>
      </c>
      <c r="J301" s="2" t="s">
        <v>112</v>
      </c>
      <c r="K301" s="1" t="s">
        <v>483</v>
      </c>
      <c r="L301" s="1" t="s">
        <v>278</v>
      </c>
      <c r="O301" s="1"/>
    </row>
    <row r="302" spans="2:15" ht="42" hidden="1" x14ac:dyDescent="0.35">
      <c r="B302" s="2">
        <v>9976</v>
      </c>
      <c r="C302" s="5">
        <v>45938</v>
      </c>
      <c r="D302" s="3" t="s">
        <v>278</v>
      </c>
      <c r="E302" s="3" t="s">
        <v>638</v>
      </c>
      <c r="F302" s="14" t="s">
        <v>516</v>
      </c>
      <c r="G302" s="4" t="s">
        <v>51</v>
      </c>
      <c r="H302" s="2" t="s">
        <v>17</v>
      </c>
      <c r="I302" s="2" t="s">
        <v>298</v>
      </c>
      <c r="J302" s="2" t="s">
        <v>299</v>
      </c>
      <c r="K302" s="1" t="s">
        <v>483</v>
      </c>
      <c r="L302" s="1" t="s">
        <v>278</v>
      </c>
      <c r="O302" s="1"/>
    </row>
    <row r="303" spans="2:15" ht="42" hidden="1" x14ac:dyDescent="0.35">
      <c r="B303" s="2">
        <v>10467</v>
      </c>
      <c r="C303" s="5">
        <v>46002</v>
      </c>
      <c r="D303" s="3" t="s">
        <v>278</v>
      </c>
      <c r="E303" s="3" t="s">
        <v>639</v>
      </c>
      <c r="F303" s="14" t="s">
        <v>516</v>
      </c>
      <c r="G303" s="4" t="s">
        <v>51</v>
      </c>
      <c r="H303" s="2" t="s">
        <v>17</v>
      </c>
      <c r="I303" s="2" t="s">
        <v>24</v>
      </c>
      <c r="J303" s="2" t="s">
        <v>54</v>
      </c>
      <c r="K303" s="1" t="s">
        <v>483</v>
      </c>
      <c r="L303" s="1" t="s">
        <v>278</v>
      </c>
      <c r="O303" s="1"/>
    </row>
    <row r="304" spans="2:15" ht="42" hidden="1" x14ac:dyDescent="0.35">
      <c r="B304" s="2">
        <v>10593</v>
      </c>
      <c r="C304" s="5">
        <v>46021</v>
      </c>
      <c r="D304" s="3" t="s">
        <v>278</v>
      </c>
      <c r="E304" s="3" t="s">
        <v>640</v>
      </c>
      <c r="F304" s="14" t="s">
        <v>641</v>
      </c>
      <c r="G304" s="4" t="s">
        <v>51</v>
      </c>
      <c r="H304" s="2" t="s">
        <v>17</v>
      </c>
      <c r="I304" s="2" t="s">
        <v>24</v>
      </c>
      <c r="J304" s="2" t="s">
        <v>41</v>
      </c>
      <c r="K304" s="1" t="s">
        <v>483</v>
      </c>
      <c r="L304" s="1" t="s">
        <v>278</v>
      </c>
      <c r="O304" s="1"/>
    </row>
    <row r="305" spans="2:15" ht="42" hidden="1" x14ac:dyDescent="0.35">
      <c r="B305" s="2">
        <v>10594</v>
      </c>
      <c r="C305" s="5">
        <v>46021</v>
      </c>
      <c r="D305" s="3" t="s">
        <v>278</v>
      </c>
      <c r="E305" s="3" t="s">
        <v>642</v>
      </c>
      <c r="F305" s="14" t="s">
        <v>643</v>
      </c>
      <c r="G305" s="4" t="s">
        <v>51</v>
      </c>
      <c r="H305" s="2" t="s">
        <v>17</v>
      </c>
      <c r="I305" s="2" t="s">
        <v>24</v>
      </c>
      <c r="J305" s="2" t="s">
        <v>41</v>
      </c>
      <c r="K305" s="1" t="s">
        <v>483</v>
      </c>
      <c r="L305" s="1" t="s">
        <v>278</v>
      </c>
      <c r="O305" s="1"/>
    </row>
    <row r="306" spans="2:15" ht="56" hidden="1" x14ac:dyDescent="0.35">
      <c r="B306" s="2">
        <v>10775</v>
      </c>
      <c r="C306" s="5">
        <v>46038</v>
      </c>
      <c r="D306" s="3" t="s">
        <v>278</v>
      </c>
      <c r="E306" s="3" t="s">
        <v>644</v>
      </c>
      <c r="F306" s="14" t="s">
        <v>645</v>
      </c>
      <c r="G306" s="4" t="s">
        <v>51</v>
      </c>
      <c r="H306" s="2" t="s">
        <v>17</v>
      </c>
      <c r="I306" s="2" t="s">
        <v>24</v>
      </c>
      <c r="J306" s="2" t="s">
        <v>44</v>
      </c>
      <c r="K306" s="1" t="s">
        <v>483</v>
      </c>
      <c r="L306" s="1" t="s">
        <v>278</v>
      </c>
      <c r="O306" s="1"/>
    </row>
    <row r="307" spans="2:15" ht="28" hidden="1" x14ac:dyDescent="0.35">
      <c r="B307" s="2">
        <v>10989</v>
      </c>
      <c r="C307" s="5">
        <v>46056</v>
      </c>
      <c r="D307" s="3" t="s">
        <v>278</v>
      </c>
      <c r="E307" s="3" t="s">
        <v>646</v>
      </c>
      <c r="F307" s="14" t="s">
        <v>647</v>
      </c>
      <c r="G307" s="4" t="s">
        <v>51</v>
      </c>
      <c r="H307" s="2" t="s">
        <v>17</v>
      </c>
      <c r="I307" s="2" t="s">
        <v>18</v>
      </c>
      <c r="J307" s="2" t="s">
        <v>19</v>
      </c>
      <c r="K307" s="1" t="s">
        <v>483</v>
      </c>
      <c r="L307" s="1" t="s">
        <v>278</v>
      </c>
      <c r="O307" s="1"/>
    </row>
    <row r="308" spans="2:15" ht="42" hidden="1" x14ac:dyDescent="0.35">
      <c r="B308" s="2">
        <v>11253</v>
      </c>
      <c r="C308" s="24">
        <v>46080</v>
      </c>
      <c r="D308" s="3" t="s">
        <v>278</v>
      </c>
      <c r="E308" s="3" t="s">
        <v>648</v>
      </c>
      <c r="F308" s="14" t="s">
        <v>649</v>
      </c>
      <c r="G308" s="4" t="s">
        <v>51</v>
      </c>
      <c r="H308" s="2" t="s">
        <v>17</v>
      </c>
      <c r="I308" s="2" t="s">
        <v>298</v>
      </c>
      <c r="J308" s="2" t="s">
        <v>650</v>
      </c>
      <c r="K308" s="1" t="s">
        <v>483</v>
      </c>
      <c r="L308" s="1" t="s">
        <v>278</v>
      </c>
      <c r="O308" s="1"/>
    </row>
    <row r="309" spans="2:15" ht="42" hidden="1" x14ac:dyDescent="0.35">
      <c r="B309" s="2">
        <v>11252</v>
      </c>
      <c r="C309" s="24">
        <v>46080</v>
      </c>
      <c r="D309" s="3" t="s">
        <v>278</v>
      </c>
      <c r="E309" s="3" t="s">
        <v>651</v>
      </c>
      <c r="F309" s="14" t="s">
        <v>652</v>
      </c>
      <c r="G309" s="4" t="s">
        <v>51</v>
      </c>
      <c r="H309" s="2" t="s">
        <v>17</v>
      </c>
      <c r="I309" s="2" t="s">
        <v>24</v>
      </c>
      <c r="J309" s="2" t="s">
        <v>44</v>
      </c>
      <c r="K309" s="1" t="s">
        <v>483</v>
      </c>
      <c r="L309" s="1" t="s">
        <v>278</v>
      </c>
      <c r="O309" s="1"/>
    </row>
    <row r="310" spans="2:15" ht="42" hidden="1" x14ac:dyDescent="0.35">
      <c r="B310" s="2">
        <v>11255</v>
      </c>
      <c r="C310" s="24">
        <v>46083</v>
      </c>
      <c r="D310" s="3" t="s">
        <v>134</v>
      </c>
      <c r="E310" s="3" t="s">
        <v>651</v>
      </c>
      <c r="F310" s="14" t="s">
        <v>652</v>
      </c>
      <c r="G310" s="4" t="s">
        <v>51</v>
      </c>
      <c r="H310" s="2" t="s">
        <v>17</v>
      </c>
      <c r="I310" s="2" t="s">
        <v>24</v>
      </c>
      <c r="J310" s="2" t="s">
        <v>44</v>
      </c>
      <c r="K310" s="1" t="s">
        <v>483</v>
      </c>
      <c r="L310" s="1" t="s">
        <v>134</v>
      </c>
      <c r="O310" s="1"/>
    </row>
    <row r="311" spans="2:15" ht="42" hidden="1" x14ac:dyDescent="0.35">
      <c r="B311" s="2">
        <v>11291</v>
      </c>
      <c r="C311" s="24">
        <v>46085</v>
      </c>
      <c r="D311" s="3" t="s">
        <v>278</v>
      </c>
      <c r="E311" s="3" t="s">
        <v>653</v>
      </c>
      <c r="F311" s="14" t="s">
        <v>654</v>
      </c>
      <c r="G311" s="4" t="s">
        <v>51</v>
      </c>
      <c r="H311" s="2" t="s">
        <v>17</v>
      </c>
      <c r="I311" s="2" t="s">
        <v>37</v>
      </c>
      <c r="J311" s="2" t="s">
        <v>112</v>
      </c>
      <c r="K311" s="1" t="s">
        <v>483</v>
      </c>
      <c r="L311" s="1" t="s">
        <v>278</v>
      </c>
      <c r="O311" s="1"/>
    </row>
    <row r="312" spans="2:15" ht="56" hidden="1" x14ac:dyDescent="0.35">
      <c r="B312" s="2">
        <v>27</v>
      </c>
      <c r="C312" s="5">
        <v>45666</v>
      </c>
      <c r="D312" s="3" t="s">
        <v>21</v>
      </c>
      <c r="E312" s="3" t="s">
        <v>655</v>
      </c>
      <c r="F312" s="14" t="s">
        <v>656</v>
      </c>
      <c r="G312" s="4" t="s">
        <v>51</v>
      </c>
      <c r="H312" s="2" t="s">
        <v>17</v>
      </c>
      <c r="I312" s="2" t="s">
        <v>24</v>
      </c>
      <c r="J312" t="s">
        <v>33</v>
      </c>
      <c r="K312" s="1" t="s">
        <v>657</v>
      </c>
      <c r="L312" s="1" t="s">
        <v>95</v>
      </c>
      <c r="O312" s="1"/>
    </row>
    <row r="313" spans="2:15" ht="154" hidden="1" customHeight="1" x14ac:dyDescent="0.35">
      <c r="B313" s="2">
        <v>31</v>
      </c>
      <c r="C313" s="5">
        <v>45667</v>
      </c>
      <c r="D313" s="3" t="s">
        <v>13</v>
      </c>
      <c r="E313" s="3" t="s">
        <v>658</v>
      </c>
      <c r="F313" s="14" t="s">
        <v>659</v>
      </c>
      <c r="G313" s="4" t="s">
        <v>16</v>
      </c>
      <c r="H313" s="2" t="s">
        <v>17</v>
      </c>
      <c r="I313" s="2" t="s">
        <v>18</v>
      </c>
      <c r="J313" t="s">
        <v>68</v>
      </c>
      <c r="K313" s="1" t="s">
        <v>657</v>
      </c>
      <c r="L313" s="1" t="s">
        <v>95</v>
      </c>
      <c r="O313" s="1"/>
    </row>
    <row r="314" spans="2:15" ht="42" hidden="1" x14ac:dyDescent="0.35">
      <c r="B314" s="2">
        <v>130</v>
      </c>
      <c r="C314" s="5">
        <v>45712</v>
      </c>
      <c r="D314" s="3" t="s">
        <v>104</v>
      </c>
      <c r="E314" s="3" t="s">
        <v>660</v>
      </c>
      <c r="F314" s="14" t="s">
        <v>106</v>
      </c>
      <c r="G314" s="4" t="s">
        <v>16</v>
      </c>
      <c r="H314" s="2" t="s">
        <v>17</v>
      </c>
      <c r="I314" s="2" t="s">
        <v>37</v>
      </c>
      <c r="J314" s="2" t="s">
        <v>81</v>
      </c>
      <c r="K314" s="1" t="s">
        <v>657</v>
      </c>
      <c r="L314" s="1" t="s">
        <v>95</v>
      </c>
      <c r="O314" s="1"/>
    </row>
    <row r="315" spans="2:15" ht="56" hidden="1" x14ac:dyDescent="0.35">
      <c r="B315" s="2">
        <v>162</v>
      </c>
      <c r="C315" s="5">
        <v>45716</v>
      </c>
      <c r="D315" s="3" t="s">
        <v>13</v>
      </c>
      <c r="E315" s="3" t="s">
        <v>661</v>
      </c>
      <c r="F315" s="14" t="s">
        <v>662</v>
      </c>
      <c r="G315" s="4" t="s">
        <v>51</v>
      </c>
      <c r="H315" s="2" t="s">
        <v>17</v>
      </c>
      <c r="I315" s="2" t="s">
        <v>24</v>
      </c>
      <c r="J315" s="2" t="s">
        <v>44</v>
      </c>
      <c r="K315" s="1" t="s">
        <v>657</v>
      </c>
      <c r="L315" s="1" t="s">
        <v>95</v>
      </c>
      <c r="O315" s="1"/>
    </row>
    <row r="316" spans="2:15" ht="42" hidden="1" x14ac:dyDescent="0.35">
      <c r="B316" s="2">
        <v>202</v>
      </c>
      <c r="C316" s="5">
        <v>45741</v>
      </c>
      <c r="D316" s="3" t="s">
        <v>21</v>
      </c>
      <c r="E316" s="3" t="s">
        <v>663</v>
      </c>
      <c r="F316" s="14" t="s">
        <v>664</v>
      </c>
      <c r="G316" s="4" t="s">
        <v>16</v>
      </c>
      <c r="H316" s="2" t="s">
        <v>17</v>
      </c>
      <c r="I316" s="2" t="s">
        <v>24</v>
      </c>
      <c r="J316" s="2" t="s">
        <v>33</v>
      </c>
      <c r="K316" s="1" t="s">
        <v>657</v>
      </c>
      <c r="L316" s="1" t="s">
        <v>95</v>
      </c>
      <c r="O316" s="1"/>
    </row>
    <row r="317" spans="2:15" ht="42" hidden="1" x14ac:dyDescent="0.35">
      <c r="B317" s="2">
        <v>386</v>
      </c>
      <c r="C317" s="5">
        <v>45804</v>
      </c>
      <c r="D317" s="3" t="s">
        <v>104</v>
      </c>
      <c r="E317" s="3" t="s">
        <v>665</v>
      </c>
      <c r="F317" s="14" t="s">
        <v>109</v>
      </c>
      <c r="G317" s="4" t="s">
        <v>51</v>
      </c>
      <c r="H317" s="2" t="s">
        <v>17</v>
      </c>
      <c r="I317" s="2" t="s">
        <v>24</v>
      </c>
      <c r="J317" s="2" t="s">
        <v>33</v>
      </c>
      <c r="K317" s="1" t="s">
        <v>657</v>
      </c>
      <c r="L317" s="1" t="s">
        <v>95</v>
      </c>
      <c r="O317" s="1"/>
    </row>
    <row r="318" spans="2:15" ht="56" hidden="1" x14ac:dyDescent="0.35">
      <c r="B318" s="2">
        <v>400</v>
      </c>
      <c r="C318" s="5">
        <v>45811</v>
      </c>
      <c r="D318" s="3" t="s">
        <v>104</v>
      </c>
      <c r="E318" s="3" t="s">
        <v>666</v>
      </c>
      <c r="F318" s="14" t="s">
        <v>138</v>
      </c>
      <c r="G318" s="4" t="s">
        <v>16</v>
      </c>
      <c r="H318" s="2" t="s">
        <v>17</v>
      </c>
      <c r="I318" s="2" t="s">
        <v>24</v>
      </c>
      <c r="J318" s="2" t="s">
        <v>44</v>
      </c>
      <c r="K318" s="1" t="s">
        <v>657</v>
      </c>
      <c r="L318" s="1" t="s">
        <v>95</v>
      </c>
      <c r="O318" s="1"/>
    </row>
    <row r="319" spans="2:15" ht="42" hidden="1" x14ac:dyDescent="0.35">
      <c r="B319" s="2">
        <v>9594</v>
      </c>
      <c r="C319" s="5">
        <v>45898</v>
      </c>
      <c r="D319" s="3" t="s">
        <v>234</v>
      </c>
      <c r="E319" s="3" t="s">
        <v>667</v>
      </c>
      <c r="F319" s="14" t="s">
        <v>668</v>
      </c>
      <c r="G319" s="4" t="s">
        <v>16</v>
      </c>
      <c r="H319" s="2" t="s">
        <v>17</v>
      </c>
      <c r="I319" s="2" t="s">
        <v>24</v>
      </c>
      <c r="J319" s="2" t="s">
        <v>33</v>
      </c>
      <c r="K319" s="1" t="s">
        <v>657</v>
      </c>
      <c r="L319" s="1" t="s">
        <v>95</v>
      </c>
      <c r="O319" s="1"/>
    </row>
    <row r="320" spans="2:15" ht="84" hidden="1" x14ac:dyDescent="0.35">
      <c r="B320" s="2">
        <v>9595</v>
      </c>
      <c r="C320" s="5">
        <v>45898</v>
      </c>
      <c r="D320" s="3" t="s">
        <v>193</v>
      </c>
      <c r="E320" s="3" t="s">
        <v>669</v>
      </c>
      <c r="F320" s="14" t="s">
        <v>670</v>
      </c>
      <c r="G320" s="4" t="s">
        <v>51</v>
      </c>
      <c r="H320" s="2" t="s">
        <v>17</v>
      </c>
      <c r="I320" s="2" t="s">
        <v>24</v>
      </c>
      <c r="J320" s="2" t="s">
        <v>33</v>
      </c>
      <c r="K320" s="1" t="s">
        <v>657</v>
      </c>
      <c r="L320" s="1" t="s">
        <v>95</v>
      </c>
      <c r="O320" s="1"/>
    </row>
    <row r="321" spans="2:15" ht="28" hidden="1" x14ac:dyDescent="0.35">
      <c r="B321" s="2">
        <v>9596</v>
      </c>
      <c r="C321" s="5">
        <v>45898</v>
      </c>
      <c r="D321" s="3" t="s">
        <v>193</v>
      </c>
      <c r="E321" s="3" t="s">
        <v>671</v>
      </c>
      <c r="F321" s="14" t="s">
        <v>672</v>
      </c>
      <c r="G321" s="4" t="s">
        <v>51</v>
      </c>
      <c r="H321" s="2" t="s">
        <v>17</v>
      </c>
      <c r="I321" s="2" t="s">
        <v>24</v>
      </c>
      <c r="J321" s="2" t="s">
        <v>33</v>
      </c>
      <c r="K321" s="1" t="s">
        <v>657</v>
      </c>
      <c r="L321" s="1" t="s">
        <v>95</v>
      </c>
      <c r="O321" s="1"/>
    </row>
    <row r="322" spans="2:15" ht="84" hidden="1" x14ac:dyDescent="0.35">
      <c r="B322" s="2">
        <v>9597</v>
      </c>
      <c r="C322" s="5">
        <v>45898</v>
      </c>
      <c r="D322" s="3" t="s">
        <v>193</v>
      </c>
      <c r="E322" s="3" t="s">
        <v>673</v>
      </c>
      <c r="F322" s="14" t="s">
        <v>674</v>
      </c>
      <c r="G322" s="4" t="s">
        <v>51</v>
      </c>
      <c r="H322" s="2" t="s">
        <v>17</v>
      </c>
      <c r="I322" s="2" t="s">
        <v>24</v>
      </c>
      <c r="J322" s="2" t="s">
        <v>33</v>
      </c>
      <c r="K322" s="1" t="s">
        <v>657</v>
      </c>
      <c r="L322" s="1" t="s">
        <v>95</v>
      </c>
      <c r="O322" s="1"/>
    </row>
    <row r="323" spans="2:15" ht="84" hidden="1" x14ac:dyDescent="0.35">
      <c r="B323" s="2">
        <v>9598</v>
      </c>
      <c r="C323" s="5">
        <v>45898</v>
      </c>
      <c r="D323" s="3" t="s">
        <v>193</v>
      </c>
      <c r="E323" s="3" t="s">
        <v>675</v>
      </c>
      <c r="F323" s="14" t="s">
        <v>676</v>
      </c>
      <c r="G323" s="4" t="s">
        <v>51</v>
      </c>
      <c r="H323" s="2" t="s">
        <v>17</v>
      </c>
      <c r="I323" s="2" t="s">
        <v>24</v>
      </c>
      <c r="J323" s="2" t="s">
        <v>33</v>
      </c>
      <c r="K323" s="1" t="s">
        <v>657</v>
      </c>
      <c r="L323" s="1" t="s">
        <v>95</v>
      </c>
      <c r="O323" s="1"/>
    </row>
    <row r="324" spans="2:15" ht="56" hidden="1" x14ac:dyDescent="0.35">
      <c r="B324" s="2">
        <v>9660</v>
      </c>
      <c r="C324" s="5">
        <v>45903</v>
      </c>
      <c r="D324" s="3" t="s">
        <v>193</v>
      </c>
      <c r="E324" s="3" t="s">
        <v>677</v>
      </c>
      <c r="F324" s="14" t="s">
        <v>678</v>
      </c>
      <c r="G324" s="4" t="s">
        <v>51</v>
      </c>
      <c r="H324" s="2" t="s">
        <v>17</v>
      </c>
      <c r="I324" s="2" t="s">
        <v>18</v>
      </c>
      <c r="J324" s="2" t="s">
        <v>19</v>
      </c>
      <c r="K324" s="1" t="s">
        <v>657</v>
      </c>
      <c r="L324" s="1" t="s">
        <v>95</v>
      </c>
      <c r="O324" s="1"/>
    </row>
    <row r="325" spans="2:15" ht="42" hidden="1" x14ac:dyDescent="0.35">
      <c r="B325" s="2">
        <v>9871</v>
      </c>
      <c r="C325" s="5">
        <v>45926</v>
      </c>
      <c r="D325" s="3" t="s">
        <v>205</v>
      </c>
      <c r="E325" s="3" t="s">
        <v>679</v>
      </c>
      <c r="F325" s="14" t="s">
        <v>680</v>
      </c>
      <c r="G325" s="4" t="s">
        <v>51</v>
      </c>
      <c r="H325" s="2" t="s">
        <v>17</v>
      </c>
      <c r="I325" s="2" t="s">
        <v>37</v>
      </c>
      <c r="J325" s="2" t="s">
        <v>38</v>
      </c>
      <c r="K325" s="1" t="s">
        <v>657</v>
      </c>
      <c r="L325" s="1" t="s">
        <v>95</v>
      </c>
      <c r="O325" s="1"/>
    </row>
    <row r="326" spans="2:15" ht="42" hidden="1" x14ac:dyDescent="0.35">
      <c r="B326" s="2">
        <v>10137</v>
      </c>
      <c r="C326" s="5">
        <v>45957</v>
      </c>
      <c r="D326" s="3" t="s">
        <v>13</v>
      </c>
      <c r="E326" s="3" t="s">
        <v>681</v>
      </c>
      <c r="F326" s="14" t="s">
        <v>216</v>
      </c>
      <c r="G326" s="4" t="s">
        <v>16</v>
      </c>
      <c r="H326" s="2" t="s">
        <v>17</v>
      </c>
      <c r="I326" s="2" t="s">
        <v>24</v>
      </c>
      <c r="J326" s="2" t="s">
        <v>33</v>
      </c>
      <c r="K326" s="1" t="s">
        <v>657</v>
      </c>
      <c r="L326" s="1" t="s">
        <v>95</v>
      </c>
      <c r="O326" s="1"/>
    </row>
    <row r="327" spans="2:15" ht="28" hidden="1" x14ac:dyDescent="0.35">
      <c r="B327" s="2">
        <v>10158</v>
      </c>
      <c r="C327" s="5">
        <v>45961</v>
      </c>
      <c r="D327" s="3" t="s">
        <v>95</v>
      </c>
      <c r="E327" s="3" t="s">
        <v>682</v>
      </c>
      <c r="F327" s="14" t="s">
        <v>683</v>
      </c>
      <c r="G327" s="4" t="s">
        <v>51</v>
      </c>
      <c r="H327" s="2" t="s">
        <v>17</v>
      </c>
      <c r="I327" s="2" t="s">
        <v>24</v>
      </c>
      <c r="J327" s="2" t="s">
        <v>33</v>
      </c>
      <c r="K327" s="1" t="s">
        <v>657</v>
      </c>
      <c r="L327" s="1" t="s">
        <v>95</v>
      </c>
      <c r="O327" s="1"/>
    </row>
    <row r="328" spans="2:15" ht="42" hidden="1" x14ac:dyDescent="0.35">
      <c r="B328" s="2">
        <v>10391</v>
      </c>
      <c r="C328" s="5">
        <v>45989</v>
      </c>
      <c r="D328" s="3" t="s">
        <v>104</v>
      </c>
      <c r="E328" s="3" t="s">
        <v>684</v>
      </c>
      <c r="F328" s="14" t="s">
        <v>129</v>
      </c>
      <c r="G328" s="4" t="s">
        <v>16</v>
      </c>
      <c r="H328" s="2" t="s">
        <v>17</v>
      </c>
      <c r="I328" s="2" t="s">
        <v>24</v>
      </c>
      <c r="J328" s="2" t="s">
        <v>33</v>
      </c>
      <c r="K328" s="1" t="s">
        <v>657</v>
      </c>
      <c r="L328" s="1" t="s">
        <v>95</v>
      </c>
      <c r="O328" s="1"/>
    </row>
    <row r="329" spans="2:15" ht="42" hidden="1" x14ac:dyDescent="0.35">
      <c r="B329" s="2">
        <v>10392</v>
      </c>
      <c r="C329" s="5">
        <v>45989</v>
      </c>
      <c r="D329" s="3" t="s">
        <v>104</v>
      </c>
      <c r="E329" s="3" t="s">
        <v>685</v>
      </c>
      <c r="F329" s="14" t="s">
        <v>123</v>
      </c>
      <c r="G329" s="4" t="s">
        <v>16</v>
      </c>
      <c r="H329" s="2" t="s">
        <v>17</v>
      </c>
      <c r="I329" s="2" t="s">
        <v>24</v>
      </c>
      <c r="J329" s="2" t="s">
        <v>33</v>
      </c>
      <c r="K329" s="1" t="s">
        <v>657</v>
      </c>
      <c r="L329" s="1" t="s">
        <v>95</v>
      </c>
      <c r="O329" s="1"/>
    </row>
    <row r="330" spans="2:15" ht="56" hidden="1" x14ac:dyDescent="0.35">
      <c r="B330" s="2">
        <v>11435</v>
      </c>
      <c r="C330" s="24">
        <v>46098</v>
      </c>
      <c r="D330" s="3" t="s">
        <v>13</v>
      </c>
      <c r="E330" s="3" t="s">
        <v>686</v>
      </c>
      <c r="F330" s="14" t="s">
        <v>687</v>
      </c>
      <c r="G330" s="4" t="s">
        <v>16</v>
      </c>
      <c r="H330" s="2" t="s">
        <v>17</v>
      </c>
      <c r="I330" s="2" t="s">
        <v>24</v>
      </c>
      <c r="J330" s="2" t="s">
        <v>33</v>
      </c>
      <c r="K330" s="1" t="s">
        <v>657</v>
      </c>
      <c r="L330" s="1" t="s">
        <v>95</v>
      </c>
      <c r="O330" s="1"/>
    </row>
    <row r="331" spans="2:15" ht="42" hidden="1" x14ac:dyDescent="0.35">
      <c r="B331" s="2">
        <v>260</v>
      </c>
      <c r="C331" s="5">
        <v>45762</v>
      </c>
      <c r="D331" s="3" t="s">
        <v>193</v>
      </c>
      <c r="E331" s="3" t="s">
        <v>688</v>
      </c>
      <c r="F331" s="14" t="s">
        <v>676</v>
      </c>
      <c r="G331" s="4" t="s">
        <v>51</v>
      </c>
      <c r="H331" s="2" t="s">
        <v>17</v>
      </c>
      <c r="I331" s="2" t="s">
        <v>37</v>
      </c>
      <c r="J331" s="2" t="s">
        <v>38</v>
      </c>
      <c r="K331" s="1" t="s">
        <v>689</v>
      </c>
      <c r="L331" s="1" t="s">
        <v>95</v>
      </c>
      <c r="O331" s="1"/>
    </row>
    <row r="332" spans="2:15" ht="28" hidden="1" x14ac:dyDescent="0.35">
      <c r="B332" s="2">
        <v>296</v>
      </c>
      <c r="C332" s="5">
        <v>45777</v>
      </c>
      <c r="D332" s="3" t="s">
        <v>190</v>
      </c>
      <c r="E332" s="3" t="s">
        <v>690</v>
      </c>
      <c r="F332" s="14" t="s">
        <v>691</v>
      </c>
      <c r="G332" s="4" t="s">
        <v>51</v>
      </c>
      <c r="H332" s="2" t="s">
        <v>17</v>
      </c>
      <c r="I332" s="2" t="s">
        <v>18</v>
      </c>
      <c r="J332" s="2" t="s">
        <v>19</v>
      </c>
      <c r="K332" s="1" t="s">
        <v>689</v>
      </c>
      <c r="L332" s="1" t="s">
        <v>95</v>
      </c>
      <c r="O332" s="1"/>
    </row>
    <row r="333" spans="2:15" ht="42" hidden="1" x14ac:dyDescent="0.35">
      <c r="B333" s="2">
        <v>181</v>
      </c>
      <c r="C333" s="5">
        <v>45727</v>
      </c>
      <c r="D333" s="3" t="s">
        <v>220</v>
      </c>
      <c r="E333" s="3" t="s">
        <v>692</v>
      </c>
      <c r="F333" s="14" t="s">
        <v>693</v>
      </c>
      <c r="G333" s="4" t="s">
        <v>51</v>
      </c>
      <c r="H333" s="2" t="s">
        <v>17</v>
      </c>
      <c r="I333" s="2" t="s">
        <v>37</v>
      </c>
      <c r="J333" s="2" t="s">
        <v>81</v>
      </c>
      <c r="K333" s="1" t="s">
        <v>694</v>
      </c>
      <c r="L333" s="1" t="s">
        <v>95</v>
      </c>
      <c r="O333" s="1"/>
    </row>
    <row r="334" spans="2:15" ht="42" hidden="1" x14ac:dyDescent="0.35">
      <c r="B334" s="2">
        <v>196</v>
      </c>
      <c r="C334" s="5">
        <v>45734</v>
      </c>
      <c r="D334" s="3" t="s">
        <v>193</v>
      </c>
      <c r="E334" s="3" t="s">
        <v>695</v>
      </c>
      <c r="F334" s="14" t="s">
        <v>696</v>
      </c>
      <c r="G334" s="4" t="s">
        <v>51</v>
      </c>
      <c r="H334" s="2" t="s">
        <v>17</v>
      </c>
      <c r="I334" s="2" t="s">
        <v>37</v>
      </c>
      <c r="J334" s="2" t="s">
        <v>38</v>
      </c>
      <c r="K334" s="1" t="s">
        <v>694</v>
      </c>
      <c r="L334" s="1" t="s">
        <v>95</v>
      </c>
      <c r="O334" s="1"/>
    </row>
    <row r="335" spans="2:15" ht="28" hidden="1" x14ac:dyDescent="0.35">
      <c r="B335" s="2">
        <v>208</v>
      </c>
      <c r="C335" s="5">
        <v>45743</v>
      </c>
      <c r="D335" s="3" t="s">
        <v>21</v>
      </c>
      <c r="E335" s="3" t="s">
        <v>697</v>
      </c>
      <c r="F335" s="14" t="s">
        <v>698</v>
      </c>
      <c r="G335" s="4" t="s">
        <v>16</v>
      </c>
      <c r="H335" s="2" t="s">
        <v>17</v>
      </c>
      <c r="I335" s="2" t="s">
        <v>37</v>
      </c>
      <c r="J335" s="2" t="s">
        <v>38</v>
      </c>
      <c r="K335" s="1" t="s">
        <v>694</v>
      </c>
      <c r="L335" s="1" t="s">
        <v>95</v>
      </c>
      <c r="O335" s="1"/>
    </row>
    <row r="336" spans="2:15" ht="42" hidden="1" x14ac:dyDescent="0.35">
      <c r="B336" s="2">
        <v>242</v>
      </c>
      <c r="C336" s="5">
        <v>45752</v>
      </c>
      <c r="D336" s="3" t="s">
        <v>134</v>
      </c>
      <c r="E336" s="3" t="s">
        <v>699</v>
      </c>
      <c r="F336" s="14" t="s">
        <v>700</v>
      </c>
      <c r="G336" s="4" t="s">
        <v>51</v>
      </c>
      <c r="H336" s="2" t="s">
        <v>17</v>
      </c>
      <c r="I336" s="2" t="s">
        <v>24</v>
      </c>
      <c r="J336" s="2" t="s">
        <v>44</v>
      </c>
      <c r="K336" s="1" t="s">
        <v>694</v>
      </c>
      <c r="L336" s="1" t="s">
        <v>95</v>
      </c>
      <c r="O336" s="1"/>
    </row>
    <row r="337" spans="2:15" ht="28" hidden="1" x14ac:dyDescent="0.35">
      <c r="B337" s="2">
        <v>275</v>
      </c>
      <c r="C337" s="5">
        <v>45770</v>
      </c>
      <c r="D337" s="3" t="s">
        <v>205</v>
      </c>
      <c r="E337" s="3" t="s">
        <v>701</v>
      </c>
      <c r="F337" s="14" t="s">
        <v>702</v>
      </c>
      <c r="G337" s="4" t="s">
        <v>16</v>
      </c>
      <c r="H337" s="2" t="s">
        <v>17</v>
      </c>
      <c r="I337" s="2" t="s">
        <v>24</v>
      </c>
      <c r="J337" s="2" t="s">
        <v>54</v>
      </c>
      <c r="K337" s="1" t="s">
        <v>694</v>
      </c>
      <c r="L337" s="1" t="s">
        <v>95</v>
      </c>
      <c r="O337" s="1"/>
    </row>
    <row r="338" spans="2:15" ht="42" hidden="1" x14ac:dyDescent="0.35">
      <c r="B338" s="2">
        <v>436</v>
      </c>
      <c r="C338" s="5">
        <v>45824</v>
      </c>
      <c r="D338" s="3" t="s">
        <v>21</v>
      </c>
      <c r="E338" s="3" t="s">
        <v>703</v>
      </c>
      <c r="F338" s="14" t="s">
        <v>704</v>
      </c>
      <c r="G338" s="4" t="s">
        <v>51</v>
      </c>
      <c r="H338" s="2" t="s">
        <v>17</v>
      </c>
      <c r="I338" s="2" t="s">
        <v>37</v>
      </c>
      <c r="J338" s="2" t="s">
        <v>38</v>
      </c>
      <c r="K338" s="1" t="s">
        <v>694</v>
      </c>
      <c r="L338" s="1" t="s">
        <v>96</v>
      </c>
      <c r="O338" s="1"/>
    </row>
    <row r="339" spans="2:15" ht="42" hidden="1" x14ac:dyDescent="0.35">
      <c r="B339" s="2">
        <v>10993</v>
      </c>
      <c r="C339" s="5">
        <v>46056</v>
      </c>
      <c r="D339" s="3" t="s">
        <v>26</v>
      </c>
      <c r="E339" s="3" t="s">
        <v>705</v>
      </c>
      <c r="F339" s="14" t="s">
        <v>706</v>
      </c>
      <c r="G339" s="4" t="s">
        <v>16</v>
      </c>
      <c r="H339" s="2" t="s">
        <v>17</v>
      </c>
      <c r="I339" s="2" t="s">
        <v>24</v>
      </c>
      <c r="J339" s="2" t="s">
        <v>41</v>
      </c>
      <c r="K339" s="1" t="s">
        <v>694</v>
      </c>
      <c r="L339" s="1" t="s">
        <v>95</v>
      </c>
      <c r="O339" s="1"/>
    </row>
    <row r="340" spans="2:15" ht="42" hidden="1" x14ac:dyDescent="0.35">
      <c r="B340" s="2">
        <v>11560</v>
      </c>
      <c r="C340" s="24">
        <v>46109</v>
      </c>
      <c r="D340" s="3" t="s">
        <v>95</v>
      </c>
      <c r="E340" s="3" t="s">
        <v>707</v>
      </c>
      <c r="F340" s="14" t="s">
        <v>708</v>
      </c>
      <c r="G340" s="4" t="s">
        <v>51</v>
      </c>
      <c r="H340" s="2" t="s">
        <v>17</v>
      </c>
      <c r="I340" s="2" t="s">
        <v>24</v>
      </c>
      <c r="J340" s="2" t="s">
        <v>54</v>
      </c>
      <c r="K340" s="1" t="s">
        <v>694</v>
      </c>
      <c r="L340" s="1" t="s">
        <v>95</v>
      </c>
      <c r="O340" s="1"/>
    </row>
    <row r="341" spans="2:15" ht="56" hidden="1" x14ac:dyDescent="0.35">
      <c r="B341" s="2">
        <v>80</v>
      </c>
      <c r="C341" s="5">
        <v>45687</v>
      </c>
      <c r="D341" s="3" t="s">
        <v>250</v>
      </c>
      <c r="E341" s="3" t="s">
        <v>709</v>
      </c>
      <c r="F341" s="14" t="s">
        <v>710</v>
      </c>
      <c r="G341" s="4" t="s">
        <v>51</v>
      </c>
      <c r="H341" s="2" t="s">
        <v>17</v>
      </c>
      <c r="I341" s="2" t="s">
        <v>24</v>
      </c>
      <c r="J341" t="s">
        <v>33</v>
      </c>
      <c r="K341" s="1" t="s">
        <v>711</v>
      </c>
      <c r="L341" s="1" t="s">
        <v>278</v>
      </c>
      <c r="O341" s="1"/>
    </row>
    <row r="342" spans="2:15" ht="42" hidden="1" x14ac:dyDescent="0.35">
      <c r="B342" s="2">
        <v>111</v>
      </c>
      <c r="C342" s="5">
        <v>45701</v>
      </c>
      <c r="D342" s="3" t="s">
        <v>196</v>
      </c>
      <c r="E342" s="3" t="s">
        <v>712</v>
      </c>
      <c r="F342" s="14" t="s">
        <v>713</v>
      </c>
      <c r="G342" s="4" t="s">
        <v>51</v>
      </c>
      <c r="H342" s="2" t="s">
        <v>17</v>
      </c>
      <c r="I342" s="2" t="s">
        <v>37</v>
      </c>
      <c r="J342" s="2" t="s">
        <v>112</v>
      </c>
      <c r="K342" s="1" t="s">
        <v>711</v>
      </c>
      <c r="L342" s="1" t="s">
        <v>278</v>
      </c>
      <c r="O342" s="1"/>
    </row>
    <row r="343" spans="2:15" ht="56" hidden="1" x14ac:dyDescent="0.35">
      <c r="B343" s="2">
        <v>359</v>
      </c>
      <c r="C343" s="5">
        <v>45794</v>
      </c>
      <c r="D343" s="3" t="s">
        <v>227</v>
      </c>
      <c r="E343" s="3" t="s">
        <v>714</v>
      </c>
      <c r="F343" s="14" t="s">
        <v>715</v>
      </c>
      <c r="G343" s="4" t="s">
        <v>51</v>
      </c>
      <c r="H343" s="2" t="s">
        <v>17</v>
      </c>
      <c r="I343" s="2" t="s">
        <v>37</v>
      </c>
      <c r="J343" s="2" t="s">
        <v>716</v>
      </c>
      <c r="K343" s="1" t="s">
        <v>711</v>
      </c>
      <c r="L343" s="1" t="s">
        <v>278</v>
      </c>
      <c r="O343" s="1"/>
    </row>
    <row r="344" spans="2:15" ht="42" hidden="1" x14ac:dyDescent="0.35">
      <c r="B344" s="2">
        <v>9289</v>
      </c>
      <c r="C344" s="5">
        <v>45866</v>
      </c>
      <c r="D344" s="3" t="s">
        <v>190</v>
      </c>
      <c r="E344" s="3" t="s">
        <v>717</v>
      </c>
      <c r="F344" s="14" t="s">
        <v>718</v>
      </c>
      <c r="G344" s="4" t="s">
        <v>51</v>
      </c>
      <c r="H344" s="2" t="s">
        <v>17</v>
      </c>
      <c r="I344" s="2" t="s">
        <v>24</v>
      </c>
      <c r="J344" s="2" t="s">
        <v>54</v>
      </c>
      <c r="K344" s="1" t="s">
        <v>711</v>
      </c>
      <c r="L344" s="1" t="s">
        <v>278</v>
      </c>
      <c r="O344" s="1"/>
    </row>
    <row r="345" spans="2:15" ht="42" hidden="1" x14ac:dyDescent="0.35">
      <c r="B345" s="2">
        <v>281</v>
      </c>
      <c r="C345" s="5">
        <v>45775</v>
      </c>
      <c r="D345" s="3" t="s">
        <v>96</v>
      </c>
      <c r="E345" s="3" t="s">
        <v>719</v>
      </c>
      <c r="F345" s="14" t="s">
        <v>720</v>
      </c>
      <c r="G345" s="4" t="s">
        <v>16</v>
      </c>
      <c r="H345" s="2" t="s">
        <v>17</v>
      </c>
      <c r="I345" s="2" t="s">
        <v>18</v>
      </c>
      <c r="J345" s="2" t="s">
        <v>19</v>
      </c>
      <c r="K345" s="1" t="s">
        <v>465</v>
      </c>
      <c r="L345" s="1" t="s">
        <v>96</v>
      </c>
      <c r="O345" s="1"/>
    </row>
    <row r="346" spans="2:15" ht="28" hidden="1" x14ac:dyDescent="0.35">
      <c r="B346" s="2">
        <v>284</v>
      </c>
      <c r="C346" s="5">
        <v>45776</v>
      </c>
      <c r="D346" s="3" t="s">
        <v>21</v>
      </c>
      <c r="E346" s="3" t="s">
        <v>721</v>
      </c>
      <c r="F346" s="14" t="s">
        <v>182</v>
      </c>
      <c r="G346" s="4" t="s">
        <v>16</v>
      </c>
      <c r="H346" s="2" t="s">
        <v>17</v>
      </c>
      <c r="I346" s="2" t="s">
        <v>24</v>
      </c>
      <c r="J346" s="2" t="s">
        <v>72</v>
      </c>
      <c r="K346" s="1" t="s">
        <v>465</v>
      </c>
      <c r="L346" s="1" t="s">
        <v>21</v>
      </c>
      <c r="O346" s="1"/>
    </row>
    <row r="347" spans="2:15" ht="42" hidden="1" x14ac:dyDescent="0.35">
      <c r="B347" s="2">
        <v>285</v>
      </c>
      <c r="C347" s="5">
        <v>45776</v>
      </c>
      <c r="D347" s="3" t="s">
        <v>134</v>
      </c>
      <c r="E347" s="3" t="s">
        <v>722</v>
      </c>
      <c r="F347" s="14" t="s">
        <v>676</v>
      </c>
      <c r="G347" s="4" t="s">
        <v>51</v>
      </c>
      <c r="H347" s="2" t="s">
        <v>17</v>
      </c>
      <c r="I347" s="2" t="s">
        <v>18</v>
      </c>
      <c r="J347" s="2" t="s">
        <v>68</v>
      </c>
      <c r="K347" s="1" t="s">
        <v>465</v>
      </c>
      <c r="L347" s="1" t="s">
        <v>134</v>
      </c>
      <c r="O347" s="1"/>
    </row>
    <row r="348" spans="2:15" ht="28" hidden="1" x14ac:dyDescent="0.35">
      <c r="B348" s="2">
        <v>287</v>
      </c>
      <c r="C348" s="5">
        <v>45776</v>
      </c>
      <c r="D348" s="3" t="s">
        <v>21</v>
      </c>
      <c r="E348" s="3" t="s">
        <v>723</v>
      </c>
      <c r="F348" s="14" t="s">
        <v>519</v>
      </c>
      <c r="G348" s="4" t="s">
        <v>16</v>
      </c>
      <c r="H348" s="2" t="s">
        <v>17</v>
      </c>
      <c r="I348" s="2" t="s">
        <v>24</v>
      </c>
      <c r="J348" s="2" t="s">
        <v>72</v>
      </c>
      <c r="K348" s="1" t="s">
        <v>465</v>
      </c>
      <c r="L348" s="1" t="s">
        <v>21</v>
      </c>
      <c r="O348" s="1"/>
    </row>
    <row r="349" spans="2:15" ht="28" hidden="1" x14ac:dyDescent="0.35">
      <c r="B349" s="2">
        <v>343</v>
      </c>
      <c r="C349" s="5">
        <v>45789</v>
      </c>
      <c r="D349" s="3" t="s">
        <v>95</v>
      </c>
      <c r="E349" s="3" t="s">
        <v>724</v>
      </c>
      <c r="F349" s="14" t="s">
        <v>243</v>
      </c>
      <c r="G349" s="4" t="s">
        <v>16</v>
      </c>
      <c r="H349" s="2" t="s">
        <v>17</v>
      </c>
      <c r="I349" s="2" t="s">
        <v>24</v>
      </c>
      <c r="J349" s="2" t="s">
        <v>44</v>
      </c>
      <c r="K349" s="1" t="s">
        <v>465</v>
      </c>
      <c r="L349" s="1" t="s">
        <v>234</v>
      </c>
      <c r="O349" s="1"/>
    </row>
    <row r="350" spans="2:15" ht="42" hidden="1" x14ac:dyDescent="0.35">
      <c r="B350" s="2">
        <v>344</v>
      </c>
      <c r="C350" s="5">
        <v>45789</v>
      </c>
      <c r="D350" s="3" t="s">
        <v>104</v>
      </c>
      <c r="E350" s="3" t="s">
        <v>725</v>
      </c>
      <c r="F350" s="14" t="s">
        <v>726</v>
      </c>
      <c r="G350" s="4" t="s">
        <v>16</v>
      </c>
      <c r="H350" s="2" t="s">
        <v>17</v>
      </c>
      <c r="I350" s="2" t="s">
        <v>18</v>
      </c>
      <c r="J350" s="2" t="s">
        <v>19</v>
      </c>
      <c r="K350" s="1" t="s">
        <v>465</v>
      </c>
      <c r="L350" s="1" t="s">
        <v>104</v>
      </c>
      <c r="O350" s="1"/>
    </row>
    <row r="351" spans="2:15" ht="42" hidden="1" x14ac:dyDescent="0.35">
      <c r="B351" s="2">
        <v>345</v>
      </c>
      <c r="C351" s="5">
        <v>45789</v>
      </c>
      <c r="D351" s="3" t="s">
        <v>21</v>
      </c>
      <c r="E351" s="3" t="s">
        <v>727</v>
      </c>
      <c r="F351" s="14" t="s">
        <v>728</v>
      </c>
      <c r="G351" s="4" t="s">
        <v>16</v>
      </c>
      <c r="H351" s="2" t="s">
        <v>17</v>
      </c>
      <c r="I351" s="2" t="s">
        <v>18</v>
      </c>
      <c r="J351" s="2" t="s">
        <v>19</v>
      </c>
      <c r="K351" s="1" t="s">
        <v>465</v>
      </c>
      <c r="L351" s="1" t="s">
        <v>21</v>
      </c>
      <c r="O351" s="1"/>
    </row>
    <row r="352" spans="2:15" ht="28" hidden="1" x14ac:dyDescent="0.35">
      <c r="B352" s="2">
        <v>349</v>
      </c>
      <c r="C352" s="5">
        <v>45790</v>
      </c>
      <c r="D352" s="3" t="s">
        <v>21</v>
      </c>
      <c r="E352" s="3" t="s">
        <v>729</v>
      </c>
      <c r="F352" s="14" t="s">
        <v>730</v>
      </c>
      <c r="G352" s="4" t="s">
        <v>16</v>
      </c>
      <c r="H352" s="2" t="s">
        <v>17</v>
      </c>
      <c r="I352" s="2" t="s">
        <v>37</v>
      </c>
      <c r="J352" s="2" t="s">
        <v>112</v>
      </c>
      <c r="K352" s="1" t="s">
        <v>465</v>
      </c>
      <c r="L352" s="1" t="s">
        <v>21</v>
      </c>
      <c r="O352" s="1"/>
    </row>
    <row r="353" spans="2:15" ht="28" hidden="1" x14ac:dyDescent="0.35">
      <c r="B353" s="2">
        <v>350</v>
      </c>
      <c r="C353" s="5">
        <v>45790</v>
      </c>
      <c r="D353" s="3" t="s">
        <v>13</v>
      </c>
      <c r="E353" s="3" t="s">
        <v>731</v>
      </c>
      <c r="F353" s="14" t="s">
        <v>732</v>
      </c>
      <c r="G353" s="4" t="s">
        <v>16</v>
      </c>
      <c r="H353" s="2" t="s">
        <v>17</v>
      </c>
      <c r="I353" s="2" t="s">
        <v>18</v>
      </c>
      <c r="J353" s="2" t="s">
        <v>19</v>
      </c>
      <c r="K353" s="1" t="s">
        <v>465</v>
      </c>
      <c r="L353" s="1" t="s">
        <v>13</v>
      </c>
      <c r="O353" s="1"/>
    </row>
    <row r="354" spans="2:15" ht="56" hidden="1" x14ac:dyDescent="0.35">
      <c r="B354" s="2">
        <v>391</v>
      </c>
      <c r="C354" s="5">
        <v>45805</v>
      </c>
      <c r="D354" s="3" t="s">
        <v>96</v>
      </c>
      <c r="E354" s="3" t="s">
        <v>733</v>
      </c>
      <c r="F354" s="14" t="s">
        <v>734</v>
      </c>
      <c r="G354" s="4" t="s">
        <v>16</v>
      </c>
      <c r="H354" s="2" t="s">
        <v>17</v>
      </c>
      <c r="I354" s="2" t="s">
        <v>24</v>
      </c>
      <c r="J354" s="2" t="s">
        <v>44</v>
      </c>
      <c r="K354" s="1" t="s">
        <v>465</v>
      </c>
      <c r="L354" s="1" t="s">
        <v>21</v>
      </c>
      <c r="O354" s="1"/>
    </row>
    <row r="355" spans="2:15" ht="42" hidden="1" x14ac:dyDescent="0.35">
      <c r="B355" s="2">
        <v>405</v>
      </c>
      <c r="C355" s="5">
        <v>45812</v>
      </c>
      <c r="D355" s="3" t="s">
        <v>95</v>
      </c>
      <c r="E355" s="3" t="s">
        <v>735</v>
      </c>
      <c r="F355" s="14" t="s">
        <v>694</v>
      </c>
      <c r="G355" s="4" t="s">
        <v>16</v>
      </c>
      <c r="H355" s="2" t="s">
        <v>17</v>
      </c>
      <c r="I355" s="2" t="s">
        <v>18</v>
      </c>
      <c r="J355" s="2" t="s">
        <v>68</v>
      </c>
      <c r="K355" s="1" t="s">
        <v>465</v>
      </c>
      <c r="L355" s="1" t="s">
        <v>234</v>
      </c>
      <c r="O355" s="1"/>
    </row>
    <row r="356" spans="2:15" ht="42" hidden="1" x14ac:dyDescent="0.35">
      <c r="B356" s="2">
        <v>422</v>
      </c>
      <c r="C356" s="5">
        <v>45818</v>
      </c>
      <c r="D356" s="3" t="s">
        <v>21</v>
      </c>
      <c r="E356" s="3" t="s">
        <v>736</v>
      </c>
      <c r="F356" s="14" t="s">
        <v>737</v>
      </c>
      <c r="G356" s="4" t="s">
        <v>51</v>
      </c>
      <c r="H356" s="2" t="s">
        <v>17</v>
      </c>
      <c r="I356" s="2" t="s">
        <v>24</v>
      </c>
      <c r="J356" s="2" t="s">
        <v>33</v>
      </c>
      <c r="K356" s="1" t="s">
        <v>465</v>
      </c>
      <c r="L356" s="1" t="s">
        <v>21</v>
      </c>
      <c r="O356" s="1"/>
    </row>
    <row r="357" spans="2:15" ht="28" hidden="1" x14ac:dyDescent="0.35">
      <c r="B357" s="2">
        <v>9131</v>
      </c>
      <c r="C357" s="5">
        <v>45848</v>
      </c>
      <c r="D357" s="3" t="s">
        <v>21</v>
      </c>
      <c r="E357" s="3" t="s">
        <v>738</v>
      </c>
      <c r="F357" s="14" t="s">
        <v>739</v>
      </c>
      <c r="G357" s="4" t="s">
        <v>16</v>
      </c>
      <c r="H357" s="2" t="s">
        <v>17</v>
      </c>
      <c r="I357" s="2" t="s">
        <v>24</v>
      </c>
      <c r="J357" s="2" t="s">
        <v>72</v>
      </c>
      <c r="K357" s="1" t="s">
        <v>465</v>
      </c>
      <c r="L357" s="1" t="s">
        <v>21</v>
      </c>
      <c r="O357" s="1"/>
    </row>
    <row r="358" spans="2:15" ht="42" hidden="1" x14ac:dyDescent="0.35">
      <c r="B358" s="2">
        <v>9136</v>
      </c>
      <c r="C358" s="5">
        <v>45848</v>
      </c>
      <c r="D358" s="3" t="s">
        <v>234</v>
      </c>
      <c r="E358" s="3" t="s">
        <v>740</v>
      </c>
      <c r="F358" s="14" t="s">
        <v>550</v>
      </c>
      <c r="G358" s="4" t="s">
        <v>16</v>
      </c>
      <c r="H358" s="2" t="s">
        <v>17</v>
      </c>
      <c r="I358" s="2" t="s">
        <v>18</v>
      </c>
      <c r="J358" s="2" t="s">
        <v>19</v>
      </c>
      <c r="K358" s="1" t="s">
        <v>465</v>
      </c>
      <c r="L358" s="1" t="s">
        <v>234</v>
      </c>
      <c r="O358" s="1"/>
    </row>
    <row r="359" spans="2:15" ht="28" hidden="1" x14ac:dyDescent="0.35">
      <c r="B359" s="2">
        <v>9137</v>
      </c>
      <c r="C359" s="5">
        <v>45849</v>
      </c>
      <c r="D359" s="3" t="s">
        <v>104</v>
      </c>
      <c r="E359" s="3" t="s">
        <v>741</v>
      </c>
      <c r="F359" s="14" t="s">
        <v>545</v>
      </c>
      <c r="G359" s="4" t="s">
        <v>16</v>
      </c>
      <c r="H359" s="2" t="s">
        <v>17</v>
      </c>
      <c r="I359" s="2" t="s">
        <v>18</v>
      </c>
      <c r="J359" s="2" t="s">
        <v>19</v>
      </c>
      <c r="K359" s="1" t="s">
        <v>465</v>
      </c>
      <c r="L359" s="1" t="s">
        <v>104</v>
      </c>
      <c r="O359" s="1"/>
    </row>
    <row r="360" spans="2:15" ht="42" hidden="1" x14ac:dyDescent="0.35">
      <c r="B360" s="2">
        <v>9275</v>
      </c>
      <c r="C360" s="5">
        <v>45866</v>
      </c>
      <c r="D360" s="3" t="s">
        <v>234</v>
      </c>
      <c r="E360" s="3" t="s">
        <v>742</v>
      </c>
      <c r="F360" s="14" t="s">
        <v>743</v>
      </c>
      <c r="G360" s="4" t="s">
        <v>16</v>
      </c>
      <c r="H360" s="2" t="s">
        <v>17</v>
      </c>
      <c r="I360" s="2" t="s">
        <v>18</v>
      </c>
      <c r="J360" s="2" t="s">
        <v>19</v>
      </c>
      <c r="K360" s="1" t="s">
        <v>465</v>
      </c>
      <c r="L360" s="1" t="s">
        <v>234</v>
      </c>
      <c r="O360" s="1"/>
    </row>
    <row r="361" spans="2:15" ht="42" hidden="1" x14ac:dyDescent="0.35">
      <c r="B361" s="2">
        <v>9620</v>
      </c>
      <c r="C361" s="5">
        <v>45897</v>
      </c>
      <c r="D361" s="3" t="s">
        <v>21</v>
      </c>
      <c r="E361" s="3" t="s">
        <v>744</v>
      </c>
      <c r="F361" s="14" t="s">
        <v>745</v>
      </c>
      <c r="G361" s="4" t="s">
        <v>16</v>
      </c>
      <c r="H361" s="2" t="s">
        <v>17</v>
      </c>
      <c r="I361" s="2" t="s">
        <v>18</v>
      </c>
      <c r="J361" s="2" t="s">
        <v>19</v>
      </c>
      <c r="K361" s="1" t="s">
        <v>465</v>
      </c>
      <c r="L361" s="1" t="s">
        <v>234</v>
      </c>
      <c r="O361" s="1"/>
    </row>
    <row r="362" spans="2:15" ht="28" hidden="1" x14ac:dyDescent="0.35">
      <c r="B362" s="2">
        <v>9683</v>
      </c>
      <c r="C362" s="5">
        <v>45905</v>
      </c>
      <c r="D362" s="3" t="s">
        <v>104</v>
      </c>
      <c r="E362" s="3" t="s">
        <v>746</v>
      </c>
      <c r="F362" s="14" t="s">
        <v>138</v>
      </c>
      <c r="G362" s="4" t="s">
        <v>16</v>
      </c>
      <c r="H362" s="2" t="s">
        <v>17</v>
      </c>
      <c r="I362" s="2" t="s">
        <v>37</v>
      </c>
      <c r="J362" s="2" t="s">
        <v>81</v>
      </c>
      <c r="K362" s="1" t="s">
        <v>465</v>
      </c>
      <c r="L362" s="1" t="s">
        <v>104</v>
      </c>
      <c r="O362" s="1"/>
    </row>
    <row r="363" spans="2:15" ht="28" hidden="1" x14ac:dyDescent="0.35">
      <c r="B363" s="2">
        <v>9708</v>
      </c>
      <c r="C363" s="5">
        <v>45909</v>
      </c>
      <c r="D363" s="3" t="s">
        <v>134</v>
      </c>
      <c r="E363" s="3" t="s">
        <v>747</v>
      </c>
      <c r="F363" s="14" t="s">
        <v>748</v>
      </c>
      <c r="G363" s="4" t="s">
        <v>16</v>
      </c>
      <c r="H363" s="2" t="s">
        <v>17</v>
      </c>
      <c r="I363" s="2" t="s">
        <v>18</v>
      </c>
      <c r="J363" s="2" t="s">
        <v>19</v>
      </c>
      <c r="K363" s="1" t="s">
        <v>465</v>
      </c>
      <c r="L363" s="1" t="s">
        <v>134</v>
      </c>
      <c r="O363" s="1"/>
    </row>
    <row r="364" spans="2:15" ht="28" hidden="1" x14ac:dyDescent="0.35">
      <c r="B364" s="2">
        <v>9719</v>
      </c>
      <c r="C364" s="5">
        <v>45909</v>
      </c>
      <c r="D364" s="3" t="s">
        <v>21</v>
      </c>
      <c r="E364" s="3" t="s">
        <v>749</v>
      </c>
      <c r="F364" s="14" t="s">
        <v>750</v>
      </c>
      <c r="G364" s="4" t="s">
        <v>16</v>
      </c>
      <c r="H364" s="2" t="s">
        <v>17</v>
      </c>
      <c r="I364" s="2" t="s">
        <v>24</v>
      </c>
      <c r="J364" s="2" t="s">
        <v>72</v>
      </c>
      <c r="K364" s="1" t="s">
        <v>465</v>
      </c>
      <c r="L364" s="1" t="s">
        <v>21</v>
      </c>
      <c r="O364" s="1"/>
    </row>
    <row r="365" spans="2:15" ht="28" hidden="1" x14ac:dyDescent="0.35">
      <c r="B365" s="2">
        <v>9722</v>
      </c>
      <c r="C365" s="5">
        <v>45914</v>
      </c>
      <c r="D365" s="3" t="s">
        <v>104</v>
      </c>
      <c r="E365" s="3" t="s">
        <v>751</v>
      </c>
      <c r="F365" s="14" t="s">
        <v>123</v>
      </c>
      <c r="G365" s="4" t="s">
        <v>16</v>
      </c>
      <c r="H365" s="2" t="s">
        <v>17</v>
      </c>
      <c r="I365" s="2" t="s">
        <v>37</v>
      </c>
      <c r="J365" s="2" t="s">
        <v>81</v>
      </c>
      <c r="K365" s="1" t="s">
        <v>465</v>
      </c>
      <c r="L365" s="1" t="s">
        <v>104</v>
      </c>
      <c r="O365" s="1"/>
    </row>
    <row r="366" spans="2:15" ht="28" hidden="1" x14ac:dyDescent="0.35">
      <c r="B366" s="2">
        <v>9799</v>
      </c>
      <c r="C366" s="5">
        <v>45921</v>
      </c>
      <c r="D366" s="3" t="s">
        <v>134</v>
      </c>
      <c r="E366" s="3" t="s">
        <v>752</v>
      </c>
      <c r="F366" s="14" t="s">
        <v>753</v>
      </c>
      <c r="G366" s="4" t="s">
        <v>16</v>
      </c>
      <c r="H366" s="2" t="s">
        <v>17</v>
      </c>
      <c r="I366" s="2" t="s">
        <v>37</v>
      </c>
      <c r="J366" s="2" t="s">
        <v>81</v>
      </c>
      <c r="K366" s="1" t="s">
        <v>465</v>
      </c>
      <c r="L366" s="1" t="s">
        <v>134</v>
      </c>
      <c r="O366" s="1"/>
    </row>
    <row r="367" spans="2:15" ht="28" hidden="1" x14ac:dyDescent="0.35">
      <c r="B367" s="2">
        <v>9798</v>
      </c>
      <c r="C367" s="5">
        <v>45921</v>
      </c>
      <c r="D367" s="3" t="s">
        <v>134</v>
      </c>
      <c r="E367" s="3" t="s">
        <v>754</v>
      </c>
      <c r="F367" s="14" t="s">
        <v>755</v>
      </c>
      <c r="G367" s="4" t="s">
        <v>16</v>
      </c>
      <c r="H367" s="2" t="s">
        <v>17</v>
      </c>
      <c r="I367" s="2" t="s">
        <v>37</v>
      </c>
      <c r="J367" s="2" t="s">
        <v>81</v>
      </c>
      <c r="K367" s="1" t="s">
        <v>465</v>
      </c>
      <c r="L367" s="1" t="s">
        <v>134</v>
      </c>
      <c r="O367" s="1"/>
    </row>
    <row r="368" spans="2:15" ht="42" hidden="1" x14ac:dyDescent="0.35">
      <c r="B368" s="2">
        <v>9876</v>
      </c>
      <c r="C368" s="5">
        <v>45929</v>
      </c>
      <c r="D368" s="3" t="s">
        <v>104</v>
      </c>
      <c r="E368" s="3" t="s">
        <v>756</v>
      </c>
      <c r="F368" s="14" t="s">
        <v>757</v>
      </c>
      <c r="G368" s="4" t="s">
        <v>16</v>
      </c>
      <c r="H368" s="2" t="s">
        <v>17</v>
      </c>
      <c r="I368" s="2" t="s">
        <v>37</v>
      </c>
      <c r="J368" s="2" t="s">
        <v>81</v>
      </c>
      <c r="K368" s="1" t="s">
        <v>465</v>
      </c>
      <c r="L368" s="1" t="s">
        <v>234</v>
      </c>
      <c r="O368" s="1"/>
    </row>
    <row r="369" spans="2:15" ht="42" hidden="1" x14ac:dyDescent="0.35">
      <c r="B369" s="2">
        <v>9875</v>
      </c>
      <c r="C369" s="5">
        <v>45929</v>
      </c>
      <c r="D369" s="3" t="s">
        <v>104</v>
      </c>
      <c r="E369" s="3" t="s">
        <v>758</v>
      </c>
      <c r="F369" s="14" t="s">
        <v>759</v>
      </c>
      <c r="G369" s="4" t="s">
        <v>16</v>
      </c>
      <c r="H369" s="2" t="s">
        <v>17</v>
      </c>
      <c r="I369" s="2" t="s">
        <v>37</v>
      </c>
      <c r="J369" s="2" t="s">
        <v>81</v>
      </c>
      <c r="K369" s="1" t="s">
        <v>465</v>
      </c>
      <c r="L369" s="1" t="s">
        <v>104</v>
      </c>
      <c r="O369" s="1"/>
    </row>
    <row r="370" spans="2:15" ht="56" hidden="1" x14ac:dyDescent="0.35">
      <c r="B370" s="2">
        <v>34</v>
      </c>
      <c r="C370" s="5">
        <v>45670</v>
      </c>
      <c r="D370" s="3" t="s">
        <v>21</v>
      </c>
      <c r="E370" s="3" t="s">
        <v>760</v>
      </c>
      <c r="F370" s="14" t="s">
        <v>761</v>
      </c>
      <c r="G370" s="4" t="s">
        <v>51</v>
      </c>
      <c r="H370" s="2" t="s">
        <v>17</v>
      </c>
      <c r="I370" s="2" t="s">
        <v>37</v>
      </c>
      <c r="J370" t="s">
        <v>81</v>
      </c>
      <c r="K370" s="1" t="s">
        <v>762</v>
      </c>
      <c r="L370" s="1" t="s">
        <v>21</v>
      </c>
      <c r="O370" s="1"/>
    </row>
    <row r="371" spans="2:15" ht="56" hidden="1" x14ac:dyDescent="0.35">
      <c r="B371" s="2">
        <v>35</v>
      </c>
      <c r="C371" s="5">
        <v>45670</v>
      </c>
      <c r="D371" s="3" t="s">
        <v>21</v>
      </c>
      <c r="E371" s="3" t="s">
        <v>763</v>
      </c>
      <c r="F371" s="14" t="s">
        <v>764</v>
      </c>
      <c r="G371" s="4" t="s">
        <v>51</v>
      </c>
      <c r="H371" s="2" t="s">
        <v>17</v>
      </c>
      <c r="I371" s="2" t="s">
        <v>37</v>
      </c>
      <c r="J371" t="s">
        <v>81</v>
      </c>
      <c r="K371" s="1" t="s">
        <v>762</v>
      </c>
      <c r="L371" s="1" t="s">
        <v>21</v>
      </c>
      <c r="O371" s="1"/>
    </row>
    <row r="372" spans="2:15" ht="28" hidden="1" x14ac:dyDescent="0.35">
      <c r="B372" s="2">
        <v>45</v>
      </c>
      <c r="C372" s="5">
        <v>45672</v>
      </c>
      <c r="D372" s="3" t="s">
        <v>21</v>
      </c>
      <c r="E372" s="3" t="s">
        <v>765</v>
      </c>
      <c r="F372" s="14" t="s">
        <v>766</v>
      </c>
      <c r="G372" s="4" t="s">
        <v>16</v>
      </c>
      <c r="H372" s="2" t="s">
        <v>17</v>
      </c>
      <c r="I372" s="2" t="s">
        <v>24</v>
      </c>
      <c r="J372" t="s">
        <v>44</v>
      </c>
      <c r="K372" s="1" t="s">
        <v>762</v>
      </c>
      <c r="L372" s="1" t="s">
        <v>21</v>
      </c>
      <c r="O372" s="1"/>
    </row>
    <row r="373" spans="2:15" ht="42" hidden="1" x14ac:dyDescent="0.35">
      <c r="B373" s="2">
        <v>46</v>
      </c>
      <c r="C373" s="5">
        <v>45672</v>
      </c>
      <c r="D373" s="3" t="s">
        <v>21</v>
      </c>
      <c r="E373" s="3" t="s">
        <v>767</v>
      </c>
      <c r="F373" s="14" t="s">
        <v>768</v>
      </c>
      <c r="G373" s="4" t="s">
        <v>16</v>
      </c>
      <c r="H373" s="2" t="s">
        <v>17</v>
      </c>
      <c r="I373" s="2" t="s">
        <v>24</v>
      </c>
      <c r="J373" t="s">
        <v>44</v>
      </c>
      <c r="K373" s="1" t="s">
        <v>762</v>
      </c>
      <c r="L373" s="1" t="s">
        <v>21</v>
      </c>
      <c r="O373" s="1"/>
    </row>
    <row r="374" spans="2:15" ht="42" hidden="1" x14ac:dyDescent="0.35">
      <c r="B374" s="2">
        <v>47</v>
      </c>
      <c r="C374" s="5">
        <v>45672</v>
      </c>
      <c r="D374" s="3" t="s">
        <v>134</v>
      </c>
      <c r="E374" s="3" t="s">
        <v>769</v>
      </c>
      <c r="F374" s="14" t="s">
        <v>232</v>
      </c>
      <c r="G374" s="4" t="s">
        <v>51</v>
      </c>
      <c r="H374" s="2" t="s">
        <v>17</v>
      </c>
      <c r="I374" s="2" t="s">
        <v>37</v>
      </c>
      <c r="J374" t="s">
        <v>81</v>
      </c>
      <c r="K374" s="1" t="s">
        <v>762</v>
      </c>
      <c r="L374" s="1" t="s">
        <v>134</v>
      </c>
      <c r="O374" s="1"/>
    </row>
    <row r="375" spans="2:15" ht="42" hidden="1" x14ac:dyDescent="0.35">
      <c r="B375" s="2">
        <v>73</v>
      </c>
      <c r="C375" s="5">
        <v>45686</v>
      </c>
      <c r="D375" s="3" t="s">
        <v>104</v>
      </c>
      <c r="E375" s="3" t="s">
        <v>770</v>
      </c>
      <c r="F375" s="14" t="s">
        <v>499</v>
      </c>
      <c r="G375" s="4" t="s">
        <v>16</v>
      </c>
      <c r="H375" s="2" t="s">
        <v>17</v>
      </c>
      <c r="I375" s="2" t="s">
        <v>18</v>
      </c>
      <c r="J375" t="s">
        <v>68</v>
      </c>
      <c r="K375" s="1" t="s">
        <v>762</v>
      </c>
      <c r="L375" s="1" t="s">
        <v>104</v>
      </c>
      <c r="O375" s="1"/>
    </row>
    <row r="376" spans="2:15" ht="42" hidden="1" x14ac:dyDescent="0.35">
      <c r="B376" s="2">
        <v>74</v>
      </c>
      <c r="C376" s="5">
        <v>45686</v>
      </c>
      <c r="D376" s="3" t="s">
        <v>104</v>
      </c>
      <c r="E376" s="3" t="s">
        <v>771</v>
      </c>
      <c r="F376" s="14" t="s">
        <v>757</v>
      </c>
      <c r="G376" s="4" t="s">
        <v>16</v>
      </c>
      <c r="H376" s="2" t="s">
        <v>17</v>
      </c>
      <c r="I376" s="2" t="s">
        <v>18</v>
      </c>
      <c r="J376" t="s">
        <v>68</v>
      </c>
      <c r="K376" s="1" t="s">
        <v>762</v>
      </c>
      <c r="L376" s="1" t="s">
        <v>104</v>
      </c>
      <c r="O376" s="1"/>
    </row>
    <row r="377" spans="2:15" ht="28" hidden="1" x14ac:dyDescent="0.35">
      <c r="B377" s="2">
        <v>75</v>
      </c>
      <c r="C377" s="5">
        <v>45686</v>
      </c>
      <c r="D377" s="3" t="s">
        <v>21</v>
      </c>
      <c r="E377" s="3" t="s">
        <v>772</v>
      </c>
      <c r="F377" s="14" t="s">
        <v>773</v>
      </c>
      <c r="G377" s="4" t="s">
        <v>16</v>
      </c>
      <c r="H377" s="2" t="s">
        <v>17</v>
      </c>
      <c r="I377" s="2" t="s">
        <v>24</v>
      </c>
      <c r="J377" t="s">
        <v>72</v>
      </c>
      <c r="K377" s="1" t="s">
        <v>762</v>
      </c>
      <c r="L377" s="1" t="s">
        <v>21</v>
      </c>
      <c r="O377" s="1"/>
    </row>
    <row r="378" spans="2:15" ht="42" hidden="1" x14ac:dyDescent="0.35">
      <c r="B378" s="2">
        <v>76</v>
      </c>
      <c r="C378" s="5">
        <v>45686</v>
      </c>
      <c r="D378" s="3" t="s">
        <v>21</v>
      </c>
      <c r="E378" s="3" t="s">
        <v>774</v>
      </c>
      <c r="F378" s="14" t="s">
        <v>775</v>
      </c>
      <c r="G378" s="4" t="s">
        <v>16</v>
      </c>
      <c r="H378" s="2" t="s">
        <v>17</v>
      </c>
      <c r="I378" s="2" t="s">
        <v>24</v>
      </c>
      <c r="J378" t="s">
        <v>44</v>
      </c>
      <c r="K378" s="1" t="s">
        <v>762</v>
      </c>
      <c r="L378" s="1" t="s">
        <v>21</v>
      </c>
      <c r="O378" s="1"/>
    </row>
    <row r="379" spans="2:15" ht="28" hidden="1" x14ac:dyDescent="0.35">
      <c r="B379" s="2">
        <v>106</v>
      </c>
      <c r="C379" s="5">
        <v>45698</v>
      </c>
      <c r="D379" s="3" t="s">
        <v>13</v>
      </c>
      <c r="E379" s="3" t="s">
        <v>776</v>
      </c>
      <c r="F379" s="14" t="s">
        <v>777</v>
      </c>
      <c r="G379" s="4" t="s">
        <v>16</v>
      </c>
      <c r="H379" s="2" t="s">
        <v>17</v>
      </c>
      <c r="I379" s="2" t="s">
        <v>24</v>
      </c>
      <c r="J379" s="2" t="s">
        <v>72</v>
      </c>
      <c r="K379" s="1" t="s">
        <v>762</v>
      </c>
      <c r="L379" s="1" t="s">
        <v>13</v>
      </c>
      <c r="O379" s="1"/>
    </row>
    <row r="380" spans="2:15" ht="28" hidden="1" x14ac:dyDescent="0.35">
      <c r="B380" s="2">
        <v>107</v>
      </c>
      <c r="C380" s="5">
        <v>45698</v>
      </c>
      <c r="D380" s="3" t="s">
        <v>13</v>
      </c>
      <c r="E380" s="3" t="s">
        <v>778</v>
      </c>
      <c r="F380" s="14" t="s">
        <v>779</v>
      </c>
      <c r="G380" s="4" t="s">
        <v>16</v>
      </c>
      <c r="H380" s="2" t="s">
        <v>17</v>
      </c>
      <c r="I380" s="2" t="s">
        <v>24</v>
      </c>
      <c r="J380" s="2" t="s">
        <v>72</v>
      </c>
      <c r="K380" s="1" t="s">
        <v>762</v>
      </c>
      <c r="L380" s="1" t="s">
        <v>13</v>
      </c>
      <c r="O380" s="1"/>
    </row>
    <row r="381" spans="2:15" ht="28" hidden="1" x14ac:dyDescent="0.35">
      <c r="B381" s="2">
        <v>108</v>
      </c>
      <c r="C381" s="5">
        <v>45698</v>
      </c>
      <c r="D381" s="3" t="s">
        <v>21</v>
      </c>
      <c r="E381" s="3" t="s">
        <v>780</v>
      </c>
      <c r="F381" s="14" t="s">
        <v>781</v>
      </c>
      <c r="G381" s="4" t="s">
        <v>16</v>
      </c>
      <c r="H381" s="2" t="s">
        <v>17</v>
      </c>
      <c r="I381" s="2" t="s">
        <v>24</v>
      </c>
      <c r="J381" s="2" t="s">
        <v>72</v>
      </c>
      <c r="K381" s="1" t="s">
        <v>762</v>
      </c>
      <c r="L381" s="1" t="s">
        <v>21</v>
      </c>
      <c r="O381" s="1"/>
    </row>
    <row r="382" spans="2:15" ht="42" hidden="1" x14ac:dyDescent="0.35">
      <c r="B382" s="2">
        <v>117</v>
      </c>
      <c r="C382" s="5">
        <v>45707</v>
      </c>
      <c r="D382" s="3" t="s">
        <v>21</v>
      </c>
      <c r="E382" s="3" t="s">
        <v>782</v>
      </c>
      <c r="F382" s="14" t="s">
        <v>783</v>
      </c>
      <c r="G382" s="4" t="s">
        <v>16</v>
      </c>
      <c r="H382" s="2" t="s">
        <v>17</v>
      </c>
      <c r="I382" s="2" t="s">
        <v>24</v>
      </c>
      <c r="J382" s="2" t="s">
        <v>72</v>
      </c>
      <c r="K382" s="1" t="s">
        <v>762</v>
      </c>
      <c r="L382" s="1" t="s">
        <v>21</v>
      </c>
      <c r="O382" s="1"/>
    </row>
    <row r="383" spans="2:15" ht="28" hidden="1" x14ac:dyDescent="0.35">
      <c r="B383" s="2">
        <v>120</v>
      </c>
      <c r="C383" s="5">
        <v>45708</v>
      </c>
      <c r="D383" s="3" t="s">
        <v>21</v>
      </c>
      <c r="E383" s="3" t="s">
        <v>784</v>
      </c>
      <c r="F383" s="14" t="s">
        <v>785</v>
      </c>
      <c r="G383" s="4" t="s">
        <v>16</v>
      </c>
      <c r="H383" s="2" t="s">
        <v>17</v>
      </c>
      <c r="I383" s="2" t="s">
        <v>24</v>
      </c>
      <c r="J383" s="2" t="s">
        <v>72</v>
      </c>
      <c r="K383" s="1" t="s">
        <v>762</v>
      </c>
      <c r="L383" s="1" t="s">
        <v>21</v>
      </c>
      <c r="O383" s="1"/>
    </row>
    <row r="384" spans="2:15" ht="28" hidden="1" x14ac:dyDescent="0.35">
      <c r="B384" s="2">
        <v>121</v>
      </c>
      <c r="C384" s="5">
        <v>45708</v>
      </c>
      <c r="D384" s="3" t="s">
        <v>21</v>
      </c>
      <c r="E384" s="3" t="s">
        <v>786</v>
      </c>
      <c r="F384" s="14" t="s">
        <v>787</v>
      </c>
      <c r="G384" s="4" t="s">
        <v>16</v>
      </c>
      <c r="H384" s="2" t="s">
        <v>17</v>
      </c>
      <c r="I384" s="2" t="s">
        <v>24</v>
      </c>
      <c r="J384" s="2" t="s">
        <v>72</v>
      </c>
      <c r="K384" s="1" t="s">
        <v>762</v>
      </c>
      <c r="L384" s="1" t="s">
        <v>21</v>
      </c>
      <c r="O384" s="1"/>
    </row>
    <row r="385" spans="2:15" ht="42" hidden="1" x14ac:dyDescent="0.35">
      <c r="B385" s="2">
        <v>159</v>
      </c>
      <c r="C385" s="5">
        <v>45716</v>
      </c>
      <c r="D385" s="3" t="s">
        <v>13</v>
      </c>
      <c r="E385" s="3" t="s">
        <v>788</v>
      </c>
      <c r="F385" s="14" t="s">
        <v>789</v>
      </c>
      <c r="G385" s="4" t="s">
        <v>16</v>
      </c>
      <c r="H385" s="2" t="s">
        <v>17</v>
      </c>
      <c r="I385" s="2" t="s">
        <v>24</v>
      </c>
      <c r="J385" s="2" t="s">
        <v>33</v>
      </c>
      <c r="K385" s="1" t="s">
        <v>762</v>
      </c>
      <c r="L385" s="1" t="s">
        <v>13</v>
      </c>
      <c r="O385" s="1"/>
    </row>
    <row r="386" spans="2:15" ht="42" hidden="1" x14ac:dyDescent="0.35">
      <c r="B386" s="2">
        <v>161</v>
      </c>
      <c r="C386" s="5">
        <v>45716</v>
      </c>
      <c r="D386" s="3" t="s">
        <v>13</v>
      </c>
      <c r="E386" s="3" t="s">
        <v>790</v>
      </c>
      <c r="F386" s="14" t="s">
        <v>333</v>
      </c>
      <c r="G386" s="4" t="s">
        <v>16</v>
      </c>
      <c r="H386" s="2" t="s">
        <v>17</v>
      </c>
      <c r="I386" s="2" t="s">
        <v>24</v>
      </c>
      <c r="J386" s="2" t="s">
        <v>33</v>
      </c>
      <c r="K386" s="1" t="s">
        <v>762</v>
      </c>
      <c r="L386" s="1" t="s">
        <v>13</v>
      </c>
      <c r="O386" s="1"/>
    </row>
    <row r="387" spans="2:15" ht="42" hidden="1" x14ac:dyDescent="0.35">
      <c r="B387" s="2">
        <v>164</v>
      </c>
      <c r="C387" s="5">
        <v>45719</v>
      </c>
      <c r="D387" s="3" t="s">
        <v>21</v>
      </c>
      <c r="E387" s="3" t="s">
        <v>791</v>
      </c>
      <c r="F387" s="14" t="s">
        <v>792</v>
      </c>
      <c r="G387" s="4" t="s">
        <v>16</v>
      </c>
      <c r="H387" s="2" t="s">
        <v>17</v>
      </c>
      <c r="I387" s="2" t="s">
        <v>24</v>
      </c>
      <c r="J387" s="2" t="s">
        <v>72</v>
      </c>
      <c r="K387" s="1" t="s">
        <v>762</v>
      </c>
      <c r="L387" s="1" t="s">
        <v>21</v>
      </c>
      <c r="O387" s="1"/>
    </row>
    <row r="388" spans="2:15" ht="28" hidden="1" x14ac:dyDescent="0.35">
      <c r="B388" s="2">
        <v>166</v>
      </c>
      <c r="C388" s="5">
        <v>45719</v>
      </c>
      <c r="D388" s="3" t="s">
        <v>104</v>
      </c>
      <c r="E388" s="3" t="s">
        <v>793</v>
      </c>
      <c r="F388" s="14" t="s">
        <v>794</v>
      </c>
      <c r="G388" s="4" t="s">
        <v>16</v>
      </c>
      <c r="H388" s="2" t="s">
        <v>17</v>
      </c>
      <c r="I388" s="2" t="s">
        <v>24</v>
      </c>
      <c r="J388" s="2" t="s">
        <v>347</v>
      </c>
      <c r="K388" s="1" t="s">
        <v>762</v>
      </c>
      <c r="L388" s="1" t="s">
        <v>104</v>
      </c>
      <c r="O388" s="1"/>
    </row>
    <row r="389" spans="2:15" ht="42" hidden="1" x14ac:dyDescent="0.35">
      <c r="B389" s="2">
        <v>167</v>
      </c>
      <c r="C389" s="5">
        <v>45719</v>
      </c>
      <c r="D389" s="3" t="s">
        <v>21</v>
      </c>
      <c r="E389" s="3" t="s">
        <v>795</v>
      </c>
      <c r="F389" s="14" t="s">
        <v>728</v>
      </c>
      <c r="G389" s="4" t="s">
        <v>16</v>
      </c>
      <c r="H389" s="2" t="s">
        <v>17</v>
      </c>
      <c r="I389" s="2" t="s">
        <v>24</v>
      </c>
      <c r="J389" s="2" t="s">
        <v>340</v>
      </c>
      <c r="K389" s="1" t="s">
        <v>762</v>
      </c>
      <c r="L389" s="1" t="s">
        <v>21</v>
      </c>
      <c r="O389" s="1"/>
    </row>
    <row r="390" spans="2:15" ht="28" hidden="1" x14ac:dyDescent="0.35">
      <c r="B390" s="2">
        <v>177</v>
      </c>
      <c r="C390" s="5">
        <v>45723</v>
      </c>
      <c r="D390" s="3" t="s">
        <v>104</v>
      </c>
      <c r="E390" s="3" t="s">
        <v>796</v>
      </c>
      <c r="F390" s="14" t="s">
        <v>797</v>
      </c>
      <c r="G390" s="4" t="s">
        <v>16</v>
      </c>
      <c r="H390" s="2" t="s">
        <v>17</v>
      </c>
      <c r="I390" s="2" t="s">
        <v>24</v>
      </c>
      <c r="J390" s="2" t="s">
        <v>33</v>
      </c>
      <c r="K390" s="1" t="s">
        <v>762</v>
      </c>
      <c r="L390" s="1" t="s">
        <v>104</v>
      </c>
      <c r="O390" s="1"/>
    </row>
    <row r="391" spans="2:15" ht="28" hidden="1" x14ac:dyDescent="0.35">
      <c r="B391" s="2">
        <v>178</v>
      </c>
      <c r="C391" s="5">
        <v>45723</v>
      </c>
      <c r="D391" s="3" t="s">
        <v>21</v>
      </c>
      <c r="E391" s="3" t="s">
        <v>798</v>
      </c>
      <c r="F391" s="14" t="s">
        <v>799</v>
      </c>
      <c r="G391" s="4" t="s">
        <v>16</v>
      </c>
      <c r="H391" s="2" t="s">
        <v>17</v>
      </c>
      <c r="I391" s="2" t="s">
        <v>18</v>
      </c>
      <c r="J391" s="2" t="s">
        <v>19</v>
      </c>
      <c r="K391" s="1" t="s">
        <v>762</v>
      </c>
      <c r="L391" s="1" t="s">
        <v>21</v>
      </c>
      <c r="O391" s="1"/>
    </row>
    <row r="392" spans="2:15" ht="28" hidden="1" x14ac:dyDescent="0.35">
      <c r="B392" s="2">
        <v>179</v>
      </c>
      <c r="C392" s="5">
        <v>45723</v>
      </c>
      <c r="D392" s="3" t="s">
        <v>104</v>
      </c>
      <c r="E392" s="3" t="s">
        <v>800</v>
      </c>
      <c r="F392" s="14" t="s">
        <v>801</v>
      </c>
      <c r="G392" s="4" t="s">
        <v>16</v>
      </c>
      <c r="H392" s="2" t="s">
        <v>17</v>
      </c>
      <c r="I392" s="2" t="s">
        <v>18</v>
      </c>
      <c r="J392" s="2" t="s">
        <v>68</v>
      </c>
      <c r="K392" s="1" t="s">
        <v>762</v>
      </c>
      <c r="L392" s="1" t="s">
        <v>104</v>
      </c>
      <c r="O392" s="1"/>
    </row>
    <row r="393" spans="2:15" ht="56" hidden="1" x14ac:dyDescent="0.35">
      <c r="B393" s="2">
        <v>186</v>
      </c>
      <c r="C393" s="5">
        <v>45729</v>
      </c>
      <c r="D393" s="3" t="s">
        <v>21</v>
      </c>
      <c r="E393" s="3" t="s">
        <v>802</v>
      </c>
      <c r="F393" s="14" t="s">
        <v>745</v>
      </c>
      <c r="G393" s="4" t="s">
        <v>16</v>
      </c>
      <c r="H393" s="2" t="s">
        <v>281</v>
      </c>
      <c r="I393" s="2" t="s">
        <v>18</v>
      </c>
      <c r="J393" s="2" t="s">
        <v>19</v>
      </c>
      <c r="K393" s="1" t="s">
        <v>762</v>
      </c>
      <c r="L393" s="1" t="s">
        <v>21</v>
      </c>
      <c r="O393" s="1"/>
    </row>
    <row r="394" spans="2:15" ht="56" hidden="1" x14ac:dyDescent="0.35">
      <c r="B394" s="2">
        <v>191</v>
      </c>
      <c r="C394" s="5">
        <v>45731</v>
      </c>
      <c r="D394" s="3" t="s">
        <v>104</v>
      </c>
      <c r="E394" s="3" t="s">
        <v>803</v>
      </c>
      <c r="F394" s="14" t="s">
        <v>804</v>
      </c>
      <c r="G394" s="4" t="s">
        <v>51</v>
      </c>
      <c r="H394" s="2" t="s">
        <v>17</v>
      </c>
      <c r="I394" s="2" t="s">
        <v>24</v>
      </c>
      <c r="J394" s="2" t="s">
        <v>261</v>
      </c>
      <c r="K394" s="1" t="s">
        <v>762</v>
      </c>
      <c r="L394" s="1" t="s">
        <v>104</v>
      </c>
      <c r="O394" s="1"/>
    </row>
    <row r="395" spans="2:15" ht="28" hidden="1" x14ac:dyDescent="0.35">
      <c r="B395" s="2">
        <v>197</v>
      </c>
      <c r="C395" s="5">
        <v>45735</v>
      </c>
      <c r="D395" s="3" t="s">
        <v>21</v>
      </c>
      <c r="E395" s="3" t="s">
        <v>805</v>
      </c>
      <c r="F395" s="14" t="s">
        <v>806</v>
      </c>
      <c r="G395" s="4" t="s">
        <v>16</v>
      </c>
      <c r="H395" s="2" t="s">
        <v>17</v>
      </c>
      <c r="I395" s="2" t="s">
        <v>24</v>
      </c>
      <c r="J395" s="2" t="s">
        <v>72</v>
      </c>
      <c r="K395" s="1" t="s">
        <v>762</v>
      </c>
      <c r="L395" s="1" t="s">
        <v>21</v>
      </c>
      <c r="O395" s="1"/>
    </row>
    <row r="396" spans="2:15" ht="28" hidden="1" x14ac:dyDescent="0.35">
      <c r="B396" s="2">
        <v>198</v>
      </c>
      <c r="C396" s="5">
        <v>45735</v>
      </c>
      <c r="D396" s="3" t="s">
        <v>21</v>
      </c>
      <c r="E396" s="3" t="s">
        <v>807</v>
      </c>
      <c r="F396" s="14" t="s">
        <v>582</v>
      </c>
      <c r="G396" s="4" t="s">
        <v>16</v>
      </c>
      <c r="H396" s="2" t="s">
        <v>17</v>
      </c>
      <c r="I396" s="2" t="s">
        <v>18</v>
      </c>
      <c r="J396" s="2" t="s">
        <v>291</v>
      </c>
      <c r="K396" s="1" t="s">
        <v>762</v>
      </c>
      <c r="L396" s="1" t="s">
        <v>21</v>
      </c>
      <c r="O396" s="1"/>
    </row>
    <row r="397" spans="2:15" ht="42" hidden="1" x14ac:dyDescent="0.35">
      <c r="B397" s="2">
        <v>10668</v>
      </c>
      <c r="C397" s="5">
        <v>46030</v>
      </c>
      <c r="D397" s="3" t="s">
        <v>13</v>
      </c>
      <c r="E397" s="3" t="s">
        <v>808</v>
      </c>
      <c r="F397" s="14" t="s">
        <v>783</v>
      </c>
      <c r="G397" s="4" t="s">
        <v>16</v>
      </c>
      <c r="H397" s="2" t="s">
        <v>17</v>
      </c>
      <c r="I397" s="2" t="s">
        <v>24</v>
      </c>
      <c r="J397" s="2" t="s">
        <v>29</v>
      </c>
      <c r="K397" s="1" t="s">
        <v>762</v>
      </c>
      <c r="L397" s="1" t="s">
        <v>13</v>
      </c>
      <c r="O397" s="1"/>
    </row>
    <row r="398" spans="2:15" ht="28" hidden="1" x14ac:dyDescent="0.35">
      <c r="B398" s="2">
        <v>11014</v>
      </c>
      <c r="C398" s="5">
        <v>46058</v>
      </c>
      <c r="D398" s="3" t="s">
        <v>21</v>
      </c>
      <c r="E398" s="3" t="s">
        <v>809</v>
      </c>
      <c r="F398" s="14" t="s">
        <v>216</v>
      </c>
      <c r="G398" s="4" t="s">
        <v>16</v>
      </c>
      <c r="H398" s="2" t="s">
        <v>17</v>
      </c>
      <c r="I398" s="2" t="s">
        <v>24</v>
      </c>
      <c r="J398" s="2" t="s">
        <v>72</v>
      </c>
      <c r="K398" s="1" t="s">
        <v>762</v>
      </c>
      <c r="L398" s="1" t="s">
        <v>21</v>
      </c>
      <c r="O398" s="1"/>
    </row>
    <row r="399" spans="2:15" ht="56" hidden="1" x14ac:dyDescent="0.35">
      <c r="B399" s="2">
        <v>10</v>
      </c>
      <c r="C399" s="5">
        <v>45662</v>
      </c>
      <c r="D399" s="3" t="s">
        <v>21</v>
      </c>
      <c r="E399" s="3" t="s">
        <v>810</v>
      </c>
      <c r="F399" s="14" t="s">
        <v>811</v>
      </c>
      <c r="G399" s="4" t="s">
        <v>16</v>
      </c>
      <c r="H399" s="2" t="s">
        <v>17</v>
      </c>
      <c r="I399" s="2" t="s">
        <v>24</v>
      </c>
      <c r="J399" t="s">
        <v>44</v>
      </c>
      <c r="K399" s="1" t="s">
        <v>812</v>
      </c>
      <c r="L399" s="1" t="s">
        <v>21</v>
      </c>
      <c r="O399" s="1"/>
    </row>
    <row r="400" spans="2:15" ht="56" hidden="1" x14ac:dyDescent="0.35">
      <c r="B400" s="2">
        <v>11</v>
      </c>
      <c r="C400" s="5">
        <v>45662</v>
      </c>
      <c r="D400" s="3" t="s">
        <v>21</v>
      </c>
      <c r="E400" s="3" t="s">
        <v>813</v>
      </c>
      <c r="F400" s="14" t="s">
        <v>814</v>
      </c>
      <c r="G400" s="4" t="s">
        <v>16</v>
      </c>
      <c r="H400" s="2" t="s">
        <v>17</v>
      </c>
      <c r="I400" s="2" t="s">
        <v>24</v>
      </c>
      <c r="J400" t="s">
        <v>44</v>
      </c>
      <c r="K400" s="1" t="s">
        <v>812</v>
      </c>
      <c r="L400" s="1" t="s">
        <v>21</v>
      </c>
      <c r="O400" s="1"/>
    </row>
    <row r="401" spans="2:15" ht="56" hidden="1" x14ac:dyDescent="0.35">
      <c r="B401" s="2">
        <v>59</v>
      </c>
      <c r="C401" s="5">
        <v>45676</v>
      </c>
      <c r="D401" s="3" t="s">
        <v>21</v>
      </c>
      <c r="E401" s="3" t="s">
        <v>815</v>
      </c>
      <c r="F401" s="14" t="s">
        <v>816</v>
      </c>
      <c r="G401" s="4" t="s">
        <v>16</v>
      </c>
      <c r="H401" s="2" t="s">
        <v>17</v>
      </c>
      <c r="I401" s="2" t="s">
        <v>24</v>
      </c>
      <c r="J401" t="s">
        <v>33</v>
      </c>
      <c r="K401" s="1" t="s">
        <v>812</v>
      </c>
      <c r="L401" s="1" t="s">
        <v>21</v>
      </c>
      <c r="O401" s="1"/>
    </row>
    <row r="402" spans="2:15" ht="42" hidden="1" x14ac:dyDescent="0.35">
      <c r="B402" s="2">
        <v>10991</v>
      </c>
      <c r="C402" s="5">
        <v>46057</v>
      </c>
      <c r="D402" s="3" t="s">
        <v>104</v>
      </c>
      <c r="E402" s="3" t="s">
        <v>817</v>
      </c>
      <c r="F402" s="14" t="s">
        <v>818</v>
      </c>
      <c r="G402" s="4" t="s">
        <v>16</v>
      </c>
      <c r="H402" s="2" t="s">
        <v>17</v>
      </c>
      <c r="I402" s="2" t="s">
        <v>24</v>
      </c>
      <c r="J402" s="2" t="s">
        <v>44</v>
      </c>
      <c r="K402" s="1" t="s">
        <v>819</v>
      </c>
      <c r="L402" s="1" t="s">
        <v>104</v>
      </c>
      <c r="O402" s="1"/>
    </row>
    <row r="403" spans="2:15" ht="56" hidden="1" x14ac:dyDescent="0.35">
      <c r="B403" s="2">
        <v>277</v>
      </c>
      <c r="C403" s="5">
        <v>45772</v>
      </c>
      <c r="D403" s="3" t="s">
        <v>193</v>
      </c>
      <c r="E403" s="3" t="s">
        <v>820</v>
      </c>
      <c r="F403" s="14" t="s">
        <v>821</v>
      </c>
      <c r="G403" s="4" t="s">
        <v>51</v>
      </c>
      <c r="H403" s="2" t="s">
        <v>17</v>
      </c>
      <c r="I403" s="2" t="s">
        <v>37</v>
      </c>
      <c r="J403" s="2" t="s">
        <v>38</v>
      </c>
      <c r="K403" s="1" t="s">
        <v>822</v>
      </c>
      <c r="L403" s="1" t="s">
        <v>95</v>
      </c>
      <c r="O403" s="1"/>
    </row>
    <row r="404" spans="2:15" ht="42" hidden="1" x14ac:dyDescent="0.35">
      <c r="B404" s="2">
        <v>282</v>
      </c>
      <c r="C404" s="5">
        <v>45776</v>
      </c>
      <c r="D404" s="3" t="s">
        <v>220</v>
      </c>
      <c r="E404" s="3" t="s">
        <v>823</v>
      </c>
      <c r="F404" s="14" t="s">
        <v>824</v>
      </c>
      <c r="G404" s="4" t="s">
        <v>51</v>
      </c>
      <c r="H404" s="2" t="s">
        <v>281</v>
      </c>
      <c r="I404" s="2" t="s">
        <v>37</v>
      </c>
      <c r="J404" s="2" t="s">
        <v>38</v>
      </c>
      <c r="K404" s="1" t="s">
        <v>822</v>
      </c>
      <c r="L404" s="1" t="s">
        <v>95</v>
      </c>
      <c r="O404" s="1"/>
    </row>
    <row r="405" spans="2:15" ht="56" hidden="1" x14ac:dyDescent="0.35">
      <c r="B405" s="2">
        <v>353</v>
      </c>
      <c r="C405" s="5">
        <v>45791</v>
      </c>
      <c r="D405" s="3" t="s">
        <v>234</v>
      </c>
      <c r="E405" s="3" t="s">
        <v>825</v>
      </c>
      <c r="F405" s="14" t="s">
        <v>826</v>
      </c>
      <c r="G405" s="4" t="s">
        <v>51</v>
      </c>
      <c r="H405" s="2" t="s">
        <v>17</v>
      </c>
      <c r="I405" s="2" t="s">
        <v>24</v>
      </c>
      <c r="J405" s="2" t="s">
        <v>72</v>
      </c>
      <c r="K405" s="1" t="s">
        <v>822</v>
      </c>
      <c r="L405" s="1" t="s">
        <v>95</v>
      </c>
      <c r="O405" s="1"/>
    </row>
    <row r="406" spans="2:15" ht="56" hidden="1" x14ac:dyDescent="0.35">
      <c r="B406" s="2">
        <v>360</v>
      </c>
      <c r="C406" s="5">
        <v>45796</v>
      </c>
      <c r="D406" s="3" t="s">
        <v>234</v>
      </c>
      <c r="E406" s="3" t="s">
        <v>827</v>
      </c>
      <c r="F406" s="14" t="s">
        <v>828</v>
      </c>
      <c r="G406" s="4" t="s">
        <v>51</v>
      </c>
      <c r="H406" s="2" t="s">
        <v>17</v>
      </c>
      <c r="I406" s="2" t="s">
        <v>24</v>
      </c>
      <c r="J406" s="2" t="s">
        <v>72</v>
      </c>
      <c r="K406" s="1" t="s">
        <v>822</v>
      </c>
      <c r="L406" s="1" t="s">
        <v>95</v>
      </c>
      <c r="O406" s="1"/>
    </row>
    <row r="407" spans="2:15" ht="56" hidden="1" x14ac:dyDescent="0.35">
      <c r="B407" s="2">
        <v>9355</v>
      </c>
      <c r="C407" s="5">
        <v>45854</v>
      </c>
      <c r="D407" s="3" t="s">
        <v>95</v>
      </c>
      <c r="E407" s="3" t="s">
        <v>829</v>
      </c>
      <c r="F407" s="14" t="s">
        <v>830</v>
      </c>
      <c r="G407" s="4" t="s">
        <v>51</v>
      </c>
      <c r="H407" s="2" t="s">
        <v>17</v>
      </c>
      <c r="I407" s="2" t="s">
        <v>18</v>
      </c>
      <c r="J407" s="2" t="s">
        <v>68</v>
      </c>
      <c r="K407" s="1" t="s">
        <v>822</v>
      </c>
      <c r="L407" s="1" t="s">
        <v>95</v>
      </c>
      <c r="O407" s="1"/>
    </row>
    <row r="408" spans="2:15" ht="56" hidden="1" x14ac:dyDescent="0.35">
      <c r="B408" s="2">
        <v>9354</v>
      </c>
      <c r="C408" s="5">
        <v>45854</v>
      </c>
      <c r="D408" s="3" t="s">
        <v>95</v>
      </c>
      <c r="E408" s="3" t="s">
        <v>829</v>
      </c>
      <c r="F408" s="14" t="s">
        <v>831</v>
      </c>
      <c r="G408" s="4" t="s">
        <v>51</v>
      </c>
      <c r="H408" s="2" t="s">
        <v>17</v>
      </c>
      <c r="I408" s="2" t="s">
        <v>18</v>
      </c>
      <c r="J408" s="2" t="s">
        <v>68</v>
      </c>
      <c r="K408" s="1" t="s">
        <v>822</v>
      </c>
      <c r="L408" s="1" t="s">
        <v>95</v>
      </c>
      <c r="O408" s="1"/>
    </row>
    <row r="409" spans="2:15" ht="28" hidden="1" x14ac:dyDescent="0.35">
      <c r="B409" s="2">
        <v>9615</v>
      </c>
      <c r="C409" s="5">
        <v>45898</v>
      </c>
      <c r="D409" s="3" t="s">
        <v>193</v>
      </c>
      <c r="E409" s="3" t="s">
        <v>832</v>
      </c>
      <c r="F409" s="14" t="s">
        <v>833</v>
      </c>
      <c r="G409" s="4" t="s">
        <v>51</v>
      </c>
      <c r="H409" s="2" t="s">
        <v>281</v>
      </c>
      <c r="I409" s="2" t="s">
        <v>24</v>
      </c>
      <c r="J409" s="2" t="s">
        <v>44</v>
      </c>
      <c r="K409" s="1" t="s">
        <v>822</v>
      </c>
      <c r="L409" s="1" t="s">
        <v>95</v>
      </c>
      <c r="O409" s="1"/>
    </row>
    <row r="410" spans="2:15" ht="42" hidden="1" x14ac:dyDescent="0.35">
      <c r="B410" s="2">
        <v>9935</v>
      </c>
      <c r="C410" s="5">
        <v>45930</v>
      </c>
      <c r="D410" s="3" t="s">
        <v>134</v>
      </c>
      <c r="E410" s="3" t="s">
        <v>834</v>
      </c>
      <c r="F410" s="14" t="s">
        <v>835</v>
      </c>
      <c r="G410" s="4" t="s">
        <v>51</v>
      </c>
      <c r="H410" s="2" t="s">
        <v>17</v>
      </c>
      <c r="I410" s="2" t="s">
        <v>24</v>
      </c>
      <c r="J410" s="2" t="s">
        <v>44</v>
      </c>
      <c r="K410" s="1" t="s">
        <v>822</v>
      </c>
      <c r="L410" s="1" t="s">
        <v>95</v>
      </c>
      <c r="O410" s="1"/>
    </row>
    <row r="411" spans="2:15" ht="42" hidden="1" x14ac:dyDescent="0.35">
      <c r="B411" s="2">
        <v>9936</v>
      </c>
      <c r="C411" s="5">
        <v>45930</v>
      </c>
      <c r="D411" s="3" t="s">
        <v>134</v>
      </c>
      <c r="E411" s="3" t="s">
        <v>836</v>
      </c>
      <c r="F411" s="14" t="s">
        <v>837</v>
      </c>
      <c r="G411" s="4" t="s">
        <v>51</v>
      </c>
      <c r="H411" s="2" t="s">
        <v>17</v>
      </c>
      <c r="I411" s="2" t="s">
        <v>24</v>
      </c>
      <c r="J411" s="2" t="s">
        <v>44</v>
      </c>
      <c r="K411" s="1" t="s">
        <v>822</v>
      </c>
      <c r="L411" s="1" t="s">
        <v>95</v>
      </c>
      <c r="O411" s="1"/>
    </row>
    <row r="412" spans="2:15" ht="42" hidden="1" x14ac:dyDescent="0.35">
      <c r="B412" s="2">
        <v>9944</v>
      </c>
      <c r="C412" s="5">
        <v>45932</v>
      </c>
      <c r="D412" s="3" t="s">
        <v>134</v>
      </c>
      <c r="E412" s="3" t="s">
        <v>838</v>
      </c>
      <c r="F412" s="14" t="s">
        <v>839</v>
      </c>
      <c r="G412" s="4" t="s">
        <v>16</v>
      </c>
      <c r="H412" s="2" t="s">
        <v>17</v>
      </c>
      <c r="I412" s="2" t="s">
        <v>24</v>
      </c>
      <c r="J412" s="2" t="s">
        <v>44</v>
      </c>
      <c r="K412" s="1" t="s">
        <v>822</v>
      </c>
      <c r="L412" s="1" t="s">
        <v>95</v>
      </c>
      <c r="O412" s="1"/>
    </row>
    <row r="413" spans="2:15" ht="42" hidden="1" x14ac:dyDescent="0.35">
      <c r="B413" s="2">
        <v>9943</v>
      </c>
      <c r="C413" s="5">
        <v>45932</v>
      </c>
      <c r="D413" s="3" t="s">
        <v>134</v>
      </c>
      <c r="E413" s="3" t="s">
        <v>840</v>
      </c>
      <c r="F413" s="14" t="s">
        <v>455</v>
      </c>
      <c r="G413" s="4" t="s">
        <v>16</v>
      </c>
      <c r="H413" s="2" t="s">
        <v>17</v>
      </c>
      <c r="I413" s="2" t="s">
        <v>24</v>
      </c>
      <c r="J413" s="2" t="s">
        <v>44</v>
      </c>
      <c r="K413" s="1" t="s">
        <v>822</v>
      </c>
      <c r="L413" s="1" t="s">
        <v>95</v>
      </c>
      <c r="O413" s="1"/>
    </row>
    <row r="414" spans="2:15" ht="28" hidden="1" x14ac:dyDescent="0.35">
      <c r="B414" s="2">
        <v>9969</v>
      </c>
      <c r="C414" s="5">
        <v>45936</v>
      </c>
      <c r="D414" s="3" t="s">
        <v>220</v>
      </c>
      <c r="E414" s="3" t="s">
        <v>841</v>
      </c>
      <c r="F414" s="14" t="s">
        <v>842</v>
      </c>
      <c r="G414" s="4" t="s">
        <v>51</v>
      </c>
      <c r="H414" s="2" t="s">
        <v>17</v>
      </c>
      <c r="I414" s="2" t="s">
        <v>24</v>
      </c>
      <c r="J414" s="2" t="s">
        <v>44</v>
      </c>
      <c r="K414" s="1" t="s">
        <v>822</v>
      </c>
      <c r="L414" s="1" t="s">
        <v>95</v>
      </c>
      <c r="O414" s="1"/>
    </row>
    <row r="415" spans="2:15" ht="28" hidden="1" x14ac:dyDescent="0.35">
      <c r="B415" s="2">
        <v>9973</v>
      </c>
      <c r="C415" s="5">
        <v>45936</v>
      </c>
      <c r="D415" s="3" t="s">
        <v>193</v>
      </c>
      <c r="E415" s="3" t="s">
        <v>843</v>
      </c>
      <c r="F415" s="14" t="s">
        <v>563</v>
      </c>
      <c r="G415" s="4" t="s">
        <v>51</v>
      </c>
      <c r="H415" s="2" t="s">
        <v>17</v>
      </c>
      <c r="I415" s="2" t="s">
        <v>24</v>
      </c>
      <c r="J415" s="2" t="s">
        <v>33</v>
      </c>
      <c r="K415" s="1" t="s">
        <v>822</v>
      </c>
      <c r="L415" s="1" t="s">
        <v>95</v>
      </c>
      <c r="O415" s="1"/>
    </row>
    <row r="416" spans="2:15" ht="42" hidden="1" x14ac:dyDescent="0.35">
      <c r="B416" s="2">
        <v>10000</v>
      </c>
      <c r="C416" s="5">
        <v>45939</v>
      </c>
      <c r="D416" s="3" t="s">
        <v>134</v>
      </c>
      <c r="E416" s="3" t="s">
        <v>844</v>
      </c>
      <c r="F416" s="14" t="s">
        <v>845</v>
      </c>
      <c r="G416" s="4" t="s">
        <v>51</v>
      </c>
      <c r="H416" s="2" t="s">
        <v>17</v>
      </c>
      <c r="I416" s="2" t="s">
        <v>24</v>
      </c>
      <c r="J416" s="2" t="s">
        <v>33</v>
      </c>
      <c r="K416" s="1" t="s">
        <v>822</v>
      </c>
      <c r="L416" s="1" t="s">
        <v>95</v>
      </c>
      <c r="O416" s="1"/>
    </row>
    <row r="417" spans="2:15" ht="42" hidden="1" x14ac:dyDescent="0.35">
      <c r="B417" s="2">
        <v>9999</v>
      </c>
      <c r="C417" s="5">
        <v>45939</v>
      </c>
      <c r="D417" s="3" t="s">
        <v>134</v>
      </c>
      <c r="E417" s="3" t="s">
        <v>846</v>
      </c>
      <c r="F417" s="14" t="s">
        <v>847</v>
      </c>
      <c r="G417" s="4" t="s">
        <v>51</v>
      </c>
      <c r="H417" s="2" t="s">
        <v>17</v>
      </c>
      <c r="I417" s="2" t="s">
        <v>24</v>
      </c>
      <c r="J417" s="2" t="s">
        <v>33</v>
      </c>
      <c r="K417" s="1" t="s">
        <v>822</v>
      </c>
      <c r="L417" s="1" t="s">
        <v>95</v>
      </c>
      <c r="O417" s="1"/>
    </row>
    <row r="418" spans="2:15" ht="42" hidden="1" x14ac:dyDescent="0.35">
      <c r="B418" s="2">
        <v>10095</v>
      </c>
      <c r="C418" s="5">
        <v>45946</v>
      </c>
      <c r="D418" s="3" t="s">
        <v>96</v>
      </c>
      <c r="E418" s="3" t="s">
        <v>848</v>
      </c>
      <c r="F418" s="14" t="s">
        <v>849</v>
      </c>
      <c r="G418" s="4" t="s">
        <v>16</v>
      </c>
      <c r="H418" s="2" t="s">
        <v>17</v>
      </c>
      <c r="I418" s="2" t="s">
        <v>24</v>
      </c>
      <c r="J418" s="2" t="s">
        <v>41</v>
      </c>
      <c r="K418" s="1" t="s">
        <v>822</v>
      </c>
      <c r="L418" s="1" t="s">
        <v>95</v>
      </c>
      <c r="O418" s="1"/>
    </row>
    <row r="419" spans="2:15" ht="28" hidden="1" x14ac:dyDescent="0.35">
      <c r="B419" s="2">
        <v>10326</v>
      </c>
      <c r="C419" s="5">
        <v>45982</v>
      </c>
      <c r="D419" s="3" t="s">
        <v>104</v>
      </c>
      <c r="E419" s="3" t="s">
        <v>850</v>
      </c>
      <c r="F419" s="14" t="s">
        <v>127</v>
      </c>
      <c r="G419" s="4" t="s">
        <v>16</v>
      </c>
      <c r="H419" s="2" t="s">
        <v>17</v>
      </c>
      <c r="I419" s="2" t="s">
        <v>24</v>
      </c>
      <c r="J419" s="2" t="s">
        <v>33</v>
      </c>
      <c r="K419" s="1" t="s">
        <v>822</v>
      </c>
      <c r="L419" s="1" t="s">
        <v>95</v>
      </c>
      <c r="O419" s="1"/>
    </row>
    <row r="420" spans="2:15" ht="28" hidden="1" x14ac:dyDescent="0.35">
      <c r="B420" s="2">
        <v>10366</v>
      </c>
      <c r="C420" s="5">
        <v>45987</v>
      </c>
      <c r="D420" s="3" t="s">
        <v>220</v>
      </c>
      <c r="E420" s="3" t="s">
        <v>851</v>
      </c>
      <c r="F420" s="14" t="s">
        <v>852</v>
      </c>
      <c r="G420" s="4" t="s">
        <v>51</v>
      </c>
      <c r="H420" s="2" t="s">
        <v>17</v>
      </c>
      <c r="I420" s="2" t="s">
        <v>18</v>
      </c>
      <c r="J420" s="2" t="s">
        <v>19</v>
      </c>
      <c r="K420" s="1" t="s">
        <v>822</v>
      </c>
      <c r="L420" s="1" t="s">
        <v>95</v>
      </c>
      <c r="O420" s="1"/>
    </row>
    <row r="421" spans="2:15" ht="28" hidden="1" x14ac:dyDescent="0.35">
      <c r="B421" s="2">
        <v>10534</v>
      </c>
      <c r="C421" s="5">
        <v>46015</v>
      </c>
      <c r="D421" s="3" t="s">
        <v>134</v>
      </c>
      <c r="E421" s="3" t="s">
        <v>853</v>
      </c>
      <c r="F421" s="14" t="s">
        <v>854</v>
      </c>
      <c r="G421" s="4" t="s">
        <v>16</v>
      </c>
      <c r="H421" s="2" t="s">
        <v>17</v>
      </c>
      <c r="I421" s="2" t="s">
        <v>24</v>
      </c>
      <c r="J421" s="2" t="s">
        <v>54</v>
      </c>
      <c r="K421" s="1" t="s">
        <v>822</v>
      </c>
      <c r="L421" s="1" t="s">
        <v>95</v>
      </c>
      <c r="O421" s="1"/>
    </row>
    <row r="422" spans="2:15" ht="28" hidden="1" x14ac:dyDescent="0.35">
      <c r="B422" s="2">
        <v>10535</v>
      </c>
      <c r="C422" s="5">
        <v>46015</v>
      </c>
      <c r="D422" s="3" t="s">
        <v>134</v>
      </c>
      <c r="E422" s="3" t="s">
        <v>855</v>
      </c>
      <c r="F422" s="14" t="s">
        <v>522</v>
      </c>
      <c r="G422" s="4" t="s">
        <v>16</v>
      </c>
      <c r="H422" s="2" t="s">
        <v>17</v>
      </c>
      <c r="I422" s="2" t="s">
        <v>24</v>
      </c>
      <c r="J422" s="2" t="s">
        <v>33</v>
      </c>
      <c r="K422" s="1" t="s">
        <v>822</v>
      </c>
      <c r="L422" s="1" t="s">
        <v>95</v>
      </c>
      <c r="O422" s="1"/>
    </row>
    <row r="423" spans="2:15" ht="28" hidden="1" x14ac:dyDescent="0.35">
      <c r="B423" s="2">
        <v>10980</v>
      </c>
      <c r="C423" s="5">
        <v>46041</v>
      </c>
      <c r="D423" s="3" t="s">
        <v>234</v>
      </c>
      <c r="E423" s="3" t="s">
        <v>856</v>
      </c>
      <c r="F423" s="14" t="s">
        <v>857</v>
      </c>
      <c r="G423" s="4" t="s">
        <v>51</v>
      </c>
      <c r="H423" s="2" t="s">
        <v>17</v>
      </c>
      <c r="I423" s="2" t="s">
        <v>24</v>
      </c>
      <c r="J423" s="2" t="s">
        <v>54</v>
      </c>
      <c r="K423" s="1" t="s">
        <v>822</v>
      </c>
      <c r="L423" s="1" t="s">
        <v>95</v>
      </c>
      <c r="O423" s="1"/>
    </row>
    <row r="424" spans="2:15" ht="28" hidden="1" x14ac:dyDescent="0.35">
      <c r="B424" s="2">
        <v>10979</v>
      </c>
      <c r="C424" s="5">
        <v>46041</v>
      </c>
      <c r="D424" s="3" t="s">
        <v>193</v>
      </c>
      <c r="E424" s="3" t="s">
        <v>858</v>
      </c>
      <c r="F424" s="14" t="s">
        <v>859</v>
      </c>
      <c r="G424" s="4" t="s">
        <v>51</v>
      </c>
      <c r="H424" s="2" t="s">
        <v>17</v>
      </c>
      <c r="I424" s="2" t="s">
        <v>18</v>
      </c>
      <c r="J424" s="2" t="s">
        <v>19</v>
      </c>
      <c r="K424" s="1" t="s">
        <v>822</v>
      </c>
      <c r="L424" s="1" t="s">
        <v>95</v>
      </c>
      <c r="O424" s="1"/>
    </row>
    <row r="425" spans="2:15" ht="28" hidden="1" x14ac:dyDescent="0.35">
      <c r="B425" s="2">
        <v>11208</v>
      </c>
      <c r="C425" s="24">
        <v>46070</v>
      </c>
      <c r="D425" s="3" t="s">
        <v>220</v>
      </c>
      <c r="E425" s="3" t="s">
        <v>860</v>
      </c>
      <c r="F425" s="14" t="s">
        <v>861</v>
      </c>
      <c r="G425" s="4" t="s">
        <v>16</v>
      </c>
      <c r="H425" s="2" t="s">
        <v>17</v>
      </c>
      <c r="I425" s="2" t="s">
        <v>18</v>
      </c>
      <c r="J425" s="2" t="s">
        <v>19</v>
      </c>
      <c r="K425" s="1" t="s">
        <v>822</v>
      </c>
      <c r="L425" s="1" t="s">
        <v>95</v>
      </c>
      <c r="O425" s="1"/>
    </row>
    <row r="426" spans="2:15" ht="28" hidden="1" x14ac:dyDescent="0.35">
      <c r="B426" s="2">
        <v>11209</v>
      </c>
      <c r="C426" s="24">
        <v>46077</v>
      </c>
      <c r="D426" s="3" t="s">
        <v>34</v>
      </c>
      <c r="E426" s="3" t="s">
        <v>862</v>
      </c>
      <c r="F426" s="14" t="s">
        <v>863</v>
      </c>
      <c r="G426" s="4" t="s">
        <v>51</v>
      </c>
      <c r="H426" s="2" t="s">
        <v>17</v>
      </c>
      <c r="I426" s="2" t="s">
        <v>37</v>
      </c>
      <c r="J426" s="2" t="s">
        <v>38</v>
      </c>
      <c r="K426" s="1" t="s">
        <v>822</v>
      </c>
      <c r="L426" s="1" t="s">
        <v>95</v>
      </c>
      <c r="O426" s="1"/>
    </row>
    <row r="427" spans="2:15" ht="42" hidden="1" x14ac:dyDescent="0.35">
      <c r="B427" s="2">
        <v>13</v>
      </c>
      <c r="C427" s="5">
        <v>45663</v>
      </c>
      <c r="D427" s="3" t="s">
        <v>193</v>
      </c>
      <c r="E427" s="3" t="s">
        <v>864</v>
      </c>
      <c r="F427" s="14" t="s">
        <v>865</v>
      </c>
      <c r="G427" s="4" t="s">
        <v>51</v>
      </c>
      <c r="H427" s="2" t="s">
        <v>17</v>
      </c>
      <c r="I427" s="2" t="s">
        <v>18</v>
      </c>
      <c r="J427" s="2" t="s">
        <v>171</v>
      </c>
      <c r="K427" s="1" t="s">
        <v>866</v>
      </c>
      <c r="L427" s="1" t="s">
        <v>95</v>
      </c>
      <c r="O427" s="1"/>
    </row>
    <row r="428" spans="2:15" ht="42" hidden="1" x14ac:dyDescent="0.35">
      <c r="B428" s="2">
        <v>71</v>
      </c>
      <c r="C428" s="5">
        <v>45684</v>
      </c>
      <c r="D428" s="3" t="s">
        <v>193</v>
      </c>
      <c r="E428" s="3" t="s">
        <v>867</v>
      </c>
      <c r="F428" s="14" t="s">
        <v>868</v>
      </c>
      <c r="G428" s="4" t="s">
        <v>51</v>
      </c>
      <c r="H428" s="2" t="s">
        <v>281</v>
      </c>
      <c r="I428" s="2" t="s">
        <v>24</v>
      </c>
      <c r="J428" t="s">
        <v>29</v>
      </c>
      <c r="K428" s="1" t="s">
        <v>866</v>
      </c>
      <c r="L428" s="1" t="s">
        <v>95</v>
      </c>
      <c r="O428" s="1"/>
    </row>
    <row r="429" spans="2:15" ht="28" hidden="1" x14ac:dyDescent="0.35">
      <c r="B429" s="2">
        <v>131</v>
      </c>
      <c r="C429" s="5">
        <v>45713</v>
      </c>
      <c r="D429" s="3" t="s">
        <v>13</v>
      </c>
      <c r="E429" s="3" t="s">
        <v>869</v>
      </c>
      <c r="F429" s="14" t="s">
        <v>870</v>
      </c>
      <c r="G429" s="4" t="s">
        <v>51</v>
      </c>
      <c r="H429" s="2" t="s">
        <v>17</v>
      </c>
      <c r="I429" s="2" t="s">
        <v>24</v>
      </c>
      <c r="J429" s="2" t="s">
        <v>72</v>
      </c>
      <c r="K429" s="1" t="s">
        <v>866</v>
      </c>
      <c r="L429" s="1" t="s">
        <v>95</v>
      </c>
      <c r="O429" s="1"/>
    </row>
    <row r="430" spans="2:15" ht="28" hidden="1" x14ac:dyDescent="0.35">
      <c r="B430" s="2">
        <v>132</v>
      </c>
      <c r="C430" s="5">
        <v>45713</v>
      </c>
      <c r="D430" s="3" t="s">
        <v>13</v>
      </c>
      <c r="E430" s="3" t="s">
        <v>871</v>
      </c>
      <c r="F430" s="14" t="s">
        <v>872</v>
      </c>
      <c r="G430" s="4" t="s">
        <v>51</v>
      </c>
      <c r="H430" s="2" t="s">
        <v>17</v>
      </c>
      <c r="I430" s="2" t="s">
        <v>24</v>
      </c>
      <c r="J430" s="2" t="s">
        <v>72</v>
      </c>
      <c r="K430" s="1" t="s">
        <v>866</v>
      </c>
      <c r="L430" s="1" t="s">
        <v>95</v>
      </c>
      <c r="O430" s="1"/>
    </row>
    <row r="431" spans="2:15" ht="42" hidden="1" x14ac:dyDescent="0.35">
      <c r="B431" s="2">
        <v>184</v>
      </c>
      <c r="C431" s="5">
        <v>45727</v>
      </c>
      <c r="D431" s="3" t="s">
        <v>13</v>
      </c>
      <c r="E431" s="3" t="s">
        <v>873</v>
      </c>
      <c r="F431" s="14" t="s">
        <v>874</v>
      </c>
      <c r="G431" s="4" t="s">
        <v>51</v>
      </c>
      <c r="H431" s="2" t="s">
        <v>17</v>
      </c>
      <c r="I431" s="2" t="s">
        <v>37</v>
      </c>
      <c r="J431" s="2" t="s">
        <v>81</v>
      </c>
      <c r="K431" s="1" t="s">
        <v>866</v>
      </c>
      <c r="L431" s="1" t="s">
        <v>95</v>
      </c>
      <c r="O431" s="1"/>
    </row>
    <row r="432" spans="2:15" ht="42" hidden="1" x14ac:dyDescent="0.35">
      <c r="B432" s="2">
        <v>203</v>
      </c>
      <c r="C432" s="5">
        <v>45742</v>
      </c>
      <c r="D432" s="3" t="s">
        <v>193</v>
      </c>
      <c r="E432" s="3" t="s">
        <v>875</v>
      </c>
      <c r="F432" s="14" t="s">
        <v>876</v>
      </c>
      <c r="G432" s="4" t="s">
        <v>51</v>
      </c>
      <c r="H432" s="2" t="s">
        <v>281</v>
      </c>
      <c r="I432" s="2" t="s">
        <v>37</v>
      </c>
      <c r="J432" s="2" t="s">
        <v>38</v>
      </c>
      <c r="K432" s="1" t="s">
        <v>866</v>
      </c>
      <c r="L432" s="1" t="s">
        <v>95</v>
      </c>
      <c r="O432" s="1"/>
    </row>
    <row r="433" spans="2:15" ht="42" hidden="1" x14ac:dyDescent="0.35">
      <c r="B433" s="2">
        <v>459</v>
      </c>
      <c r="C433" s="5">
        <v>45832</v>
      </c>
      <c r="D433" s="3" t="s">
        <v>13</v>
      </c>
      <c r="E433" s="3" t="s">
        <v>877</v>
      </c>
      <c r="F433" s="14" t="s">
        <v>15</v>
      </c>
      <c r="G433" s="4" t="s">
        <v>16</v>
      </c>
      <c r="H433" s="2" t="s">
        <v>17</v>
      </c>
      <c r="I433" s="2" t="s">
        <v>24</v>
      </c>
      <c r="J433" s="2" t="s">
        <v>44</v>
      </c>
      <c r="K433" s="1" t="s">
        <v>866</v>
      </c>
      <c r="L433" s="1" t="s">
        <v>95</v>
      </c>
      <c r="O433" s="1"/>
    </row>
    <row r="434" spans="2:15" ht="70" hidden="1" x14ac:dyDescent="0.35">
      <c r="B434" s="2">
        <v>473</v>
      </c>
      <c r="C434" s="5">
        <v>45835</v>
      </c>
      <c r="D434" s="3" t="s">
        <v>193</v>
      </c>
      <c r="E434" s="3" t="s">
        <v>878</v>
      </c>
      <c r="F434" s="14" t="s">
        <v>879</v>
      </c>
      <c r="G434" s="4" t="s">
        <v>51</v>
      </c>
      <c r="H434" s="2" t="s">
        <v>17</v>
      </c>
      <c r="I434" s="2" t="s">
        <v>37</v>
      </c>
      <c r="J434" s="2" t="s">
        <v>38</v>
      </c>
      <c r="K434" s="1" t="s">
        <v>866</v>
      </c>
      <c r="L434" s="1" t="s">
        <v>95</v>
      </c>
      <c r="O434" s="1"/>
    </row>
    <row r="435" spans="2:15" ht="42" hidden="1" x14ac:dyDescent="0.35">
      <c r="B435" s="2">
        <v>474</v>
      </c>
      <c r="C435" s="5">
        <v>45835</v>
      </c>
      <c r="D435" s="3" t="s">
        <v>193</v>
      </c>
      <c r="E435" s="3" t="s">
        <v>880</v>
      </c>
      <c r="F435" s="14" t="s">
        <v>881</v>
      </c>
      <c r="G435" s="4" t="s">
        <v>51</v>
      </c>
      <c r="H435" s="2" t="s">
        <v>17</v>
      </c>
      <c r="I435" s="2" t="s">
        <v>24</v>
      </c>
      <c r="J435" s="2" t="s">
        <v>33</v>
      </c>
      <c r="K435" s="1" t="s">
        <v>866</v>
      </c>
      <c r="L435" s="1" t="s">
        <v>95</v>
      </c>
      <c r="O435" s="1"/>
    </row>
    <row r="436" spans="2:15" ht="42" hidden="1" x14ac:dyDescent="0.35">
      <c r="B436" s="2">
        <v>11334</v>
      </c>
      <c r="C436" s="24">
        <v>46091</v>
      </c>
      <c r="D436" s="3" t="s">
        <v>104</v>
      </c>
      <c r="E436" s="3" t="s">
        <v>882</v>
      </c>
      <c r="F436" s="14" t="s">
        <v>883</v>
      </c>
      <c r="G436" s="4" t="s">
        <v>51</v>
      </c>
      <c r="H436" s="2" t="s">
        <v>17</v>
      </c>
      <c r="I436" s="2" t="s">
        <v>18</v>
      </c>
      <c r="J436" s="2" t="s">
        <v>19</v>
      </c>
      <c r="K436" s="1" t="s">
        <v>866</v>
      </c>
      <c r="L436" s="1" t="s">
        <v>95</v>
      </c>
      <c r="O436" s="1"/>
    </row>
    <row r="437" spans="2:15" ht="28" hidden="1" x14ac:dyDescent="0.35">
      <c r="B437" s="2">
        <v>11392</v>
      </c>
      <c r="C437" s="24">
        <v>46093</v>
      </c>
      <c r="D437" s="3" t="s">
        <v>234</v>
      </c>
      <c r="E437" s="3" t="s">
        <v>884</v>
      </c>
      <c r="F437" s="14" t="s">
        <v>885</v>
      </c>
      <c r="G437" s="4" t="s">
        <v>51</v>
      </c>
      <c r="H437" s="2" t="s">
        <v>17</v>
      </c>
      <c r="I437" s="2" t="s">
        <v>24</v>
      </c>
      <c r="J437" s="2" t="s">
        <v>33</v>
      </c>
      <c r="K437" s="1" t="s">
        <v>866</v>
      </c>
      <c r="L437" s="1" t="s">
        <v>95</v>
      </c>
      <c r="O437" s="1"/>
    </row>
    <row r="438" spans="2:15" ht="28" hidden="1" x14ac:dyDescent="0.35">
      <c r="B438" s="2">
        <v>11391</v>
      </c>
      <c r="C438" s="24">
        <v>46093</v>
      </c>
      <c r="D438" s="3" t="s">
        <v>234</v>
      </c>
      <c r="E438" s="3" t="s">
        <v>886</v>
      </c>
      <c r="F438" s="14" t="s">
        <v>887</v>
      </c>
      <c r="G438" s="4" t="s">
        <v>51</v>
      </c>
      <c r="H438" s="2" t="s">
        <v>17</v>
      </c>
      <c r="I438" s="2" t="s">
        <v>24</v>
      </c>
      <c r="J438" s="2" t="s">
        <v>33</v>
      </c>
      <c r="K438" s="1" t="s">
        <v>866</v>
      </c>
      <c r="L438" s="1" t="s">
        <v>95</v>
      </c>
      <c r="O438" s="1"/>
    </row>
    <row r="439" spans="2:15" ht="56" hidden="1" x14ac:dyDescent="0.35">
      <c r="B439" s="2">
        <v>273</v>
      </c>
      <c r="C439" s="5">
        <v>45770</v>
      </c>
      <c r="D439" s="3" t="s">
        <v>227</v>
      </c>
      <c r="E439" s="3" t="s">
        <v>888</v>
      </c>
      <c r="F439" s="14" t="s">
        <v>889</v>
      </c>
      <c r="G439" s="4" t="s">
        <v>51</v>
      </c>
      <c r="H439" s="2" t="s">
        <v>17</v>
      </c>
      <c r="I439" s="2" t="s">
        <v>24</v>
      </c>
      <c r="J439" s="2" t="s">
        <v>261</v>
      </c>
      <c r="K439" s="1" t="s">
        <v>890</v>
      </c>
      <c r="L439" s="1" t="s">
        <v>96</v>
      </c>
      <c r="O439" s="1"/>
    </row>
    <row r="440" spans="2:15" ht="56" hidden="1" x14ac:dyDescent="0.35">
      <c r="B440" s="2">
        <v>9117</v>
      </c>
      <c r="C440" s="5">
        <v>45839</v>
      </c>
      <c r="D440" s="3" t="s">
        <v>96</v>
      </c>
      <c r="E440" s="3" t="s">
        <v>891</v>
      </c>
      <c r="F440" s="14" t="s">
        <v>892</v>
      </c>
      <c r="G440" s="4" t="s">
        <v>16</v>
      </c>
      <c r="H440" s="2" t="s">
        <v>17</v>
      </c>
      <c r="I440" s="2" t="s">
        <v>18</v>
      </c>
      <c r="J440" s="2" t="s">
        <v>68</v>
      </c>
      <c r="K440" s="1" t="s">
        <v>890</v>
      </c>
      <c r="L440" s="1" t="s">
        <v>96</v>
      </c>
      <c r="O440" s="1"/>
    </row>
    <row r="441" spans="2:15" ht="42" hidden="1" x14ac:dyDescent="0.35">
      <c r="B441" s="2">
        <v>9150</v>
      </c>
      <c r="C441" s="5">
        <v>45852</v>
      </c>
      <c r="D441" s="3" t="s">
        <v>196</v>
      </c>
      <c r="E441" s="3" t="s">
        <v>893</v>
      </c>
      <c r="F441" s="14" t="s">
        <v>894</v>
      </c>
      <c r="G441" s="4" t="s">
        <v>51</v>
      </c>
      <c r="H441" s="2" t="s">
        <v>17</v>
      </c>
      <c r="I441" s="2" t="s">
        <v>18</v>
      </c>
      <c r="J441" s="2" t="s">
        <v>68</v>
      </c>
      <c r="K441" s="1" t="s">
        <v>890</v>
      </c>
      <c r="L441" s="1" t="s">
        <v>96</v>
      </c>
      <c r="O441" s="1"/>
    </row>
    <row r="442" spans="2:15" ht="42" hidden="1" x14ac:dyDescent="0.35">
      <c r="B442" s="2">
        <v>8</v>
      </c>
      <c r="C442" s="5">
        <v>45662</v>
      </c>
      <c r="D442" s="3" t="s">
        <v>21</v>
      </c>
      <c r="E442" s="3" t="s">
        <v>895</v>
      </c>
      <c r="F442" s="14" t="s">
        <v>15</v>
      </c>
      <c r="G442" s="4" t="s">
        <v>16</v>
      </c>
      <c r="H442" s="2" t="s">
        <v>17</v>
      </c>
      <c r="I442" s="2" t="s">
        <v>24</v>
      </c>
      <c r="J442" t="s">
        <v>54</v>
      </c>
      <c r="K442" s="1" t="s">
        <v>896</v>
      </c>
      <c r="L442" s="1" t="s">
        <v>21</v>
      </c>
      <c r="O442" s="1"/>
    </row>
    <row r="443" spans="2:15" ht="42" hidden="1" x14ac:dyDescent="0.35">
      <c r="B443" s="2">
        <v>9</v>
      </c>
      <c r="C443" s="5">
        <v>45662</v>
      </c>
      <c r="D443" s="3" t="s">
        <v>21</v>
      </c>
      <c r="E443" s="3" t="s">
        <v>897</v>
      </c>
      <c r="F443" s="14" t="s">
        <v>219</v>
      </c>
      <c r="G443" s="4" t="s">
        <v>16</v>
      </c>
      <c r="H443" s="2" t="s">
        <v>17</v>
      </c>
      <c r="I443" s="2" t="s">
        <v>24</v>
      </c>
      <c r="J443" t="s">
        <v>72</v>
      </c>
      <c r="K443" s="1" t="s">
        <v>896</v>
      </c>
      <c r="L443" s="1" t="s">
        <v>21</v>
      </c>
      <c r="O443" s="1"/>
    </row>
    <row r="444" spans="2:15" ht="28" hidden="1" x14ac:dyDescent="0.35">
      <c r="B444" s="2">
        <v>12</v>
      </c>
      <c r="C444" s="5">
        <v>45663</v>
      </c>
      <c r="D444" s="3" t="s">
        <v>21</v>
      </c>
      <c r="E444" s="3" t="s">
        <v>898</v>
      </c>
      <c r="F444" s="14" t="s">
        <v>783</v>
      </c>
      <c r="G444" s="4" t="s">
        <v>16</v>
      </c>
      <c r="H444" s="2" t="s">
        <v>17</v>
      </c>
      <c r="I444" s="2" t="s">
        <v>24</v>
      </c>
      <c r="J444" t="s">
        <v>44</v>
      </c>
      <c r="K444" s="1" t="s">
        <v>896</v>
      </c>
      <c r="L444" s="1" t="s">
        <v>21</v>
      </c>
      <c r="O444" s="1"/>
    </row>
    <row r="445" spans="2:15" ht="28" hidden="1" x14ac:dyDescent="0.35">
      <c r="B445" s="2">
        <v>16</v>
      </c>
      <c r="C445" s="5">
        <v>45663</v>
      </c>
      <c r="D445" s="3" t="s">
        <v>13</v>
      </c>
      <c r="E445" s="3" t="s">
        <v>899</v>
      </c>
      <c r="F445" s="14" t="s">
        <v>900</v>
      </c>
      <c r="G445" s="4" t="s">
        <v>16</v>
      </c>
      <c r="H445" s="2" t="s">
        <v>17</v>
      </c>
      <c r="I445" s="2" t="s">
        <v>24</v>
      </c>
      <c r="J445" t="s">
        <v>44</v>
      </c>
      <c r="K445" s="1" t="s">
        <v>896</v>
      </c>
      <c r="L445" s="1" t="s">
        <v>13</v>
      </c>
      <c r="O445" s="1"/>
    </row>
    <row r="446" spans="2:15" ht="56" hidden="1" x14ac:dyDescent="0.35">
      <c r="B446" s="2">
        <v>44</v>
      </c>
      <c r="C446" s="5">
        <v>45671</v>
      </c>
      <c r="D446" s="3" t="s">
        <v>196</v>
      </c>
      <c r="E446" s="3" t="s">
        <v>901</v>
      </c>
      <c r="F446" s="14" t="s">
        <v>902</v>
      </c>
      <c r="G446" s="4" t="s">
        <v>16</v>
      </c>
      <c r="H446" s="2" t="s">
        <v>17</v>
      </c>
      <c r="I446" s="2" t="s">
        <v>24</v>
      </c>
      <c r="J446" t="s">
        <v>54</v>
      </c>
      <c r="K446" s="1" t="s">
        <v>595</v>
      </c>
      <c r="L446" s="1" t="s">
        <v>196</v>
      </c>
      <c r="O446" s="1"/>
    </row>
    <row r="447" spans="2:15" ht="42" hidden="1" x14ac:dyDescent="0.35">
      <c r="B447" s="2">
        <v>122</v>
      </c>
      <c r="C447" s="5">
        <v>45708</v>
      </c>
      <c r="D447" s="3" t="s">
        <v>196</v>
      </c>
      <c r="E447" s="3" t="s">
        <v>903</v>
      </c>
      <c r="F447" s="14" t="s">
        <v>904</v>
      </c>
      <c r="G447" s="4" t="s">
        <v>16</v>
      </c>
      <c r="H447" s="2" t="s">
        <v>17</v>
      </c>
      <c r="I447" s="2" t="s">
        <v>37</v>
      </c>
      <c r="J447" s="2" t="s">
        <v>38</v>
      </c>
      <c r="K447" s="1" t="s">
        <v>595</v>
      </c>
      <c r="L447" s="1" t="s">
        <v>196</v>
      </c>
      <c r="O447" s="1"/>
    </row>
    <row r="448" spans="2:15" ht="42" hidden="1" x14ac:dyDescent="0.35">
      <c r="B448" s="2">
        <v>362</v>
      </c>
      <c r="C448" s="5">
        <v>45796</v>
      </c>
      <c r="D448" s="3" t="s">
        <v>193</v>
      </c>
      <c r="E448" s="3" t="s">
        <v>905</v>
      </c>
      <c r="F448" s="14" t="s">
        <v>906</v>
      </c>
      <c r="G448" s="4" t="s">
        <v>51</v>
      </c>
      <c r="H448" s="2" t="s">
        <v>17</v>
      </c>
      <c r="I448" s="2" t="s">
        <v>18</v>
      </c>
      <c r="J448" s="2" t="s">
        <v>19</v>
      </c>
      <c r="K448" s="1" t="s">
        <v>595</v>
      </c>
      <c r="L448" s="1" t="s">
        <v>196</v>
      </c>
      <c r="O448" s="1"/>
    </row>
    <row r="449" spans="2:15" ht="28" hidden="1" x14ac:dyDescent="0.35">
      <c r="B449" s="2">
        <v>384</v>
      </c>
      <c r="C449" s="5">
        <v>45803</v>
      </c>
      <c r="D449" s="3" t="s">
        <v>220</v>
      </c>
      <c r="E449" s="3" t="s">
        <v>907</v>
      </c>
      <c r="F449" s="14" t="s">
        <v>908</v>
      </c>
      <c r="G449" s="4" t="s">
        <v>51</v>
      </c>
      <c r="H449" s="2" t="s">
        <v>17</v>
      </c>
      <c r="I449" s="2" t="s">
        <v>407</v>
      </c>
      <c r="J449" s="2" t="s">
        <v>909</v>
      </c>
      <c r="K449" s="1" t="s">
        <v>595</v>
      </c>
      <c r="L449" s="1" t="s">
        <v>134</v>
      </c>
      <c r="O449" s="1"/>
    </row>
    <row r="450" spans="2:15" ht="56" hidden="1" x14ac:dyDescent="0.35">
      <c r="B450" s="2">
        <v>409</v>
      </c>
      <c r="C450" s="5">
        <v>45812</v>
      </c>
      <c r="D450" s="3" t="s">
        <v>196</v>
      </c>
      <c r="E450" s="3" t="s">
        <v>910</v>
      </c>
      <c r="F450" s="14" t="s">
        <v>911</v>
      </c>
      <c r="G450" s="4" t="s">
        <v>51</v>
      </c>
      <c r="H450" s="2" t="s">
        <v>17</v>
      </c>
      <c r="I450" s="2" t="s">
        <v>24</v>
      </c>
      <c r="J450" s="2" t="s">
        <v>33</v>
      </c>
      <c r="K450" s="1" t="s">
        <v>595</v>
      </c>
      <c r="L450" s="1" t="s">
        <v>196</v>
      </c>
      <c r="O450" s="1"/>
    </row>
    <row r="451" spans="2:15" ht="42" hidden="1" x14ac:dyDescent="0.35">
      <c r="B451" s="2">
        <v>435</v>
      </c>
      <c r="C451" s="5">
        <v>45824</v>
      </c>
      <c r="D451" s="3" t="s">
        <v>196</v>
      </c>
      <c r="E451" s="3" t="s">
        <v>912</v>
      </c>
      <c r="F451" s="14" t="s">
        <v>913</v>
      </c>
      <c r="G451" s="4" t="s">
        <v>16</v>
      </c>
      <c r="H451" s="2" t="s">
        <v>17</v>
      </c>
      <c r="I451" s="2" t="s">
        <v>24</v>
      </c>
      <c r="J451" s="2" t="s">
        <v>33</v>
      </c>
      <c r="K451" s="1" t="s">
        <v>595</v>
      </c>
      <c r="L451" s="1" t="s">
        <v>26</v>
      </c>
      <c r="O451" s="1"/>
    </row>
    <row r="452" spans="2:15" ht="42" hidden="1" x14ac:dyDescent="0.35">
      <c r="B452" s="2">
        <v>468</v>
      </c>
      <c r="C452" s="5">
        <v>45835</v>
      </c>
      <c r="D452" s="3" t="s">
        <v>196</v>
      </c>
      <c r="E452" s="3" t="s">
        <v>914</v>
      </c>
      <c r="F452" s="14" t="s">
        <v>915</v>
      </c>
      <c r="G452" s="4" t="s">
        <v>51</v>
      </c>
      <c r="H452" s="2" t="s">
        <v>17</v>
      </c>
      <c r="I452" s="2" t="s">
        <v>37</v>
      </c>
      <c r="J452" s="2" t="s">
        <v>121</v>
      </c>
      <c r="K452" s="1" t="s">
        <v>595</v>
      </c>
      <c r="L452" s="1" t="s">
        <v>196</v>
      </c>
      <c r="O452" s="1"/>
    </row>
    <row r="453" spans="2:15" ht="42" hidden="1" x14ac:dyDescent="0.35">
      <c r="B453" s="2">
        <v>9303</v>
      </c>
      <c r="C453" s="5">
        <v>45868</v>
      </c>
      <c r="D453" s="3" t="s">
        <v>196</v>
      </c>
      <c r="E453" s="3" t="s">
        <v>916</v>
      </c>
      <c r="F453" s="14" t="s">
        <v>915</v>
      </c>
      <c r="G453" s="4" t="s">
        <v>51</v>
      </c>
      <c r="H453" s="2" t="s">
        <v>17</v>
      </c>
      <c r="I453" s="2" t="s">
        <v>24</v>
      </c>
      <c r="J453" s="2" t="s">
        <v>289</v>
      </c>
      <c r="K453" s="1" t="s">
        <v>595</v>
      </c>
      <c r="L453" s="1" t="s">
        <v>196</v>
      </c>
      <c r="O453" s="1"/>
    </row>
    <row r="454" spans="2:15" ht="42" hidden="1" x14ac:dyDescent="0.35">
      <c r="B454" s="2">
        <v>9406</v>
      </c>
      <c r="C454" s="5">
        <v>45874</v>
      </c>
      <c r="D454" s="3" t="s">
        <v>95</v>
      </c>
      <c r="E454" s="3" t="s">
        <v>917</v>
      </c>
      <c r="F454" s="14" t="s">
        <v>918</v>
      </c>
      <c r="G454" s="4" t="s">
        <v>51</v>
      </c>
      <c r="H454" s="2" t="s">
        <v>17</v>
      </c>
      <c r="I454" s="2" t="s">
        <v>24</v>
      </c>
      <c r="J454" s="2" t="s">
        <v>41</v>
      </c>
      <c r="K454" s="1" t="s">
        <v>595</v>
      </c>
      <c r="L454" s="1" t="s">
        <v>196</v>
      </c>
      <c r="O454" s="1"/>
    </row>
    <row r="455" spans="2:15" ht="56" hidden="1" x14ac:dyDescent="0.35">
      <c r="B455" s="2">
        <v>9530</v>
      </c>
      <c r="C455" s="5">
        <v>45888</v>
      </c>
      <c r="D455" s="3" t="s">
        <v>196</v>
      </c>
      <c r="E455" s="3" t="s">
        <v>919</v>
      </c>
      <c r="F455" s="14" t="s">
        <v>920</v>
      </c>
      <c r="G455" s="4" t="s">
        <v>16</v>
      </c>
      <c r="H455" s="2" t="s">
        <v>17</v>
      </c>
      <c r="I455" s="2" t="s">
        <v>37</v>
      </c>
      <c r="J455" s="2" t="s">
        <v>112</v>
      </c>
      <c r="K455" s="1" t="s">
        <v>595</v>
      </c>
      <c r="L455" s="1" t="s">
        <v>196</v>
      </c>
      <c r="O455" s="1"/>
    </row>
    <row r="456" spans="2:15" ht="42" hidden="1" x14ac:dyDescent="0.35">
      <c r="B456" s="2">
        <v>9584</v>
      </c>
      <c r="C456" s="5">
        <v>45896</v>
      </c>
      <c r="D456" s="3" t="s">
        <v>21</v>
      </c>
      <c r="E456" s="3" t="s">
        <v>921</v>
      </c>
      <c r="F456" s="14" t="s">
        <v>922</v>
      </c>
      <c r="G456" s="4" t="s">
        <v>16</v>
      </c>
      <c r="H456" s="2" t="s">
        <v>17</v>
      </c>
      <c r="I456" s="2" t="s">
        <v>24</v>
      </c>
      <c r="J456" s="2" t="s">
        <v>54</v>
      </c>
      <c r="K456" s="1" t="s">
        <v>595</v>
      </c>
      <c r="L456" s="1" t="s">
        <v>196</v>
      </c>
      <c r="O456" s="1"/>
    </row>
    <row r="457" spans="2:15" ht="42" hidden="1" x14ac:dyDescent="0.35">
      <c r="B457" s="2">
        <v>9652</v>
      </c>
      <c r="C457" s="5">
        <v>45901</v>
      </c>
      <c r="D457" s="3" t="s">
        <v>26</v>
      </c>
      <c r="E457" s="3" t="s">
        <v>923</v>
      </c>
      <c r="F457" s="14" t="s">
        <v>40</v>
      </c>
      <c r="G457" s="4" t="s">
        <v>16</v>
      </c>
      <c r="H457" s="2" t="s">
        <v>17</v>
      </c>
      <c r="I457" s="2" t="s">
        <v>18</v>
      </c>
      <c r="J457" s="2" t="s">
        <v>19</v>
      </c>
      <c r="K457" s="1" t="s">
        <v>595</v>
      </c>
      <c r="L457" s="1" t="s">
        <v>196</v>
      </c>
      <c r="O457" s="1"/>
    </row>
    <row r="458" spans="2:15" ht="42" hidden="1" x14ac:dyDescent="0.35">
      <c r="B458" s="2">
        <v>10156</v>
      </c>
      <c r="C458" s="5">
        <v>45961</v>
      </c>
      <c r="D458" s="3" t="s">
        <v>196</v>
      </c>
      <c r="E458" s="3" t="s">
        <v>924</v>
      </c>
      <c r="F458" s="14" t="s">
        <v>915</v>
      </c>
      <c r="G458" s="4" t="s">
        <v>51</v>
      </c>
      <c r="H458" s="2" t="s">
        <v>17</v>
      </c>
      <c r="I458" s="2" t="s">
        <v>18</v>
      </c>
      <c r="J458" s="2" t="s">
        <v>19</v>
      </c>
      <c r="K458" s="1" t="s">
        <v>595</v>
      </c>
      <c r="L458" s="1" t="s">
        <v>196</v>
      </c>
      <c r="O458" s="1"/>
    </row>
    <row r="459" spans="2:15" ht="42" hidden="1" x14ac:dyDescent="0.35">
      <c r="B459" s="2">
        <v>10389</v>
      </c>
      <c r="C459" s="5">
        <v>45991</v>
      </c>
      <c r="D459" s="3" t="s">
        <v>134</v>
      </c>
      <c r="E459" s="3" t="s">
        <v>925</v>
      </c>
      <c r="F459" s="14" t="s">
        <v>926</v>
      </c>
      <c r="G459" s="4" t="s">
        <v>16</v>
      </c>
      <c r="H459" s="2" t="s">
        <v>17</v>
      </c>
      <c r="I459" s="2" t="s">
        <v>18</v>
      </c>
      <c r="J459" s="2" t="s">
        <v>19</v>
      </c>
      <c r="K459" s="1" t="s">
        <v>595</v>
      </c>
      <c r="L459" s="1" t="s">
        <v>196</v>
      </c>
      <c r="O459" s="1"/>
    </row>
    <row r="460" spans="2:15" ht="56" hidden="1" x14ac:dyDescent="0.35">
      <c r="B460" s="2">
        <v>10425</v>
      </c>
      <c r="C460" s="5">
        <v>45995</v>
      </c>
      <c r="D460" s="3" t="s">
        <v>134</v>
      </c>
      <c r="E460" s="3" t="s">
        <v>927</v>
      </c>
      <c r="F460" s="14" t="s">
        <v>928</v>
      </c>
      <c r="G460" s="4" t="s">
        <v>51</v>
      </c>
      <c r="H460" s="2" t="s">
        <v>17</v>
      </c>
      <c r="I460" s="2" t="s">
        <v>24</v>
      </c>
      <c r="J460" s="2" t="s">
        <v>54</v>
      </c>
      <c r="K460" s="1" t="s">
        <v>595</v>
      </c>
      <c r="L460" s="1" t="s">
        <v>196</v>
      </c>
      <c r="O460" s="1"/>
    </row>
    <row r="461" spans="2:15" ht="42" hidden="1" x14ac:dyDescent="0.35">
      <c r="B461" s="2">
        <v>10777</v>
      </c>
      <c r="C461" s="5">
        <v>46034</v>
      </c>
      <c r="D461" s="3" t="s">
        <v>196</v>
      </c>
      <c r="E461" s="3" t="s">
        <v>929</v>
      </c>
      <c r="F461" s="14" t="s">
        <v>930</v>
      </c>
      <c r="G461" s="4" t="s">
        <v>51</v>
      </c>
      <c r="H461" s="2" t="s">
        <v>17</v>
      </c>
      <c r="I461" s="2" t="s">
        <v>37</v>
      </c>
      <c r="J461" s="2" t="s">
        <v>38</v>
      </c>
      <c r="K461" s="1" t="s">
        <v>595</v>
      </c>
      <c r="L461" s="1" t="s">
        <v>196</v>
      </c>
      <c r="O461" s="1"/>
    </row>
    <row r="462" spans="2:15" ht="56" hidden="1" x14ac:dyDescent="0.35">
      <c r="B462" s="2">
        <v>11017</v>
      </c>
      <c r="C462" s="5">
        <v>46061</v>
      </c>
      <c r="D462" s="3" t="s">
        <v>26</v>
      </c>
      <c r="E462" s="3" t="s">
        <v>931</v>
      </c>
      <c r="F462" s="14" t="s">
        <v>932</v>
      </c>
      <c r="G462" s="4" t="s">
        <v>16</v>
      </c>
      <c r="H462" s="2" t="s">
        <v>17</v>
      </c>
      <c r="I462" s="2" t="s">
        <v>24</v>
      </c>
      <c r="J462" s="2" t="s">
        <v>54</v>
      </c>
      <c r="K462" s="1" t="s">
        <v>595</v>
      </c>
      <c r="L462" s="1" t="s">
        <v>196</v>
      </c>
      <c r="O462" s="1"/>
    </row>
    <row r="463" spans="2:15" ht="42" hidden="1" x14ac:dyDescent="0.35">
      <c r="B463" s="2">
        <v>11587</v>
      </c>
      <c r="C463" s="24">
        <v>46112</v>
      </c>
      <c r="D463" s="3" t="s">
        <v>190</v>
      </c>
      <c r="E463" s="3" t="s">
        <v>933</v>
      </c>
      <c r="F463" s="14" t="s">
        <v>381</v>
      </c>
      <c r="G463" s="4" t="s">
        <v>16</v>
      </c>
      <c r="H463" s="2" t="s">
        <v>17</v>
      </c>
      <c r="I463" s="2" t="s">
        <v>24</v>
      </c>
      <c r="J463" s="2" t="s">
        <v>33</v>
      </c>
      <c r="K463" s="1" t="s">
        <v>595</v>
      </c>
      <c r="L463" s="1" t="s">
        <v>196</v>
      </c>
      <c r="O463" s="1"/>
    </row>
    <row r="464" spans="2:15" ht="56" hidden="1" x14ac:dyDescent="0.35">
      <c r="B464" s="2">
        <v>78</v>
      </c>
      <c r="C464" s="5">
        <v>45686</v>
      </c>
      <c r="D464" s="3" t="s">
        <v>26</v>
      </c>
      <c r="E464" s="3" t="s">
        <v>934</v>
      </c>
      <c r="F464" s="14" t="s">
        <v>935</v>
      </c>
      <c r="G464" s="4" t="s">
        <v>16</v>
      </c>
      <c r="H464" s="2" t="s">
        <v>17</v>
      </c>
      <c r="I464" s="2" t="s">
        <v>24</v>
      </c>
      <c r="J464" t="s">
        <v>33</v>
      </c>
      <c r="K464" s="1" t="s">
        <v>936</v>
      </c>
      <c r="L464" s="1" t="s">
        <v>134</v>
      </c>
      <c r="O464" s="1"/>
    </row>
    <row r="465" spans="2:15" ht="28" hidden="1" x14ac:dyDescent="0.35">
      <c r="B465" s="2">
        <v>355</v>
      </c>
      <c r="C465" s="5">
        <v>45792</v>
      </c>
      <c r="D465" s="3" t="s">
        <v>937</v>
      </c>
      <c r="E465" s="3" t="s">
        <v>938</v>
      </c>
      <c r="F465" s="14" t="s">
        <v>939</v>
      </c>
      <c r="G465" s="4" t="s">
        <v>51</v>
      </c>
      <c r="H465" s="2" t="s">
        <v>17</v>
      </c>
      <c r="I465" s="2" t="s">
        <v>37</v>
      </c>
      <c r="J465" s="2" t="s">
        <v>121</v>
      </c>
      <c r="K465" s="1" t="s">
        <v>936</v>
      </c>
      <c r="L465" s="1" t="s">
        <v>234</v>
      </c>
      <c r="O465" s="1"/>
    </row>
    <row r="466" spans="2:15" ht="28" hidden="1" x14ac:dyDescent="0.35">
      <c r="B466" s="2">
        <v>447</v>
      </c>
      <c r="C466" s="5">
        <v>45827</v>
      </c>
      <c r="D466" s="3" t="s">
        <v>193</v>
      </c>
      <c r="E466" s="3" t="s">
        <v>940</v>
      </c>
      <c r="F466" s="14" t="s">
        <v>870</v>
      </c>
      <c r="G466" s="4" t="s">
        <v>51</v>
      </c>
      <c r="H466" s="2" t="s">
        <v>17</v>
      </c>
      <c r="I466" s="2" t="s">
        <v>24</v>
      </c>
      <c r="J466" s="2" t="s">
        <v>44</v>
      </c>
      <c r="K466" s="1" t="s">
        <v>936</v>
      </c>
      <c r="L466" s="1" t="s">
        <v>13</v>
      </c>
      <c r="O466" s="1"/>
    </row>
    <row r="467" spans="2:15" ht="28" hidden="1" x14ac:dyDescent="0.35">
      <c r="B467" s="2">
        <v>448</v>
      </c>
      <c r="C467" s="5">
        <v>45827</v>
      </c>
      <c r="D467" s="3" t="s">
        <v>190</v>
      </c>
      <c r="E467" s="3" t="s">
        <v>941</v>
      </c>
      <c r="F467" s="14" t="s">
        <v>766</v>
      </c>
      <c r="G467" s="4" t="s">
        <v>16</v>
      </c>
      <c r="H467" s="2" t="s">
        <v>17</v>
      </c>
      <c r="I467" s="2" t="s">
        <v>18</v>
      </c>
      <c r="J467" s="2" t="s">
        <v>68</v>
      </c>
      <c r="K467" s="1" t="s">
        <v>936</v>
      </c>
      <c r="L467" s="1" t="s">
        <v>21</v>
      </c>
      <c r="O467" s="1"/>
    </row>
    <row r="468" spans="2:15" ht="56" hidden="1" x14ac:dyDescent="0.35">
      <c r="B468" s="2">
        <v>11350</v>
      </c>
      <c r="C468" s="24">
        <v>46093</v>
      </c>
      <c r="D468" s="3" t="s">
        <v>278</v>
      </c>
      <c r="E468" s="3" t="s">
        <v>942</v>
      </c>
      <c r="F468" s="14" t="s">
        <v>943</v>
      </c>
      <c r="G468" s="4" t="s">
        <v>51</v>
      </c>
      <c r="H468" s="2" t="s">
        <v>17</v>
      </c>
      <c r="I468" s="2" t="s">
        <v>37</v>
      </c>
      <c r="J468" s="2" t="s">
        <v>112</v>
      </c>
      <c r="K468" s="1" t="s">
        <v>944</v>
      </c>
      <c r="L468" s="1" t="s">
        <v>278</v>
      </c>
      <c r="O468" s="1"/>
    </row>
    <row r="469" spans="2:15" ht="42" hidden="1" x14ac:dyDescent="0.35">
      <c r="B469" s="2">
        <v>418</v>
      </c>
      <c r="C469" s="5">
        <v>45817</v>
      </c>
      <c r="D469" s="3" t="s">
        <v>134</v>
      </c>
      <c r="E469" s="3" t="s">
        <v>945</v>
      </c>
      <c r="F469" s="14" t="s">
        <v>946</v>
      </c>
      <c r="G469" s="4" t="s">
        <v>51</v>
      </c>
      <c r="H469" s="2" t="s">
        <v>17</v>
      </c>
      <c r="I469" s="2" t="s">
        <v>24</v>
      </c>
      <c r="J469" s="2" t="s">
        <v>72</v>
      </c>
      <c r="K469" s="1" t="s">
        <v>947</v>
      </c>
      <c r="L469" s="1" t="s">
        <v>196</v>
      </c>
      <c r="O469" s="1"/>
    </row>
    <row r="470" spans="2:15" ht="42" hidden="1" x14ac:dyDescent="0.35">
      <c r="B470" s="2">
        <v>9213</v>
      </c>
      <c r="C470" s="5">
        <v>45859</v>
      </c>
      <c r="D470" s="3" t="s">
        <v>196</v>
      </c>
      <c r="E470" s="3" t="s">
        <v>948</v>
      </c>
      <c r="F470" s="14" t="s">
        <v>915</v>
      </c>
      <c r="G470" s="4" t="s">
        <v>51</v>
      </c>
      <c r="H470" s="2" t="s">
        <v>17</v>
      </c>
      <c r="I470" s="2" t="s">
        <v>24</v>
      </c>
      <c r="J470" s="2" t="s">
        <v>261</v>
      </c>
      <c r="K470" s="1" t="s">
        <v>947</v>
      </c>
      <c r="L470" s="1" t="s">
        <v>196</v>
      </c>
      <c r="O470" s="1"/>
    </row>
    <row r="471" spans="2:15" ht="42" hidden="1" x14ac:dyDescent="0.35">
      <c r="B471" s="2">
        <v>9525</v>
      </c>
      <c r="C471" s="5">
        <v>45890</v>
      </c>
      <c r="D471" s="3" t="s">
        <v>104</v>
      </c>
      <c r="E471" s="3" t="s">
        <v>949</v>
      </c>
      <c r="F471" s="14" t="s">
        <v>127</v>
      </c>
      <c r="G471" s="4" t="s">
        <v>16</v>
      </c>
      <c r="H471" s="2" t="s">
        <v>17</v>
      </c>
      <c r="I471" s="2" t="s">
        <v>24</v>
      </c>
      <c r="J471" s="2" t="s">
        <v>54</v>
      </c>
      <c r="K471" s="1" t="s">
        <v>947</v>
      </c>
      <c r="L471" s="1" t="s">
        <v>278</v>
      </c>
      <c r="O471" s="1"/>
    </row>
    <row r="472" spans="2:15" ht="28" hidden="1" x14ac:dyDescent="0.35">
      <c r="B472" s="2">
        <v>9877</v>
      </c>
      <c r="C472" s="5">
        <v>45929</v>
      </c>
      <c r="D472" s="3" t="s">
        <v>278</v>
      </c>
      <c r="E472" s="3" t="s">
        <v>950</v>
      </c>
      <c r="F472" s="14" t="s">
        <v>715</v>
      </c>
      <c r="G472" s="4" t="s">
        <v>51</v>
      </c>
      <c r="H472" s="2" t="s">
        <v>17</v>
      </c>
      <c r="I472" s="2" t="s">
        <v>18</v>
      </c>
      <c r="J472" s="2" t="s">
        <v>19</v>
      </c>
      <c r="K472" s="1" t="s">
        <v>947</v>
      </c>
      <c r="L472" s="1" t="s">
        <v>278</v>
      </c>
      <c r="O472" s="1"/>
    </row>
    <row r="473" spans="2:15" ht="56" hidden="1" x14ac:dyDescent="0.35">
      <c r="B473" s="2">
        <v>10146</v>
      </c>
      <c r="C473" s="5">
        <v>45960</v>
      </c>
      <c r="D473" s="3" t="s">
        <v>21</v>
      </c>
      <c r="E473" s="3" t="s">
        <v>951</v>
      </c>
      <c r="F473" s="14" t="s">
        <v>952</v>
      </c>
      <c r="G473" s="4" t="s">
        <v>16</v>
      </c>
      <c r="H473" s="2" t="s">
        <v>17</v>
      </c>
      <c r="I473" s="2" t="s">
        <v>24</v>
      </c>
      <c r="J473" s="2" t="s">
        <v>54</v>
      </c>
      <c r="K473" s="1" t="s">
        <v>947</v>
      </c>
      <c r="L473" s="1" t="s">
        <v>278</v>
      </c>
      <c r="O473" s="1"/>
    </row>
    <row r="474" spans="2:15" ht="42" hidden="1" x14ac:dyDescent="0.35">
      <c r="B474" s="2">
        <v>10301</v>
      </c>
      <c r="C474" s="5">
        <v>45979</v>
      </c>
      <c r="D474" s="3" t="s">
        <v>21</v>
      </c>
      <c r="E474" s="3" t="s">
        <v>953</v>
      </c>
      <c r="F474" s="14" t="s">
        <v>954</v>
      </c>
      <c r="G474" s="4" t="s">
        <v>16</v>
      </c>
      <c r="H474" s="2" t="s">
        <v>17</v>
      </c>
      <c r="I474" s="2" t="s">
        <v>24</v>
      </c>
      <c r="J474" s="2" t="s">
        <v>54</v>
      </c>
      <c r="K474" s="1" t="s">
        <v>947</v>
      </c>
      <c r="L474" s="1" t="s">
        <v>278</v>
      </c>
      <c r="O474" s="1"/>
    </row>
    <row r="475" spans="2:15" ht="28" hidden="1" x14ac:dyDescent="0.35">
      <c r="B475" s="2">
        <v>10499</v>
      </c>
      <c r="C475" s="5">
        <v>46009</v>
      </c>
      <c r="D475" s="3" t="s">
        <v>278</v>
      </c>
      <c r="E475" s="3" t="s">
        <v>955</v>
      </c>
      <c r="F475" s="14" t="s">
        <v>956</v>
      </c>
      <c r="G475" s="4" t="s">
        <v>51</v>
      </c>
      <c r="H475" s="2" t="s">
        <v>17</v>
      </c>
      <c r="I475" s="2" t="s">
        <v>24</v>
      </c>
      <c r="J475" s="2" t="s">
        <v>241</v>
      </c>
      <c r="K475" s="1" t="s">
        <v>947</v>
      </c>
      <c r="L475" s="1" t="s">
        <v>278</v>
      </c>
      <c r="O475" s="1"/>
    </row>
    <row r="476" spans="2:15" ht="42" hidden="1" x14ac:dyDescent="0.35">
      <c r="B476" s="2">
        <v>10684</v>
      </c>
      <c r="C476" s="5">
        <v>46028</v>
      </c>
      <c r="D476" s="3" t="s">
        <v>278</v>
      </c>
      <c r="E476" s="3" t="s">
        <v>957</v>
      </c>
      <c r="F476" s="14" t="s">
        <v>958</v>
      </c>
      <c r="G476" s="4" t="s">
        <v>51</v>
      </c>
      <c r="H476" s="2" t="s">
        <v>17</v>
      </c>
      <c r="I476" s="2" t="s">
        <v>24</v>
      </c>
      <c r="J476" s="2" t="s">
        <v>261</v>
      </c>
      <c r="K476" s="1" t="s">
        <v>947</v>
      </c>
      <c r="L476" s="1" t="s">
        <v>278</v>
      </c>
      <c r="O476" s="1"/>
    </row>
    <row r="477" spans="2:15" ht="42" hidden="1" x14ac:dyDescent="0.35">
      <c r="B477" s="2">
        <v>6</v>
      </c>
      <c r="C477" s="5">
        <v>45660</v>
      </c>
      <c r="D477" s="3" t="s">
        <v>196</v>
      </c>
      <c r="E477" s="3" t="s">
        <v>959</v>
      </c>
      <c r="F477" s="14" t="s">
        <v>960</v>
      </c>
      <c r="G477" s="4" t="s">
        <v>51</v>
      </c>
      <c r="H477" s="2" t="s">
        <v>17</v>
      </c>
      <c r="I477" s="2" t="s">
        <v>18</v>
      </c>
      <c r="J477" t="s">
        <v>68</v>
      </c>
      <c r="K477" s="1" t="s">
        <v>961</v>
      </c>
      <c r="L477" s="1" t="s">
        <v>196</v>
      </c>
      <c r="O477" s="1"/>
    </row>
    <row r="478" spans="2:15" ht="56" hidden="1" x14ac:dyDescent="0.35">
      <c r="B478" s="2">
        <v>96</v>
      </c>
      <c r="C478" s="5">
        <v>45692</v>
      </c>
      <c r="D478" s="3" t="s">
        <v>26</v>
      </c>
      <c r="E478" s="3" t="s">
        <v>962</v>
      </c>
      <c r="F478" s="14" t="s">
        <v>492</v>
      </c>
      <c r="G478" s="4" t="s">
        <v>16</v>
      </c>
      <c r="H478" s="2" t="s">
        <v>17</v>
      </c>
      <c r="I478" s="2" t="s">
        <v>37</v>
      </c>
      <c r="J478" s="2" t="s">
        <v>112</v>
      </c>
      <c r="K478" s="1" t="s">
        <v>961</v>
      </c>
      <c r="L478" s="1" t="s">
        <v>196</v>
      </c>
      <c r="O478" s="1"/>
    </row>
    <row r="479" spans="2:15" ht="42" hidden="1" x14ac:dyDescent="0.35">
      <c r="B479" s="2">
        <v>99</v>
      </c>
      <c r="C479" s="5">
        <v>45694</v>
      </c>
      <c r="D479" s="3" t="s">
        <v>196</v>
      </c>
      <c r="E479" s="3" t="s">
        <v>963</v>
      </c>
      <c r="F479" s="14" t="s">
        <v>794</v>
      </c>
      <c r="G479" s="4" t="s">
        <v>16</v>
      </c>
      <c r="H479" s="2" t="s">
        <v>17</v>
      </c>
      <c r="I479" s="2" t="s">
        <v>18</v>
      </c>
      <c r="J479" s="2" t="s">
        <v>19</v>
      </c>
      <c r="K479" s="1" t="s">
        <v>961</v>
      </c>
      <c r="L479" s="1" t="s">
        <v>196</v>
      </c>
      <c r="O479" s="1"/>
    </row>
    <row r="480" spans="2:15" ht="56" hidden="1" x14ac:dyDescent="0.35">
      <c r="B480" s="2">
        <v>165</v>
      </c>
      <c r="C480" s="5">
        <v>45719</v>
      </c>
      <c r="D480" s="3" t="s">
        <v>104</v>
      </c>
      <c r="E480" s="3" t="s">
        <v>964</v>
      </c>
      <c r="F480" s="14" t="s">
        <v>743</v>
      </c>
      <c r="G480" s="4" t="s">
        <v>16</v>
      </c>
      <c r="H480" s="2" t="s">
        <v>17</v>
      </c>
      <c r="I480" s="2" t="s">
        <v>18</v>
      </c>
      <c r="J480" s="2" t="s">
        <v>68</v>
      </c>
      <c r="K480" s="1" t="s">
        <v>961</v>
      </c>
      <c r="L480" s="1" t="s">
        <v>196</v>
      </c>
      <c r="O480" s="1"/>
    </row>
    <row r="481" spans="2:15" ht="42" hidden="1" x14ac:dyDescent="0.35">
      <c r="B481" s="2">
        <v>235</v>
      </c>
      <c r="C481" s="5">
        <v>45748</v>
      </c>
      <c r="D481" s="3" t="s">
        <v>96</v>
      </c>
      <c r="E481" s="3" t="s">
        <v>965</v>
      </c>
      <c r="F481" s="14" t="s">
        <v>966</v>
      </c>
      <c r="G481" s="4" t="s">
        <v>16</v>
      </c>
      <c r="H481" s="2" t="s">
        <v>17</v>
      </c>
      <c r="I481" s="2" t="s">
        <v>37</v>
      </c>
      <c r="J481" s="2" t="s">
        <v>112</v>
      </c>
      <c r="K481" s="1" t="s">
        <v>961</v>
      </c>
      <c r="L481" s="1" t="s">
        <v>196</v>
      </c>
      <c r="O481" s="1"/>
    </row>
    <row r="482" spans="2:15" ht="56" hidden="1" x14ac:dyDescent="0.35">
      <c r="B482" s="2">
        <v>311</v>
      </c>
      <c r="C482" s="5">
        <v>45779</v>
      </c>
      <c r="D482" s="3" t="s">
        <v>196</v>
      </c>
      <c r="E482" s="3" t="s">
        <v>967</v>
      </c>
      <c r="F482" s="14" t="s">
        <v>920</v>
      </c>
      <c r="G482" s="4" t="s">
        <v>16</v>
      </c>
      <c r="H482" s="2" t="s">
        <v>17</v>
      </c>
      <c r="I482" s="2" t="s">
        <v>37</v>
      </c>
      <c r="J482" s="2" t="s">
        <v>112</v>
      </c>
      <c r="K482" s="1" t="s">
        <v>961</v>
      </c>
      <c r="L482" s="1" t="s">
        <v>196</v>
      </c>
      <c r="O482" s="1"/>
    </row>
    <row r="483" spans="2:15" ht="56" hidden="1" x14ac:dyDescent="0.35">
      <c r="B483" s="2">
        <v>11182</v>
      </c>
      <c r="C483" s="24">
        <v>46078</v>
      </c>
      <c r="D483" s="3" t="s">
        <v>104</v>
      </c>
      <c r="E483" s="3" t="s">
        <v>968</v>
      </c>
      <c r="F483" s="14" t="s">
        <v>969</v>
      </c>
      <c r="G483" s="4" t="s">
        <v>51</v>
      </c>
      <c r="H483" s="2" t="s">
        <v>17</v>
      </c>
      <c r="I483" s="2" t="s">
        <v>24</v>
      </c>
      <c r="J483" s="2" t="s">
        <v>54</v>
      </c>
      <c r="K483" s="1" t="s">
        <v>961</v>
      </c>
      <c r="L483" s="1" t="s">
        <v>278</v>
      </c>
      <c r="O483" s="1"/>
    </row>
    <row r="484" spans="2:15" ht="42" hidden="1" x14ac:dyDescent="0.35">
      <c r="B484" s="2">
        <v>115</v>
      </c>
      <c r="C484" s="5">
        <v>45705</v>
      </c>
      <c r="D484" s="3" t="s">
        <v>278</v>
      </c>
      <c r="E484" s="3" t="s">
        <v>970</v>
      </c>
      <c r="F484" s="14" t="s">
        <v>711</v>
      </c>
      <c r="G484" s="4" t="s">
        <v>16</v>
      </c>
      <c r="H484" s="2" t="s">
        <v>17</v>
      </c>
      <c r="I484" s="2" t="s">
        <v>24</v>
      </c>
      <c r="J484" s="2" t="s">
        <v>72</v>
      </c>
      <c r="K484" s="1" t="s">
        <v>971</v>
      </c>
      <c r="L484" s="1" t="s">
        <v>278</v>
      </c>
      <c r="O484" s="1"/>
    </row>
    <row r="485" spans="2:15" ht="56" hidden="1" x14ac:dyDescent="0.35">
      <c r="B485" s="2">
        <v>141</v>
      </c>
      <c r="C485" s="5">
        <v>45716</v>
      </c>
      <c r="D485" s="3" t="s">
        <v>96</v>
      </c>
      <c r="E485" s="3" t="s">
        <v>972</v>
      </c>
      <c r="F485" s="14" t="s">
        <v>973</v>
      </c>
      <c r="G485" s="4" t="s">
        <v>51</v>
      </c>
      <c r="H485" s="2" t="s">
        <v>17</v>
      </c>
      <c r="I485" s="2" t="s">
        <v>24</v>
      </c>
      <c r="J485" s="2" t="s">
        <v>72</v>
      </c>
      <c r="K485" s="1" t="s">
        <v>971</v>
      </c>
      <c r="L485" s="1" t="s">
        <v>278</v>
      </c>
      <c r="O485" s="1"/>
    </row>
    <row r="486" spans="2:15" ht="56" hidden="1" x14ac:dyDescent="0.35">
      <c r="B486" s="2">
        <v>142</v>
      </c>
      <c r="C486" s="5">
        <v>45716</v>
      </c>
      <c r="D486" s="3" t="s">
        <v>96</v>
      </c>
      <c r="E486" s="3" t="s">
        <v>974</v>
      </c>
      <c r="F486" s="14" t="s">
        <v>975</v>
      </c>
      <c r="G486" s="4" t="s">
        <v>16</v>
      </c>
      <c r="H486" s="2" t="s">
        <v>17</v>
      </c>
      <c r="I486" s="2" t="s">
        <v>24</v>
      </c>
      <c r="J486" s="2" t="s">
        <v>33</v>
      </c>
      <c r="K486" s="1" t="s">
        <v>971</v>
      </c>
      <c r="L486" s="1" t="s">
        <v>278</v>
      </c>
    </row>
    <row r="487" spans="2:15" ht="56" hidden="1" x14ac:dyDescent="0.35">
      <c r="B487" s="2">
        <v>143</v>
      </c>
      <c r="C487" s="5">
        <v>45716</v>
      </c>
      <c r="D487" s="3" t="s">
        <v>96</v>
      </c>
      <c r="E487" s="3" t="s">
        <v>976</v>
      </c>
      <c r="F487" s="14" t="s">
        <v>977</v>
      </c>
      <c r="G487" s="4" t="s">
        <v>51</v>
      </c>
      <c r="H487" s="2" t="s">
        <v>17</v>
      </c>
      <c r="I487" s="2" t="s">
        <v>24</v>
      </c>
      <c r="J487" s="2" t="s">
        <v>33</v>
      </c>
      <c r="K487" s="1" t="s">
        <v>971</v>
      </c>
      <c r="L487" s="1" t="s">
        <v>278</v>
      </c>
    </row>
    <row r="488" spans="2:15" ht="42" hidden="1" x14ac:dyDescent="0.35">
      <c r="B488" s="2">
        <v>227</v>
      </c>
      <c r="C488" s="5">
        <v>45747</v>
      </c>
      <c r="D488" s="3" t="s">
        <v>96</v>
      </c>
      <c r="E488" s="3" t="s">
        <v>978</v>
      </c>
      <c r="F488" s="14" t="s">
        <v>979</v>
      </c>
      <c r="G488" s="4" t="s">
        <v>51</v>
      </c>
      <c r="H488" s="2" t="s">
        <v>17</v>
      </c>
      <c r="I488" s="2" t="s">
        <v>18</v>
      </c>
      <c r="J488" s="2" t="s">
        <v>68</v>
      </c>
      <c r="K488" s="1" t="s">
        <v>971</v>
      </c>
      <c r="L488" s="1" t="s">
        <v>278</v>
      </c>
    </row>
    <row r="489" spans="2:15" ht="42" hidden="1" x14ac:dyDescent="0.35">
      <c r="B489" s="2">
        <v>238</v>
      </c>
      <c r="C489" s="5">
        <v>45751</v>
      </c>
      <c r="D489" s="3" t="s">
        <v>190</v>
      </c>
      <c r="E489" s="3" t="s">
        <v>980</v>
      </c>
      <c r="F489" s="14" t="s">
        <v>981</v>
      </c>
      <c r="G489" s="4" t="s">
        <v>16</v>
      </c>
      <c r="H489" s="2" t="s">
        <v>17</v>
      </c>
      <c r="I489" s="2" t="s">
        <v>18</v>
      </c>
      <c r="J489" s="2" t="s">
        <v>19</v>
      </c>
      <c r="K489" s="1" t="s">
        <v>982</v>
      </c>
      <c r="L489" s="1" t="s">
        <v>190</v>
      </c>
    </row>
    <row r="490" spans="2:15" ht="42" hidden="1" x14ac:dyDescent="0.35">
      <c r="B490" s="2">
        <v>253</v>
      </c>
      <c r="C490" s="5">
        <v>45758</v>
      </c>
      <c r="D490" s="3" t="s">
        <v>96</v>
      </c>
      <c r="E490" s="3" t="s">
        <v>983</v>
      </c>
      <c r="F490" s="14" t="s">
        <v>984</v>
      </c>
      <c r="G490" s="4" t="s">
        <v>51</v>
      </c>
      <c r="H490" s="2" t="s">
        <v>17</v>
      </c>
      <c r="I490" s="2" t="s">
        <v>37</v>
      </c>
      <c r="J490" s="2" t="s">
        <v>112</v>
      </c>
      <c r="K490" s="1" t="s">
        <v>982</v>
      </c>
      <c r="L490" s="1" t="s">
        <v>278</v>
      </c>
    </row>
    <row r="491" spans="2:15" ht="56" hidden="1" x14ac:dyDescent="0.35">
      <c r="B491" s="2">
        <v>254</v>
      </c>
      <c r="C491" s="5">
        <v>45758</v>
      </c>
      <c r="D491" s="3" t="s">
        <v>193</v>
      </c>
      <c r="E491" s="3" t="s">
        <v>985</v>
      </c>
      <c r="F491" s="14" t="s">
        <v>713</v>
      </c>
      <c r="G491" s="4" t="s">
        <v>51</v>
      </c>
      <c r="H491" s="2" t="s">
        <v>17</v>
      </c>
      <c r="I491" s="2" t="s">
        <v>24</v>
      </c>
      <c r="J491" s="2" t="s">
        <v>33</v>
      </c>
      <c r="K491" s="1" t="s">
        <v>982</v>
      </c>
      <c r="L491" s="1" t="s">
        <v>196</v>
      </c>
    </row>
    <row r="492" spans="2:15" ht="56" hidden="1" x14ac:dyDescent="0.35">
      <c r="B492" s="2">
        <v>261</v>
      </c>
      <c r="C492" s="5">
        <v>45762</v>
      </c>
      <c r="D492" s="3" t="s">
        <v>96</v>
      </c>
      <c r="E492" s="3" t="s">
        <v>986</v>
      </c>
      <c r="F492" s="14" t="s">
        <v>98</v>
      </c>
      <c r="G492" s="4" t="s">
        <v>51</v>
      </c>
      <c r="H492" s="2" t="s">
        <v>17</v>
      </c>
      <c r="I492" s="2" t="s">
        <v>24</v>
      </c>
      <c r="J492" s="2" t="s">
        <v>33</v>
      </c>
      <c r="K492" s="1" t="s">
        <v>982</v>
      </c>
      <c r="L492" s="1" t="s">
        <v>278</v>
      </c>
    </row>
    <row r="493" spans="2:15" ht="56" hidden="1" x14ac:dyDescent="0.35">
      <c r="B493" s="2">
        <v>262</v>
      </c>
      <c r="C493" s="5">
        <v>45762</v>
      </c>
      <c r="D493" s="3" t="s">
        <v>96</v>
      </c>
      <c r="E493" s="3" t="s">
        <v>987</v>
      </c>
      <c r="F493" s="14" t="s">
        <v>973</v>
      </c>
      <c r="G493" s="4" t="s">
        <v>51</v>
      </c>
      <c r="H493" s="2" t="s">
        <v>17</v>
      </c>
      <c r="I493" s="2" t="s">
        <v>24</v>
      </c>
      <c r="J493" s="2" t="s">
        <v>33</v>
      </c>
      <c r="K493" s="1" t="s">
        <v>982</v>
      </c>
      <c r="L493" s="1" t="s">
        <v>278</v>
      </c>
    </row>
    <row r="494" spans="2:15" ht="56" hidden="1" x14ac:dyDescent="0.35">
      <c r="B494" s="2">
        <v>263</v>
      </c>
      <c r="C494" s="5">
        <v>45762</v>
      </c>
      <c r="D494" s="3" t="s">
        <v>96</v>
      </c>
      <c r="E494" s="3" t="s">
        <v>988</v>
      </c>
      <c r="F494" s="14" t="s">
        <v>713</v>
      </c>
      <c r="G494" s="4" t="s">
        <v>51</v>
      </c>
      <c r="H494" s="2" t="s">
        <v>17</v>
      </c>
      <c r="I494" s="2" t="s">
        <v>24</v>
      </c>
      <c r="J494" s="2" t="s">
        <v>33</v>
      </c>
      <c r="K494" s="1" t="s">
        <v>982</v>
      </c>
      <c r="L494" s="1" t="s">
        <v>278</v>
      </c>
    </row>
    <row r="495" spans="2:15" ht="56" hidden="1" x14ac:dyDescent="0.35">
      <c r="B495" s="2">
        <v>272</v>
      </c>
      <c r="C495" s="5">
        <v>45770</v>
      </c>
      <c r="D495" s="3" t="s">
        <v>96</v>
      </c>
      <c r="E495" s="3" t="s">
        <v>989</v>
      </c>
      <c r="F495" s="14" t="s">
        <v>990</v>
      </c>
      <c r="G495" s="4" t="s">
        <v>51</v>
      </c>
      <c r="H495" s="2" t="s">
        <v>17</v>
      </c>
      <c r="I495" s="2" t="s">
        <v>18</v>
      </c>
      <c r="J495" s="2" t="s">
        <v>19</v>
      </c>
      <c r="K495" s="1" t="s">
        <v>982</v>
      </c>
      <c r="L495" s="1" t="s">
        <v>278</v>
      </c>
    </row>
    <row r="496" spans="2:15" ht="56" hidden="1" x14ac:dyDescent="0.35">
      <c r="B496" s="2">
        <v>320</v>
      </c>
      <c r="C496" s="5">
        <v>45782</v>
      </c>
      <c r="D496" s="3" t="s">
        <v>227</v>
      </c>
      <c r="E496" s="3" t="s">
        <v>991</v>
      </c>
      <c r="F496" s="14" t="s">
        <v>992</v>
      </c>
      <c r="G496" s="4" t="s">
        <v>51</v>
      </c>
      <c r="H496" s="2" t="s">
        <v>17</v>
      </c>
      <c r="I496" s="2" t="s">
        <v>24</v>
      </c>
      <c r="J496" s="2" t="s">
        <v>261</v>
      </c>
      <c r="K496" s="1" t="s">
        <v>982</v>
      </c>
      <c r="L496" s="1" t="s">
        <v>96</v>
      </c>
    </row>
    <row r="497" spans="2:12" ht="42" hidden="1" x14ac:dyDescent="0.35">
      <c r="B497" s="2">
        <v>364</v>
      </c>
      <c r="C497" s="5">
        <v>45796</v>
      </c>
      <c r="D497" s="3" t="s">
        <v>96</v>
      </c>
      <c r="E497" s="3" t="s">
        <v>993</v>
      </c>
      <c r="F497" s="14" t="s">
        <v>994</v>
      </c>
      <c r="G497" s="4" t="s">
        <v>51</v>
      </c>
      <c r="H497" s="2" t="s">
        <v>17</v>
      </c>
      <c r="I497" s="2" t="s">
        <v>37</v>
      </c>
      <c r="J497" s="2" t="s">
        <v>112</v>
      </c>
      <c r="K497" s="1" t="s">
        <v>982</v>
      </c>
      <c r="L497" s="1" t="s">
        <v>96</v>
      </c>
    </row>
    <row r="498" spans="2:12" ht="28" hidden="1" x14ac:dyDescent="0.35">
      <c r="B498" s="2">
        <v>382</v>
      </c>
      <c r="C498" s="5">
        <v>45803</v>
      </c>
      <c r="D498" s="3" t="s">
        <v>96</v>
      </c>
      <c r="E498" s="3" t="s">
        <v>995</v>
      </c>
      <c r="F498" s="14" t="s">
        <v>996</v>
      </c>
      <c r="G498" s="4" t="s">
        <v>51</v>
      </c>
      <c r="H498" s="2" t="s">
        <v>17</v>
      </c>
      <c r="I498" s="2" t="s">
        <v>37</v>
      </c>
      <c r="J498" s="2" t="s">
        <v>112</v>
      </c>
      <c r="K498" s="1" t="s">
        <v>982</v>
      </c>
      <c r="L498" s="1" t="s">
        <v>96</v>
      </c>
    </row>
    <row r="499" spans="2:12" ht="42" hidden="1" x14ac:dyDescent="0.35">
      <c r="B499" s="2">
        <v>9479</v>
      </c>
      <c r="C499" s="5">
        <v>45883</v>
      </c>
      <c r="D499" s="3" t="s">
        <v>227</v>
      </c>
      <c r="E499" s="3" t="s">
        <v>997</v>
      </c>
      <c r="F499" s="14" t="s">
        <v>998</v>
      </c>
      <c r="G499" s="4" t="s">
        <v>51</v>
      </c>
      <c r="H499" s="2" t="s">
        <v>17</v>
      </c>
      <c r="I499" s="2" t="s">
        <v>18</v>
      </c>
      <c r="J499" s="2" t="s">
        <v>19</v>
      </c>
      <c r="K499" s="1" t="s">
        <v>982</v>
      </c>
      <c r="L499" s="1" t="s">
        <v>96</v>
      </c>
    </row>
    <row r="500" spans="2:12" ht="42" hidden="1" x14ac:dyDescent="0.35">
      <c r="B500" s="2">
        <v>10247</v>
      </c>
      <c r="C500" s="5">
        <v>45973</v>
      </c>
      <c r="D500" s="3" t="s">
        <v>96</v>
      </c>
      <c r="E500" s="3" t="s">
        <v>999</v>
      </c>
      <c r="F500" s="14" t="s">
        <v>1000</v>
      </c>
      <c r="G500" s="4" t="s">
        <v>51</v>
      </c>
      <c r="H500" s="2" t="s">
        <v>17</v>
      </c>
      <c r="I500" s="2" t="s">
        <v>24</v>
      </c>
      <c r="J500" s="2" t="s">
        <v>44</v>
      </c>
      <c r="K500" s="1" t="s">
        <v>982</v>
      </c>
      <c r="L500" s="1" t="s">
        <v>96</v>
      </c>
    </row>
    <row r="501" spans="2:12" ht="28" hidden="1" x14ac:dyDescent="0.35">
      <c r="B501" s="2">
        <v>10335</v>
      </c>
      <c r="C501" s="5">
        <v>45980</v>
      </c>
      <c r="D501" s="3" t="s">
        <v>96</v>
      </c>
      <c r="E501" s="3" t="s">
        <v>1001</v>
      </c>
      <c r="F501" s="14" t="s">
        <v>1002</v>
      </c>
      <c r="G501" s="4" t="s">
        <v>51</v>
      </c>
      <c r="H501" s="2" t="s">
        <v>17</v>
      </c>
      <c r="I501" s="2" t="s">
        <v>24</v>
      </c>
      <c r="J501" s="2" t="s">
        <v>44</v>
      </c>
      <c r="K501" s="1" t="s">
        <v>982</v>
      </c>
      <c r="L501" s="1" t="s">
        <v>96</v>
      </c>
    </row>
    <row r="502" spans="2:12" ht="28" hidden="1" x14ac:dyDescent="0.35">
      <c r="B502" s="2">
        <v>10336</v>
      </c>
      <c r="C502" s="5">
        <v>45980</v>
      </c>
      <c r="D502" s="3" t="s">
        <v>96</v>
      </c>
      <c r="E502" s="3" t="s">
        <v>1001</v>
      </c>
      <c r="F502" s="14" t="s">
        <v>1003</v>
      </c>
      <c r="G502" s="4" t="s">
        <v>51</v>
      </c>
      <c r="H502" s="2" t="s">
        <v>17</v>
      </c>
      <c r="I502" s="2" t="s">
        <v>24</v>
      </c>
      <c r="J502" s="2" t="s">
        <v>44</v>
      </c>
      <c r="K502" s="1" t="s">
        <v>982</v>
      </c>
      <c r="L502" s="1" t="s">
        <v>96</v>
      </c>
    </row>
    <row r="503" spans="2:12" ht="28" hidden="1" x14ac:dyDescent="0.35">
      <c r="B503" s="2">
        <v>10334</v>
      </c>
      <c r="C503" s="5">
        <v>45980</v>
      </c>
      <c r="D503" s="3" t="s">
        <v>96</v>
      </c>
      <c r="E503" s="3" t="s">
        <v>1001</v>
      </c>
      <c r="F503" s="14" t="s">
        <v>1004</v>
      </c>
      <c r="G503" s="4" t="s">
        <v>51</v>
      </c>
      <c r="H503" s="2" t="s">
        <v>17</v>
      </c>
      <c r="I503" s="2" t="s">
        <v>24</v>
      </c>
      <c r="J503" s="2" t="s">
        <v>44</v>
      </c>
      <c r="K503" s="1" t="s">
        <v>982</v>
      </c>
      <c r="L503" s="1" t="s">
        <v>96</v>
      </c>
    </row>
    <row r="504" spans="2:12" ht="28" hidden="1" x14ac:dyDescent="0.35">
      <c r="B504" s="2">
        <v>10377</v>
      </c>
      <c r="C504" s="5">
        <v>45989</v>
      </c>
      <c r="D504" s="3" t="s">
        <v>96</v>
      </c>
      <c r="E504" s="3" t="s">
        <v>1005</v>
      </c>
      <c r="F504" s="14" t="s">
        <v>1006</v>
      </c>
      <c r="G504" s="4" t="s">
        <v>51</v>
      </c>
      <c r="H504" s="2" t="s">
        <v>17</v>
      </c>
      <c r="I504" s="2" t="s">
        <v>37</v>
      </c>
      <c r="J504" s="2" t="s">
        <v>716</v>
      </c>
      <c r="K504" s="1" t="s">
        <v>982</v>
      </c>
      <c r="L504" s="1" t="s">
        <v>96</v>
      </c>
    </row>
    <row r="505" spans="2:12" ht="42" hidden="1" x14ac:dyDescent="0.35">
      <c r="B505" s="2">
        <v>10994</v>
      </c>
      <c r="C505" s="5">
        <v>46029</v>
      </c>
      <c r="D505" s="3" t="s">
        <v>96</v>
      </c>
      <c r="E505" s="3" t="s">
        <v>1007</v>
      </c>
      <c r="F505" s="14" t="s">
        <v>1008</v>
      </c>
      <c r="G505" s="4" t="s">
        <v>16</v>
      </c>
      <c r="H505" s="2" t="s">
        <v>17</v>
      </c>
      <c r="I505" s="2" t="s">
        <v>18</v>
      </c>
      <c r="J505" s="2" t="s">
        <v>68</v>
      </c>
      <c r="K505" s="1" t="s">
        <v>982</v>
      </c>
      <c r="L505" s="1" t="s">
        <v>96</v>
      </c>
    </row>
    <row r="506" spans="2:12" ht="42" hidden="1" x14ac:dyDescent="0.35">
      <c r="B506" s="2">
        <v>9176</v>
      </c>
      <c r="C506" s="5">
        <v>45854</v>
      </c>
      <c r="D506" s="3" t="s">
        <v>220</v>
      </c>
      <c r="E506" s="3" t="s">
        <v>1009</v>
      </c>
      <c r="F506" s="14" t="s">
        <v>1010</v>
      </c>
      <c r="G506" s="4" t="s">
        <v>51</v>
      </c>
      <c r="H506" s="2" t="s">
        <v>17</v>
      </c>
      <c r="I506" s="2" t="s">
        <v>24</v>
      </c>
      <c r="J506" s="2" t="s">
        <v>25</v>
      </c>
      <c r="K506" s="1" t="s">
        <v>1011</v>
      </c>
      <c r="L506" s="1" t="s">
        <v>250</v>
      </c>
    </row>
    <row r="507" spans="2:12" ht="56" hidden="1" x14ac:dyDescent="0.35">
      <c r="B507" s="2">
        <v>86</v>
      </c>
      <c r="C507" s="5">
        <v>45687</v>
      </c>
      <c r="D507" s="3" t="s">
        <v>196</v>
      </c>
      <c r="E507" s="3" t="s">
        <v>1012</v>
      </c>
      <c r="F507" s="14" t="s">
        <v>1013</v>
      </c>
      <c r="G507" s="4" t="s">
        <v>51</v>
      </c>
      <c r="H507" s="2" t="s">
        <v>17</v>
      </c>
      <c r="I507" s="2" t="s">
        <v>18</v>
      </c>
      <c r="J507" t="s">
        <v>19</v>
      </c>
      <c r="K507" s="1" t="s">
        <v>1014</v>
      </c>
      <c r="L507" s="1" t="s">
        <v>95</v>
      </c>
    </row>
    <row r="508" spans="2:12" ht="56" hidden="1" x14ac:dyDescent="0.35">
      <c r="B508" s="2">
        <v>89</v>
      </c>
      <c r="C508" s="5">
        <v>45688</v>
      </c>
      <c r="D508" s="3" t="s">
        <v>193</v>
      </c>
      <c r="E508" s="3" t="s">
        <v>1015</v>
      </c>
      <c r="F508" s="14" t="s">
        <v>1016</v>
      </c>
      <c r="G508" s="4" t="s">
        <v>51</v>
      </c>
      <c r="H508" s="2" t="s">
        <v>17</v>
      </c>
      <c r="I508" s="2" t="s">
        <v>24</v>
      </c>
      <c r="J508" t="s">
        <v>72</v>
      </c>
      <c r="K508" s="1" t="s">
        <v>1014</v>
      </c>
      <c r="L508" s="1" t="s">
        <v>95</v>
      </c>
    </row>
    <row r="509" spans="2:12" ht="42" hidden="1" x14ac:dyDescent="0.35">
      <c r="B509" s="2">
        <v>10297</v>
      </c>
      <c r="C509" s="5">
        <v>45973</v>
      </c>
      <c r="D509" s="3" t="s">
        <v>21</v>
      </c>
      <c r="E509" s="3" t="s">
        <v>1017</v>
      </c>
      <c r="F509" s="14" t="s">
        <v>607</v>
      </c>
      <c r="G509" s="4" t="s">
        <v>16</v>
      </c>
      <c r="H509" s="2" t="s">
        <v>17</v>
      </c>
      <c r="I509" s="2" t="s">
        <v>37</v>
      </c>
      <c r="J509" s="2" t="s">
        <v>121</v>
      </c>
      <c r="K509" s="1" t="s">
        <v>1018</v>
      </c>
      <c r="L509" s="1" t="s">
        <v>190</v>
      </c>
    </row>
    <row r="510" spans="2:12" ht="28" hidden="1" x14ac:dyDescent="0.35">
      <c r="B510" s="2">
        <v>82</v>
      </c>
      <c r="C510" s="5">
        <v>45687</v>
      </c>
      <c r="D510" s="3" t="s">
        <v>134</v>
      </c>
      <c r="E510" s="3" t="s">
        <v>1019</v>
      </c>
      <c r="F510" s="14" t="s">
        <v>393</v>
      </c>
      <c r="G510" s="4" t="s">
        <v>16</v>
      </c>
      <c r="H510" s="2" t="s">
        <v>17</v>
      </c>
      <c r="I510" s="2" t="s">
        <v>24</v>
      </c>
      <c r="J510" t="s">
        <v>33</v>
      </c>
      <c r="K510" s="1" t="s">
        <v>1020</v>
      </c>
      <c r="L510" s="1" t="s">
        <v>134</v>
      </c>
    </row>
    <row r="511" spans="2:12" ht="56" hidden="1" x14ac:dyDescent="0.35">
      <c r="B511" s="2">
        <v>84</v>
      </c>
      <c r="C511" s="5">
        <v>45687</v>
      </c>
      <c r="D511" s="3" t="s">
        <v>34</v>
      </c>
      <c r="E511" s="3" t="s">
        <v>1021</v>
      </c>
      <c r="F511" s="14" t="s">
        <v>1022</v>
      </c>
      <c r="G511" s="4" t="s">
        <v>51</v>
      </c>
      <c r="H511" s="2" t="s">
        <v>17</v>
      </c>
      <c r="I511" s="2" t="s">
        <v>18</v>
      </c>
      <c r="J511" t="s">
        <v>19</v>
      </c>
      <c r="K511" s="1" t="s">
        <v>1020</v>
      </c>
      <c r="L511" s="1" t="s">
        <v>34</v>
      </c>
    </row>
    <row r="512" spans="2:12" ht="42" hidden="1" x14ac:dyDescent="0.35">
      <c r="B512" s="2">
        <v>363</v>
      </c>
      <c r="C512" s="5">
        <v>45796</v>
      </c>
      <c r="D512" s="3" t="s">
        <v>937</v>
      </c>
      <c r="E512" s="3" t="s">
        <v>1023</v>
      </c>
      <c r="F512" s="14" t="s">
        <v>1024</v>
      </c>
      <c r="G512" s="4" t="s">
        <v>51</v>
      </c>
      <c r="H512" s="2" t="s">
        <v>17</v>
      </c>
      <c r="I512" s="2" t="s">
        <v>24</v>
      </c>
      <c r="J512" s="2" t="s">
        <v>72</v>
      </c>
      <c r="K512" s="1" t="s">
        <v>1025</v>
      </c>
      <c r="L512" s="1" t="s">
        <v>395</v>
      </c>
    </row>
    <row r="513" spans="2:12" ht="28" hidden="1" x14ac:dyDescent="0.35">
      <c r="B513" s="2">
        <v>329</v>
      </c>
      <c r="C513" s="5">
        <v>45784</v>
      </c>
      <c r="D513" s="3" t="s">
        <v>190</v>
      </c>
      <c r="E513" s="3" t="s">
        <v>1026</v>
      </c>
      <c r="F513" s="14" t="s">
        <v>1027</v>
      </c>
      <c r="G513" s="4" t="s">
        <v>16</v>
      </c>
      <c r="H513" s="2" t="s">
        <v>17</v>
      </c>
      <c r="I513" s="2" t="s">
        <v>18</v>
      </c>
      <c r="J513" s="2" t="s">
        <v>68</v>
      </c>
      <c r="K513" s="1" t="s">
        <v>1028</v>
      </c>
      <c r="L513" s="1" t="s">
        <v>371</v>
      </c>
    </row>
    <row r="514" spans="2:12" ht="70" hidden="1" x14ac:dyDescent="0.35">
      <c r="B514" s="2">
        <v>10331</v>
      </c>
      <c r="C514" s="5">
        <v>45982</v>
      </c>
      <c r="D514" s="3" t="s">
        <v>34</v>
      </c>
      <c r="E514" s="3" t="s">
        <v>1029</v>
      </c>
      <c r="F514" s="14" t="s">
        <v>53</v>
      </c>
      <c r="G514" s="4" t="s">
        <v>16</v>
      </c>
      <c r="H514" s="2" t="s">
        <v>17</v>
      </c>
      <c r="I514" s="2" t="s">
        <v>24</v>
      </c>
      <c r="J514" s="2" t="s">
        <v>44</v>
      </c>
      <c r="K514" s="1" t="s">
        <v>1030</v>
      </c>
      <c r="L514" s="1" t="s">
        <v>371</v>
      </c>
    </row>
    <row r="515" spans="2:12" ht="70" hidden="1" x14ac:dyDescent="0.35">
      <c r="B515" s="2">
        <v>10332</v>
      </c>
      <c r="C515" s="5">
        <v>45982</v>
      </c>
      <c r="D515" s="3" t="s">
        <v>34</v>
      </c>
      <c r="E515" s="3" t="s">
        <v>1029</v>
      </c>
      <c r="F515" s="14" t="s">
        <v>1031</v>
      </c>
      <c r="G515" s="4" t="s">
        <v>51</v>
      </c>
      <c r="H515" s="2" t="s">
        <v>17</v>
      </c>
      <c r="I515" s="2" t="s">
        <v>24</v>
      </c>
      <c r="J515" s="2" t="s">
        <v>44</v>
      </c>
      <c r="K515" s="1" t="s">
        <v>1030</v>
      </c>
      <c r="L515" s="1" t="s">
        <v>371</v>
      </c>
    </row>
    <row r="516" spans="2:12" ht="42" hidden="1" x14ac:dyDescent="0.35">
      <c r="B516" s="2">
        <v>9179</v>
      </c>
      <c r="C516" s="5">
        <v>45852</v>
      </c>
      <c r="D516" s="3" t="s">
        <v>26</v>
      </c>
      <c r="E516" s="3" t="s">
        <v>1032</v>
      </c>
      <c r="F516" s="14" t="s">
        <v>1033</v>
      </c>
      <c r="G516" s="4" t="s">
        <v>16</v>
      </c>
      <c r="H516" s="2" t="s">
        <v>17</v>
      </c>
      <c r="I516" s="2" t="s">
        <v>18</v>
      </c>
      <c r="J516" s="2" t="s">
        <v>291</v>
      </c>
      <c r="K516" s="1" t="s">
        <v>1034</v>
      </c>
      <c r="L516" s="1" t="s">
        <v>26</v>
      </c>
    </row>
    <row r="517" spans="2:12" ht="42" hidden="1" x14ac:dyDescent="0.35">
      <c r="B517" s="2">
        <v>379</v>
      </c>
      <c r="C517" s="5">
        <v>45803</v>
      </c>
      <c r="D517" s="3" t="s">
        <v>13</v>
      </c>
      <c r="E517" s="3" t="s">
        <v>1035</v>
      </c>
      <c r="F517" s="14" t="s">
        <v>1036</v>
      </c>
      <c r="G517" s="4" t="s">
        <v>16</v>
      </c>
      <c r="H517" s="2" t="s">
        <v>17</v>
      </c>
      <c r="I517" s="2" t="s">
        <v>37</v>
      </c>
      <c r="J517" s="2" t="s">
        <v>112</v>
      </c>
      <c r="K517" s="1" t="s">
        <v>1037</v>
      </c>
      <c r="L517" s="1" t="s">
        <v>395</v>
      </c>
    </row>
    <row r="518" spans="2:12" ht="42" hidden="1" x14ac:dyDescent="0.35">
      <c r="B518" s="2">
        <v>380</v>
      </c>
      <c r="C518" s="5">
        <v>45803</v>
      </c>
      <c r="D518" s="3" t="s">
        <v>13</v>
      </c>
      <c r="E518" s="3" t="s">
        <v>1038</v>
      </c>
      <c r="F518" s="14" t="s">
        <v>351</v>
      </c>
      <c r="G518" s="4" t="s">
        <v>51</v>
      </c>
      <c r="H518" s="2" t="s">
        <v>17</v>
      </c>
      <c r="I518" s="2" t="s">
        <v>37</v>
      </c>
      <c r="J518" s="2" t="s">
        <v>112</v>
      </c>
      <c r="K518" s="1" t="s">
        <v>1037</v>
      </c>
      <c r="L518" s="1" t="s">
        <v>395</v>
      </c>
    </row>
    <row r="519" spans="2:12" ht="42" hidden="1" x14ac:dyDescent="0.35">
      <c r="B519" s="2">
        <v>11498</v>
      </c>
      <c r="C519" s="24">
        <v>46105</v>
      </c>
      <c r="D519" s="3" t="s">
        <v>193</v>
      </c>
      <c r="E519" s="3" t="s">
        <v>1039</v>
      </c>
      <c r="F519" s="14" t="s">
        <v>1040</v>
      </c>
      <c r="G519" s="4" t="s">
        <v>51</v>
      </c>
      <c r="H519" s="2" t="s">
        <v>17</v>
      </c>
      <c r="I519" s="2" t="s">
        <v>37</v>
      </c>
      <c r="J519" s="2" t="s">
        <v>112</v>
      </c>
      <c r="K519" s="1" t="s">
        <v>1037</v>
      </c>
      <c r="L519" s="1" t="s">
        <v>395</v>
      </c>
    </row>
    <row r="520" spans="2:12" ht="42" hidden="1" x14ac:dyDescent="0.35">
      <c r="B520" s="2">
        <v>222</v>
      </c>
      <c r="C520" s="5">
        <v>45747</v>
      </c>
      <c r="D520" s="3" t="s">
        <v>250</v>
      </c>
      <c r="E520" s="3" t="s">
        <v>1041</v>
      </c>
      <c r="F520" s="14" t="s">
        <v>1042</v>
      </c>
      <c r="G520" s="4" t="s">
        <v>51</v>
      </c>
      <c r="H520" s="2" t="s">
        <v>17</v>
      </c>
      <c r="I520" s="2" t="s">
        <v>24</v>
      </c>
      <c r="J520" s="2" t="s">
        <v>347</v>
      </c>
      <c r="K520" s="1" t="s">
        <v>376</v>
      </c>
      <c r="L520" s="1" t="s">
        <v>250</v>
      </c>
    </row>
    <row r="521" spans="2:12" ht="28" hidden="1" x14ac:dyDescent="0.35">
      <c r="B521" s="2">
        <v>129</v>
      </c>
      <c r="C521" s="5">
        <v>45712</v>
      </c>
      <c r="D521" s="3" t="s">
        <v>193</v>
      </c>
      <c r="E521" s="3" t="s">
        <v>1043</v>
      </c>
      <c r="F521" s="14" t="s">
        <v>1044</v>
      </c>
      <c r="G521" s="4" t="s">
        <v>51</v>
      </c>
      <c r="H521" s="2" t="s">
        <v>17</v>
      </c>
      <c r="I521" s="2" t="s">
        <v>18</v>
      </c>
      <c r="J521" s="2" t="s">
        <v>19</v>
      </c>
      <c r="K521" s="1" t="s">
        <v>1045</v>
      </c>
      <c r="L521" s="1" t="s">
        <v>395</v>
      </c>
    </row>
    <row r="522" spans="2:12" ht="42" hidden="1" x14ac:dyDescent="0.35">
      <c r="B522" s="2">
        <v>9105</v>
      </c>
      <c r="C522" s="5">
        <v>45847</v>
      </c>
      <c r="D522" s="3" t="s">
        <v>21</v>
      </c>
      <c r="E522" s="3" t="s">
        <v>1046</v>
      </c>
      <c r="F522" s="14" t="s">
        <v>1047</v>
      </c>
      <c r="G522" s="4" t="s">
        <v>16</v>
      </c>
      <c r="H522" s="2" t="s">
        <v>17</v>
      </c>
      <c r="I522" s="2" t="s">
        <v>24</v>
      </c>
      <c r="J522" s="2" t="s">
        <v>72</v>
      </c>
      <c r="K522" s="1" t="s">
        <v>1045</v>
      </c>
      <c r="L522" s="1" t="s">
        <v>395</v>
      </c>
    </row>
    <row r="523" spans="2:12" ht="42" hidden="1" x14ac:dyDescent="0.35">
      <c r="B523" s="2">
        <v>438</v>
      </c>
      <c r="C523" s="5">
        <v>45826</v>
      </c>
      <c r="D523" s="3" t="s">
        <v>96</v>
      </c>
      <c r="E523" s="3" t="s">
        <v>1048</v>
      </c>
      <c r="F523" s="14" t="s">
        <v>1049</v>
      </c>
      <c r="G523" s="4" t="s">
        <v>16</v>
      </c>
      <c r="H523" s="2" t="s">
        <v>17</v>
      </c>
      <c r="I523" s="2" t="s">
        <v>18</v>
      </c>
      <c r="J523" s="2" t="s">
        <v>68</v>
      </c>
      <c r="K523" s="1" t="s">
        <v>1050</v>
      </c>
      <c r="L523" s="1" t="s">
        <v>96</v>
      </c>
    </row>
    <row r="524" spans="2:12" ht="56" hidden="1" x14ac:dyDescent="0.35">
      <c r="B524" s="2">
        <v>469</v>
      </c>
      <c r="C524" s="5">
        <v>45835</v>
      </c>
      <c r="D524" s="3" t="s">
        <v>96</v>
      </c>
      <c r="E524" s="3" t="s">
        <v>1051</v>
      </c>
      <c r="F524" s="14" t="s">
        <v>1052</v>
      </c>
      <c r="G524" s="4" t="s">
        <v>16</v>
      </c>
      <c r="H524" s="2" t="s">
        <v>17</v>
      </c>
      <c r="I524" s="2" t="s">
        <v>18</v>
      </c>
      <c r="J524" s="2" t="s">
        <v>19</v>
      </c>
      <c r="K524" s="1" t="s">
        <v>1050</v>
      </c>
      <c r="L524" s="1" t="s">
        <v>96</v>
      </c>
    </row>
    <row r="525" spans="2:12" ht="42" hidden="1" x14ac:dyDescent="0.35">
      <c r="B525" s="2">
        <v>81</v>
      </c>
      <c r="C525" s="5">
        <v>45687</v>
      </c>
      <c r="D525" s="3" t="s">
        <v>96</v>
      </c>
      <c r="E525" s="3" t="s">
        <v>1053</v>
      </c>
      <c r="F525" s="14" t="s">
        <v>1054</v>
      </c>
      <c r="G525" s="4" t="s">
        <v>51</v>
      </c>
      <c r="H525" s="2" t="s">
        <v>17</v>
      </c>
      <c r="I525" s="2" t="s">
        <v>18</v>
      </c>
      <c r="J525" t="s">
        <v>68</v>
      </c>
      <c r="K525" s="1" t="s">
        <v>1055</v>
      </c>
      <c r="L525" s="1" t="s">
        <v>96</v>
      </c>
    </row>
    <row r="526" spans="2:12" ht="42" hidden="1" x14ac:dyDescent="0.35">
      <c r="B526" s="2">
        <v>87</v>
      </c>
      <c r="C526" s="5">
        <v>45688</v>
      </c>
      <c r="D526" s="3" t="s">
        <v>96</v>
      </c>
      <c r="E526" s="3" t="s">
        <v>1056</v>
      </c>
      <c r="F526" s="14" t="s">
        <v>977</v>
      </c>
      <c r="G526" s="4" t="s">
        <v>51</v>
      </c>
      <c r="H526" s="2" t="s">
        <v>17</v>
      </c>
      <c r="I526" s="2" t="s">
        <v>18</v>
      </c>
      <c r="J526" t="s">
        <v>68</v>
      </c>
      <c r="K526" s="1" t="s">
        <v>1055</v>
      </c>
      <c r="L526" s="1" t="s">
        <v>96</v>
      </c>
    </row>
    <row r="527" spans="2:12" ht="42" hidden="1" x14ac:dyDescent="0.35">
      <c r="B527" s="2">
        <v>109</v>
      </c>
      <c r="C527" s="5">
        <v>45699</v>
      </c>
      <c r="D527" s="3" t="s">
        <v>96</v>
      </c>
      <c r="E527" s="3" t="s">
        <v>1057</v>
      </c>
      <c r="F527" s="14" t="s">
        <v>1058</v>
      </c>
      <c r="G527" s="4" t="s">
        <v>51</v>
      </c>
      <c r="H527" s="2" t="s">
        <v>17</v>
      </c>
      <c r="I527" s="2" t="s">
        <v>18</v>
      </c>
      <c r="J527" s="2" t="s">
        <v>19</v>
      </c>
      <c r="K527" s="1" t="s">
        <v>1055</v>
      </c>
      <c r="L527" s="1" t="s">
        <v>96</v>
      </c>
    </row>
    <row r="528" spans="2:12" ht="42" hidden="1" x14ac:dyDescent="0.35">
      <c r="B528" s="2">
        <v>119</v>
      </c>
      <c r="C528" s="5">
        <v>45708</v>
      </c>
      <c r="D528" s="3" t="s">
        <v>96</v>
      </c>
      <c r="E528" s="3" t="s">
        <v>1059</v>
      </c>
      <c r="F528" s="14" t="s">
        <v>1060</v>
      </c>
      <c r="G528" s="4" t="s">
        <v>51</v>
      </c>
      <c r="H528" s="2" t="s">
        <v>17</v>
      </c>
      <c r="I528" s="2" t="s">
        <v>37</v>
      </c>
      <c r="J528" s="2" t="s">
        <v>112</v>
      </c>
      <c r="K528" s="1" t="s">
        <v>1055</v>
      </c>
      <c r="L528" s="1" t="s">
        <v>96</v>
      </c>
    </row>
    <row r="529" spans="2:12" ht="42" hidden="1" x14ac:dyDescent="0.35">
      <c r="B529" s="2">
        <v>123</v>
      </c>
      <c r="C529" s="5">
        <v>45708</v>
      </c>
      <c r="D529" s="3" t="s">
        <v>96</v>
      </c>
      <c r="E529" s="3" t="s">
        <v>1061</v>
      </c>
      <c r="F529" s="14" t="s">
        <v>1058</v>
      </c>
      <c r="G529" s="4" t="s">
        <v>51</v>
      </c>
      <c r="H529" s="2" t="s">
        <v>17</v>
      </c>
      <c r="I529" s="2" t="s">
        <v>37</v>
      </c>
      <c r="J529" s="2" t="s">
        <v>112</v>
      </c>
      <c r="K529" s="1" t="s">
        <v>1055</v>
      </c>
      <c r="L529" s="1" t="s">
        <v>96</v>
      </c>
    </row>
    <row r="530" spans="2:12" ht="28" hidden="1" x14ac:dyDescent="0.35">
      <c r="B530" s="2">
        <v>200</v>
      </c>
      <c r="C530" s="5">
        <v>45741</v>
      </c>
      <c r="D530" s="3" t="s">
        <v>96</v>
      </c>
      <c r="E530" s="3" t="s">
        <v>1062</v>
      </c>
      <c r="F530" s="14" t="s">
        <v>1063</v>
      </c>
      <c r="G530" s="4" t="s">
        <v>51</v>
      </c>
      <c r="H530" s="2" t="s">
        <v>17</v>
      </c>
      <c r="I530" s="2" t="s">
        <v>18</v>
      </c>
      <c r="J530" s="2" t="s">
        <v>19</v>
      </c>
      <c r="K530" s="1" t="s">
        <v>1055</v>
      </c>
      <c r="L530" s="1" t="s">
        <v>96</v>
      </c>
    </row>
    <row r="531" spans="2:12" ht="42" hidden="1" x14ac:dyDescent="0.35">
      <c r="B531" s="2">
        <v>201</v>
      </c>
      <c r="C531" s="5">
        <v>45741</v>
      </c>
      <c r="D531" s="3" t="s">
        <v>96</v>
      </c>
      <c r="E531" s="3" t="s">
        <v>1064</v>
      </c>
      <c r="F531" s="14" t="s">
        <v>1065</v>
      </c>
      <c r="G531" s="4" t="s">
        <v>51</v>
      </c>
      <c r="H531" s="2" t="s">
        <v>17</v>
      </c>
      <c r="I531" s="2" t="s">
        <v>24</v>
      </c>
      <c r="J531" s="2" t="s">
        <v>54</v>
      </c>
      <c r="K531" s="1" t="s">
        <v>1055</v>
      </c>
      <c r="L531" s="1" t="s">
        <v>96</v>
      </c>
    </row>
    <row r="532" spans="2:12" ht="42" hidden="1" x14ac:dyDescent="0.35">
      <c r="B532" s="2">
        <v>236</v>
      </c>
      <c r="C532" s="5">
        <v>45748</v>
      </c>
      <c r="D532" s="3" t="s">
        <v>96</v>
      </c>
      <c r="E532" s="3" t="s">
        <v>1066</v>
      </c>
      <c r="F532" s="14" t="s">
        <v>1067</v>
      </c>
      <c r="G532" s="4" t="s">
        <v>51</v>
      </c>
      <c r="H532" s="2" t="s">
        <v>17</v>
      </c>
      <c r="I532" s="2" t="s">
        <v>18</v>
      </c>
      <c r="J532" s="2" t="s">
        <v>171</v>
      </c>
      <c r="K532" s="1" t="s">
        <v>1055</v>
      </c>
      <c r="L532" s="1" t="s">
        <v>96</v>
      </c>
    </row>
    <row r="533" spans="2:12" ht="42" hidden="1" x14ac:dyDescent="0.35">
      <c r="B533" s="2">
        <v>336</v>
      </c>
      <c r="C533" s="5">
        <v>45786</v>
      </c>
      <c r="D533" s="3" t="s">
        <v>96</v>
      </c>
      <c r="E533" s="3" t="s">
        <v>1068</v>
      </c>
      <c r="F533" s="14" t="s">
        <v>1069</v>
      </c>
      <c r="G533" s="4" t="s">
        <v>51</v>
      </c>
      <c r="H533" s="2" t="s">
        <v>17</v>
      </c>
      <c r="I533" s="2" t="s">
        <v>24</v>
      </c>
      <c r="J533" s="2" t="s">
        <v>44</v>
      </c>
      <c r="K533" s="1" t="s">
        <v>1055</v>
      </c>
      <c r="L533" s="1" t="s">
        <v>96</v>
      </c>
    </row>
    <row r="534" spans="2:12" ht="42" hidden="1" x14ac:dyDescent="0.35">
      <c r="B534" s="2">
        <v>340</v>
      </c>
      <c r="C534" s="5">
        <v>45789</v>
      </c>
      <c r="D534" s="3" t="s">
        <v>96</v>
      </c>
      <c r="E534" s="3" t="s">
        <v>1070</v>
      </c>
      <c r="F534" s="14" t="s">
        <v>1071</v>
      </c>
      <c r="G534" s="4" t="s">
        <v>51</v>
      </c>
      <c r="H534" s="2" t="s">
        <v>17</v>
      </c>
      <c r="I534" s="2" t="s">
        <v>24</v>
      </c>
      <c r="J534" s="2" t="s">
        <v>54</v>
      </c>
      <c r="K534" s="1" t="s">
        <v>1055</v>
      </c>
      <c r="L534" s="1" t="s">
        <v>96</v>
      </c>
    </row>
    <row r="535" spans="2:12" ht="42" hidden="1" x14ac:dyDescent="0.35">
      <c r="B535" s="2">
        <v>342</v>
      </c>
      <c r="C535" s="5">
        <v>45789</v>
      </c>
      <c r="D535" s="3" t="s">
        <v>227</v>
      </c>
      <c r="E535" s="3" t="s">
        <v>1072</v>
      </c>
      <c r="F535" s="14" t="s">
        <v>1071</v>
      </c>
      <c r="G535" s="4" t="s">
        <v>51</v>
      </c>
      <c r="H535" s="2" t="s">
        <v>17</v>
      </c>
      <c r="I535" s="2" t="s">
        <v>24</v>
      </c>
      <c r="J535" s="2" t="s">
        <v>54</v>
      </c>
      <c r="K535" s="1" t="s">
        <v>1055</v>
      </c>
      <c r="L535" s="1" t="s">
        <v>96</v>
      </c>
    </row>
    <row r="536" spans="2:12" ht="42" hidden="1" x14ac:dyDescent="0.35">
      <c r="B536" s="2">
        <v>482</v>
      </c>
      <c r="C536" s="5">
        <v>45841</v>
      </c>
      <c r="D536" s="3" t="s">
        <v>96</v>
      </c>
      <c r="E536" s="3" t="s">
        <v>1073</v>
      </c>
      <c r="F536" s="14" t="s">
        <v>1074</v>
      </c>
      <c r="G536" s="4" t="s">
        <v>51</v>
      </c>
      <c r="H536" s="2" t="s">
        <v>17</v>
      </c>
      <c r="I536" s="2" t="s">
        <v>37</v>
      </c>
      <c r="J536" s="2" t="s">
        <v>112</v>
      </c>
      <c r="K536" s="1" t="s">
        <v>1055</v>
      </c>
      <c r="L536" s="1" t="s">
        <v>96</v>
      </c>
    </row>
    <row r="537" spans="2:12" ht="56" hidden="1" x14ac:dyDescent="0.35">
      <c r="B537" s="2">
        <v>9721</v>
      </c>
      <c r="C537" s="5">
        <v>45912</v>
      </c>
      <c r="D537" s="3" t="s">
        <v>196</v>
      </c>
      <c r="E537" s="3" t="s">
        <v>1075</v>
      </c>
      <c r="F537" s="14" t="s">
        <v>920</v>
      </c>
      <c r="G537" s="4" t="s">
        <v>16</v>
      </c>
      <c r="H537" s="2" t="s">
        <v>17</v>
      </c>
      <c r="I537" s="2" t="s">
        <v>37</v>
      </c>
      <c r="J537" s="2" t="s">
        <v>121</v>
      </c>
      <c r="K537" s="1" t="s">
        <v>1055</v>
      </c>
      <c r="L537" s="1" t="s">
        <v>196</v>
      </c>
    </row>
    <row r="538" spans="2:12" ht="42" hidden="1" x14ac:dyDescent="0.35">
      <c r="B538" s="2">
        <v>10030</v>
      </c>
      <c r="C538" s="5">
        <v>45940</v>
      </c>
      <c r="D538" s="3" t="s">
        <v>196</v>
      </c>
      <c r="E538" s="3" t="s">
        <v>1076</v>
      </c>
      <c r="F538" s="14" t="s">
        <v>1077</v>
      </c>
      <c r="G538" s="4" t="s">
        <v>51</v>
      </c>
      <c r="H538" s="2" t="s">
        <v>17</v>
      </c>
      <c r="I538" s="2" t="s">
        <v>24</v>
      </c>
      <c r="J538" s="2" t="s">
        <v>54</v>
      </c>
      <c r="K538" s="1" t="s">
        <v>1055</v>
      </c>
      <c r="L538" s="1" t="s">
        <v>196</v>
      </c>
    </row>
    <row r="539" spans="2:12" ht="42" hidden="1" x14ac:dyDescent="0.35">
      <c r="B539" s="2">
        <v>10300</v>
      </c>
      <c r="C539" s="5">
        <v>45975</v>
      </c>
      <c r="D539" s="3" t="s">
        <v>196</v>
      </c>
      <c r="E539" s="3" t="s">
        <v>1078</v>
      </c>
      <c r="F539" s="14" t="s">
        <v>1079</v>
      </c>
      <c r="G539" s="4" t="s">
        <v>51</v>
      </c>
      <c r="H539" s="2" t="s">
        <v>17</v>
      </c>
      <c r="I539" s="2" t="s">
        <v>24</v>
      </c>
      <c r="J539" s="2" t="s">
        <v>41</v>
      </c>
      <c r="K539" s="1" t="s">
        <v>1055</v>
      </c>
      <c r="L539" s="1" t="s">
        <v>196</v>
      </c>
    </row>
    <row r="540" spans="2:12" ht="42" hidden="1" x14ac:dyDescent="0.35">
      <c r="B540" s="2">
        <v>10526</v>
      </c>
      <c r="C540" s="5">
        <v>46004</v>
      </c>
      <c r="D540" s="3" t="s">
        <v>196</v>
      </c>
      <c r="E540" s="3" t="s">
        <v>1080</v>
      </c>
      <c r="F540" s="14" t="s">
        <v>1081</v>
      </c>
      <c r="G540" s="4" t="s">
        <v>51</v>
      </c>
      <c r="H540" s="2" t="s">
        <v>17</v>
      </c>
      <c r="I540" s="2" t="s">
        <v>37</v>
      </c>
      <c r="J540" s="2" t="s">
        <v>112</v>
      </c>
      <c r="K540" s="1" t="s">
        <v>1055</v>
      </c>
      <c r="L540" s="1" t="s">
        <v>196</v>
      </c>
    </row>
    <row r="541" spans="2:12" ht="42" hidden="1" x14ac:dyDescent="0.35">
      <c r="B541" s="2">
        <v>10776</v>
      </c>
      <c r="C541" s="5">
        <v>46034</v>
      </c>
      <c r="D541" s="3" t="s">
        <v>196</v>
      </c>
      <c r="E541" s="3" t="s">
        <v>1082</v>
      </c>
      <c r="F541" s="14" t="s">
        <v>1083</v>
      </c>
      <c r="G541" s="4" t="s">
        <v>51</v>
      </c>
      <c r="H541" s="2" t="s">
        <v>17</v>
      </c>
      <c r="I541" s="2" t="s">
        <v>18</v>
      </c>
      <c r="J541" s="2" t="s">
        <v>19</v>
      </c>
      <c r="K541" s="1" t="s">
        <v>1055</v>
      </c>
      <c r="L541" s="1" t="s">
        <v>196</v>
      </c>
    </row>
    <row r="542" spans="2:12" ht="56" hidden="1" x14ac:dyDescent="0.35">
      <c r="B542" s="2">
        <v>11053</v>
      </c>
      <c r="C542" s="5">
        <v>46065</v>
      </c>
      <c r="D542" s="3" t="s">
        <v>196</v>
      </c>
      <c r="E542" s="3" t="s">
        <v>1084</v>
      </c>
      <c r="F542" s="14" t="s">
        <v>1085</v>
      </c>
      <c r="G542" s="4" t="s">
        <v>16</v>
      </c>
      <c r="H542" s="2" t="s">
        <v>17</v>
      </c>
      <c r="I542" s="2" t="s">
        <v>18</v>
      </c>
      <c r="J542" s="2" t="s">
        <v>19</v>
      </c>
      <c r="K542" s="1" t="s">
        <v>1055</v>
      </c>
      <c r="L542" s="1" t="s">
        <v>196</v>
      </c>
    </row>
    <row r="543" spans="2:12" ht="56" hidden="1" x14ac:dyDescent="0.35">
      <c r="B543" s="2">
        <v>11075</v>
      </c>
      <c r="C543" s="24">
        <v>46065</v>
      </c>
      <c r="D543" s="3" t="s">
        <v>196</v>
      </c>
      <c r="E543" s="3" t="s">
        <v>1086</v>
      </c>
      <c r="F543" s="14" t="s">
        <v>1087</v>
      </c>
      <c r="G543" s="4" t="s">
        <v>16</v>
      </c>
      <c r="H543" s="2" t="s">
        <v>17</v>
      </c>
      <c r="I543" s="2" t="s">
        <v>18</v>
      </c>
      <c r="J543" s="2" t="s">
        <v>19</v>
      </c>
      <c r="K543" s="1" t="s">
        <v>1055</v>
      </c>
      <c r="L543" s="1" t="s">
        <v>196</v>
      </c>
    </row>
    <row r="544" spans="2:12" ht="42" hidden="1" x14ac:dyDescent="0.35">
      <c r="B544" s="2">
        <v>11394</v>
      </c>
      <c r="C544" s="24">
        <v>46093</v>
      </c>
      <c r="D544" s="3" t="s">
        <v>196</v>
      </c>
      <c r="E544" s="3" t="s">
        <v>1088</v>
      </c>
      <c r="F544" s="14" t="s">
        <v>1089</v>
      </c>
      <c r="G544" s="4" t="s">
        <v>51</v>
      </c>
      <c r="H544" s="2" t="s">
        <v>17</v>
      </c>
      <c r="I544" s="2" t="s">
        <v>24</v>
      </c>
      <c r="J544" s="2" t="s">
        <v>54</v>
      </c>
      <c r="K544" s="1" t="s">
        <v>1055</v>
      </c>
      <c r="L544" s="1" t="s">
        <v>196</v>
      </c>
    </row>
    <row r="545" spans="2:12" ht="70" hidden="1" x14ac:dyDescent="0.35">
      <c r="B545" s="2">
        <v>7</v>
      </c>
      <c r="C545" s="5">
        <v>45661</v>
      </c>
      <c r="D545" s="3" t="s">
        <v>13</v>
      </c>
      <c r="E545" s="3" t="s">
        <v>1090</v>
      </c>
      <c r="F545" s="14" t="s">
        <v>1091</v>
      </c>
      <c r="G545" s="4" t="s">
        <v>51</v>
      </c>
      <c r="H545" s="2" t="s">
        <v>17</v>
      </c>
      <c r="I545" s="2" t="s">
        <v>24</v>
      </c>
      <c r="J545" t="s">
        <v>44</v>
      </c>
      <c r="K545" s="1" t="s">
        <v>1092</v>
      </c>
      <c r="L545" s="1" t="s">
        <v>95</v>
      </c>
    </row>
    <row r="546" spans="2:12" ht="42" hidden="1" x14ac:dyDescent="0.35">
      <c r="B546" s="2">
        <v>128</v>
      </c>
      <c r="C546" s="5">
        <v>45712</v>
      </c>
      <c r="D546" s="3" t="s">
        <v>104</v>
      </c>
      <c r="E546" s="3" t="s">
        <v>1093</v>
      </c>
      <c r="F546" s="14" t="s">
        <v>1094</v>
      </c>
      <c r="G546" s="4" t="s">
        <v>51</v>
      </c>
      <c r="H546" s="2" t="s">
        <v>17</v>
      </c>
      <c r="I546" s="2" t="s">
        <v>24</v>
      </c>
      <c r="J546" s="2" t="s">
        <v>44</v>
      </c>
      <c r="K546" s="1" t="s">
        <v>1092</v>
      </c>
      <c r="L546" s="1" t="s">
        <v>95</v>
      </c>
    </row>
    <row r="547" spans="2:12" ht="56" hidden="1" x14ac:dyDescent="0.35">
      <c r="B547" s="2">
        <v>321</v>
      </c>
      <c r="C547" s="5">
        <v>45783</v>
      </c>
      <c r="D547" s="3" t="s">
        <v>134</v>
      </c>
      <c r="E547" s="3" t="s">
        <v>1095</v>
      </c>
      <c r="F547" s="14" t="s">
        <v>1096</v>
      </c>
      <c r="G547" s="4" t="s">
        <v>51</v>
      </c>
      <c r="H547" s="2" t="s">
        <v>17</v>
      </c>
      <c r="I547" s="2" t="s">
        <v>37</v>
      </c>
      <c r="J547" s="2" t="s">
        <v>81</v>
      </c>
      <c r="K547" s="1" t="s">
        <v>1092</v>
      </c>
      <c r="L547" s="1" t="s">
        <v>95</v>
      </c>
    </row>
    <row r="548" spans="2:12" ht="42" hidden="1" x14ac:dyDescent="0.35">
      <c r="B548" s="2">
        <v>487</v>
      </c>
      <c r="C548" s="5">
        <v>45840</v>
      </c>
      <c r="D548" s="3" t="s">
        <v>104</v>
      </c>
      <c r="E548" s="3" t="s">
        <v>1097</v>
      </c>
      <c r="F548" s="14" t="s">
        <v>828</v>
      </c>
      <c r="G548" s="4" t="s">
        <v>51</v>
      </c>
      <c r="H548" s="2" t="s">
        <v>17</v>
      </c>
      <c r="I548" s="2" t="s">
        <v>24</v>
      </c>
      <c r="J548" s="2" t="s">
        <v>33</v>
      </c>
      <c r="K548" s="1" t="s">
        <v>1098</v>
      </c>
      <c r="L548" s="1" t="s">
        <v>95</v>
      </c>
    </row>
    <row r="549" spans="2:12" ht="42" hidden="1" x14ac:dyDescent="0.35">
      <c r="B549" s="2">
        <v>9649</v>
      </c>
      <c r="C549" s="5">
        <v>45901</v>
      </c>
      <c r="D549" s="3" t="s">
        <v>220</v>
      </c>
      <c r="E549" s="3" t="s">
        <v>1099</v>
      </c>
      <c r="F549" s="14" t="s">
        <v>1100</v>
      </c>
      <c r="G549" s="4" t="s">
        <v>16</v>
      </c>
      <c r="H549" s="2" t="s">
        <v>17</v>
      </c>
      <c r="I549" s="2" t="s">
        <v>37</v>
      </c>
      <c r="J549" s="2" t="s">
        <v>38</v>
      </c>
      <c r="K549" s="1" t="s">
        <v>1098</v>
      </c>
      <c r="L549" s="1" t="s">
        <v>95</v>
      </c>
    </row>
    <row r="550" spans="2:12" ht="56" hidden="1" x14ac:dyDescent="0.35">
      <c r="B550" s="2">
        <v>10351</v>
      </c>
      <c r="C550" s="5">
        <v>45986</v>
      </c>
      <c r="D550" s="3" t="s">
        <v>104</v>
      </c>
      <c r="E550" s="3" t="s">
        <v>1101</v>
      </c>
      <c r="F550" s="14" t="s">
        <v>1102</v>
      </c>
      <c r="G550" s="4" t="s">
        <v>51</v>
      </c>
      <c r="H550" s="2" t="s">
        <v>17</v>
      </c>
      <c r="I550" s="2" t="s">
        <v>24</v>
      </c>
      <c r="J550" s="2" t="s">
        <v>33</v>
      </c>
      <c r="K550" s="1" t="s">
        <v>1092</v>
      </c>
      <c r="L550" s="1" t="s">
        <v>95</v>
      </c>
    </row>
    <row r="551" spans="2:12" ht="46" hidden="1" customHeight="1" x14ac:dyDescent="0.35">
      <c r="B551" s="2">
        <v>10463</v>
      </c>
      <c r="C551" s="5">
        <v>45999</v>
      </c>
      <c r="D551" s="3" t="s">
        <v>104</v>
      </c>
      <c r="E551" s="3" t="s">
        <v>1103</v>
      </c>
      <c r="F551" s="14" t="s">
        <v>1104</v>
      </c>
      <c r="G551" s="4" t="s">
        <v>51</v>
      </c>
      <c r="H551" s="2" t="s">
        <v>281</v>
      </c>
      <c r="I551" s="2" t="s">
        <v>24</v>
      </c>
      <c r="J551" s="2" t="s">
        <v>33</v>
      </c>
      <c r="K551" s="1" t="s">
        <v>1092</v>
      </c>
      <c r="L551" s="1" t="s">
        <v>95</v>
      </c>
    </row>
    <row r="552" spans="2:12" ht="42" hidden="1" x14ac:dyDescent="0.35">
      <c r="B552" s="2">
        <v>10934</v>
      </c>
      <c r="C552" s="5">
        <v>46053</v>
      </c>
      <c r="D552" s="3" t="s">
        <v>234</v>
      </c>
      <c r="E552" s="3" t="s">
        <v>1105</v>
      </c>
      <c r="F552" s="14" t="s">
        <v>1106</v>
      </c>
      <c r="G552" s="4" t="s">
        <v>51</v>
      </c>
      <c r="H552" s="2" t="s">
        <v>17</v>
      </c>
      <c r="I552" s="2" t="s">
        <v>24</v>
      </c>
      <c r="J552" s="2" t="s">
        <v>54</v>
      </c>
      <c r="K552" s="1" t="s">
        <v>1092</v>
      </c>
      <c r="L552" s="1" t="s">
        <v>95</v>
      </c>
    </row>
    <row r="553" spans="2:12" ht="56" hidden="1" x14ac:dyDescent="0.35">
      <c r="B553" s="2">
        <v>11222</v>
      </c>
      <c r="C553" s="24">
        <v>46077</v>
      </c>
      <c r="D553" s="3" t="s">
        <v>13</v>
      </c>
      <c r="E553" s="3" t="s">
        <v>1107</v>
      </c>
      <c r="F553" s="14" t="s">
        <v>1108</v>
      </c>
      <c r="G553" s="4" t="s">
        <v>51</v>
      </c>
      <c r="H553" s="2" t="s">
        <v>17</v>
      </c>
      <c r="I553" s="2" t="s">
        <v>24</v>
      </c>
      <c r="J553" s="2" t="s">
        <v>33</v>
      </c>
      <c r="K553" s="1" t="s">
        <v>1092</v>
      </c>
      <c r="L553" s="1" t="s">
        <v>95</v>
      </c>
    </row>
    <row r="554" spans="2:12" ht="56" hidden="1" x14ac:dyDescent="0.35">
      <c r="B554" s="2">
        <v>11561</v>
      </c>
      <c r="C554" s="24">
        <v>46107</v>
      </c>
      <c r="D554" s="3" t="s">
        <v>234</v>
      </c>
      <c r="E554" s="3" t="s">
        <v>1109</v>
      </c>
      <c r="F554" s="14" t="s">
        <v>1110</v>
      </c>
      <c r="G554" s="4" t="s">
        <v>51</v>
      </c>
      <c r="H554" s="2" t="s">
        <v>17</v>
      </c>
      <c r="I554" s="2" t="s">
        <v>24</v>
      </c>
      <c r="J554" s="2" t="s">
        <v>33</v>
      </c>
      <c r="K554" s="1" t="s">
        <v>1092</v>
      </c>
      <c r="L554" s="1" t="s">
        <v>95</v>
      </c>
    </row>
    <row r="555" spans="2:12" ht="66.650000000000006" hidden="1" customHeight="1" x14ac:dyDescent="0.35">
      <c r="B555" s="2">
        <v>293</v>
      </c>
      <c r="C555" s="5">
        <v>45777</v>
      </c>
      <c r="D555" s="3" t="s">
        <v>220</v>
      </c>
      <c r="E555" s="3" t="s">
        <v>1111</v>
      </c>
      <c r="F555" s="14" t="s">
        <v>306</v>
      </c>
      <c r="G555" s="4" t="s">
        <v>16</v>
      </c>
      <c r="H555" s="2" t="s">
        <v>17</v>
      </c>
      <c r="I555" s="2" t="s">
        <v>18</v>
      </c>
      <c r="J555" s="2" t="s">
        <v>19</v>
      </c>
      <c r="K555" s="1" t="s">
        <v>346</v>
      </c>
      <c r="L555" s="1" t="s">
        <v>220</v>
      </c>
    </row>
    <row r="556" spans="2:12" ht="42" hidden="1" x14ac:dyDescent="0.35">
      <c r="B556" s="2">
        <v>10611</v>
      </c>
      <c r="C556" s="5">
        <v>46022</v>
      </c>
      <c r="D556" s="3" t="s">
        <v>220</v>
      </c>
      <c r="E556" s="3" t="s">
        <v>1112</v>
      </c>
      <c r="F556" s="14" t="s">
        <v>349</v>
      </c>
      <c r="G556" s="4" t="s">
        <v>51</v>
      </c>
      <c r="H556" s="2" t="s">
        <v>17</v>
      </c>
      <c r="I556" s="2" t="s">
        <v>24</v>
      </c>
      <c r="J556" s="2" t="s">
        <v>44</v>
      </c>
      <c r="K556" s="1" t="s">
        <v>346</v>
      </c>
      <c r="L556" s="1" t="s">
        <v>220</v>
      </c>
    </row>
    <row r="557" spans="2:12" ht="42" hidden="1" x14ac:dyDescent="0.35">
      <c r="B557" s="2">
        <v>10609</v>
      </c>
      <c r="C557" s="5">
        <v>46022</v>
      </c>
      <c r="D557" s="3" t="s">
        <v>220</v>
      </c>
      <c r="E557" s="3" t="s">
        <v>1113</v>
      </c>
      <c r="F557" s="14" t="s">
        <v>317</v>
      </c>
      <c r="G557" s="4" t="s">
        <v>51</v>
      </c>
      <c r="H557" s="2" t="s">
        <v>17</v>
      </c>
      <c r="I557" s="2" t="s">
        <v>24</v>
      </c>
      <c r="J557" s="2" t="s">
        <v>44</v>
      </c>
      <c r="K557" s="1" t="s">
        <v>346</v>
      </c>
      <c r="L557" s="1" t="s">
        <v>220</v>
      </c>
    </row>
    <row r="558" spans="2:12" ht="42" hidden="1" x14ac:dyDescent="0.35">
      <c r="B558" s="2">
        <v>268</v>
      </c>
      <c r="C558" s="5">
        <v>45768</v>
      </c>
      <c r="D558" s="3" t="s">
        <v>196</v>
      </c>
      <c r="E558" s="3" t="s">
        <v>1114</v>
      </c>
      <c r="F558" s="14" t="s">
        <v>1115</v>
      </c>
      <c r="G558" s="4" t="s">
        <v>51</v>
      </c>
      <c r="H558" s="2" t="s">
        <v>17</v>
      </c>
      <c r="I558" s="2" t="s">
        <v>24</v>
      </c>
      <c r="J558" s="2" t="s">
        <v>54</v>
      </c>
      <c r="K558" s="1" t="s">
        <v>1116</v>
      </c>
      <c r="L558" s="1" t="s">
        <v>196</v>
      </c>
    </row>
    <row r="559" spans="2:12" ht="70" hidden="1" x14ac:dyDescent="0.35">
      <c r="B559" s="2">
        <v>9073</v>
      </c>
      <c r="C559" s="5">
        <v>45845</v>
      </c>
      <c r="D559" s="3" t="s">
        <v>193</v>
      </c>
      <c r="E559" s="3" t="s">
        <v>1117</v>
      </c>
      <c r="F559" s="14" t="s">
        <v>1118</v>
      </c>
      <c r="G559" s="4" t="s">
        <v>51</v>
      </c>
      <c r="H559" s="2" t="s">
        <v>17</v>
      </c>
      <c r="I559" s="2" t="s">
        <v>24</v>
      </c>
      <c r="J559" s="2" t="s">
        <v>41</v>
      </c>
      <c r="K559" s="1" t="s">
        <v>1116</v>
      </c>
      <c r="L559" s="1" t="s">
        <v>196</v>
      </c>
    </row>
    <row r="560" spans="2:12" ht="56" hidden="1" x14ac:dyDescent="0.35">
      <c r="B560" s="2">
        <v>9572</v>
      </c>
      <c r="C560" s="5">
        <v>45877</v>
      </c>
      <c r="D560" s="3" t="s">
        <v>104</v>
      </c>
      <c r="E560" s="3" t="s">
        <v>1119</v>
      </c>
      <c r="F560" s="14" t="s">
        <v>1120</v>
      </c>
      <c r="G560" s="4" t="s">
        <v>51</v>
      </c>
      <c r="H560" s="2" t="s">
        <v>17</v>
      </c>
      <c r="I560" s="2" t="s">
        <v>24</v>
      </c>
      <c r="J560" s="2" t="s">
        <v>41</v>
      </c>
      <c r="K560" s="1" t="s">
        <v>1116</v>
      </c>
      <c r="L560" s="1" t="s">
        <v>196</v>
      </c>
    </row>
    <row r="561" spans="2:12" ht="42" hidden="1" x14ac:dyDescent="0.35">
      <c r="B561" s="2">
        <v>9781</v>
      </c>
      <c r="C561" s="5">
        <v>45918</v>
      </c>
      <c r="D561" s="3" t="s">
        <v>196</v>
      </c>
      <c r="E561" s="3" t="s">
        <v>1121</v>
      </c>
      <c r="F561" s="14" t="s">
        <v>1122</v>
      </c>
      <c r="G561" s="4" t="s">
        <v>51</v>
      </c>
      <c r="H561" s="2" t="s">
        <v>17</v>
      </c>
      <c r="I561" s="2" t="s">
        <v>24</v>
      </c>
      <c r="J561" s="2" t="s">
        <v>261</v>
      </c>
      <c r="K561" s="1" t="s">
        <v>1116</v>
      </c>
      <c r="L561" s="1" t="s">
        <v>196</v>
      </c>
    </row>
    <row r="562" spans="2:12" ht="56" hidden="1" x14ac:dyDescent="0.35">
      <c r="B562" s="2">
        <v>10155</v>
      </c>
      <c r="C562" s="5">
        <v>45960</v>
      </c>
      <c r="D562" s="3" t="s">
        <v>193</v>
      </c>
      <c r="E562" s="3" t="s">
        <v>1123</v>
      </c>
      <c r="F562" s="14" t="s">
        <v>1124</v>
      </c>
      <c r="G562" s="4" t="s">
        <v>51</v>
      </c>
      <c r="H562" s="2" t="s">
        <v>17</v>
      </c>
      <c r="I562" s="2" t="s">
        <v>37</v>
      </c>
      <c r="J562" s="2" t="s">
        <v>112</v>
      </c>
      <c r="K562" s="1" t="s">
        <v>1116</v>
      </c>
      <c r="L562" s="1" t="s">
        <v>196</v>
      </c>
    </row>
    <row r="563" spans="2:12" ht="42" hidden="1" x14ac:dyDescent="0.35">
      <c r="B563" s="2">
        <v>10393</v>
      </c>
      <c r="C563" s="5">
        <v>45987</v>
      </c>
      <c r="D563" s="3" t="s">
        <v>96</v>
      </c>
      <c r="E563" s="3" t="s">
        <v>1125</v>
      </c>
      <c r="F563" s="14" t="s">
        <v>1126</v>
      </c>
      <c r="G563" s="4" t="s">
        <v>16</v>
      </c>
      <c r="H563" s="2" t="s">
        <v>17</v>
      </c>
      <c r="I563" s="2" t="s">
        <v>24</v>
      </c>
      <c r="J563" s="2" t="s">
        <v>41</v>
      </c>
      <c r="K563" s="1" t="s">
        <v>1116</v>
      </c>
      <c r="L563" s="1" t="s">
        <v>196</v>
      </c>
    </row>
    <row r="564" spans="2:12" ht="28" hidden="1" x14ac:dyDescent="0.35">
      <c r="B564" s="2">
        <v>10617</v>
      </c>
      <c r="C564" s="5">
        <v>46022</v>
      </c>
      <c r="D564" s="3" t="s">
        <v>196</v>
      </c>
      <c r="E564" s="3" t="s">
        <v>1127</v>
      </c>
      <c r="F564" s="14" t="s">
        <v>794</v>
      </c>
      <c r="G564" s="4" t="s">
        <v>16</v>
      </c>
      <c r="H564" s="2" t="s">
        <v>17</v>
      </c>
      <c r="I564" s="2" t="s">
        <v>24</v>
      </c>
      <c r="J564" s="2" t="s">
        <v>41</v>
      </c>
      <c r="K564" s="1" t="s">
        <v>1116</v>
      </c>
      <c r="L564" s="1" t="s">
        <v>196</v>
      </c>
    </row>
    <row r="565" spans="2:12" ht="56" hidden="1" x14ac:dyDescent="0.35">
      <c r="B565" s="2">
        <v>77</v>
      </c>
      <c r="C565" s="5">
        <v>45686</v>
      </c>
      <c r="D565" s="3" t="s">
        <v>196</v>
      </c>
      <c r="E565" s="3" t="s">
        <v>1128</v>
      </c>
      <c r="F565" s="14" t="s">
        <v>1129</v>
      </c>
      <c r="G565" s="4" t="s">
        <v>51</v>
      </c>
      <c r="H565" s="2" t="s">
        <v>17</v>
      </c>
      <c r="I565" s="2" t="s">
        <v>24</v>
      </c>
      <c r="J565" t="s">
        <v>33</v>
      </c>
      <c r="K565" s="1" t="s">
        <v>1130</v>
      </c>
      <c r="L565" s="1" t="s">
        <v>196</v>
      </c>
    </row>
    <row r="566" spans="2:12" ht="70" hidden="1" x14ac:dyDescent="0.35">
      <c r="B566" s="2">
        <v>149</v>
      </c>
      <c r="C566" s="5">
        <v>45716</v>
      </c>
      <c r="D566" s="3" t="s">
        <v>96</v>
      </c>
      <c r="E566" s="3" t="s">
        <v>1131</v>
      </c>
      <c r="F566" s="14" t="s">
        <v>1132</v>
      </c>
      <c r="G566" s="4" t="s">
        <v>51</v>
      </c>
      <c r="H566" s="2" t="s">
        <v>17</v>
      </c>
      <c r="I566" s="2" t="s">
        <v>37</v>
      </c>
      <c r="J566" s="2" t="s">
        <v>81</v>
      </c>
      <c r="K566" s="1" t="s">
        <v>1130</v>
      </c>
      <c r="L566" s="1" t="s">
        <v>196</v>
      </c>
    </row>
    <row r="567" spans="2:12" ht="56" hidden="1" x14ac:dyDescent="0.35">
      <c r="B567" s="2">
        <v>199</v>
      </c>
      <c r="C567" s="5">
        <v>45737</v>
      </c>
      <c r="D567" s="3" t="s">
        <v>196</v>
      </c>
      <c r="E567" s="3" t="s">
        <v>1133</v>
      </c>
      <c r="F567" s="14" t="s">
        <v>1134</v>
      </c>
      <c r="G567" s="4" t="s">
        <v>51</v>
      </c>
      <c r="H567" s="2" t="s">
        <v>17</v>
      </c>
      <c r="I567" s="2" t="s">
        <v>24</v>
      </c>
      <c r="J567" s="2" t="s">
        <v>54</v>
      </c>
      <c r="K567" s="1" t="s">
        <v>1130</v>
      </c>
      <c r="L567" s="1" t="s">
        <v>196</v>
      </c>
    </row>
    <row r="568" spans="2:12" ht="28" hidden="1" x14ac:dyDescent="0.35">
      <c r="B568" s="2">
        <v>11474</v>
      </c>
      <c r="C568" s="24">
        <v>46101</v>
      </c>
      <c r="D568" s="3" t="s">
        <v>13</v>
      </c>
      <c r="E568" s="3" t="s">
        <v>1135</v>
      </c>
      <c r="F568" s="14" t="s">
        <v>168</v>
      </c>
      <c r="G568" s="4" t="s">
        <v>16</v>
      </c>
      <c r="H568" s="2" t="s">
        <v>17</v>
      </c>
      <c r="I568" s="2" t="s">
        <v>24</v>
      </c>
      <c r="J568" s="2" t="s">
        <v>72</v>
      </c>
      <c r="K568" s="1" t="s">
        <v>1130</v>
      </c>
      <c r="L568" s="1" t="s">
        <v>95</v>
      </c>
    </row>
    <row r="569" spans="2:12" ht="42" hidden="1" x14ac:dyDescent="0.35">
      <c r="B569" s="2">
        <v>11302</v>
      </c>
      <c r="C569" s="24">
        <v>46087</v>
      </c>
      <c r="D569" s="3" t="s">
        <v>193</v>
      </c>
      <c r="E569" s="3" t="s">
        <v>1136</v>
      </c>
      <c r="F569" s="14" t="s">
        <v>1137</v>
      </c>
      <c r="G569" s="4" t="s">
        <v>51</v>
      </c>
      <c r="H569" s="2" t="s">
        <v>17</v>
      </c>
      <c r="I569" s="2" t="s">
        <v>18</v>
      </c>
      <c r="J569" s="2" t="s">
        <v>19</v>
      </c>
      <c r="K569" s="1" t="s">
        <v>1130</v>
      </c>
      <c r="L569" s="1" t="s">
        <v>95</v>
      </c>
    </row>
    <row r="570" spans="2:12" ht="42" hidden="1" x14ac:dyDescent="0.35">
      <c r="B570" s="2">
        <v>11397</v>
      </c>
      <c r="C570" s="24">
        <v>46094</v>
      </c>
      <c r="D570" s="3" t="s">
        <v>234</v>
      </c>
      <c r="E570" s="3" t="s">
        <v>1138</v>
      </c>
      <c r="F570" s="14" t="s">
        <v>1139</v>
      </c>
      <c r="G570" s="4" t="s">
        <v>51</v>
      </c>
      <c r="H570" s="2" t="s">
        <v>17</v>
      </c>
      <c r="I570" s="2" t="s">
        <v>24</v>
      </c>
      <c r="J570" s="2" t="s">
        <v>72</v>
      </c>
      <c r="K570" s="1" t="s">
        <v>1130</v>
      </c>
      <c r="L570" s="1" t="s">
        <v>95</v>
      </c>
    </row>
    <row r="571" spans="2:12" ht="56" hidden="1" x14ac:dyDescent="0.35">
      <c r="B571" s="2">
        <v>11233</v>
      </c>
      <c r="C571" s="24">
        <v>46081</v>
      </c>
      <c r="D571" s="3" t="s">
        <v>250</v>
      </c>
      <c r="E571" s="3" t="s">
        <v>1140</v>
      </c>
      <c r="F571" s="14" t="s">
        <v>1141</v>
      </c>
      <c r="G571" s="4" t="s">
        <v>51</v>
      </c>
      <c r="H571" s="2" t="s">
        <v>17</v>
      </c>
      <c r="I571" s="2" t="s">
        <v>24</v>
      </c>
      <c r="J571" s="2" t="s">
        <v>33</v>
      </c>
      <c r="K571" s="1" t="s">
        <v>1142</v>
      </c>
      <c r="L571" s="1" t="s">
        <v>95</v>
      </c>
    </row>
    <row r="572" spans="2:12" ht="42" hidden="1" x14ac:dyDescent="0.35">
      <c r="B572" s="2">
        <v>11232</v>
      </c>
      <c r="C572" s="24">
        <v>46081</v>
      </c>
      <c r="D572" s="3" t="s">
        <v>96</v>
      </c>
      <c r="E572" s="3" t="s">
        <v>1143</v>
      </c>
      <c r="F572" s="14" t="s">
        <v>1144</v>
      </c>
      <c r="G572" s="4" t="s">
        <v>51</v>
      </c>
      <c r="H572" s="2" t="s">
        <v>17</v>
      </c>
      <c r="I572" s="2" t="s">
        <v>18</v>
      </c>
      <c r="J572" s="2" t="s">
        <v>19</v>
      </c>
      <c r="K572" s="1" t="s">
        <v>1142</v>
      </c>
      <c r="L572" s="1" t="s">
        <v>95</v>
      </c>
    </row>
    <row r="573" spans="2:12" ht="56" hidden="1" x14ac:dyDescent="0.35">
      <c r="B573" s="2">
        <v>135</v>
      </c>
      <c r="C573" s="5">
        <v>45714</v>
      </c>
      <c r="D573" s="3" t="s">
        <v>193</v>
      </c>
      <c r="E573" s="3" t="s">
        <v>1145</v>
      </c>
      <c r="F573" s="14" t="s">
        <v>1146</v>
      </c>
      <c r="G573" s="4" t="s">
        <v>51</v>
      </c>
      <c r="H573" s="2" t="s">
        <v>17</v>
      </c>
      <c r="I573" s="2" t="s">
        <v>18</v>
      </c>
      <c r="J573" s="2" t="s">
        <v>68</v>
      </c>
      <c r="K573" s="1" t="s">
        <v>1147</v>
      </c>
      <c r="L573" s="1" t="s">
        <v>95</v>
      </c>
    </row>
    <row r="574" spans="2:12" ht="56" hidden="1" x14ac:dyDescent="0.35">
      <c r="B574" s="2">
        <v>136</v>
      </c>
      <c r="C574" s="5">
        <v>45714</v>
      </c>
      <c r="D574" s="3" t="s">
        <v>193</v>
      </c>
      <c r="E574" s="3" t="s">
        <v>1145</v>
      </c>
      <c r="F574" s="14" t="s">
        <v>674</v>
      </c>
      <c r="G574" s="4" t="s">
        <v>51</v>
      </c>
      <c r="H574" s="2" t="s">
        <v>17</v>
      </c>
      <c r="I574" s="2" t="s">
        <v>18</v>
      </c>
      <c r="J574" s="2" t="s">
        <v>68</v>
      </c>
      <c r="K574" s="1" t="s">
        <v>1147</v>
      </c>
      <c r="L574" s="1" t="s">
        <v>95</v>
      </c>
    </row>
    <row r="575" spans="2:12" hidden="1" x14ac:dyDescent="0.35">
      <c r="B575" s="2">
        <v>225</v>
      </c>
      <c r="C575" s="5">
        <v>45747</v>
      </c>
      <c r="D575" s="3" t="s">
        <v>134</v>
      </c>
      <c r="E575" s="3" t="s">
        <v>1148</v>
      </c>
      <c r="F575" s="14" t="s">
        <v>127</v>
      </c>
      <c r="G575" s="4" t="s">
        <v>16</v>
      </c>
      <c r="H575" s="2" t="s">
        <v>17</v>
      </c>
      <c r="I575" s="2" t="s">
        <v>18</v>
      </c>
      <c r="J575" s="2" t="s">
        <v>19</v>
      </c>
      <c r="K575" s="1" t="s">
        <v>1147</v>
      </c>
      <c r="L575" s="1" t="s">
        <v>95</v>
      </c>
    </row>
    <row r="576" spans="2:12" hidden="1" x14ac:dyDescent="0.35">
      <c r="B576" s="2">
        <v>226</v>
      </c>
      <c r="C576" s="5">
        <v>45747</v>
      </c>
      <c r="D576" s="3" t="s">
        <v>134</v>
      </c>
      <c r="E576" s="3" t="s">
        <v>1149</v>
      </c>
      <c r="F576" s="14" t="s">
        <v>455</v>
      </c>
      <c r="G576" s="4" t="s">
        <v>16</v>
      </c>
      <c r="H576" s="2" t="s">
        <v>17</v>
      </c>
      <c r="I576" s="2" t="s">
        <v>24</v>
      </c>
      <c r="J576" s="2" t="s">
        <v>33</v>
      </c>
      <c r="K576" s="1" t="s">
        <v>1147</v>
      </c>
      <c r="L576" s="1" t="s">
        <v>95</v>
      </c>
    </row>
    <row r="577" spans="2:12" ht="42" hidden="1" x14ac:dyDescent="0.35">
      <c r="B577" s="2">
        <v>255</v>
      </c>
      <c r="C577" s="5">
        <v>45761</v>
      </c>
      <c r="D577" s="3" t="s">
        <v>13</v>
      </c>
      <c r="E577" s="3" t="s">
        <v>1150</v>
      </c>
      <c r="F577" s="14" t="s">
        <v>1151</v>
      </c>
      <c r="G577" s="4" t="s">
        <v>16</v>
      </c>
      <c r="H577" s="2" t="s">
        <v>17</v>
      </c>
      <c r="I577" s="2" t="s">
        <v>24</v>
      </c>
      <c r="J577" s="2" t="s">
        <v>72</v>
      </c>
      <c r="K577" s="1" t="s">
        <v>1147</v>
      </c>
      <c r="L577" s="1" t="s">
        <v>95</v>
      </c>
    </row>
    <row r="578" spans="2:12" hidden="1" x14ac:dyDescent="0.35">
      <c r="B578" s="2">
        <v>257</v>
      </c>
      <c r="C578" s="5">
        <v>45762</v>
      </c>
      <c r="D578" s="3" t="s">
        <v>193</v>
      </c>
      <c r="E578" s="3" t="s">
        <v>1152</v>
      </c>
      <c r="F578" s="14" t="s">
        <v>397</v>
      </c>
      <c r="G578" s="4" t="s">
        <v>51</v>
      </c>
      <c r="H578" s="2" t="s">
        <v>17</v>
      </c>
      <c r="I578" s="2" t="s">
        <v>37</v>
      </c>
      <c r="J578" s="2" t="s">
        <v>38</v>
      </c>
      <c r="K578" s="1" t="s">
        <v>1147</v>
      </c>
      <c r="L578" s="1" t="s">
        <v>95</v>
      </c>
    </row>
    <row r="579" spans="2:12" ht="28" hidden="1" x14ac:dyDescent="0.35">
      <c r="B579" s="2">
        <v>338</v>
      </c>
      <c r="C579" s="5">
        <v>45786</v>
      </c>
      <c r="D579" s="3" t="s">
        <v>134</v>
      </c>
      <c r="E579" s="3" t="s">
        <v>1153</v>
      </c>
      <c r="F579" s="14" t="s">
        <v>755</v>
      </c>
      <c r="G579" s="4" t="s">
        <v>16</v>
      </c>
      <c r="H579" s="2" t="s">
        <v>17</v>
      </c>
      <c r="I579" s="2" t="s">
        <v>24</v>
      </c>
      <c r="J579" s="2" t="s">
        <v>33</v>
      </c>
      <c r="K579" s="1" t="s">
        <v>1147</v>
      </c>
      <c r="L579" s="1" t="s">
        <v>95</v>
      </c>
    </row>
    <row r="580" spans="2:12" ht="28" hidden="1" x14ac:dyDescent="0.35">
      <c r="B580" s="2">
        <v>339</v>
      </c>
      <c r="C580" s="5">
        <v>45786</v>
      </c>
      <c r="D580" s="3" t="s">
        <v>134</v>
      </c>
      <c r="E580" s="3" t="s">
        <v>1154</v>
      </c>
      <c r="F580" s="14" t="s">
        <v>1155</v>
      </c>
      <c r="G580" s="4" t="s">
        <v>16</v>
      </c>
      <c r="H580" s="2" t="s">
        <v>17</v>
      </c>
      <c r="I580" s="2" t="s">
        <v>24</v>
      </c>
      <c r="J580" s="2" t="s">
        <v>33</v>
      </c>
      <c r="K580" s="1" t="s">
        <v>1147</v>
      </c>
      <c r="L580" s="1" t="s">
        <v>95</v>
      </c>
    </row>
    <row r="581" spans="2:12" ht="28" hidden="1" x14ac:dyDescent="0.35">
      <c r="B581" s="2">
        <v>475</v>
      </c>
      <c r="C581" s="5">
        <v>45835</v>
      </c>
      <c r="D581" s="3" t="s">
        <v>104</v>
      </c>
      <c r="E581" s="3" t="s">
        <v>1156</v>
      </c>
      <c r="F581" s="14" t="s">
        <v>545</v>
      </c>
      <c r="G581" s="4" t="s">
        <v>16</v>
      </c>
      <c r="H581" s="2" t="s">
        <v>17</v>
      </c>
      <c r="I581" s="2" t="s">
        <v>24</v>
      </c>
      <c r="J581" s="2" t="s">
        <v>33</v>
      </c>
      <c r="K581" s="1" t="s">
        <v>1147</v>
      </c>
      <c r="L581" s="1" t="s">
        <v>95</v>
      </c>
    </row>
    <row r="582" spans="2:12" ht="28" hidden="1" x14ac:dyDescent="0.35">
      <c r="B582" s="2">
        <v>476</v>
      </c>
      <c r="C582" s="5">
        <v>45835</v>
      </c>
      <c r="D582" s="3" t="s">
        <v>104</v>
      </c>
      <c r="E582" s="3" t="s">
        <v>1157</v>
      </c>
      <c r="F582" s="14" t="s">
        <v>127</v>
      </c>
      <c r="G582" s="4" t="s">
        <v>16</v>
      </c>
      <c r="H582" s="2" t="s">
        <v>17</v>
      </c>
      <c r="I582" s="2" t="s">
        <v>37</v>
      </c>
      <c r="J582" s="2" t="s">
        <v>38</v>
      </c>
      <c r="K582" s="1" t="s">
        <v>1147</v>
      </c>
      <c r="L582" s="1" t="s">
        <v>95</v>
      </c>
    </row>
    <row r="583" spans="2:12" ht="28" hidden="1" x14ac:dyDescent="0.35">
      <c r="B583" s="2">
        <v>9483</v>
      </c>
      <c r="C583" s="5">
        <v>45887</v>
      </c>
      <c r="D583" s="3" t="s">
        <v>134</v>
      </c>
      <c r="E583" s="3" t="s">
        <v>1158</v>
      </c>
      <c r="F583" s="14" t="s">
        <v>333</v>
      </c>
      <c r="G583" s="4" t="s">
        <v>16</v>
      </c>
      <c r="H583" s="2" t="s">
        <v>17</v>
      </c>
      <c r="I583" s="2" t="s">
        <v>18</v>
      </c>
      <c r="J583" s="2" t="s">
        <v>19</v>
      </c>
      <c r="K583" s="1" t="s">
        <v>1147</v>
      </c>
      <c r="L583" s="1" t="s">
        <v>95</v>
      </c>
    </row>
    <row r="584" spans="2:12" ht="42" hidden="1" x14ac:dyDescent="0.35">
      <c r="B584" s="2">
        <v>9482</v>
      </c>
      <c r="C584" s="5">
        <v>45884</v>
      </c>
      <c r="D584" s="3" t="s">
        <v>34</v>
      </c>
      <c r="E584" s="3" t="s">
        <v>1159</v>
      </c>
      <c r="F584" s="14" t="s">
        <v>1160</v>
      </c>
      <c r="G584" s="4" t="s">
        <v>16</v>
      </c>
      <c r="H584" s="2" t="s">
        <v>17</v>
      </c>
      <c r="I584" s="2" t="s">
        <v>18</v>
      </c>
      <c r="J584" s="2" t="s">
        <v>171</v>
      </c>
      <c r="K584" s="1" t="s">
        <v>1147</v>
      </c>
      <c r="L584" s="1" t="s">
        <v>95</v>
      </c>
    </row>
    <row r="585" spans="2:12" ht="28" hidden="1" x14ac:dyDescent="0.35">
      <c r="B585" s="2">
        <v>9924</v>
      </c>
      <c r="C585" s="5">
        <v>45930</v>
      </c>
      <c r="D585" s="3" t="s">
        <v>104</v>
      </c>
      <c r="E585" s="3" t="s">
        <v>1161</v>
      </c>
      <c r="F585" s="14" t="s">
        <v>143</v>
      </c>
      <c r="G585" s="4" t="s">
        <v>16</v>
      </c>
      <c r="H585" s="2" t="s">
        <v>17</v>
      </c>
      <c r="I585" s="2" t="s">
        <v>24</v>
      </c>
      <c r="J585" s="2" t="s">
        <v>33</v>
      </c>
      <c r="K585" s="1" t="s">
        <v>1147</v>
      </c>
      <c r="L585" s="1" t="s">
        <v>95</v>
      </c>
    </row>
    <row r="586" spans="2:12" ht="28" hidden="1" x14ac:dyDescent="0.35">
      <c r="B586" s="2">
        <v>9925</v>
      </c>
      <c r="C586" s="5">
        <v>45930</v>
      </c>
      <c r="D586" s="3" t="s">
        <v>104</v>
      </c>
      <c r="E586" s="3" t="s">
        <v>1162</v>
      </c>
      <c r="F586" s="14" t="s">
        <v>1163</v>
      </c>
      <c r="G586" s="4" t="s">
        <v>51</v>
      </c>
      <c r="H586" s="2" t="s">
        <v>17</v>
      </c>
      <c r="I586" s="2" t="s">
        <v>24</v>
      </c>
      <c r="J586" s="2" t="s">
        <v>33</v>
      </c>
      <c r="K586" s="1" t="s">
        <v>1147</v>
      </c>
      <c r="L586" s="1" t="s">
        <v>95</v>
      </c>
    </row>
    <row r="587" spans="2:12" ht="28" hidden="1" x14ac:dyDescent="0.35">
      <c r="B587" s="2">
        <v>10002</v>
      </c>
      <c r="C587" s="5">
        <v>45939</v>
      </c>
      <c r="D587" s="3" t="s">
        <v>134</v>
      </c>
      <c r="E587" s="3" t="s">
        <v>1164</v>
      </c>
      <c r="F587" s="14" t="s">
        <v>333</v>
      </c>
      <c r="G587" s="4" t="s">
        <v>16</v>
      </c>
      <c r="H587" s="2" t="s">
        <v>17</v>
      </c>
      <c r="I587" s="2" t="s">
        <v>37</v>
      </c>
      <c r="J587" s="2" t="s">
        <v>716</v>
      </c>
      <c r="K587" s="1" t="s">
        <v>1147</v>
      </c>
      <c r="L587" s="1" t="s">
        <v>95</v>
      </c>
    </row>
    <row r="588" spans="2:12" ht="28" hidden="1" x14ac:dyDescent="0.35">
      <c r="B588" s="2">
        <v>10159</v>
      </c>
      <c r="C588" s="5">
        <v>45961</v>
      </c>
      <c r="D588" s="3" t="s">
        <v>104</v>
      </c>
      <c r="E588" s="3" t="s">
        <v>1165</v>
      </c>
      <c r="F588" s="14" t="s">
        <v>127</v>
      </c>
      <c r="G588" s="4" t="s">
        <v>16</v>
      </c>
      <c r="H588" s="2" t="s">
        <v>17</v>
      </c>
      <c r="I588" s="2" t="s">
        <v>24</v>
      </c>
      <c r="J588" s="2" t="s">
        <v>33</v>
      </c>
      <c r="K588" s="1" t="s">
        <v>1147</v>
      </c>
      <c r="L588" s="1" t="s">
        <v>95</v>
      </c>
    </row>
    <row r="589" spans="2:12" ht="42" hidden="1" x14ac:dyDescent="0.35">
      <c r="B589" s="2">
        <v>10352</v>
      </c>
      <c r="C589" s="5">
        <v>45986</v>
      </c>
      <c r="D589" s="3" t="s">
        <v>134</v>
      </c>
      <c r="E589" s="3" t="s">
        <v>1166</v>
      </c>
      <c r="F589" s="14" t="s">
        <v>1167</v>
      </c>
      <c r="G589" s="4" t="s">
        <v>16</v>
      </c>
      <c r="H589" s="2" t="s">
        <v>17</v>
      </c>
      <c r="I589" s="2" t="s">
        <v>24</v>
      </c>
      <c r="J589" s="2" t="s">
        <v>33</v>
      </c>
      <c r="K589" s="1" t="s">
        <v>1147</v>
      </c>
      <c r="L589" s="1" t="s">
        <v>95</v>
      </c>
    </row>
    <row r="590" spans="2:12" ht="42" hidden="1" x14ac:dyDescent="0.35">
      <c r="B590" s="2">
        <v>10353</v>
      </c>
      <c r="C590" s="5">
        <v>45986</v>
      </c>
      <c r="D590" s="3" t="s">
        <v>134</v>
      </c>
      <c r="E590" s="3" t="s">
        <v>1168</v>
      </c>
      <c r="F590" s="14" t="s">
        <v>1169</v>
      </c>
      <c r="G590" s="4" t="s">
        <v>16</v>
      </c>
      <c r="H590" s="2" t="s">
        <v>17</v>
      </c>
      <c r="I590" s="2" t="s">
        <v>24</v>
      </c>
      <c r="J590" s="2" t="s">
        <v>33</v>
      </c>
      <c r="K590" s="1" t="s">
        <v>1147</v>
      </c>
      <c r="L590" s="1" t="s">
        <v>95</v>
      </c>
    </row>
    <row r="591" spans="2:12" ht="28" hidden="1" x14ac:dyDescent="0.35">
      <c r="B591" s="2">
        <v>10713</v>
      </c>
      <c r="C591" s="5">
        <v>46036</v>
      </c>
      <c r="D591" s="3" t="s">
        <v>134</v>
      </c>
      <c r="E591" s="3" t="s">
        <v>1170</v>
      </c>
      <c r="F591" s="14" t="s">
        <v>333</v>
      </c>
      <c r="G591" s="4" t="s">
        <v>16</v>
      </c>
      <c r="H591" s="2" t="s">
        <v>17</v>
      </c>
      <c r="I591" s="2" t="s">
        <v>24</v>
      </c>
      <c r="J591" s="2" t="s">
        <v>33</v>
      </c>
      <c r="K591" s="1" t="s">
        <v>1147</v>
      </c>
      <c r="L591" s="1" t="s">
        <v>95</v>
      </c>
    </row>
    <row r="592" spans="2:12" ht="28" hidden="1" x14ac:dyDescent="0.35">
      <c r="B592" s="2">
        <v>10830</v>
      </c>
      <c r="C592" s="5">
        <v>46043</v>
      </c>
      <c r="D592" s="3" t="s">
        <v>190</v>
      </c>
      <c r="E592" s="3" t="s">
        <v>1171</v>
      </c>
      <c r="F592" s="14" t="s">
        <v>131</v>
      </c>
      <c r="G592" s="4" t="s">
        <v>16</v>
      </c>
      <c r="H592" s="2" t="s">
        <v>281</v>
      </c>
      <c r="I592" s="2" t="s">
        <v>18</v>
      </c>
      <c r="J592" s="2" t="s">
        <v>171</v>
      </c>
      <c r="K592" s="1" t="s">
        <v>1147</v>
      </c>
      <c r="L592" s="1" t="s">
        <v>95</v>
      </c>
    </row>
    <row r="593" spans="2:12" ht="28" hidden="1" x14ac:dyDescent="0.35">
      <c r="B593" s="2">
        <v>11235</v>
      </c>
      <c r="C593" s="24">
        <v>46080</v>
      </c>
      <c r="D593" s="3" t="s">
        <v>21</v>
      </c>
      <c r="E593" s="3" t="s">
        <v>1172</v>
      </c>
      <c r="F593" s="14" t="s">
        <v>687</v>
      </c>
      <c r="G593" s="4" t="s">
        <v>16</v>
      </c>
      <c r="H593" s="2" t="s">
        <v>17</v>
      </c>
      <c r="I593" s="2" t="s">
        <v>37</v>
      </c>
      <c r="J593" s="2" t="s">
        <v>38</v>
      </c>
      <c r="K593" s="1" t="s">
        <v>1147</v>
      </c>
      <c r="L593" s="1" t="s">
        <v>95</v>
      </c>
    </row>
    <row r="594" spans="2:12" ht="28" hidden="1" x14ac:dyDescent="0.35">
      <c r="B594" s="2">
        <v>11234</v>
      </c>
      <c r="C594" s="24">
        <v>46080</v>
      </c>
      <c r="D594" s="3" t="s">
        <v>395</v>
      </c>
      <c r="E594" s="3" t="s">
        <v>1173</v>
      </c>
      <c r="F594" s="14" t="s">
        <v>1174</v>
      </c>
      <c r="G594" s="4" t="s">
        <v>16</v>
      </c>
      <c r="H594" s="2" t="s">
        <v>17</v>
      </c>
      <c r="I594" s="2" t="s">
        <v>24</v>
      </c>
      <c r="J594" s="2" t="s">
        <v>54</v>
      </c>
      <c r="K594" s="1" t="s">
        <v>1147</v>
      </c>
      <c r="L594" s="1" t="s">
        <v>95</v>
      </c>
    </row>
    <row r="595" spans="2:12" ht="42" hidden="1" x14ac:dyDescent="0.35">
      <c r="B595" s="2">
        <v>11260</v>
      </c>
      <c r="C595" s="24">
        <v>46083</v>
      </c>
      <c r="D595" s="3" t="s">
        <v>134</v>
      </c>
      <c r="E595" s="3" t="s">
        <v>1175</v>
      </c>
      <c r="F595" s="14" t="s">
        <v>1144</v>
      </c>
      <c r="G595" s="4" t="s">
        <v>16</v>
      </c>
      <c r="H595" s="2" t="s">
        <v>17</v>
      </c>
      <c r="I595" s="2" t="s">
        <v>18</v>
      </c>
      <c r="J595" s="2" t="s">
        <v>19</v>
      </c>
      <c r="K595" s="1" t="s">
        <v>1147</v>
      </c>
      <c r="L595" s="1" t="s">
        <v>95</v>
      </c>
    </row>
    <row r="596" spans="2:12" ht="28" hidden="1" x14ac:dyDescent="0.35">
      <c r="B596" s="2">
        <v>11315</v>
      </c>
      <c r="C596" s="24">
        <v>46091</v>
      </c>
      <c r="D596" s="3" t="s">
        <v>134</v>
      </c>
      <c r="E596" s="3" t="s">
        <v>1176</v>
      </c>
      <c r="F596" s="14" t="s">
        <v>136</v>
      </c>
      <c r="G596" s="4" t="s">
        <v>51</v>
      </c>
      <c r="H596" s="2" t="s">
        <v>17</v>
      </c>
      <c r="I596" s="2" t="s">
        <v>37</v>
      </c>
      <c r="J596" s="2" t="s">
        <v>112</v>
      </c>
      <c r="K596" s="1" t="s">
        <v>1147</v>
      </c>
      <c r="L596" s="1" t="s">
        <v>95</v>
      </c>
    </row>
    <row r="597" spans="2:12" ht="42" hidden="1" x14ac:dyDescent="0.35">
      <c r="B597" s="2">
        <v>30</v>
      </c>
      <c r="C597" s="5">
        <v>45667</v>
      </c>
      <c r="D597" s="3" t="s">
        <v>193</v>
      </c>
      <c r="E597" s="3" t="s">
        <v>1177</v>
      </c>
      <c r="F597" s="14" t="s">
        <v>1178</v>
      </c>
      <c r="G597" s="4" t="s">
        <v>51</v>
      </c>
      <c r="H597" s="2" t="s">
        <v>17</v>
      </c>
      <c r="I597" s="2" t="s">
        <v>18</v>
      </c>
      <c r="J597" t="s">
        <v>68</v>
      </c>
      <c r="K597" s="1" t="s">
        <v>1179</v>
      </c>
      <c r="L597" s="1" t="s">
        <v>96</v>
      </c>
    </row>
    <row r="598" spans="2:12" ht="56" hidden="1" x14ac:dyDescent="0.35">
      <c r="B598" s="2">
        <v>32</v>
      </c>
      <c r="C598" s="5">
        <v>45668</v>
      </c>
      <c r="D598" s="3" t="s">
        <v>96</v>
      </c>
      <c r="E598" s="3" t="s">
        <v>1180</v>
      </c>
      <c r="F598" s="14" t="s">
        <v>1181</v>
      </c>
      <c r="G598" s="4" t="s">
        <v>16</v>
      </c>
      <c r="H598" s="2" t="s">
        <v>17</v>
      </c>
      <c r="I598" s="2" t="s">
        <v>24</v>
      </c>
      <c r="J598" t="s">
        <v>54</v>
      </c>
      <c r="K598" s="1" t="s">
        <v>1179</v>
      </c>
      <c r="L598" s="1" t="s">
        <v>96</v>
      </c>
    </row>
    <row r="599" spans="2:12" ht="42" hidden="1" x14ac:dyDescent="0.35">
      <c r="B599" s="2">
        <v>33</v>
      </c>
      <c r="C599" s="5">
        <v>45670</v>
      </c>
      <c r="D599" s="3" t="s">
        <v>96</v>
      </c>
      <c r="E599" s="3" t="s">
        <v>1182</v>
      </c>
      <c r="F599" s="14" t="s">
        <v>1181</v>
      </c>
      <c r="G599" s="4" t="s">
        <v>16</v>
      </c>
      <c r="H599" s="2" t="s">
        <v>17</v>
      </c>
      <c r="I599" s="2" t="s">
        <v>18</v>
      </c>
      <c r="J599" t="s">
        <v>68</v>
      </c>
      <c r="K599" s="1" t="s">
        <v>1179</v>
      </c>
      <c r="L599" s="1" t="s">
        <v>96</v>
      </c>
    </row>
    <row r="600" spans="2:12" ht="42" hidden="1" x14ac:dyDescent="0.35">
      <c r="B600" s="2">
        <v>116</v>
      </c>
      <c r="C600" s="5">
        <v>45705</v>
      </c>
      <c r="D600" s="3" t="s">
        <v>96</v>
      </c>
      <c r="E600" s="3" t="s">
        <v>1183</v>
      </c>
      <c r="F600" s="14" t="s">
        <v>1184</v>
      </c>
      <c r="G600" s="4" t="s">
        <v>51</v>
      </c>
      <c r="H600" s="2" t="s">
        <v>17</v>
      </c>
      <c r="I600" s="2" t="s">
        <v>24</v>
      </c>
      <c r="J600" s="2" t="s">
        <v>54</v>
      </c>
      <c r="K600" s="1" t="s">
        <v>1179</v>
      </c>
      <c r="L600" s="1" t="s">
        <v>96</v>
      </c>
    </row>
    <row r="601" spans="2:12" ht="42" hidden="1" x14ac:dyDescent="0.35">
      <c r="B601" s="2">
        <v>172</v>
      </c>
      <c r="C601" s="5">
        <v>45719</v>
      </c>
      <c r="D601" s="3" t="s">
        <v>227</v>
      </c>
      <c r="E601" s="3" t="s">
        <v>1185</v>
      </c>
      <c r="F601" s="14" t="s">
        <v>1186</v>
      </c>
      <c r="G601" s="4" t="s">
        <v>51</v>
      </c>
      <c r="H601" s="2" t="s">
        <v>281</v>
      </c>
      <c r="I601" s="2" t="s">
        <v>18</v>
      </c>
      <c r="J601" s="2" t="s">
        <v>68</v>
      </c>
      <c r="K601" s="1" t="s">
        <v>1179</v>
      </c>
      <c r="L601" s="1" t="s">
        <v>96</v>
      </c>
    </row>
    <row r="602" spans="2:12" ht="42" hidden="1" x14ac:dyDescent="0.35">
      <c r="B602" s="2">
        <v>192</v>
      </c>
      <c r="C602" s="5">
        <v>45733</v>
      </c>
      <c r="D602" s="3" t="s">
        <v>96</v>
      </c>
      <c r="E602" s="3" t="s">
        <v>1187</v>
      </c>
      <c r="F602" s="14" t="s">
        <v>734</v>
      </c>
      <c r="G602" s="4" t="s">
        <v>16</v>
      </c>
      <c r="H602" s="2" t="s">
        <v>17</v>
      </c>
      <c r="I602" s="2" t="s">
        <v>18</v>
      </c>
      <c r="J602" s="2" t="s">
        <v>68</v>
      </c>
      <c r="K602" s="1" t="s">
        <v>1179</v>
      </c>
      <c r="L602" s="1" t="s">
        <v>96</v>
      </c>
    </row>
    <row r="603" spans="2:12" ht="42" hidden="1" x14ac:dyDescent="0.35">
      <c r="B603" s="2">
        <v>248</v>
      </c>
      <c r="C603" s="5">
        <v>45755</v>
      </c>
      <c r="D603" s="3" t="s">
        <v>96</v>
      </c>
      <c r="E603" s="3" t="s">
        <v>1188</v>
      </c>
      <c r="F603" s="14" t="s">
        <v>1189</v>
      </c>
      <c r="G603" s="4" t="s">
        <v>51</v>
      </c>
      <c r="H603" s="2" t="s">
        <v>17</v>
      </c>
      <c r="I603" s="2" t="s">
        <v>18</v>
      </c>
      <c r="J603" s="2" t="s">
        <v>68</v>
      </c>
      <c r="K603" s="1" t="s">
        <v>1179</v>
      </c>
      <c r="L603" s="1" t="s">
        <v>96</v>
      </c>
    </row>
    <row r="604" spans="2:12" ht="42" hidden="1" x14ac:dyDescent="0.35">
      <c r="B604" s="2">
        <v>251</v>
      </c>
      <c r="C604" s="5">
        <v>45756</v>
      </c>
      <c r="D604" s="3" t="s">
        <v>96</v>
      </c>
      <c r="E604" s="3" t="s">
        <v>1190</v>
      </c>
      <c r="F604" s="14" t="s">
        <v>1191</v>
      </c>
      <c r="G604" s="4" t="s">
        <v>16</v>
      </c>
      <c r="H604" s="2" t="s">
        <v>17</v>
      </c>
      <c r="I604" s="2" t="s">
        <v>18</v>
      </c>
      <c r="J604" s="2" t="s">
        <v>19</v>
      </c>
      <c r="K604" s="1" t="s">
        <v>1179</v>
      </c>
      <c r="L604" s="1" t="s">
        <v>96</v>
      </c>
    </row>
    <row r="605" spans="2:12" ht="42" hidden="1" x14ac:dyDescent="0.35">
      <c r="B605" s="2">
        <v>258</v>
      </c>
      <c r="C605" s="5">
        <v>45762</v>
      </c>
      <c r="D605" s="3" t="s">
        <v>96</v>
      </c>
      <c r="E605" s="3" t="s">
        <v>1192</v>
      </c>
      <c r="F605" s="14" t="s">
        <v>1193</v>
      </c>
      <c r="G605" s="4" t="s">
        <v>51</v>
      </c>
      <c r="H605" s="2" t="s">
        <v>281</v>
      </c>
      <c r="I605" s="2" t="s">
        <v>18</v>
      </c>
      <c r="J605" s="2" t="s">
        <v>68</v>
      </c>
      <c r="K605" s="1" t="s">
        <v>1179</v>
      </c>
      <c r="L605" s="1" t="s">
        <v>227</v>
      </c>
    </row>
    <row r="606" spans="2:12" ht="28" hidden="1" x14ac:dyDescent="0.35">
      <c r="B606" s="2">
        <v>283</v>
      </c>
      <c r="C606" s="5">
        <v>45776</v>
      </c>
      <c r="D606" s="3" t="s">
        <v>13</v>
      </c>
      <c r="E606" s="3" t="s">
        <v>1194</v>
      </c>
      <c r="F606" s="14" t="s">
        <v>698</v>
      </c>
      <c r="G606" s="4" t="s">
        <v>16</v>
      </c>
      <c r="H606" s="2" t="s">
        <v>17</v>
      </c>
      <c r="I606" s="2" t="s">
        <v>24</v>
      </c>
      <c r="J606" s="2" t="s">
        <v>72</v>
      </c>
      <c r="K606" s="1" t="s">
        <v>1179</v>
      </c>
      <c r="L606" s="1" t="s">
        <v>13</v>
      </c>
    </row>
    <row r="607" spans="2:12" ht="56" hidden="1" x14ac:dyDescent="0.35">
      <c r="B607" s="2">
        <v>316</v>
      </c>
      <c r="C607" s="5">
        <v>45780</v>
      </c>
      <c r="D607" s="3" t="s">
        <v>96</v>
      </c>
      <c r="E607" s="3" t="s">
        <v>1195</v>
      </c>
      <c r="F607" s="14" t="s">
        <v>966</v>
      </c>
      <c r="G607" s="4" t="s">
        <v>16</v>
      </c>
      <c r="H607" s="2" t="s">
        <v>17</v>
      </c>
      <c r="I607" s="2" t="s">
        <v>37</v>
      </c>
      <c r="J607" s="2" t="s">
        <v>112</v>
      </c>
      <c r="K607" s="1" t="s">
        <v>1179</v>
      </c>
      <c r="L607" s="1" t="s">
        <v>96</v>
      </c>
    </row>
    <row r="608" spans="2:12" ht="28" hidden="1" x14ac:dyDescent="0.35">
      <c r="B608" s="2">
        <v>337</v>
      </c>
      <c r="C608" s="5">
        <v>45786</v>
      </c>
      <c r="D608" s="3" t="s">
        <v>96</v>
      </c>
      <c r="E608" s="3" t="s">
        <v>1196</v>
      </c>
      <c r="F608" s="14" t="s">
        <v>1197</v>
      </c>
      <c r="G608" s="4" t="s">
        <v>51</v>
      </c>
      <c r="H608" s="2" t="s">
        <v>17</v>
      </c>
      <c r="I608" s="2" t="s">
        <v>24</v>
      </c>
      <c r="J608" s="2" t="s">
        <v>54</v>
      </c>
      <c r="K608" s="1" t="s">
        <v>1179</v>
      </c>
      <c r="L608" s="1" t="s">
        <v>96</v>
      </c>
    </row>
    <row r="609" spans="2:12" ht="56" hidden="1" x14ac:dyDescent="0.35">
      <c r="B609" s="2">
        <v>357</v>
      </c>
      <c r="C609" s="5">
        <v>45793</v>
      </c>
      <c r="D609" s="3" t="s">
        <v>227</v>
      </c>
      <c r="E609" s="3" t="s">
        <v>1198</v>
      </c>
      <c r="F609" s="14" t="s">
        <v>1199</v>
      </c>
      <c r="G609" s="4" t="s">
        <v>51</v>
      </c>
      <c r="H609" s="2" t="s">
        <v>17</v>
      </c>
      <c r="I609" s="2" t="s">
        <v>24</v>
      </c>
      <c r="J609" s="2" t="s">
        <v>261</v>
      </c>
      <c r="K609" s="1" t="s">
        <v>1179</v>
      </c>
      <c r="L609" s="1" t="s">
        <v>96</v>
      </c>
    </row>
    <row r="610" spans="2:12" ht="56" hidden="1" x14ac:dyDescent="0.35">
      <c r="B610" s="2">
        <v>398</v>
      </c>
      <c r="C610" s="5">
        <v>45810</v>
      </c>
      <c r="D610" s="3" t="s">
        <v>96</v>
      </c>
      <c r="E610" s="3" t="s">
        <v>1200</v>
      </c>
      <c r="F610" s="14" t="s">
        <v>1201</v>
      </c>
      <c r="G610" s="4" t="s">
        <v>51</v>
      </c>
      <c r="H610" s="2" t="s">
        <v>17</v>
      </c>
      <c r="I610" s="2" t="s">
        <v>37</v>
      </c>
      <c r="J610" s="2" t="s">
        <v>81</v>
      </c>
      <c r="K610" s="1" t="s">
        <v>1179</v>
      </c>
      <c r="L610" s="1" t="s">
        <v>96</v>
      </c>
    </row>
    <row r="611" spans="2:12" ht="56" hidden="1" x14ac:dyDescent="0.35">
      <c r="B611" s="2">
        <v>428</v>
      </c>
      <c r="C611" s="5">
        <v>45819</v>
      </c>
      <c r="D611" s="3" t="s">
        <v>96</v>
      </c>
      <c r="E611" s="3" t="s">
        <v>1202</v>
      </c>
      <c r="F611" s="14" t="s">
        <v>1203</v>
      </c>
      <c r="G611" s="4" t="s">
        <v>51</v>
      </c>
      <c r="H611" s="2" t="s">
        <v>17</v>
      </c>
      <c r="I611" s="2" t="s">
        <v>24</v>
      </c>
      <c r="J611" s="2" t="s">
        <v>33</v>
      </c>
      <c r="K611" s="1" t="s">
        <v>1179</v>
      </c>
      <c r="L611" s="1" t="s">
        <v>96</v>
      </c>
    </row>
    <row r="612" spans="2:12" ht="28" hidden="1" x14ac:dyDescent="0.35">
      <c r="B612" s="2">
        <v>449</v>
      </c>
      <c r="C612" s="5">
        <v>45828</v>
      </c>
      <c r="D612" s="3" t="s">
        <v>227</v>
      </c>
      <c r="E612" s="3" t="s">
        <v>1204</v>
      </c>
      <c r="F612" s="14" t="s">
        <v>1205</v>
      </c>
      <c r="G612" s="4" t="s">
        <v>51</v>
      </c>
      <c r="H612" s="2" t="s">
        <v>17</v>
      </c>
      <c r="I612" s="2" t="s">
        <v>24</v>
      </c>
      <c r="J612" s="2" t="s">
        <v>33</v>
      </c>
      <c r="K612" s="1" t="s">
        <v>1179</v>
      </c>
      <c r="L612" s="1" t="s">
        <v>96</v>
      </c>
    </row>
    <row r="613" spans="2:12" ht="42" hidden="1" x14ac:dyDescent="0.35">
      <c r="B613" s="2">
        <v>9116</v>
      </c>
      <c r="C613" s="5">
        <v>45842</v>
      </c>
      <c r="D613" s="3" t="s">
        <v>96</v>
      </c>
      <c r="E613" s="3" t="s">
        <v>1206</v>
      </c>
      <c r="F613" s="14" t="s">
        <v>734</v>
      </c>
      <c r="G613" s="4" t="s">
        <v>16</v>
      </c>
      <c r="H613" s="2" t="s">
        <v>17</v>
      </c>
      <c r="I613" s="2" t="s">
        <v>37</v>
      </c>
      <c r="J613" s="2" t="s">
        <v>112</v>
      </c>
      <c r="K613" s="1" t="s">
        <v>1179</v>
      </c>
      <c r="L613" s="1" t="s">
        <v>96</v>
      </c>
    </row>
    <row r="614" spans="2:12" ht="42" hidden="1" x14ac:dyDescent="0.35">
      <c r="B614" s="2">
        <v>9245</v>
      </c>
      <c r="C614" s="5">
        <v>45861</v>
      </c>
      <c r="D614" s="3" t="s">
        <v>96</v>
      </c>
      <c r="E614" s="3" t="s">
        <v>1207</v>
      </c>
      <c r="F614" s="14" t="s">
        <v>1208</v>
      </c>
      <c r="G614" s="4" t="s">
        <v>51</v>
      </c>
      <c r="H614" s="2" t="s">
        <v>17</v>
      </c>
      <c r="I614" s="2" t="s">
        <v>37</v>
      </c>
      <c r="J614" s="2" t="s">
        <v>112</v>
      </c>
      <c r="K614" s="1" t="s">
        <v>1179</v>
      </c>
      <c r="L614" s="1" t="s">
        <v>96</v>
      </c>
    </row>
    <row r="615" spans="2:12" ht="42" hidden="1" x14ac:dyDescent="0.35">
      <c r="B615" s="2">
        <v>9259</v>
      </c>
      <c r="C615" s="5">
        <v>45862</v>
      </c>
      <c r="D615" s="3" t="s">
        <v>227</v>
      </c>
      <c r="E615" s="3" t="s">
        <v>1209</v>
      </c>
      <c r="F615" s="14" t="s">
        <v>1208</v>
      </c>
      <c r="G615" s="4" t="s">
        <v>51</v>
      </c>
      <c r="H615" s="2" t="s">
        <v>17</v>
      </c>
      <c r="I615" s="2" t="s">
        <v>18</v>
      </c>
      <c r="J615" s="2" t="s">
        <v>68</v>
      </c>
      <c r="K615" s="1" t="s">
        <v>1179</v>
      </c>
      <c r="L615" s="1" t="s">
        <v>96</v>
      </c>
    </row>
    <row r="616" spans="2:12" ht="42" hidden="1" x14ac:dyDescent="0.35">
      <c r="B616" s="2">
        <v>9382</v>
      </c>
      <c r="C616" s="5">
        <v>45875</v>
      </c>
      <c r="D616" s="3" t="s">
        <v>96</v>
      </c>
      <c r="E616" s="3" t="s">
        <v>1210</v>
      </c>
      <c r="F616" s="14" t="s">
        <v>1211</v>
      </c>
      <c r="G616" s="4" t="s">
        <v>16</v>
      </c>
      <c r="H616" s="2" t="s">
        <v>17</v>
      </c>
      <c r="I616" s="2" t="s">
        <v>37</v>
      </c>
      <c r="J616" s="2" t="s">
        <v>112</v>
      </c>
      <c r="K616" s="1" t="s">
        <v>1179</v>
      </c>
      <c r="L616" s="1" t="s">
        <v>96</v>
      </c>
    </row>
    <row r="617" spans="2:12" ht="56" hidden="1" x14ac:dyDescent="0.35">
      <c r="B617" s="2">
        <v>9522</v>
      </c>
      <c r="C617" s="5">
        <v>45887</v>
      </c>
      <c r="D617" s="3" t="s">
        <v>190</v>
      </c>
      <c r="E617" s="3" t="s">
        <v>1212</v>
      </c>
      <c r="F617" s="14" t="s">
        <v>524</v>
      </c>
      <c r="G617" s="4" t="s">
        <v>51</v>
      </c>
      <c r="H617" s="2" t="s">
        <v>17</v>
      </c>
      <c r="I617" s="2" t="s">
        <v>18</v>
      </c>
      <c r="J617" s="2" t="s">
        <v>68</v>
      </c>
      <c r="K617" s="1" t="s">
        <v>1179</v>
      </c>
      <c r="L617" s="1" t="s">
        <v>96</v>
      </c>
    </row>
    <row r="618" spans="2:12" ht="56" hidden="1" x14ac:dyDescent="0.35">
      <c r="B618" s="2">
        <v>9521</v>
      </c>
      <c r="C618" s="5">
        <v>45893</v>
      </c>
      <c r="D618" s="3" t="s">
        <v>190</v>
      </c>
      <c r="E618" s="3" t="s">
        <v>1213</v>
      </c>
      <c r="F618" s="14" t="s">
        <v>718</v>
      </c>
      <c r="G618" s="4" t="s">
        <v>16</v>
      </c>
      <c r="H618" s="2" t="s">
        <v>17</v>
      </c>
      <c r="I618" s="2" t="s">
        <v>37</v>
      </c>
      <c r="J618" s="2" t="s">
        <v>112</v>
      </c>
      <c r="K618" s="1" t="s">
        <v>1179</v>
      </c>
      <c r="L618" s="1" t="s">
        <v>96</v>
      </c>
    </row>
    <row r="619" spans="2:12" ht="42" hidden="1" x14ac:dyDescent="0.35">
      <c r="B619" s="2">
        <v>9686</v>
      </c>
      <c r="C619" s="5">
        <v>45905</v>
      </c>
      <c r="D619" s="3" t="s">
        <v>227</v>
      </c>
      <c r="E619" s="3" t="s">
        <v>1214</v>
      </c>
      <c r="F619" s="14" t="s">
        <v>1215</v>
      </c>
      <c r="G619" s="4" t="s">
        <v>51</v>
      </c>
      <c r="H619" s="2" t="s">
        <v>17</v>
      </c>
      <c r="I619" s="2" t="s">
        <v>37</v>
      </c>
      <c r="J619" s="2" t="s">
        <v>112</v>
      </c>
      <c r="K619" s="1" t="s">
        <v>1179</v>
      </c>
      <c r="L619" s="1" t="s">
        <v>96</v>
      </c>
    </row>
    <row r="620" spans="2:12" ht="28" hidden="1" x14ac:dyDescent="0.35">
      <c r="B620" s="2">
        <v>9718</v>
      </c>
      <c r="C620" s="5">
        <v>45909</v>
      </c>
      <c r="D620" s="3" t="s">
        <v>104</v>
      </c>
      <c r="E620" s="3" t="s">
        <v>1216</v>
      </c>
      <c r="F620" s="14" t="s">
        <v>545</v>
      </c>
      <c r="G620" s="4" t="s">
        <v>16</v>
      </c>
      <c r="H620" s="2" t="s">
        <v>281</v>
      </c>
      <c r="I620" s="2" t="s">
        <v>24</v>
      </c>
      <c r="J620" s="2" t="s">
        <v>41</v>
      </c>
      <c r="K620" s="1" t="s">
        <v>1179</v>
      </c>
      <c r="L620" s="1" t="s">
        <v>96</v>
      </c>
    </row>
    <row r="621" spans="2:12" ht="56" hidden="1" x14ac:dyDescent="0.35">
      <c r="B621" s="2">
        <v>9788</v>
      </c>
      <c r="C621" s="5">
        <v>45929</v>
      </c>
      <c r="D621" s="3" t="s">
        <v>95</v>
      </c>
      <c r="E621" s="3" t="s">
        <v>1217</v>
      </c>
      <c r="F621" s="14" t="s">
        <v>243</v>
      </c>
      <c r="G621" s="4" t="s">
        <v>16</v>
      </c>
      <c r="H621" s="2" t="s">
        <v>17</v>
      </c>
      <c r="I621" s="2" t="s">
        <v>37</v>
      </c>
      <c r="J621" s="2" t="s">
        <v>81</v>
      </c>
      <c r="K621" s="1" t="s">
        <v>1179</v>
      </c>
      <c r="L621" s="1" t="s">
        <v>96</v>
      </c>
    </row>
    <row r="622" spans="2:12" ht="42" hidden="1" x14ac:dyDescent="0.35">
      <c r="B622" s="2">
        <v>10069</v>
      </c>
      <c r="C622" s="5">
        <v>45947</v>
      </c>
      <c r="D622" s="3" t="s">
        <v>96</v>
      </c>
      <c r="E622" s="3" t="s">
        <v>1218</v>
      </c>
      <c r="F622" s="14" t="s">
        <v>1219</v>
      </c>
      <c r="G622" s="4" t="s">
        <v>16</v>
      </c>
      <c r="H622" s="2" t="s">
        <v>17</v>
      </c>
      <c r="I622" s="2" t="s">
        <v>37</v>
      </c>
      <c r="J622" s="2" t="s">
        <v>112</v>
      </c>
      <c r="K622" s="1" t="s">
        <v>1179</v>
      </c>
      <c r="L622" s="1" t="s">
        <v>96</v>
      </c>
    </row>
    <row r="623" spans="2:12" ht="28" hidden="1" x14ac:dyDescent="0.35">
      <c r="B623" s="2">
        <v>10142</v>
      </c>
      <c r="C623" s="5">
        <v>45954</v>
      </c>
      <c r="D623" s="3" t="s">
        <v>227</v>
      </c>
      <c r="E623" s="3" t="s">
        <v>1220</v>
      </c>
      <c r="F623" s="14" t="s">
        <v>1221</v>
      </c>
      <c r="G623" s="4" t="s">
        <v>51</v>
      </c>
      <c r="H623" s="2" t="s">
        <v>17</v>
      </c>
      <c r="I623" s="2" t="s">
        <v>24</v>
      </c>
      <c r="J623" s="2" t="s">
        <v>261</v>
      </c>
      <c r="K623" s="1" t="s">
        <v>1179</v>
      </c>
      <c r="L623" s="1" t="s">
        <v>96</v>
      </c>
    </row>
    <row r="624" spans="2:12" ht="42" hidden="1" x14ac:dyDescent="0.35">
      <c r="B624" s="2">
        <v>10178</v>
      </c>
      <c r="C624" s="5">
        <v>45936</v>
      </c>
      <c r="D624" s="3" t="s">
        <v>96</v>
      </c>
      <c r="E624" s="3" t="s">
        <v>1222</v>
      </c>
      <c r="F624" s="14" t="s">
        <v>1223</v>
      </c>
      <c r="G624" s="4" t="s">
        <v>51</v>
      </c>
      <c r="H624" s="2" t="s">
        <v>17</v>
      </c>
      <c r="I624" s="2" t="s">
        <v>24</v>
      </c>
      <c r="J624" s="2" t="s">
        <v>41</v>
      </c>
      <c r="K624" s="1" t="s">
        <v>1179</v>
      </c>
      <c r="L624" s="1" t="s">
        <v>96</v>
      </c>
    </row>
    <row r="625" spans="2:12" ht="28" hidden="1" x14ac:dyDescent="0.35">
      <c r="B625" s="2">
        <v>10177</v>
      </c>
      <c r="C625" s="5">
        <v>45960</v>
      </c>
      <c r="D625" s="3" t="s">
        <v>96</v>
      </c>
      <c r="E625" s="3" t="s">
        <v>1224</v>
      </c>
      <c r="F625" s="14" t="s">
        <v>1225</v>
      </c>
      <c r="G625" s="4" t="s">
        <v>51</v>
      </c>
      <c r="H625" s="2" t="s">
        <v>17</v>
      </c>
      <c r="I625" s="2" t="s">
        <v>24</v>
      </c>
      <c r="J625" s="2" t="s">
        <v>261</v>
      </c>
      <c r="K625" s="1" t="s">
        <v>1179</v>
      </c>
      <c r="L625" s="1" t="s">
        <v>96</v>
      </c>
    </row>
    <row r="626" spans="2:12" ht="28" hidden="1" x14ac:dyDescent="0.35">
      <c r="B626" s="2">
        <v>10449</v>
      </c>
      <c r="C626" s="5">
        <v>45997</v>
      </c>
      <c r="D626" s="3" t="s">
        <v>227</v>
      </c>
      <c r="E626" s="3" t="s">
        <v>1226</v>
      </c>
      <c r="F626" s="14" t="s">
        <v>1227</v>
      </c>
      <c r="G626" s="4" t="s">
        <v>51</v>
      </c>
      <c r="H626" s="2" t="s">
        <v>17</v>
      </c>
      <c r="I626" s="2" t="s">
        <v>18</v>
      </c>
      <c r="J626" s="2" t="s">
        <v>19</v>
      </c>
      <c r="K626" s="1" t="s">
        <v>1179</v>
      </c>
      <c r="L626" s="1" t="s">
        <v>96</v>
      </c>
    </row>
    <row r="627" spans="2:12" ht="42" hidden="1" x14ac:dyDescent="0.35">
      <c r="B627" s="2">
        <v>10454</v>
      </c>
      <c r="C627" s="5">
        <v>45999</v>
      </c>
      <c r="D627" s="3" t="s">
        <v>96</v>
      </c>
      <c r="E627" s="3" t="s">
        <v>1228</v>
      </c>
      <c r="F627" s="14" t="s">
        <v>1229</v>
      </c>
      <c r="G627" s="4" t="s">
        <v>51</v>
      </c>
      <c r="H627" s="2" t="s">
        <v>17</v>
      </c>
      <c r="I627" s="2" t="s">
        <v>24</v>
      </c>
      <c r="J627" s="2" t="s">
        <v>44</v>
      </c>
      <c r="K627" s="1" t="s">
        <v>1179</v>
      </c>
      <c r="L627" s="1" t="s">
        <v>96</v>
      </c>
    </row>
    <row r="628" spans="2:12" ht="42" hidden="1" x14ac:dyDescent="0.35">
      <c r="B628" s="2">
        <v>10452</v>
      </c>
      <c r="C628" s="5">
        <v>46000</v>
      </c>
      <c r="D628" s="3" t="s">
        <v>96</v>
      </c>
      <c r="E628" s="3" t="s">
        <v>1230</v>
      </c>
      <c r="F628" s="14" t="s">
        <v>1231</v>
      </c>
      <c r="G628" s="4" t="s">
        <v>51</v>
      </c>
      <c r="H628" s="2" t="s">
        <v>17</v>
      </c>
      <c r="I628" s="2" t="s">
        <v>24</v>
      </c>
      <c r="J628" s="2" t="s">
        <v>44</v>
      </c>
      <c r="K628" s="1" t="s">
        <v>1179</v>
      </c>
      <c r="L628" s="1" t="s">
        <v>96</v>
      </c>
    </row>
    <row r="629" spans="2:12" ht="42" hidden="1" x14ac:dyDescent="0.35">
      <c r="B629" s="2">
        <v>10455</v>
      </c>
      <c r="C629" s="5">
        <v>46000</v>
      </c>
      <c r="D629" s="3" t="s">
        <v>96</v>
      </c>
      <c r="E629" s="3" t="s">
        <v>1232</v>
      </c>
      <c r="F629" s="14" t="s">
        <v>1233</v>
      </c>
      <c r="G629" s="4" t="s">
        <v>51</v>
      </c>
      <c r="H629" s="2" t="s">
        <v>17</v>
      </c>
      <c r="I629" s="2" t="s">
        <v>24</v>
      </c>
      <c r="J629" s="2" t="s">
        <v>44</v>
      </c>
      <c r="K629" s="1" t="s">
        <v>1179</v>
      </c>
      <c r="L629" s="1" t="s">
        <v>96</v>
      </c>
    </row>
    <row r="630" spans="2:12" ht="42" hidden="1" x14ac:dyDescent="0.35">
      <c r="B630" s="2">
        <v>10453</v>
      </c>
      <c r="C630" s="5">
        <v>45999</v>
      </c>
      <c r="D630" s="3" t="s">
        <v>96</v>
      </c>
      <c r="E630" s="3" t="s">
        <v>1234</v>
      </c>
      <c r="F630" s="14" t="s">
        <v>1235</v>
      </c>
      <c r="G630" s="4" t="s">
        <v>51</v>
      </c>
      <c r="H630" s="2" t="s">
        <v>17</v>
      </c>
      <c r="I630" s="2" t="s">
        <v>24</v>
      </c>
      <c r="J630" s="2" t="s">
        <v>44</v>
      </c>
      <c r="K630" s="1" t="s">
        <v>1179</v>
      </c>
      <c r="L630" s="1" t="s">
        <v>96</v>
      </c>
    </row>
    <row r="631" spans="2:12" ht="28" hidden="1" x14ac:dyDescent="0.35">
      <c r="B631" s="2">
        <v>10505</v>
      </c>
      <c r="C631" s="5">
        <v>46012</v>
      </c>
      <c r="D631" s="3" t="s">
        <v>96</v>
      </c>
      <c r="E631" s="3" t="s">
        <v>1236</v>
      </c>
      <c r="F631" s="14" t="s">
        <v>1237</v>
      </c>
      <c r="G631" s="4" t="s">
        <v>16</v>
      </c>
      <c r="H631" s="2" t="s">
        <v>17</v>
      </c>
      <c r="I631" s="2" t="s">
        <v>37</v>
      </c>
      <c r="J631" s="2" t="s">
        <v>112</v>
      </c>
      <c r="K631" s="1" t="s">
        <v>1179</v>
      </c>
      <c r="L631" s="1" t="s">
        <v>96</v>
      </c>
    </row>
    <row r="632" spans="2:12" ht="28" hidden="1" x14ac:dyDescent="0.35">
      <c r="B632" s="2">
        <v>10514</v>
      </c>
      <c r="C632" s="5">
        <v>46013</v>
      </c>
      <c r="D632" s="3" t="s">
        <v>96</v>
      </c>
      <c r="E632" s="3" t="s">
        <v>1238</v>
      </c>
      <c r="F632" s="14" t="s">
        <v>892</v>
      </c>
      <c r="G632" s="4" t="s">
        <v>16</v>
      </c>
      <c r="H632" s="2" t="s">
        <v>17</v>
      </c>
      <c r="I632" s="2" t="s">
        <v>37</v>
      </c>
      <c r="J632" s="2" t="s">
        <v>112</v>
      </c>
      <c r="K632" s="1" t="s">
        <v>1179</v>
      </c>
      <c r="L632" s="1" t="s">
        <v>96</v>
      </c>
    </row>
    <row r="633" spans="2:12" ht="42" hidden="1" x14ac:dyDescent="0.35">
      <c r="B633" s="2">
        <v>10800</v>
      </c>
      <c r="C633" s="5">
        <v>46043</v>
      </c>
      <c r="D633" s="3" t="s">
        <v>193</v>
      </c>
      <c r="E633" s="3" t="s">
        <v>1239</v>
      </c>
      <c r="F633" s="14" t="s">
        <v>1240</v>
      </c>
      <c r="G633" s="4" t="s">
        <v>51</v>
      </c>
      <c r="H633" s="2" t="s">
        <v>17</v>
      </c>
      <c r="I633" s="2" t="s">
        <v>37</v>
      </c>
      <c r="J633" s="2" t="s">
        <v>121</v>
      </c>
      <c r="K633" s="1" t="s">
        <v>1179</v>
      </c>
      <c r="L633" s="1" t="s">
        <v>96</v>
      </c>
    </row>
    <row r="634" spans="2:12" ht="56" hidden="1" x14ac:dyDescent="0.35">
      <c r="B634" s="2">
        <v>10995</v>
      </c>
      <c r="C634" s="5">
        <v>46036</v>
      </c>
      <c r="D634" s="3" t="s">
        <v>234</v>
      </c>
      <c r="E634" s="3" t="s">
        <v>1241</v>
      </c>
      <c r="F634" s="14" t="s">
        <v>1242</v>
      </c>
      <c r="G634" s="4" t="s">
        <v>51</v>
      </c>
      <c r="H634" s="2" t="s">
        <v>17</v>
      </c>
      <c r="I634" s="2" t="s">
        <v>24</v>
      </c>
      <c r="J634" s="2" t="s">
        <v>261</v>
      </c>
      <c r="K634" s="1" t="s">
        <v>1179</v>
      </c>
      <c r="L634" s="1" t="s">
        <v>96</v>
      </c>
    </row>
    <row r="635" spans="2:12" ht="42" hidden="1" x14ac:dyDescent="0.35">
      <c r="B635" s="2">
        <v>11056</v>
      </c>
      <c r="C635" s="5">
        <v>46064</v>
      </c>
      <c r="D635" s="3" t="s">
        <v>96</v>
      </c>
      <c r="E635" s="3" t="s">
        <v>1243</v>
      </c>
      <c r="F635" s="14" t="s">
        <v>1244</v>
      </c>
      <c r="G635" s="4" t="s">
        <v>16</v>
      </c>
      <c r="H635" s="2" t="s">
        <v>17</v>
      </c>
      <c r="I635" s="2" t="s">
        <v>24</v>
      </c>
      <c r="J635" s="2" t="s">
        <v>44</v>
      </c>
      <c r="K635" s="1" t="s">
        <v>1179</v>
      </c>
      <c r="L635" s="1" t="s">
        <v>96</v>
      </c>
    </row>
    <row r="636" spans="2:12" ht="42" hidden="1" x14ac:dyDescent="0.35">
      <c r="B636" s="2">
        <v>11147</v>
      </c>
      <c r="C636" s="24">
        <v>46074</v>
      </c>
      <c r="D636" s="3" t="s">
        <v>96</v>
      </c>
      <c r="E636" s="3" t="s">
        <v>1245</v>
      </c>
      <c r="F636" s="14" t="s">
        <v>656</v>
      </c>
      <c r="G636" s="4" t="s">
        <v>51</v>
      </c>
      <c r="H636" s="2" t="s">
        <v>17</v>
      </c>
      <c r="I636" s="2" t="s">
        <v>24</v>
      </c>
      <c r="J636" s="2" t="s">
        <v>54</v>
      </c>
      <c r="K636" s="1" t="s">
        <v>1179</v>
      </c>
      <c r="L636" s="1" t="s">
        <v>96</v>
      </c>
    </row>
    <row r="637" spans="2:12" ht="28" hidden="1" x14ac:dyDescent="0.35">
      <c r="B637" s="2">
        <v>11340</v>
      </c>
      <c r="C637" s="24">
        <v>46090</v>
      </c>
      <c r="D637" s="3" t="s">
        <v>96</v>
      </c>
      <c r="E637" s="3" t="s">
        <v>1246</v>
      </c>
      <c r="F637" s="14" t="s">
        <v>1247</v>
      </c>
      <c r="G637" s="4" t="s">
        <v>51</v>
      </c>
      <c r="H637" s="2" t="s">
        <v>17</v>
      </c>
      <c r="I637" s="2" t="s">
        <v>24</v>
      </c>
      <c r="J637" s="2" t="s">
        <v>44</v>
      </c>
      <c r="K637" s="1" t="s">
        <v>1179</v>
      </c>
      <c r="L637" s="1" t="s">
        <v>96</v>
      </c>
    </row>
    <row r="638" spans="2:12" ht="28" hidden="1" x14ac:dyDescent="0.35">
      <c r="B638" s="2">
        <v>11311</v>
      </c>
      <c r="C638" s="24">
        <v>46088</v>
      </c>
      <c r="D638" s="3" t="s">
        <v>96</v>
      </c>
      <c r="E638" s="3" t="s">
        <v>1248</v>
      </c>
      <c r="F638" s="14" t="s">
        <v>713</v>
      </c>
      <c r="G638" s="4" t="s">
        <v>51</v>
      </c>
      <c r="H638" s="2" t="s">
        <v>17</v>
      </c>
      <c r="I638" s="2" t="s">
        <v>24</v>
      </c>
      <c r="J638" s="2" t="s">
        <v>44</v>
      </c>
      <c r="K638" s="1" t="s">
        <v>1179</v>
      </c>
      <c r="L638" s="1" t="s">
        <v>96</v>
      </c>
    </row>
    <row r="639" spans="2:12" ht="42" hidden="1" x14ac:dyDescent="0.35">
      <c r="B639" s="2">
        <v>11459</v>
      </c>
      <c r="C639" s="24">
        <v>46098</v>
      </c>
      <c r="D639" s="3" t="s">
        <v>34</v>
      </c>
      <c r="E639" s="3" t="s">
        <v>1249</v>
      </c>
      <c r="F639" s="14" t="s">
        <v>28</v>
      </c>
      <c r="G639" s="4" t="s">
        <v>16</v>
      </c>
      <c r="H639" s="2" t="s">
        <v>17</v>
      </c>
      <c r="I639" s="2" t="s">
        <v>24</v>
      </c>
      <c r="J639" s="2" t="s">
        <v>54</v>
      </c>
      <c r="K639" s="1" t="s">
        <v>1179</v>
      </c>
      <c r="L639" s="1" t="s">
        <v>96</v>
      </c>
    </row>
    <row r="640" spans="2:12" ht="28" hidden="1" x14ac:dyDescent="0.35">
      <c r="B640" s="2">
        <v>11533</v>
      </c>
      <c r="C640" s="24">
        <v>46109</v>
      </c>
      <c r="D640" s="3" t="s">
        <v>227</v>
      </c>
      <c r="E640" s="3" t="s">
        <v>1250</v>
      </c>
      <c r="F640" s="14" t="s">
        <v>1251</v>
      </c>
      <c r="G640" s="4" t="s">
        <v>51</v>
      </c>
      <c r="H640" s="2" t="s">
        <v>17</v>
      </c>
      <c r="I640" s="2" t="s">
        <v>24</v>
      </c>
      <c r="J640" s="2" t="s">
        <v>261</v>
      </c>
      <c r="K640" s="1" t="s">
        <v>1179</v>
      </c>
      <c r="L640" s="1" t="s">
        <v>96</v>
      </c>
    </row>
    <row r="641" spans="2:12" ht="28" hidden="1" x14ac:dyDescent="0.35">
      <c r="B641" s="2">
        <v>52</v>
      </c>
      <c r="C641" s="5">
        <v>45673</v>
      </c>
      <c r="D641" s="3" t="s">
        <v>104</v>
      </c>
      <c r="E641" s="3" t="s">
        <v>1252</v>
      </c>
      <c r="F641" s="14" t="s">
        <v>1253</v>
      </c>
      <c r="G641" s="4" t="s">
        <v>16</v>
      </c>
      <c r="H641" s="2" t="s">
        <v>17</v>
      </c>
      <c r="I641" s="2" t="s">
        <v>24</v>
      </c>
      <c r="J641" t="s">
        <v>33</v>
      </c>
      <c r="K641" s="1" t="s">
        <v>1254</v>
      </c>
      <c r="L641" s="1" t="s">
        <v>95</v>
      </c>
    </row>
    <row r="642" spans="2:12" ht="14.5" hidden="1" x14ac:dyDescent="0.35">
      <c r="B642" s="2">
        <v>53</v>
      </c>
      <c r="C642" s="5">
        <v>45673</v>
      </c>
      <c r="D642" s="3" t="s">
        <v>104</v>
      </c>
      <c r="E642" s="3" t="s">
        <v>1255</v>
      </c>
      <c r="F642" s="14" t="s">
        <v>164</v>
      </c>
      <c r="G642" s="4" t="s">
        <v>16</v>
      </c>
      <c r="H642" s="2" t="s">
        <v>17</v>
      </c>
      <c r="I642" s="2" t="s">
        <v>24</v>
      </c>
      <c r="J642" t="s">
        <v>33</v>
      </c>
      <c r="K642" s="1" t="s">
        <v>1254</v>
      </c>
      <c r="L642" s="1" t="s">
        <v>95</v>
      </c>
    </row>
    <row r="643" spans="2:12" ht="56" hidden="1" x14ac:dyDescent="0.35">
      <c r="B643" s="2">
        <v>72</v>
      </c>
      <c r="C643" s="5">
        <v>45686</v>
      </c>
      <c r="D643" s="3" t="s">
        <v>96</v>
      </c>
      <c r="E643" s="3" t="s">
        <v>1256</v>
      </c>
      <c r="F643" s="14" t="s">
        <v>1257</v>
      </c>
      <c r="G643" s="4" t="s">
        <v>16</v>
      </c>
      <c r="H643" s="2" t="s">
        <v>17</v>
      </c>
      <c r="I643" s="2" t="s">
        <v>37</v>
      </c>
      <c r="J643" t="s">
        <v>112</v>
      </c>
      <c r="K643" s="1" t="s">
        <v>1254</v>
      </c>
      <c r="L643" s="1" t="s">
        <v>95</v>
      </c>
    </row>
    <row r="644" spans="2:12" ht="28" hidden="1" x14ac:dyDescent="0.35">
      <c r="B644" s="2">
        <v>90</v>
      </c>
      <c r="C644" s="5">
        <v>45688</v>
      </c>
      <c r="D644" s="3" t="s">
        <v>250</v>
      </c>
      <c r="E644" s="3" t="s">
        <v>1258</v>
      </c>
      <c r="F644" s="14" t="s">
        <v>1259</v>
      </c>
      <c r="G644" s="4" t="s">
        <v>16</v>
      </c>
      <c r="H644" s="2" t="s">
        <v>17</v>
      </c>
      <c r="I644" s="2" t="s">
        <v>24</v>
      </c>
      <c r="J644" t="s">
        <v>33</v>
      </c>
      <c r="K644" s="1" t="s">
        <v>1254</v>
      </c>
      <c r="L644" s="1" t="s">
        <v>95</v>
      </c>
    </row>
    <row r="645" spans="2:12" ht="28" hidden="1" x14ac:dyDescent="0.35">
      <c r="B645" s="2">
        <v>91</v>
      </c>
      <c r="C645" s="5">
        <v>45688</v>
      </c>
      <c r="D645" s="3" t="s">
        <v>250</v>
      </c>
      <c r="E645" s="3" t="s">
        <v>1258</v>
      </c>
      <c r="F645" s="14" t="s">
        <v>1259</v>
      </c>
      <c r="G645" s="4" t="s">
        <v>16</v>
      </c>
      <c r="H645" s="2" t="s">
        <v>17</v>
      </c>
      <c r="I645" s="2" t="s">
        <v>24</v>
      </c>
      <c r="J645" t="s">
        <v>33</v>
      </c>
      <c r="K645" s="1" t="s">
        <v>1254</v>
      </c>
      <c r="L645" s="1" t="s">
        <v>95</v>
      </c>
    </row>
    <row r="646" spans="2:12" ht="28" hidden="1" x14ac:dyDescent="0.35">
      <c r="B646" s="2">
        <v>137</v>
      </c>
      <c r="C646" s="5">
        <v>45716</v>
      </c>
      <c r="D646" s="3" t="s">
        <v>134</v>
      </c>
      <c r="E646" s="3" t="s">
        <v>1260</v>
      </c>
      <c r="F646" s="14" t="s">
        <v>459</v>
      </c>
      <c r="G646" s="4" t="s">
        <v>51</v>
      </c>
      <c r="H646" s="2" t="s">
        <v>17</v>
      </c>
      <c r="I646" s="2" t="s">
        <v>24</v>
      </c>
      <c r="J646" s="2" t="s">
        <v>72</v>
      </c>
      <c r="K646" s="1" t="s">
        <v>1254</v>
      </c>
      <c r="L646" s="1" t="s">
        <v>95</v>
      </c>
    </row>
    <row r="647" spans="2:12" hidden="1" x14ac:dyDescent="0.35">
      <c r="B647" s="2">
        <v>138</v>
      </c>
      <c r="C647" s="5">
        <v>45716</v>
      </c>
      <c r="D647" s="3" t="s">
        <v>134</v>
      </c>
      <c r="E647" s="3" t="s">
        <v>1261</v>
      </c>
      <c r="F647" s="14" t="s">
        <v>1262</v>
      </c>
      <c r="G647" s="4" t="s">
        <v>51</v>
      </c>
      <c r="H647" s="2" t="s">
        <v>281</v>
      </c>
      <c r="I647" s="2" t="s">
        <v>24</v>
      </c>
      <c r="J647" s="2" t="s">
        <v>72</v>
      </c>
      <c r="K647" s="1" t="s">
        <v>1254</v>
      </c>
      <c r="L647" s="1" t="s">
        <v>95</v>
      </c>
    </row>
    <row r="648" spans="2:12" ht="28" hidden="1" x14ac:dyDescent="0.35">
      <c r="B648" s="2">
        <v>188</v>
      </c>
      <c r="C648" s="5">
        <v>45730</v>
      </c>
      <c r="D648" s="3" t="s">
        <v>96</v>
      </c>
      <c r="E648" s="3" t="s">
        <v>1263</v>
      </c>
      <c r="F648" s="14" t="s">
        <v>1257</v>
      </c>
      <c r="G648" s="4" t="s">
        <v>16</v>
      </c>
      <c r="H648" s="2" t="s">
        <v>281</v>
      </c>
      <c r="I648" s="2" t="s">
        <v>24</v>
      </c>
      <c r="J648" s="2" t="s">
        <v>54</v>
      </c>
      <c r="K648" s="1" t="s">
        <v>1254</v>
      </c>
      <c r="L648" s="1" t="s">
        <v>95</v>
      </c>
    </row>
    <row r="649" spans="2:12" ht="42" hidden="1" x14ac:dyDescent="0.35">
      <c r="B649" s="2">
        <v>189</v>
      </c>
      <c r="C649" s="5">
        <v>45730</v>
      </c>
      <c r="D649" s="3" t="s">
        <v>193</v>
      </c>
      <c r="E649" s="3" t="s">
        <v>1264</v>
      </c>
      <c r="F649" s="14" t="s">
        <v>1265</v>
      </c>
      <c r="G649" s="4" t="s">
        <v>51</v>
      </c>
      <c r="H649" s="2" t="s">
        <v>17</v>
      </c>
      <c r="I649" s="2" t="s">
        <v>24</v>
      </c>
      <c r="J649" s="2" t="s">
        <v>54</v>
      </c>
      <c r="K649" s="1" t="s">
        <v>1254</v>
      </c>
      <c r="L649" s="1" t="s">
        <v>193</v>
      </c>
    </row>
    <row r="650" spans="2:12" ht="56" hidden="1" x14ac:dyDescent="0.35">
      <c r="B650" s="2">
        <v>394</v>
      </c>
      <c r="C650" s="5">
        <v>45806</v>
      </c>
      <c r="D650" s="3" t="s">
        <v>220</v>
      </c>
      <c r="E650" s="3" t="s">
        <v>1266</v>
      </c>
      <c r="F650" s="14" t="s">
        <v>1267</v>
      </c>
      <c r="G650" s="4" t="s">
        <v>51</v>
      </c>
      <c r="H650" s="2" t="s">
        <v>17</v>
      </c>
      <c r="I650" s="2" t="s">
        <v>37</v>
      </c>
      <c r="J650" s="2" t="s">
        <v>38</v>
      </c>
      <c r="K650" s="1" t="s">
        <v>1254</v>
      </c>
      <c r="L650" s="1" t="s">
        <v>95</v>
      </c>
    </row>
    <row r="651" spans="2:12" hidden="1" x14ac:dyDescent="0.35">
      <c r="B651" s="2">
        <v>397</v>
      </c>
      <c r="C651" s="5">
        <v>45807</v>
      </c>
      <c r="D651" s="3" t="s">
        <v>234</v>
      </c>
      <c r="E651" s="3" t="s">
        <v>1268</v>
      </c>
      <c r="F651" s="14" t="s">
        <v>1265</v>
      </c>
      <c r="G651" s="4" t="s">
        <v>51</v>
      </c>
      <c r="H651" s="2" t="s">
        <v>17</v>
      </c>
      <c r="I651" s="2" t="s">
        <v>24</v>
      </c>
      <c r="J651" s="2" t="s">
        <v>54</v>
      </c>
      <c r="K651" s="1" t="s">
        <v>1254</v>
      </c>
      <c r="L651" s="1" t="s">
        <v>95</v>
      </c>
    </row>
    <row r="652" spans="2:12" hidden="1" x14ac:dyDescent="0.35">
      <c r="B652" s="2">
        <v>489</v>
      </c>
      <c r="C652" s="5">
        <v>45841</v>
      </c>
      <c r="D652" s="3" t="s">
        <v>193</v>
      </c>
      <c r="E652" s="3" t="s">
        <v>1269</v>
      </c>
      <c r="F652" s="14" t="s">
        <v>1270</v>
      </c>
      <c r="G652" s="4" t="s">
        <v>51</v>
      </c>
      <c r="H652" s="2" t="s">
        <v>17</v>
      </c>
      <c r="I652" s="2" t="s">
        <v>24</v>
      </c>
      <c r="J652" s="2" t="s">
        <v>261</v>
      </c>
      <c r="K652" s="1" t="s">
        <v>1271</v>
      </c>
      <c r="L652" s="1" t="s">
        <v>95</v>
      </c>
    </row>
    <row r="653" spans="2:12" ht="42" hidden="1" x14ac:dyDescent="0.35">
      <c r="B653" s="2">
        <v>490</v>
      </c>
      <c r="C653" s="5">
        <v>45841</v>
      </c>
      <c r="D653" s="3" t="s">
        <v>193</v>
      </c>
      <c r="E653" s="3" t="s">
        <v>1272</v>
      </c>
      <c r="F653" s="14" t="s">
        <v>1273</v>
      </c>
      <c r="G653" s="4" t="s">
        <v>51</v>
      </c>
      <c r="H653" s="2" t="s">
        <v>17</v>
      </c>
      <c r="I653" s="2" t="s">
        <v>24</v>
      </c>
      <c r="J653" s="2" t="s">
        <v>261</v>
      </c>
      <c r="K653" s="1" t="s">
        <v>1271</v>
      </c>
      <c r="L653" s="1" t="s">
        <v>95</v>
      </c>
    </row>
    <row r="654" spans="2:12" ht="28" hidden="1" x14ac:dyDescent="0.35">
      <c r="B654" s="2">
        <v>9488</v>
      </c>
      <c r="C654" s="5">
        <v>45887</v>
      </c>
      <c r="D654" s="3" t="s">
        <v>193</v>
      </c>
      <c r="E654" s="3" t="s">
        <v>1274</v>
      </c>
      <c r="F654" s="14" t="s">
        <v>457</v>
      </c>
      <c r="G654" s="4" t="s">
        <v>51</v>
      </c>
      <c r="H654" s="2" t="s">
        <v>281</v>
      </c>
      <c r="I654" s="2" t="s">
        <v>24</v>
      </c>
      <c r="J654" s="2" t="s">
        <v>33</v>
      </c>
      <c r="K654" s="1" t="s">
        <v>1271</v>
      </c>
      <c r="L654" s="1" t="s">
        <v>95</v>
      </c>
    </row>
    <row r="655" spans="2:12" ht="28" hidden="1" x14ac:dyDescent="0.35">
      <c r="B655" s="2">
        <v>9915</v>
      </c>
      <c r="C655" s="5">
        <v>45922</v>
      </c>
      <c r="D655" s="3" t="s">
        <v>193</v>
      </c>
      <c r="E655" s="3" t="s">
        <v>1275</v>
      </c>
      <c r="F655" s="14" t="s">
        <v>1276</v>
      </c>
      <c r="G655" s="4" t="s">
        <v>16</v>
      </c>
      <c r="H655" s="2" t="s">
        <v>17</v>
      </c>
      <c r="I655" s="2" t="s">
        <v>24</v>
      </c>
      <c r="J655" s="2" t="s">
        <v>33</v>
      </c>
      <c r="K655" s="1" t="s">
        <v>1271</v>
      </c>
      <c r="L655" s="1" t="s">
        <v>95</v>
      </c>
    </row>
    <row r="656" spans="2:12" ht="28" hidden="1" x14ac:dyDescent="0.35">
      <c r="B656" s="2">
        <v>9917</v>
      </c>
      <c r="C656" s="5">
        <v>45930</v>
      </c>
      <c r="D656" s="3" t="s">
        <v>193</v>
      </c>
      <c r="E656" s="3" t="s">
        <v>1277</v>
      </c>
      <c r="F656" s="14" t="s">
        <v>1278</v>
      </c>
      <c r="G656" s="4" t="s">
        <v>16</v>
      </c>
      <c r="H656" s="2" t="s">
        <v>17</v>
      </c>
      <c r="I656" s="2" t="s">
        <v>24</v>
      </c>
      <c r="J656" s="2" t="s">
        <v>33</v>
      </c>
      <c r="K656" s="1" t="s">
        <v>1271</v>
      </c>
      <c r="L656" s="1" t="s">
        <v>95</v>
      </c>
    </row>
    <row r="657" spans="2:12" hidden="1" x14ac:dyDescent="0.35">
      <c r="B657" s="2">
        <v>10788</v>
      </c>
      <c r="C657" s="5">
        <v>46041</v>
      </c>
      <c r="D657" s="3" t="s">
        <v>234</v>
      </c>
      <c r="E657" s="3" t="s">
        <v>1279</v>
      </c>
      <c r="F657" s="14" t="s">
        <v>1280</v>
      </c>
      <c r="G657" s="4" t="s">
        <v>51</v>
      </c>
      <c r="H657" s="2" t="s">
        <v>281</v>
      </c>
      <c r="I657" s="2" t="s">
        <v>24</v>
      </c>
      <c r="J657" s="2" t="s">
        <v>54</v>
      </c>
      <c r="K657" s="1" t="s">
        <v>1271</v>
      </c>
      <c r="L657" s="1" t="s">
        <v>95</v>
      </c>
    </row>
    <row r="658" spans="2:12" ht="28" hidden="1" x14ac:dyDescent="0.35">
      <c r="B658" s="2">
        <v>10068</v>
      </c>
      <c r="C658" s="5">
        <v>45949</v>
      </c>
      <c r="D658" s="3" t="s">
        <v>278</v>
      </c>
      <c r="E658" s="3" t="s">
        <v>1281</v>
      </c>
      <c r="F658" s="14" t="s">
        <v>1282</v>
      </c>
      <c r="G658" s="4" t="s">
        <v>51</v>
      </c>
      <c r="H658" s="2" t="s">
        <v>17</v>
      </c>
      <c r="I658" s="2" t="s">
        <v>24</v>
      </c>
      <c r="J658" s="2" t="s">
        <v>261</v>
      </c>
      <c r="K658" s="1" t="s">
        <v>631</v>
      </c>
      <c r="L658" s="1" t="s">
        <v>278</v>
      </c>
    </row>
    <row r="659" spans="2:12" ht="42" hidden="1" x14ac:dyDescent="0.35">
      <c r="B659" s="2">
        <v>18</v>
      </c>
      <c r="C659" s="5">
        <v>45663</v>
      </c>
      <c r="D659" s="3" t="s">
        <v>13</v>
      </c>
      <c r="E659" s="3" t="s">
        <v>1283</v>
      </c>
      <c r="F659" s="14" t="s">
        <v>1284</v>
      </c>
      <c r="G659" s="4" t="s">
        <v>16</v>
      </c>
      <c r="H659" s="2" t="s">
        <v>17</v>
      </c>
      <c r="I659" s="2" t="s">
        <v>24</v>
      </c>
      <c r="J659" t="s">
        <v>44</v>
      </c>
      <c r="K659" s="1" t="s">
        <v>333</v>
      </c>
      <c r="L659" s="1" t="s">
        <v>13</v>
      </c>
    </row>
    <row r="660" spans="2:12" ht="42" hidden="1" x14ac:dyDescent="0.35">
      <c r="B660" s="2">
        <v>19</v>
      </c>
      <c r="C660" s="5">
        <v>45663</v>
      </c>
      <c r="D660" s="3" t="s">
        <v>13</v>
      </c>
      <c r="E660" s="3" t="s">
        <v>1285</v>
      </c>
      <c r="F660" s="14" t="s">
        <v>799</v>
      </c>
      <c r="G660" s="4" t="s">
        <v>16</v>
      </c>
      <c r="H660" s="2" t="s">
        <v>17</v>
      </c>
      <c r="I660" s="2" t="s">
        <v>24</v>
      </c>
      <c r="J660" t="s">
        <v>44</v>
      </c>
      <c r="K660" s="1" t="s">
        <v>333</v>
      </c>
      <c r="L660" s="1" t="s">
        <v>13</v>
      </c>
    </row>
    <row r="661" spans="2:12" ht="42" hidden="1" x14ac:dyDescent="0.35">
      <c r="B661" s="2">
        <v>134</v>
      </c>
      <c r="C661" s="5">
        <v>45713</v>
      </c>
      <c r="D661" s="3" t="s">
        <v>190</v>
      </c>
      <c r="E661" s="3" t="s">
        <v>1286</v>
      </c>
      <c r="F661" s="14" t="s">
        <v>977</v>
      </c>
      <c r="G661" s="4" t="s">
        <v>51</v>
      </c>
      <c r="H661" s="2" t="s">
        <v>17</v>
      </c>
      <c r="I661" s="2" t="s">
        <v>37</v>
      </c>
      <c r="J661" s="2" t="s">
        <v>112</v>
      </c>
      <c r="K661" s="1" t="s">
        <v>333</v>
      </c>
      <c r="L661" s="1" t="s">
        <v>21</v>
      </c>
    </row>
    <row r="662" spans="2:12" ht="42" hidden="1" x14ac:dyDescent="0.35">
      <c r="B662" s="2">
        <v>9085</v>
      </c>
      <c r="C662" s="5">
        <v>45841</v>
      </c>
      <c r="D662" s="3" t="s">
        <v>13</v>
      </c>
      <c r="E662" s="3" t="s">
        <v>1287</v>
      </c>
      <c r="F662" s="14" t="s">
        <v>1288</v>
      </c>
      <c r="G662" s="4" t="s">
        <v>16</v>
      </c>
      <c r="H662" s="2" t="s">
        <v>17</v>
      </c>
      <c r="I662" s="2" t="s">
        <v>24</v>
      </c>
      <c r="J662" s="2" t="s">
        <v>33</v>
      </c>
      <c r="K662" s="1" t="s">
        <v>333</v>
      </c>
      <c r="L662" s="1" t="s">
        <v>13</v>
      </c>
    </row>
    <row r="663" spans="2:12" ht="28" hidden="1" x14ac:dyDescent="0.35">
      <c r="B663" s="2">
        <v>9153</v>
      </c>
      <c r="C663" s="5">
        <v>45852</v>
      </c>
      <c r="D663" s="3" t="s">
        <v>21</v>
      </c>
      <c r="E663" s="3" t="s">
        <v>1289</v>
      </c>
      <c r="F663" s="14" t="s">
        <v>1290</v>
      </c>
      <c r="G663" s="4" t="s">
        <v>16</v>
      </c>
      <c r="H663" s="2" t="s">
        <v>17</v>
      </c>
      <c r="I663" s="2" t="s">
        <v>24</v>
      </c>
      <c r="J663" s="2" t="s">
        <v>29</v>
      </c>
      <c r="K663" s="1" t="s">
        <v>333</v>
      </c>
      <c r="L663" s="1" t="s">
        <v>21</v>
      </c>
    </row>
    <row r="664" spans="2:12" ht="28" hidden="1" x14ac:dyDescent="0.35">
      <c r="B664" s="2">
        <v>9154</v>
      </c>
      <c r="C664" s="5">
        <v>45852</v>
      </c>
      <c r="D664" s="3" t="s">
        <v>13</v>
      </c>
      <c r="E664" s="3" t="s">
        <v>1291</v>
      </c>
      <c r="F664" s="14" t="s">
        <v>1292</v>
      </c>
      <c r="G664" s="4" t="s">
        <v>16</v>
      </c>
      <c r="H664" s="2" t="s">
        <v>17</v>
      </c>
      <c r="I664" s="2" t="s">
        <v>24</v>
      </c>
      <c r="J664" s="2" t="s">
        <v>44</v>
      </c>
      <c r="K664" s="1" t="s">
        <v>333</v>
      </c>
      <c r="L664" s="1" t="s">
        <v>13</v>
      </c>
    </row>
    <row r="665" spans="2:12" hidden="1" x14ac:dyDescent="0.35">
      <c r="B665" s="2">
        <v>9223</v>
      </c>
      <c r="C665" s="5">
        <v>45859</v>
      </c>
      <c r="D665" s="3" t="s">
        <v>104</v>
      </c>
      <c r="E665" s="3" t="s">
        <v>1293</v>
      </c>
      <c r="F665" s="14" t="s">
        <v>1294</v>
      </c>
      <c r="G665" s="4" t="s">
        <v>16</v>
      </c>
      <c r="H665" s="2" t="s">
        <v>17</v>
      </c>
      <c r="I665" s="2" t="s">
        <v>24</v>
      </c>
      <c r="J665" s="2" t="s">
        <v>44</v>
      </c>
      <c r="K665" s="1" t="s">
        <v>333</v>
      </c>
      <c r="L665" s="1" t="s">
        <v>104</v>
      </c>
    </row>
    <row r="666" spans="2:12" ht="28" hidden="1" x14ac:dyDescent="0.35">
      <c r="B666" s="2">
        <v>9253</v>
      </c>
      <c r="C666" s="5">
        <v>45859</v>
      </c>
      <c r="D666" s="3" t="s">
        <v>13</v>
      </c>
      <c r="E666" s="3" t="s">
        <v>1295</v>
      </c>
      <c r="F666" s="14" t="s">
        <v>816</v>
      </c>
      <c r="G666" s="4" t="s">
        <v>16</v>
      </c>
      <c r="H666" s="2" t="s">
        <v>17</v>
      </c>
      <c r="I666" s="2" t="s">
        <v>24</v>
      </c>
      <c r="J666" s="2" t="s">
        <v>33</v>
      </c>
      <c r="K666" s="1" t="s">
        <v>333</v>
      </c>
      <c r="L666" s="1" t="s">
        <v>13</v>
      </c>
    </row>
    <row r="667" spans="2:12" ht="28" hidden="1" x14ac:dyDescent="0.35">
      <c r="B667" s="2">
        <v>9252</v>
      </c>
      <c r="C667" s="5">
        <v>45859</v>
      </c>
      <c r="D667" s="3" t="s">
        <v>21</v>
      </c>
      <c r="E667" s="3" t="s">
        <v>1296</v>
      </c>
      <c r="F667" s="14" t="s">
        <v>745</v>
      </c>
      <c r="G667" s="4" t="s">
        <v>16</v>
      </c>
      <c r="H667" s="2" t="s">
        <v>17</v>
      </c>
      <c r="I667" s="2" t="s">
        <v>18</v>
      </c>
      <c r="J667" s="2" t="s">
        <v>171</v>
      </c>
      <c r="K667" s="1" t="s">
        <v>333</v>
      </c>
      <c r="L667" s="1" t="s">
        <v>21</v>
      </c>
    </row>
    <row r="668" spans="2:12" ht="56" hidden="1" x14ac:dyDescent="0.35">
      <c r="B668" s="2">
        <v>483</v>
      </c>
      <c r="C668" s="5">
        <v>45840</v>
      </c>
      <c r="D668" s="3" t="s">
        <v>96</v>
      </c>
      <c r="E668" s="3" t="s">
        <v>1297</v>
      </c>
      <c r="F668" s="14" t="s">
        <v>734</v>
      </c>
      <c r="G668" s="4" t="s">
        <v>16</v>
      </c>
      <c r="H668" s="2" t="s">
        <v>17</v>
      </c>
      <c r="I668" s="2" t="s">
        <v>37</v>
      </c>
      <c r="J668" s="2" t="s">
        <v>112</v>
      </c>
      <c r="K668" s="1" t="s">
        <v>1298</v>
      </c>
      <c r="L668" s="1" t="s">
        <v>96</v>
      </c>
    </row>
    <row r="669" spans="2:12" ht="42" hidden="1" x14ac:dyDescent="0.35">
      <c r="B669" s="2">
        <v>11220</v>
      </c>
      <c r="C669" s="24">
        <v>46067</v>
      </c>
      <c r="D669" s="3" t="s">
        <v>196</v>
      </c>
      <c r="E669" s="3" t="s">
        <v>1299</v>
      </c>
      <c r="F669" s="14" t="s">
        <v>595</v>
      </c>
      <c r="G669" s="4" t="s">
        <v>16</v>
      </c>
      <c r="H669" s="2" t="s">
        <v>281</v>
      </c>
      <c r="I669" s="2" t="s">
        <v>18</v>
      </c>
      <c r="J669" s="2" t="s">
        <v>68</v>
      </c>
      <c r="K669" s="1" t="s">
        <v>1300</v>
      </c>
      <c r="L669" s="1" t="s">
        <v>26</v>
      </c>
    </row>
    <row r="670" spans="2:12" ht="28" hidden="1" x14ac:dyDescent="0.35">
      <c r="B670" s="2">
        <v>270</v>
      </c>
      <c r="C670" s="5">
        <v>45769</v>
      </c>
      <c r="D670" s="3" t="s">
        <v>96</v>
      </c>
      <c r="E670" s="3" t="s">
        <v>1301</v>
      </c>
      <c r="F670" s="14" t="s">
        <v>1302</v>
      </c>
      <c r="G670" s="4" t="s">
        <v>51</v>
      </c>
      <c r="H670" s="2" t="s">
        <v>17</v>
      </c>
      <c r="I670" s="2" t="s">
        <v>18</v>
      </c>
      <c r="J670" s="2" t="s">
        <v>68</v>
      </c>
      <c r="K670" s="1" t="s">
        <v>1303</v>
      </c>
      <c r="L670" s="1" t="s">
        <v>227</v>
      </c>
    </row>
    <row r="671" spans="2:12" ht="28" hidden="1" x14ac:dyDescent="0.35">
      <c r="B671" s="2">
        <v>88</v>
      </c>
      <c r="C671" s="5">
        <v>45688</v>
      </c>
      <c r="D671" s="3" t="s">
        <v>196</v>
      </c>
      <c r="E671" s="3" t="s">
        <v>1304</v>
      </c>
      <c r="F671" s="14" t="s">
        <v>483</v>
      </c>
      <c r="G671" s="4" t="s">
        <v>16</v>
      </c>
      <c r="H671" s="2" t="s">
        <v>17</v>
      </c>
      <c r="I671" s="2" t="s">
        <v>24</v>
      </c>
      <c r="J671" t="s">
        <v>54</v>
      </c>
      <c r="K671" s="1" t="s">
        <v>1305</v>
      </c>
      <c r="L671" s="1" t="s">
        <v>196</v>
      </c>
    </row>
    <row r="672" spans="2:12" ht="42" hidden="1" x14ac:dyDescent="0.35">
      <c r="B672" s="2">
        <v>144</v>
      </c>
      <c r="C672" s="5">
        <v>45716</v>
      </c>
      <c r="D672" s="3" t="s">
        <v>196</v>
      </c>
      <c r="E672" s="3" t="s">
        <v>1306</v>
      </c>
      <c r="F672" s="14" t="s">
        <v>637</v>
      </c>
      <c r="G672" s="4" t="s">
        <v>51</v>
      </c>
      <c r="H672" s="2" t="s">
        <v>17</v>
      </c>
      <c r="I672" s="2" t="s">
        <v>37</v>
      </c>
      <c r="J672" s="2" t="s">
        <v>81</v>
      </c>
      <c r="K672" s="1" t="s">
        <v>1305</v>
      </c>
      <c r="L672" s="1" t="s">
        <v>196</v>
      </c>
    </row>
    <row r="673" spans="2:12" ht="42" hidden="1" x14ac:dyDescent="0.35">
      <c r="B673" s="2">
        <v>212</v>
      </c>
      <c r="C673" s="5">
        <v>45744</v>
      </c>
      <c r="D673" s="3" t="s">
        <v>196</v>
      </c>
      <c r="E673" s="3" t="s">
        <v>1307</v>
      </c>
      <c r="F673" s="14" t="s">
        <v>288</v>
      </c>
      <c r="G673" s="4" t="s">
        <v>16</v>
      </c>
      <c r="H673" s="2" t="s">
        <v>17</v>
      </c>
      <c r="I673" s="2" t="s">
        <v>18</v>
      </c>
      <c r="J673" s="2" t="s">
        <v>171</v>
      </c>
      <c r="K673" s="1" t="s">
        <v>1305</v>
      </c>
      <c r="L673" s="1" t="s">
        <v>196</v>
      </c>
    </row>
    <row r="674" spans="2:12" ht="28" hidden="1" x14ac:dyDescent="0.35">
      <c r="B674" s="2">
        <v>286</v>
      </c>
      <c r="C674" s="5">
        <v>45776</v>
      </c>
      <c r="D674" s="3" t="s">
        <v>196</v>
      </c>
      <c r="E674" s="3" t="s">
        <v>1308</v>
      </c>
      <c r="F674" s="14" t="s">
        <v>198</v>
      </c>
      <c r="G674" s="4" t="s">
        <v>16</v>
      </c>
      <c r="H674" s="2" t="s">
        <v>17</v>
      </c>
      <c r="I674" s="2" t="s">
        <v>37</v>
      </c>
      <c r="J674" s="2" t="s">
        <v>121</v>
      </c>
      <c r="K674" s="1" t="s">
        <v>1305</v>
      </c>
      <c r="L674" s="1" t="s">
        <v>196</v>
      </c>
    </row>
    <row r="675" spans="2:12" ht="28" hidden="1" x14ac:dyDescent="0.35">
      <c r="B675" s="2">
        <v>399</v>
      </c>
      <c r="C675" s="5">
        <v>45810</v>
      </c>
      <c r="D675" s="3" t="s">
        <v>134</v>
      </c>
      <c r="E675" s="3" t="s">
        <v>1309</v>
      </c>
      <c r="F675" s="14" t="s">
        <v>854</v>
      </c>
      <c r="G675" s="4" t="s">
        <v>16</v>
      </c>
      <c r="H675" s="2" t="s">
        <v>17</v>
      </c>
      <c r="I675" s="2" t="s">
        <v>24</v>
      </c>
      <c r="J675" s="2" t="s">
        <v>44</v>
      </c>
      <c r="K675" s="1" t="s">
        <v>1305</v>
      </c>
      <c r="L675" s="1" t="s">
        <v>196</v>
      </c>
    </row>
    <row r="676" spans="2:12" ht="28" hidden="1" x14ac:dyDescent="0.35">
      <c r="B676" s="2">
        <v>10546</v>
      </c>
      <c r="C676" s="5">
        <v>46022</v>
      </c>
      <c r="D676" s="3" t="s">
        <v>26</v>
      </c>
      <c r="E676" s="3" t="s">
        <v>1310</v>
      </c>
      <c r="F676" s="14" t="s">
        <v>1311</v>
      </c>
      <c r="G676" s="4" t="s">
        <v>16</v>
      </c>
      <c r="H676" s="2" t="s">
        <v>17</v>
      </c>
      <c r="I676" s="2" t="s">
        <v>24</v>
      </c>
      <c r="J676" s="2" t="s">
        <v>54</v>
      </c>
      <c r="K676" s="1" t="s">
        <v>1305</v>
      </c>
      <c r="L676" s="1" t="s">
        <v>196</v>
      </c>
    </row>
    <row r="677" spans="2:12" ht="28" hidden="1" x14ac:dyDescent="0.35">
      <c r="B677" s="2">
        <v>10545</v>
      </c>
      <c r="C677" s="5">
        <v>46022</v>
      </c>
      <c r="D677" s="3" t="s">
        <v>196</v>
      </c>
      <c r="E677" s="3" t="s">
        <v>1312</v>
      </c>
      <c r="F677" s="14" t="s">
        <v>1313</v>
      </c>
      <c r="G677" s="4" t="s">
        <v>51</v>
      </c>
      <c r="H677" s="2" t="s">
        <v>17</v>
      </c>
      <c r="I677" s="2" t="s">
        <v>24</v>
      </c>
      <c r="J677" s="2" t="s">
        <v>54</v>
      </c>
      <c r="K677" s="1" t="s">
        <v>1305</v>
      </c>
      <c r="L677" s="1" t="s">
        <v>196</v>
      </c>
    </row>
    <row r="678" spans="2:12" ht="42" hidden="1" x14ac:dyDescent="0.35">
      <c r="B678" s="2">
        <v>388</v>
      </c>
      <c r="C678" s="5">
        <v>45805</v>
      </c>
      <c r="D678" s="3" t="s">
        <v>21</v>
      </c>
      <c r="E678" s="3" t="s">
        <v>1314</v>
      </c>
      <c r="F678" s="14" t="s">
        <v>1315</v>
      </c>
      <c r="G678" s="4" t="s">
        <v>51</v>
      </c>
      <c r="H678" s="2" t="s">
        <v>17</v>
      </c>
      <c r="I678" s="2" t="s">
        <v>24</v>
      </c>
      <c r="J678" s="2" t="s">
        <v>33</v>
      </c>
      <c r="K678" s="1" t="s">
        <v>1316</v>
      </c>
      <c r="L678" s="1" t="s">
        <v>95</v>
      </c>
    </row>
    <row r="679" spans="2:12" ht="56" hidden="1" x14ac:dyDescent="0.35">
      <c r="B679" s="2">
        <v>389</v>
      </c>
      <c r="C679" s="5">
        <v>45805</v>
      </c>
      <c r="D679" s="3" t="s">
        <v>95</v>
      </c>
      <c r="E679" s="3" t="s">
        <v>1317</v>
      </c>
      <c r="F679" s="14" t="s">
        <v>1318</v>
      </c>
      <c r="G679" s="4" t="s">
        <v>16</v>
      </c>
      <c r="H679" s="2" t="s">
        <v>17</v>
      </c>
      <c r="I679" s="2" t="s">
        <v>24</v>
      </c>
      <c r="J679" s="2" t="s">
        <v>33</v>
      </c>
      <c r="K679" s="1" t="s">
        <v>1316</v>
      </c>
      <c r="L679" s="1" t="s">
        <v>95</v>
      </c>
    </row>
    <row r="680" spans="2:12" ht="70" hidden="1" x14ac:dyDescent="0.35">
      <c r="B680" s="2">
        <v>425</v>
      </c>
      <c r="C680" s="5">
        <v>45818</v>
      </c>
      <c r="D680" s="3" t="s">
        <v>134</v>
      </c>
      <c r="E680" s="3" t="s">
        <v>1319</v>
      </c>
      <c r="F680" s="14" t="s">
        <v>465</v>
      </c>
      <c r="G680" s="4" t="s">
        <v>16</v>
      </c>
      <c r="H680" s="2" t="s">
        <v>17</v>
      </c>
      <c r="I680" s="2" t="s">
        <v>24</v>
      </c>
      <c r="J680" s="2" t="s">
        <v>44</v>
      </c>
      <c r="K680" s="1" t="s">
        <v>1316</v>
      </c>
      <c r="L680" s="1" t="s">
        <v>95</v>
      </c>
    </row>
    <row r="681" spans="2:12" ht="28" hidden="1" x14ac:dyDescent="0.35">
      <c r="B681" s="2">
        <v>426</v>
      </c>
      <c r="C681" s="5">
        <v>45819</v>
      </c>
      <c r="D681" s="3" t="s">
        <v>220</v>
      </c>
      <c r="E681" s="3" t="s">
        <v>1320</v>
      </c>
      <c r="F681" s="14" t="s">
        <v>1321</v>
      </c>
      <c r="G681" s="4" t="s">
        <v>16</v>
      </c>
      <c r="H681" s="2" t="s">
        <v>17</v>
      </c>
      <c r="I681" s="2" t="s">
        <v>18</v>
      </c>
      <c r="J681" s="2" t="s">
        <v>19</v>
      </c>
      <c r="K681" s="1" t="s">
        <v>1316</v>
      </c>
      <c r="L681" s="1" t="s">
        <v>95</v>
      </c>
    </row>
    <row r="682" spans="2:12" ht="56" hidden="1" x14ac:dyDescent="0.35">
      <c r="B682" s="2">
        <v>488</v>
      </c>
      <c r="C682" s="5">
        <v>45841</v>
      </c>
      <c r="D682" s="3" t="s">
        <v>104</v>
      </c>
      <c r="E682" s="3" t="s">
        <v>1322</v>
      </c>
      <c r="F682" s="14" t="s">
        <v>1323</v>
      </c>
      <c r="G682" s="4" t="s">
        <v>51</v>
      </c>
      <c r="H682" s="2" t="s">
        <v>17</v>
      </c>
      <c r="I682" s="2" t="s">
        <v>24</v>
      </c>
      <c r="J682" s="2" t="s">
        <v>33</v>
      </c>
      <c r="K682" s="1" t="s">
        <v>1316</v>
      </c>
      <c r="L682" s="1" t="s">
        <v>95</v>
      </c>
    </row>
    <row r="683" spans="2:12" ht="56" hidden="1" x14ac:dyDescent="0.35">
      <c r="B683" s="2">
        <v>9295</v>
      </c>
      <c r="C683" s="5">
        <v>45867</v>
      </c>
      <c r="D683" s="3" t="s">
        <v>234</v>
      </c>
      <c r="E683" s="3" t="s">
        <v>1324</v>
      </c>
      <c r="F683" s="14" t="s">
        <v>1325</v>
      </c>
      <c r="G683" s="4" t="s">
        <v>51</v>
      </c>
      <c r="H683" s="2" t="s">
        <v>17</v>
      </c>
      <c r="I683" s="2" t="s">
        <v>24</v>
      </c>
      <c r="J683" s="2" t="s">
        <v>33</v>
      </c>
      <c r="K683" s="1" t="s">
        <v>1316</v>
      </c>
      <c r="L683" s="1" t="s">
        <v>95</v>
      </c>
    </row>
    <row r="684" spans="2:12" ht="56" hidden="1" x14ac:dyDescent="0.35">
      <c r="B684" s="2">
        <v>9402</v>
      </c>
      <c r="C684" s="5">
        <v>45876</v>
      </c>
      <c r="D684" s="3" t="s">
        <v>26</v>
      </c>
      <c r="E684" s="3" t="s">
        <v>1326</v>
      </c>
      <c r="F684" s="14" t="s">
        <v>294</v>
      </c>
      <c r="G684" s="4" t="s">
        <v>51</v>
      </c>
      <c r="H684" s="2" t="s">
        <v>17</v>
      </c>
      <c r="I684" s="2" t="s">
        <v>24</v>
      </c>
      <c r="J684" s="2" t="s">
        <v>54</v>
      </c>
      <c r="K684" s="1" t="s">
        <v>1316</v>
      </c>
      <c r="L684" s="1" t="s">
        <v>95</v>
      </c>
    </row>
    <row r="685" spans="2:12" ht="42" hidden="1" x14ac:dyDescent="0.35">
      <c r="B685" s="2">
        <v>9616</v>
      </c>
      <c r="C685" s="5">
        <v>45889</v>
      </c>
      <c r="D685" s="3" t="s">
        <v>234</v>
      </c>
      <c r="E685" s="3" t="s">
        <v>1327</v>
      </c>
      <c r="F685" s="14" t="s">
        <v>546</v>
      </c>
      <c r="G685" s="4" t="s">
        <v>16</v>
      </c>
      <c r="H685" s="2" t="s">
        <v>17</v>
      </c>
      <c r="I685" s="2" t="s">
        <v>24</v>
      </c>
      <c r="J685" s="2" t="s">
        <v>33</v>
      </c>
      <c r="K685" s="1" t="s">
        <v>1316</v>
      </c>
      <c r="L685" s="1" t="s">
        <v>95</v>
      </c>
    </row>
    <row r="686" spans="2:12" ht="42" hidden="1" x14ac:dyDescent="0.35">
      <c r="B686" s="2">
        <v>9720</v>
      </c>
      <c r="C686" s="5">
        <v>45911</v>
      </c>
      <c r="D686" s="3" t="s">
        <v>193</v>
      </c>
      <c r="E686" s="3" t="s">
        <v>1328</v>
      </c>
      <c r="F686" s="14" t="s">
        <v>1329</v>
      </c>
      <c r="G686" s="4" t="s">
        <v>51</v>
      </c>
      <c r="H686" s="2" t="s">
        <v>17</v>
      </c>
      <c r="I686" s="2" t="s">
        <v>24</v>
      </c>
      <c r="J686" s="2" t="s">
        <v>33</v>
      </c>
      <c r="K686" s="1" t="s">
        <v>1316</v>
      </c>
      <c r="L686" s="1" t="s">
        <v>95</v>
      </c>
    </row>
    <row r="687" spans="2:12" ht="42" hidden="1" x14ac:dyDescent="0.35">
      <c r="B687" s="2">
        <v>9779</v>
      </c>
      <c r="C687" s="5">
        <v>45917</v>
      </c>
      <c r="D687" s="3" t="s">
        <v>227</v>
      </c>
      <c r="E687" s="3" t="s">
        <v>1330</v>
      </c>
      <c r="F687" s="14" t="s">
        <v>1331</v>
      </c>
      <c r="G687" s="4" t="s">
        <v>51</v>
      </c>
      <c r="H687" s="2" t="s">
        <v>17</v>
      </c>
      <c r="I687" s="2" t="s">
        <v>24</v>
      </c>
      <c r="J687" s="2" t="s">
        <v>54</v>
      </c>
      <c r="K687" s="1" t="s">
        <v>1316</v>
      </c>
      <c r="L687" s="1" t="s">
        <v>96</v>
      </c>
    </row>
    <row r="688" spans="2:12" ht="56" hidden="1" x14ac:dyDescent="0.35">
      <c r="B688" s="2">
        <v>9918</v>
      </c>
      <c r="C688" s="5">
        <v>45930</v>
      </c>
      <c r="D688" s="3" t="s">
        <v>193</v>
      </c>
      <c r="E688" s="3" t="s">
        <v>1332</v>
      </c>
      <c r="F688" s="14" t="s">
        <v>1333</v>
      </c>
      <c r="G688" s="4" t="s">
        <v>51</v>
      </c>
      <c r="H688" s="2" t="s">
        <v>17</v>
      </c>
      <c r="I688" s="2" t="s">
        <v>24</v>
      </c>
      <c r="J688" s="2" t="s">
        <v>33</v>
      </c>
      <c r="K688" s="1" t="s">
        <v>1316</v>
      </c>
      <c r="L688" s="1" t="s">
        <v>95</v>
      </c>
    </row>
    <row r="689" spans="2:12" ht="42" hidden="1" x14ac:dyDescent="0.35">
      <c r="B689" s="2">
        <v>9933</v>
      </c>
      <c r="C689" s="5">
        <v>45930</v>
      </c>
      <c r="D689" s="3" t="s">
        <v>234</v>
      </c>
      <c r="E689" s="3" t="s">
        <v>1334</v>
      </c>
      <c r="F689" s="14" t="s">
        <v>546</v>
      </c>
      <c r="G689" s="4" t="s">
        <v>16</v>
      </c>
      <c r="H689" s="2" t="s">
        <v>17</v>
      </c>
      <c r="I689" s="2" t="s">
        <v>24</v>
      </c>
      <c r="J689" s="2" t="s">
        <v>33</v>
      </c>
      <c r="K689" s="1" t="s">
        <v>1316</v>
      </c>
      <c r="L689" s="1" t="s">
        <v>95</v>
      </c>
    </row>
    <row r="690" spans="2:12" ht="42" hidden="1" x14ac:dyDescent="0.35">
      <c r="B690" s="2">
        <v>9938</v>
      </c>
      <c r="C690" s="5">
        <v>45932</v>
      </c>
      <c r="D690" s="3" t="s">
        <v>193</v>
      </c>
      <c r="E690" s="3" t="s">
        <v>1335</v>
      </c>
      <c r="F690" s="14" t="s">
        <v>1265</v>
      </c>
      <c r="G690" s="4" t="s">
        <v>51</v>
      </c>
      <c r="H690" s="2" t="s">
        <v>281</v>
      </c>
      <c r="I690" s="2" t="s">
        <v>18</v>
      </c>
      <c r="J690" s="2" t="s">
        <v>68</v>
      </c>
      <c r="K690" s="1" t="s">
        <v>1316</v>
      </c>
      <c r="L690" s="1" t="s">
        <v>95</v>
      </c>
    </row>
    <row r="691" spans="2:12" ht="28" hidden="1" x14ac:dyDescent="0.35">
      <c r="B691" s="2">
        <v>10160</v>
      </c>
      <c r="C691" s="5">
        <v>45961</v>
      </c>
      <c r="D691" s="3" t="s">
        <v>193</v>
      </c>
      <c r="E691" s="3" t="s">
        <v>1336</v>
      </c>
      <c r="F691" s="14" t="s">
        <v>256</v>
      </c>
      <c r="G691" s="4" t="s">
        <v>51</v>
      </c>
      <c r="H691" s="2" t="s">
        <v>281</v>
      </c>
      <c r="I691" s="2" t="s">
        <v>24</v>
      </c>
      <c r="J691" s="2" t="s">
        <v>44</v>
      </c>
      <c r="K691" s="1" t="s">
        <v>1316</v>
      </c>
      <c r="L691" s="1" t="s">
        <v>95</v>
      </c>
    </row>
    <row r="692" spans="2:12" ht="56" hidden="1" x14ac:dyDescent="0.35">
      <c r="B692" s="2">
        <v>10394</v>
      </c>
      <c r="C692" s="5">
        <v>45989</v>
      </c>
      <c r="D692" s="3" t="s">
        <v>104</v>
      </c>
      <c r="E692" s="3" t="s">
        <v>1337</v>
      </c>
      <c r="F692" s="14" t="s">
        <v>545</v>
      </c>
      <c r="G692" s="4" t="s">
        <v>16</v>
      </c>
      <c r="H692" s="2" t="s">
        <v>17</v>
      </c>
      <c r="I692" s="2" t="s">
        <v>24</v>
      </c>
      <c r="J692" s="2" t="s">
        <v>33</v>
      </c>
      <c r="K692" s="1" t="s">
        <v>1316</v>
      </c>
      <c r="L692" s="1" t="s">
        <v>95</v>
      </c>
    </row>
    <row r="693" spans="2:12" ht="56" hidden="1" x14ac:dyDescent="0.35">
      <c r="B693" s="2">
        <v>10395</v>
      </c>
      <c r="C693" s="5">
        <v>45989</v>
      </c>
      <c r="D693" s="3" t="s">
        <v>104</v>
      </c>
      <c r="E693" s="3" t="s">
        <v>1338</v>
      </c>
      <c r="F693" s="14" t="s">
        <v>129</v>
      </c>
      <c r="G693" s="4" t="s">
        <v>51</v>
      </c>
      <c r="H693" s="2" t="s">
        <v>17</v>
      </c>
      <c r="I693" s="2" t="s">
        <v>37</v>
      </c>
      <c r="J693" s="2" t="s">
        <v>121</v>
      </c>
      <c r="K693" s="1" t="s">
        <v>1316</v>
      </c>
      <c r="L693" s="1" t="s">
        <v>95</v>
      </c>
    </row>
    <row r="694" spans="2:12" ht="56" hidden="1" x14ac:dyDescent="0.35">
      <c r="B694" s="2">
        <v>10490</v>
      </c>
      <c r="C694" s="5">
        <v>46003</v>
      </c>
      <c r="D694" s="3" t="s">
        <v>190</v>
      </c>
      <c r="E694" s="3" t="s">
        <v>1339</v>
      </c>
      <c r="F694" s="14" t="s">
        <v>1340</v>
      </c>
      <c r="G694" s="4" t="s">
        <v>16</v>
      </c>
      <c r="H694" s="2" t="s">
        <v>17</v>
      </c>
      <c r="I694" s="2" t="s">
        <v>18</v>
      </c>
      <c r="J694" s="2" t="s">
        <v>68</v>
      </c>
      <c r="K694" s="1" t="s">
        <v>1316</v>
      </c>
      <c r="L694" s="1" t="s">
        <v>95</v>
      </c>
    </row>
    <row r="695" spans="2:12" ht="56" hidden="1" x14ac:dyDescent="0.35">
      <c r="B695" s="2">
        <v>10998</v>
      </c>
      <c r="C695" s="5">
        <v>46058</v>
      </c>
      <c r="D695" s="3" t="s">
        <v>134</v>
      </c>
      <c r="E695" s="3" t="s">
        <v>1341</v>
      </c>
      <c r="F695" s="14" t="s">
        <v>1342</v>
      </c>
      <c r="G695" s="4" t="s">
        <v>51</v>
      </c>
      <c r="H695" s="2" t="s">
        <v>281</v>
      </c>
      <c r="I695" s="2" t="s">
        <v>24</v>
      </c>
      <c r="J695" s="2" t="s">
        <v>33</v>
      </c>
      <c r="K695" s="1" t="s">
        <v>1316</v>
      </c>
      <c r="L695" s="1" t="s">
        <v>95</v>
      </c>
    </row>
    <row r="696" spans="2:12" ht="42" hidden="1" x14ac:dyDescent="0.35">
      <c r="B696" s="2">
        <v>10999</v>
      </c>
      <c r="C696" s="5">
        <v>46059</v>
      </c>
      <c r="D696" s="3" t="s">
        <v>104</v>
      </c>
      <c r="E696" s="3" t="s">
        <v>1343</v>
      </c>
      <c r="F696" s="14" t="s">
        <v>1344</v>
      </c>
      <c r="G696" s="4" t="s">
        <v>51</v>
      </c>
      <c r="H696" s="2" t="s">
        <v>17</v>
      </c>
      <c r="I696" s="2" t="s">
        <v>37</v>
      </c>
      <c r="J696" s="2" t="s">
        <v>81</v>
      </c>
      <c r="K696" s="1" t="s">
        <v>1316</v>
      </c>
      <c r="L696" s="1" t="s">
        <v>95</v>
      </c>
    </row>
    <row r="697" spans="2:12" ht="70" hidden="1" x14ac:dyDescent="0.35">
      <c r="B697" s="2">
        <v>11313</v>
      </c>
      <c r="C697" s="24">
        <v>46090</v>
      </c>
      <c r="D697" s="3" t="s">
        <v>104</v>
      </c>
      <c r="E697" s="3" t="s">
        <v>1345</v>
      </c>
      <c r="F697" s="14" t="s">
        <v>1346</v>
      </c>
      <c r="G697" s="4" t="s">
        <v>51</v>
      </c>
      <c r="H697" s="2" t="s">
        <v>17</v>
      </c>
      <c r="I697" s="2" t="s">
        <v>37</v>
      </c>
      <c r="J697" s="2" t="s">
        <v>81</v>
      </c>
      <c r="K697" s="1" t="s">
        <v>1316</v>
      </c>
      <c r="L697" s="1" t="s">
        <v>95</v>
      </c>
    </row>
    <row r="698" spans="2:12" ht="42" hidden="1" x14ac:dyDescent="0.35">
      <c r="B698" s="2">
        <v>11339</v>
      </c>
      <c r="C698" s="24">
        <v>46091</v>
      </c>
      <c r="D698" s="3" t="s">
        <v>193</v>
      </c>
      <c r="E698" s="3" t="s">
        <v>1347</v>
      </c>
      <c r="F698" s="14" t="s">
        <v>1348</v>
      </c>
      <c r="G698" s="4" t="s">
        <v>51</v>
      </c>
      <c r="H698" s="2" t="s">
        <v>17</v>
      </c>
      <c r="I698" s="2" t="s">
        <v>37</v>
      </c>
      <c r="J698" s="2" t="s">
        <v>38</v>
      </c>
      <c r="K698" s="1" t="s">
        <v>1316</v>
      </c>
      <c r="L698" s="1" t="s">
        <v>95</v>
      </c>
    </row>
    <row r="699" spans="2:12" ht="28" hidden="1" x14ac:dyDescent="0.35">
      <c r="B699" s="2">
        <v>451</v>
      </c>
      <c r="C699" s="5">
        <v>45828</v>
      </c>
      <c r="D699" s="3" t="s">
        <v>34</v>
      </c>
      <c r="E699" s="3" t="s">
        <v>1349</v>
      </c>
      <c r="F699" s="14" t="s">
        <v>1160</v>
      </c>
      <c r="G699" s="4" t="s">
        <v>16</v>
      </c>
      <c r="H699" s="2" t="s">
        <v>17</v>
      </c>
      <c r="I699" s="2" t="s">
        <v>18</v>
      </c>
      <c r="J699" s="2" t="s">
        <v>19</v>
      </c>
      <c r="K699" s="1" t="s">
        <v>1350</v>
      </c>
      <c r="L699" s="1" t="s">
        <v>34</v>
      </c>
    </row>
    <row r="700" spans="2:12" ht="42" hidden="1" x14ac:dyDescent="0.35">
      <c r="B700" s="2">
        <v>63</v>
      </c>
      <c r="C700" s="5">
        <v>45678</v>
      </c>
      <c r="D700" s="3" t="s">
        <v>26</v>
      </c>
      <c r="E700" s="3" t="s">
        <v>1351</v>
      </c>
      <c r="F700" s="14" t="s">
        <v>465</v>
      </c>
      <c r="G700" s="4" t="s">
        <v>16</v>
      </c>
      <c r="H700" s="2" t="s">
        <v>17</v>
      </c>
      <c r="I700" s="2" t="s">
        <v>18</v>
      </c>
      <c r="J700" t="s">
        <v>556</v>
      </c>
      <c r="K700" s="1" t="s">
        <v>36</v>
      </c>
      <c r="L700" s="1" t="s">
        <v>26</v>
      </c>
    </row>
    <row r="701" spans="2:12" ht="42" hidden="1" x14ac:dyDescent="0.35">
      <c r="B701" s="2">
        <v>118</v>
      </c>
      <c r="C701" s="5">
        <v>45707</v>
      </c>
      <c r="D701" s="3" t="s">
        <v>21</v>
      </c>
      <c r="E701" s="3" t="s">
        <v>1352</v>
      </c>
      <c r="F701" s="14" t="s">
        <v>333</v>
      </c>
      <c r="G701" s="4" t="s">
        <v>16</v>
      </c>
      <c r="H701" s="2" t="s">
        <v>17</v>
      </c>
      <c r="I701" s="2" t="s">
        <v>18</v>
      </c>
      <c r="J701" s="2" t="s">
        <v>68</v>
      </c>
      <c r="K701" s="1" t="s">
        <v>36</v>
      </c>
      <c r="L701" s="1" t="s">
        <v>26</v>
      </c>
    </row>
    <row r="702" spans="2:12" ht="42" hidden="1" x14ac:dyDescent="0.35">
      <c r="B702" s="2">
        <v>233</v>
      </c>
      <c r="C702" s="5">
        <v>45747</v>
      </c>
      <c r="D702" s="3" t="s">
        <v>26</v>
      </c>
      <c r="E702" s="3" t="s">
        <v>1353</v>
      </c>
      <c r="F702" s="14" t="s">
        <v>1354</v>
      </c>
      <c r="G702" s="4" t="s">
        <v>51</v>
      </c>
      <c r="H702" s="2" t="s">
        <v>17</v>
      </c>
      <c r="I702" s="2" t="s">
        <v>37</v>
      </c>
      <c r="J702" s="2" t="s">
        <v>38</v>
      </c>
      <c r="K702" s="1" t="s">
        <v>36</v>
      </c>
      <c r="L702" s="1" t="s">
        <v>26</v>
      </c>
    </row>
    <row r="703" spans="2:12" ht="42" hidden="1" x14ac:dyDescent="0.35">
      <c r="B703" s="2">
        <v>234</v>
      </c>
      <c r="C703" s="5">
        <v>45747</v>
      </c>
      <c r="D703" s="3" t="s">
        <v>26</v>
      </c>
      <c r="E703" s="3" t="s">
        <v>1355</v>
      </c>
      <c r="F703" s="14" t="s">
        <v>1356</v>
      </c>
      <c r="G703" s="4" t="s">
        <v>51</v>
      </c>
      <c r="H703" s="2" t="s">
        <v>17</v>
      </c>
      <c r="I703" s="2" t="s">
        <v>37</v>
      </c>
      <c r="J703" s="2" t="s">
        <v>38</v>
      </c>
      <c r="K703" s="1" t="s">
        <v>36</v>
      </c>
      <c r="L703" s="1" t="s">
        <v>26</v>
      </c>
    </row>
    <row r="704" spans="2:12" ht="42" hidden="1" x14ac:dyDescent="0.35">
      <c r="B704" s="2">
        <v>9622</v>
      </c>
      <c r="C704" s="5">
        <v>45898</v>
      </c>
      <c r="D704" s="3" t="s">
        <v>26</v>
      </c>
      <c r="E704" s="3" t="s">
        <v>1357</v>
      </c>
      <c r="F704" s="14" t="s">
        <v>1358</v>
      </c>
      <c r="G704" s="4" t="s">
        <v>51</v>
      </c>
      <c r="H704" s="2" t="s">
        <v>17</v>
      </c>
      <c r="I704" s="2" t="s">
        <v>37</v>
      </c>
      <c r="J704" s="2" t="s">
        <v>38</v>
      </c>
      <c r="K704" s="1" t="s">
        <v>36</v>
      </c>
      <c r="L704" s="1" t="s">
        <v>26</v>
      </c>
    </row>
    <row r="705" spans="2:12" ht="28" hidden="1" x14ac:dyDescent="0.35">
      <c r="B705" s="2">
        <v>9690</v>
      </c>
      <c r="C705" s="5">
        <v>45905</v>
      </c>
      <c r="D705" s="3" t="s">
        <v>26</v>
      </c>
      <c r="E705" s="3" t="s">
        <v>1359</v>
      </c>
      <c r="F705" s="14" t="s">
        <v>1360</v>
      </c>
      <c r="G705" s="4" t="s">
        <v>16</v>
      </c>
      <c r="H705" s="2" t="s">
        <v>17</v>
      </c>
      <c r="I705" s="2" t="s">
        <v>24</v>
      </c>
      <c r="J705" s="2" t="s">
        <v>289</v>
      </c>
      <c r="K705" s="1" t="s">
        <v>36</v>
      </c>
      <c r="L705" s="1" t="s">
        <v>26</v>
      </c>
    </row>
    <row r="706" spans="2:12" ht="28" hidden="1" x14ac:dyDescent="0.35">
      <c r="B706" s="2">
        <v>9797</v>
      </c>
      <c r="C706" s="5">
        <v>45919</v>
      </c>
      <c r="D706" s="3" t="s">
        <v>34</v>
      </c>
      <c r="E706" s="3" t="s">
        <v>1361</v>
      </c>
      <c r="F706" s="14" t="s">
        <v>1362</v>
      </c>
      <c r="G706" s="4" t="s">
        <v>16</v>
      </c>
      <c r="H706" s="2" t="s">
        <v>17</v>
      </c>
      <c r="I706" s="2" t="s">
        <v>37</v>
      </c>
      <c r="J706" s="2" t="s">
        <v>112</v>
      </c>
      <c r="K706" s="1" t="s">
        <v>36</v>
      </c>
      <c r="L706" s="1" t="s">
        <v>34</v>
      </c>
    </row>
    <row r="707" spans="2:12" ht="28" hidden="1" x14ac:dyDescent="0.35">
      <c r="B707" s="2">
        <v>9796</v>
      </c>
      <c r="C707" s="5">
        <v>45919</v>
      </c>
      <c r="D707" s="3" t="s">
        <v>26</v>
      </c>
      <c r="E707" s="3" t="s">
        <v>1363</v>
      </c>
      <c r="F707" s="14" t="s">
        <v>1364</v>
      </c>
      <c r="G707" s="4" t="s">
        <v>51</v>
      </c>
      <c r="H707" s="2" t="s">
        <v>17</v>
      </c>
      <c r="I707" s="2" t="s">
        <v>18</v>
      </c>
      <c r="J707" s="2" t="s">
        <v>19</v>
      </c>
      <c r="K707" s="1" t="s">
        <v>36</v>
      </c>
      <c r="L707" s="1" t="s">
        <v>34</v>
      </c>
    </row>
    <row r="708" spans="2:12" ht="28" hidden="1" x14ac:dyDescent="0.35">
      <c r="B708" s="2">
        <v>10164</v>
      </c>
      <c r="C708" s="5">
        <v>45961</v>
      </c>
      <c r="D708" s="3" t="s">
        <v>34</v>
      </c>
      <c r="E708" s="3" t="s">
        <v>1365</v>
      </c>
      <c r="F708" s="14" t="s">
        <v>1031</v>
      </c>
      <c r="G708" s="4" t="s">
        <v>51</v>
      </c>
      <c r="H708" s="2" t="s">
        <v>17</v>
      </c>
      <c r="I708" s="2" t="s">
        <v>24</v>
      </c>
      <c r="J708" s="2" t="s">
        <v>44</v>
      </c>
      <c r="K708" s="1" t="s">
        <v>36</v>
      </c>
      <c r="L708" s="1" t="s">
        <v>34</v>
      </c>
    </row>
    <row r="709" spans="2:12" ht="56" hidden="1" x14ac:dyDescent="0.35">
      <c r="B709" s="2">
        <v>11248</v>
      </c>
      <c r="C709" s="24">
        <v>46080</v>
      </c>
      <c r="D709" s="3" t="s">
        <v>34</v>
      </c>
      <c r="E709" s="3" t="s">
        <v>1366</v>
      </c>
      <c r="F709" s="14" t="s">
        <v>1367</v>
      </c>
      <c r="G709" s="4" t="s">
        <v>51</v>
      </c>
      <c r="H709" s="2" t="s">
        <v>17</v>
      </c>
      <c r="I709" s="2" t="s">
        <v>24</v>
      </c>
      <c r="J709" s="2" t="s">
        <v>33</v>
      </c>
      <c r="K709" s="1" t="s">
        <v>36</v>
      </c>
      <c r="L709" s="1" t="s">
        <v>26</v>
      </c>
    </row>
    <row r="710" spans="2:12" ht="56" hidden="1" x14ac:dyDescent="0.35">
      <c r="B710" s="2">
        <v>11259</v>
      </c>
      <c r="C710" s="24">
        <v>46083</v>
      </c>
      <c r="D710" s="3" t="s">
        <v>250</v>
      </c>
      <c r="E710" s="3" t="s">
        <v>1366</v>
      </c>
      <c r="F710" s="14" t="s">
        <v>1368</v>
      </c>
      <c r="G710" s="4" t="s">
        <v>51</v>
      </c>
      <c r="H710" s="2" t="s">
        <v>17</v>
      </c>
      <c r="I710" s="2" t="s">
        <v>24</v>
      </c>
      <c r="J710" s="2" t="s">
        <v>33</v>
      </c>
      <c r="K710" s="1" t="s">
        <v>36</v>
      </c>
      <c r="L710" s="1" t="s">
        <v>26</v>
      </c>
    </row>
    <row r="711" spans="2:12" ht="42" hidden="1" x14ac:dyDescent="0.35">
      <c r="B711" s="2">
        <v>279</v>
      </c>
      <c r="C711" s="5">
        <v>45772</v>
      </c>
      <c r="D711" s="3" t="s">
        <v>104</v>
      </c>
      <c r="E711" s="3" t="s">
        <v>1369</v>
      </c>
      <c r="F711" s="14" t="s">
        <v>1370</v>
      </c>
      <c r="G711" s="4" t="s">
        <v>51</v>
      </c>
      <c r="H711" s="2" t="s">
        <v>17</v>
      </c>
      <c r="I711" s="2" t="s">
        <v>24</v>
      </c>
      <c r="J711" s="2" t="s">
        <v>54</v>
      </c>
      <c r="K711" s="1" t="s">
        <v>1371</v>
      </c>
      <c r="L711" s="1" t="s">
        <v>104</v>
      </c>
    </row>
    <row r="712" spans="2:12" ht="42" hidden="1" x14ac:dyDescent="0.35">
      <c r="B712" s="2">
        <v>280</v>
      </c>
      <c r="C712" s="5">
        <v>45775</v>
      </c>
      <c r="D712" s="3" t="s">
        <v>234</v>
      </c>
      <c r="E712" s="3" t="s">
        <v>1372</v>
      </c>
      <c r="F712" s="14" t="s">
        <v>1373</v>
      </c>
      <c r="G712" s="4" t="s">
        <v>51</v>
      </c>
      <c r="H712" s="2" t="s">
        <v>17</v>
      </c>
      <c r="I712" s="2" t="s">
        <v>24</v>
      </c>
      <c r="J712" s="2" t="s">
        <v>54</v>
      </c>
      <c r="K712" s="1" t="s">
        <v>1371</v>
      </c>
      <c r="L712" s="1" t="s">
        <v>104</v>
      </c>
    </row>
    <row r="713" spans="2:12" ht="42" hidden="1" x14ac:dyDescent="0.35">
      <c r="B713" s="2">
        <v>310</v>
      </c>
      <c r="C713" s="5">
        <v>45779</v>
      </c>
      <c r="D713" s="3" t="s">
        <v>134</v>
      </c>
      <c r="E713" s="3" t="s">
        <v>1374</v>
      </c>
      <c r="F713" s="14" t="s">
        <v>979</v>
      </c>
      <c r="G713" s="4" t="s">
        <v>51</v>
      </c>
      <c r="H713" s="2" t="s">
        <v>17</v>
      </c>
      <c r="I713" s="2" t="s">
        <v>18</v>
      </c>
      <c r="J713" s="2" t="s">
        <v>68</v>
      </c>
      <c r="K713" s="1" t="s">
        <v>1371</v>
      </c>
      <c r="L713" s="1" t="s">
        <v>104</v>
      </c>
    </row>
    <row r="714" spans="2:12" ht="56" hidden="1" x14ac:dyDescent="0.35">
      <c r="B714" s="2">
        <v>368</v>
      </c>
      <c r="C714" s="5">
        <v>45798</v>
      </c>
      <c r="D714" s="3" t="s">
        <v>104</v>
      </c>
      <c r="E714" s="3" t="s">
        <v>1375</v>
      </c>
      <c r="F714" s="14" t="s">
        <v>1376</v>
      </c>
      <c r="G714" s="4" t="s">
        <v>51</v>
      </c>
      <c r="H714" s="2" t="s">
        <v>17</v>
      </c>
      <c r="I714" s="2" t="s">
        <v>24</v>
      </c>
      <c r="J714" s="2" t="s">
        <v>241</v>
      </c>
      <c r="K714" s="1" t="s">
        <v>1371</v>
      </c>
      <c r="L714" s="1" t="s">
        <v>104</v>
      </c>
    </row>
    <row r="715" spans="2:12" ht="56" hidden="1" x14ac:dyDescent="0.35">
      <c r="B715" s="2">
        <v>443</v>
      </c>
      <c r="C715" s="5">
        <v>45826</v>
      </c>
      <c r="D715" s="3" t="s">
        <v>104</v>
      </c>
      <c r="E715" s="3" t="s">
        <v>1377</v>
      </c>
      <c r="F715" s="14" t="s">
        <v>131</v>
      </c>
      <c r="G715" s="4" t="s">
        <v>51</v>
      </c>
      <c r="H715" s="2" t="s">
        <v>17</v>
      </c>
      <c r="I715" s="2" t="s">
        <v>37</v>
      </c>
      <c r="J715" s="2" t="s">
        <v>81</v>
      </c>
      <c r="K715" s="1" t="s">
        <v>1371</v>
      </c>
      <c r="L715" s="1" t="s">
        <v>104</v>
      </c>
    </row>
    <row r="716" spans="2:12" ht="28" hidden="1" x14ac:dyDescent="0.35">
      <c r="B716" s="2">
        <v>9134</v>
      </c>
      <c r="C716" s="5">
        <v>45842</v>
      </c>
      <c r="D716" s="3" t="s">
        <v>104</v>
      </c>
      <c r="E716" s="3" t="s">
        <v>1378</v>
      </c>
      <c r="F716" s="14" t="s">
        <v>138</v>
      </c>
      <c r="G716" s="4" t="s">
        <v>16</v>
      </c>
      <c r="H716" s="2" t="s">
        <v>17</v>
      </c>
      <c r="I716" s="2" t="s">
        <v>37</v>
      </c>
      <c r="J716" s="2" t="s">
        <v>81</v>
      </c>
      <c r="K716" s="1" t="s">
        <v>1371</v>
      </c>
      <c r="L716" s="1" t="s">
        <v>104</v>
      </c>
    </row>
    <row r="717" spans="2:12" ht="42" hidden="1" x14ac:dyDescent="0.35">
      <c r="B717" s="2">
        <v>11141</v>
      </c>
      <c r="C717" s="24">
        <v>46073</v>
      </c>
      <c r="D717" s="3" t="s">
        <v>104</v>
      </c>
      <c r="E717" s="3" t="s">
        <v>1379</v>
      </c>
      <c r="F717" s="14" t="s">
        <v>106</v>
      </c>
      <c r="G717" s="4" t="s">
        <v>16</v>
      </c>
      <c r="H717" s="2" t="s">
        <v>17</v>
      </c>
      <c r="I717" s="2" t="s">
        <v>24</v>
      </c>
      <c r="J717" s="2" t="s">
        <v>44</v>
      </c>
      <c r="K717" s="1" t="s">
        <v>1371</v>
      </c>
      <c r="L717" s="1" t="s">
        <v>104</v>
      </c>
    </row>
    <row r="718" spans="2:12" ht="42" hidden="1" x14ac:dyDescent="0.35">
      <c r="B718" s="2">
        <v>157</v>
      </c>
      <c r="C718" s="5">
        <v>45716</v>
      </c>
      <c r="D718" s="3" t="s">
        <v>104</v>
      </c>
      <c r="E718" s="3" t="s">
        <v>1380</v>
      </c>
      <c r="F718" s="14" t="s">
        <v>757</v>
      </c>
      <c r="G718" s="4" t="s">
        <v>16</v>
      </c>
      <c r="H718" s="2" t="s">
        <v>17</v>
      </c>
      <c r="I718" s="2" t="s">
        <v>24</v>
      </c>
      <c r="J718" s="2" t="s">
        <v>44</v>
      </c>
      <c r="K718" s="1" t="s">
        <v>1381</v>
      </c>
      <c r="L718" s="1" t="s">
        <v>104</v>
      </c>
    </row>
    <row r="719" spans="2:12" ht="42" hidden="1" x14ac:dyDescent="0.35">
      <c r="B719" s="2">
        <v>158</v>
      </c>
      <c r="C719" s="5">
        <v>45716</v>
      </c>
      <c r="D719" s="3" t="s">
        <v>104</v>
      </c>
      <c r="E719" s="3" t="s">
        <v>1382</v>
      </c>
      <c r="F719" s="14" t="s">
        <v>499</v>
      </c>
      <c r="G719" s="4" t="s">
        <v>16</v>
      </c>
      <c r="H719" s="2" t="s">
        <v>17</v>
      </c>
      <c r="I719" s="2" t="s">
        <v>24</v>
      </c>
      <c r="J719" s="2" t="s">
        <v>44</v>
      </c>
      <c r="K719" s="1" t="s">
        <v>1381</v>
      </c>
      <c r="L719" s="1" t="s">
        <v>104</v>
      </c>
    </row>
    <row r="720" spans="2:12" ht="28" hidden="1" x14ac:dyDescent="0.35">
      <c r="B720" s="2">
        <v>11338</v>
      </c>
      <c r="C720" s="24">
        <v>46091</v>
      </c>
      <c r="D720" s="3" t="s">
        <v>190</v>
      </c>
      <c r="E720" s="3" t="s">
        <v>1383</v>
      </c>
      <c r="F720" s="14" t="s">
        <v>1384</v>
      </c>
      <c r="G720" s="4" t="s">
        <v>16</v>
      </c>
      <c r="H720" s="2" t="s">
        <v>17</v>
      </c>
      <c r="I720" s="2" t="s">
        <v>37</v>
      </c>
      <c r="J720" s="2" t="s">
        <v>81</v>
      </c>
      <c r="K720" s="1" t="s">
        <v>1381</v>
      </c>
      <c r="L720" s="1" t="s">
        <v>104</v>
      </c>
    </row>
    <row r="721" spans="2:12" ht="28" hidden="1" x14ac:dyDescent="0.35">
      <c r="B721" s="2">
        <v>11390</v>
      </c>
      <c r="C721" s="24">
        <v>46093</v>
      </c>
      <c r="D721" s="3" t="s">
        <v>104</v>
      </c>
      <c r="E721" s="3" t="s">
        <v>1385</v>
      </c>
      <c r="F721" s="14" t="s">
        <v>789</v>
      </c>
      <c r="G721" s="4" t="s">
        <v>51</v>
      </c>
      <c r="H721" s="2" t="s">
        <v>17</v>
      </c>
      <c r="I721" s="2" t="s">
        <v>37</v>
      </c>
      <c r="J721" s="2" t="s">
        <v>81</v>
      </c>
      <c r="K721" s="1" t="s">
        <v>1381</v>
      </c>
      <c r="L721" s="1" t="s">
        <v>104</v>
      </c>
    </row>
    <row r="722" spans="2:12" ht="28" hidden="1" x14ac:dyDescent="0.35">
      <c r="B722" s="2">
        <v>11471</v>
      </c>
      <c r="C722" s="24">
        <v>46101</v>
      </c>
      <c r="D722" s="3" t="s">
        <v>104</v>
      </c>
      <c r="E722" s="3" t="s">
        <v>1386</v>
      </c>
      <c r="F722" s="14" t="s">
        <v>138</v>
      </c>
      <c r="G722" s="4" t="s">
        <v>16</v>
      </c>
      <c r="H722" s="2" t="s">
        <v>17</v>
      </c>
      <c r="I722" s="2" t="s">
        <v>24</v>
      </c>
      <c r="J722" s="2" t="s">
        <v>33</v>
      </c>
      <c r="K722" s="1" t="s">
        <v>1381</v>
      </c>
      <c r="L722" s="1" t="s">
        <v>104</v>
      </c>
    </row>
    <row r="723" spans="2:12" ht="56" hidden="1" x14ac:dyDescent="0.35">
      <c r="B723" s="2">
        <v>11522</v>
      </c>
      <c r="C723" s="24">
        <v>46107</v>
      </c>
      <c r="D723" s="3" t="s">
        <v>104</v>
      </c>
      <c r="E723" s="3" t="s">
        <v>1387</v>
      </c>
      <c r="F723" s="14" t="s">
        <v>1388</v>
      </c>
      <c r="G723" s="4" t="s">
        <v>51</v>
      </c>
      <c r="H723" s="2" t="s">
        <v>17</v>
      </c>
      <c r="I723" s="2" t="s">
        <v>24</v>
      </c>
      <c r="J723" s="2" t="s">
        <v>54</v>
      </c>
      <c r="K723" s="1" t="s">
        <v>1381</v>
      </c>
      <c r="L723" s="1" t="s">
        <v>104</v>
      </c>
    </row>
    <row r="724" spans="2:12" ht="42" hidden="1" x14ac:dyDescent="0.35">
      <c r="B724" s="2">
        <v>10773</v>
      </c>
      <c r="C724" s="5">
        <v>46040</v>
      </c>
      <c r="D724" s="3" t="s">
        <v>21</v>
      </c>
      <c r="E724" s="3" t="s">
        <v>1389</v>
      </c>
      <c r="F724" s="14" t="s">
        <v>1390</v>
      </c>
      <c r="G724" s="4" t="s">
        <v>16</v>
      </c>
      <c r="H724" s="2" t="s">
        <v>17</v>
      </c>
      <c r="I724" s="2" t="s">
        <v>24</v>
      </c>
      <c r="J724" s="2" t="s">
        <v>29</v>
      </c>
      <c r="K724" s="1" t="s">
        <v>1391</v>
      </c>
      <c r="L724" s="1" t="s">
        <v>21</v>
      </c>
    </row>
    <row r="725" spans="2:12" ht="42" hidden="1" x14ac:dyDescent="0.35">
      <c r="B725" s="2">
        <v>10774</v>
      </c>
      <c r="C725" s="5">
        <v>46040</v>
      </c>
      <c r="D725" s="3" t="s">
        <v>13</v>
      </c>
      <c r="E725" s="3" t="s">
        <v>1392</v>
      </c>
      <c r="F725" s="14" t="s">
        <v>1393</v>
      </c>
      <c r="G725" s="4" t="s">
        <v>16</v>
      </c>
      <c r="H725" s="2" t="s">
        <v>17</v>
      </c>
      <c r="I725" s="2" t="s">
        <v>24</v>
      </c>
      <c r="J725" s="2" t="s">
        <v>29</v>
      </c>
      <c r="K725" s="1" t="s">
        <v>1391</v>
      </c>
      <c r="L725" s="1" t="s">
        <v>13</v>
      </c>
    </row>
    <row r="726" spans="2:12" ht="42" hidden="1" x14ac:dyDescent="0.35">
      <c r="B726" s="2">
        <v>10778</v>
      </c>
      <c r="C726" s="5">
        <v>46029</v>
      </c>
      <c r="D726" s="3" t="s">
        <v>21</v>
      </c>
      <c r="E726" s="3" t="s">
        <v>1394</v>
      </c>
      <c r="F726" s="14" t="s">
        <v>1395</v>
      </c>
      <c r="G726" s="4" t="s">
        <v>16</v>
      </c>
      <c r="H726" s="2" t="s">
        <v>17</v>
      </c>
      <c r="I726" s="2" t="s">
        <v>24</v>
      </c>
      <c r="J726" s="2" t="s">
        <v>33</v>
      </c>
      <c r="K726" s="1" t="s">
        <v>1391</v>
      </c>
      <c r="L726" s="1" t="s">
        <v>21</v>
      </c>
    </row>
    <row r="727" spans="2:12" ht="42" hidden="1" x14ac:dyDescent="0.35">
      <c r="B727" s="2">
        <v>10779</v>
      </c>
      <c r="C727" s="5">
        <v>46029</v>
      </c>
      <c r="D727" s="3" t="s">
        <v>13</v>
      </c>
      <c r="E727" s="3" t="s">
        <v>1396</v>
      </c>
      <c r="F727" s="14" t="s">
        <v>1397</v>
      </c>
      <c r="G727" s="4" t="s">
        <v>51</v>
      </c>
      <c r="H727" s="2" t="s">
        <v>17</v>
      </c>
      <c r="I727" s="2" t="s">
        <v>24</v>
      </c>
      <c r="J727" s="2" t="s">
        <v>33</v>
      </c>
      <c r="K727" s="1" t="s">
        <v>1391</v>
      </c>
      <c r="L727" s="1" t="s">
        <v>13</v>
      </c>
    </row>
    <row r="728" spans="2:12" ht="56" hidden="1" x14ac:dyDescent="0.35">
      <c r="B728" s="2">
        <v>10780</v>
      </c>
      <c r="C728" s="5">
        <v>46031</v>
      </c>
      <c r="D728" s="3" t="s">
        <v>21</v>
      </c>
      <c r="E728" s="3" t="s">
        <v>1398</v>
      </c>
      <c r="F728" s="14" t="s">
        <v>1399</v>
      </c>
      <c r="G728" s="4" t="s">
        <v>16</v>
      </c>
      <c r="H728" s="2" t="s">
        <v>17</v>
      </c>
      <c r="I728" s="2" t="s">
        <v>37</v>
      </c>
      <c r="J728" s="2" t="s">
        <v>121</v>
      </c>
      <c r="K728" s="1" t="s">
        <v>1391</v>
      </c>
      <c r="L728" s="1" t="s">
        <v>21</v>
      </c>
    </row>
    <row r="729" spans="2:12" ht="56" hidden="1" x14ac:dyDescent="0.35">
      <c r="B729" s="2">
        <v>10781</v>
      </c>
      <c r="C729" s="5">
        <v>46031</v>
      </c>
      <c r="D729" s="3" t="s">
        <v>13</v>
      </c>
      <c r="E729" s="3" t="s">
        <v>1400</v>
      </c>
      <c r="F729" s="14" t="s">
        <v>1401</v>
      </c>
      <c r="G729" s="4" t="s">
        <v>16</v>
      </c>
      <c r="H729" s="2" t="s">
        <v>17</v>
      </c>
      <c r="I729" s="2" t="s">
        <v>37</v>
      </c>
      <c r="J729" s="2" t="s">
        <v>121</v>
      </c>
      <c r="K729" s="1" t="s">
        <v>1391</v>
      </c>
      <c r="L729" s="1" t="s">
        <v>13</v>
      </c>
    </row>
    <row r="730" spans="2:12" ht="56" hidden="1" x14ac:dyDescent="0.35">
      <c r="B730" s="2">
        <v>10984</v>
      </c>
      <c r="C730" s="5">
        <v>46049</v>
      </c>
      <c r="D730" s="3" t="s">
        <v>13</v>
      </c>
      <c r="E730" s="3" t="s">
        <v>1402</v>
      </c>
      <c r="F730" s="14" t="s">
        <v>1403</v>
      </c>
      <c r="G730" s="4" t="s">
        <v>16</v>
      </c>
      <c r="H730" s="2" t="s">
        <v>17</v>
      </c>
      <c r="I730" s="2" t="s">
        <v>24</v>
      </c>
      <c r="J730" s="2" t="s">
        <v>44</v>
      </c>
      <c r="K730" s="1" t="s">
        <v>1391</v>
      </c>
      <c r="L730" s="1" t="s">
        <v>13</v>
      </c>
    </row>
    <row r="731" spans="2:12" ht="56" hidden="1" x14ac:dyDescent="0.35">
      <c r="B731" s="2">
        <v>10983</v>
      </c>
      <c r="C731" s="5">
        <v>46049</v>
      </c>
      <c r="D731" s="3" t="s">
        <v>21</v>
      </c>
      <c r="E731" s="3" t="s">
        <v>1404</v>
      </c>
      <c r="F731" s="14" t="s">
        <v>1405</v>
      </c>
      <c r="G731" s="4" t="s">
        <v>16</v>
      </c>
      <c r="H731" s="2" t="s">
        <v>17</v>
      </c>
      <c r="I731" s="2" t="s">
        <v>24</v>
      </c>
      <c r="J731" s="2" t="s">
        <v>44</v>
      </c>
      <c r="K731" s="1" t="s">
        <v>1391</v>
      </c>
      <c r="L731" s="1" t="s">
        <v>21</v>
      </c>
    </row>
    <row r="732" spans="2:12" ht="42" hidden="1" x14ac:dyDescent="0.35">
      <c r="B732" s="2">
        <v>11015</v>
      </c>
      <c r="C732" s="5">
        <v>46055</v>
      </c>
      <c r="D732" s="3" t="s">
        <v>21</v>
      </c>
      <c r="E732" s="3" t="s">
        <v>1406</v>
      </c>
      <c r="F732" s="14" t="s">
        <v>1407</v>
      </c>
      <c r="G732" s="4" t="s">
        <v>16</v>
      </c>
      <c r="H732" s="2" t="s">
        <v>17</v>
      </c>
      <c r="I732" s="2" t="s">
        <v>24</v>
      </c>
      <c r="J732" s="2" t="s">
        <v>44</v>
      </c>
      <c r="K732" s="1" t="s">
        <v>1391</v>
      </c>
      <c r="L732" s="1" t="s">
        <v>21</v>
      </c>
    </row>
    <row r="733" spans="2:12" ht="42" hidden="1" x14ac:dyDescent="0.35">
      <c r="B733" s="2">
        <v>11016</v>
      </c>
      <c r="C733" s="5">
        <v>46055</v>
      </c>
      <c r="D733" s="3" t="s">
        <v>13</v>
      </c>
      <c r="E733" s="3" t="s">
        <v>1408</v>
      </c>
      <c r="F733" s="14" t="s">
        <v>1409</v>
      </c>
      <c r="G733" s="4" t="s">
        <v>16</v>
      </c>
      <c r="H733" s="2" t="s">
        <v>17</v>
      </c>
      <c r="I733" s="2" t="s">
        <v>24</v>
      </c>
      <c r="J733" s="2" t="s">
        <v>44</v>
      </c>
      <c r="K733" s="1" t="s">
        <v>1391</v>
      </c>
      <c r="L733" s="1" t="s">
        <v>13</v>
      </c>
    </row>
    <row r="734" spans="2:12" ht="42" hidden="1" x14ac:dyDescent="0.35">
      <c r="B734" s="2">
        <v>269</v>
      </c>
      <c r="C734" s="5">
        <v>45768</v>
      </c>
      <c r="D734" s="3" t="s">
        <v>13</v>
      </c>
      <c r="E734" s="3" t="s">
        <v>1410</v>
      </c>
      <c r="F734" s="14" t="s">
        <v>745</v>
      </c>
      <c r="G734" s="4" t="s">
        <v>16</v>
      </c>
      <c r="H734" s="2" t="s">
        <v>17</v>
      </c>
      <c r="I734" s="2" t="s">
        <v>24</v>
      </c>
      <c r="J734" s="2" t="s">
        <v>33</v>
      </c>
      <c r="K734" s="1" t="s">
        <v>1391</v>
      </c>
      <c r="L734" s="1" t="s">
        <v>13</v>
      </c>
    </row>
    <row r="735" spans="2:12" ht="42" hidden="1" x14ac:dyDescent="0.35">
      <c r="B735" s="2">
        <v>365</v>
      </c>
      <c r="C735" s="5">
        <v>45798</v>
      </c>
      <c r="D735" s="3" t="s">
        <v>21</v>
      </c>
      <c r="E735" s="3" t="s">
        <v>1411</v>
      </c>
      <c r="F735" s="14" t="s">
        <v>694</v>
      </c>
      <c r="G735" s="4" t="s">
        <v>16</v>
      </c>
      <c r="H735" s="2" t="s">
        <v>17</v>
      </c>
      <c r="I735" s="2" t="s">
        <v>18</v>
      </c>
      <c r="J735" s="2" t="s">
        <v>171</v>
      </c>
      <c r="K735" s="1" t="s">
        <v>1391</v>
      </c>
      <c r="L735" s="1" t="s">
        <v>21</v>
      </c>
    </row>
    <row r="736" spans="2:12" ht="42" hidden="1" x14ac:dyDescent="0.35">
      <c r="B736" s="2">
        <v>401</v>
      </c>
      <c r="C736" s="5">
        <v>45811</v>
      </c>
      <c r="D736" s="3" t="s">
        <v>134</v>
      </c>
      <c r="E736" s="3" t="s">
        <v>1412</v>
      </c>
      <c r="F736" s="14" t="s">
        <v>753</v>
      </c>
      <c r="G736" s="4" t="s">
        <v>16</v>
      </c>
      <c r="H736" s="2" t="s">
        <v>17</v>
      </c>
      <c r="I736" s="2" t="s">
        <v>24</v>
      </c>
      <c r="J736" s="2" t="s">
        <v>54</v>
      </c>
      <c r="K736" s="1" t="s">
        <v>1391</v>
      </c>
      <c r="L736" s="1" t="s">
        <v>21</v>
      </c>
    </row>
    <row r="737" spans="2:12" ht="42" hidden="1" x14ac:dyDescent="0.35">
      <c r="B737" s="2">
        <v>402</v>
      </c>
      <c r="C737" s="5">
        <v>45811</v>
      </c>
      <c r="D737" s="3" t="s">
        <v>134</v>
      </c>
      <c r="E737" s="3" t="s">
        <v>1413</v>
      </c>
      <c r="F737" s="14" t="s">
        <v>748</v>
      </c>
      <c r="G737" s="4" t="s">
        <v>16</v>
      </c>
      <c r="H737" s="2" t="s">
        <v>17</v>
      </c>
      <c r="I737" s="2" t="s">
        <v>24</v>
      </c>
      <c r="J737" s="2" t="s">
        <v>29</v>
      </c>
      <c r="K737" s="1" t="s">
        <v>1391</v>
      </c>
      <c r="L737" s="1" t="s">
        <v>13</v>
      </c>
    </row>
    <row r="738" spans="2:12" ht="42" hidden="1" x14ac:dyDescent="0.35">
      <c r="B738" s="2">
        <v>429</v>
      </c>
      <c r="C738" s="5">
        <v>45820</v>
      </c>
      <c r="D738" s="3" t="s">
        <v>21</v>
      </c>
      <c r="E738" s="3" t="s">
        <v>1414</v>
      </c>
      <c r="F738" s="14" t="s">
        <v>20</v>
      </c>
      <c r="G738" s="4" t="s">
        <v>16</v>
      </c>
      <c r="H738" s="2" t="s">
        <v>17</v>
      </c>
      <c r="I738" s="2" t="s">
        <v>24</v>
      </c>
      <c r="J738" s="2" t="s">
        <v>33</v>
      </c>
      <c r="K738" s="1" t="s">
        <v>1391</v>
      </c>
      <c r="L738" s="1" t="s">
        <v>21</v>
      </c>
    </row>
    <row r="739" spans="2:12" ht="42" hidden="1" x14ac:dyDescent="0.35">
      <c r="B739" s="2">
        <v>430</v>
      </c>
      <c r="C739" s="5">
        <v>45820</v>
      </c>
      <c r="D739" s="3" t="s">
        <v>13</v>
      </c>
      <c r="E739" s="3" t="s">
        <v>1415</v>
      </c>
      <c r="F739" s="14" t="s">
        <v>23</v>
      </c>
      <c r="G739" s="4" t="s">
        <v>16</v>
      </c>
      <c r="H739" s="2" t="s">
        <v>17</v>
      </c>
      <c r="I739" s="2" t="s">
        <v>24</v>
      </c>
      <c r="J739" s="2" t="s">
        <v>54</v>
      </c>
      <c r="K739" s="1" t="s">
        <v>1391</v>
      </c>
      <c r="L739" s="1" t="s">
        <v>13</v>
      </c>
    </row>
    <row r="740" spans="2:12" ht="56" hidden="1" x14ac:dyDescent="0.35">
      <c r="B740" s="2">
        <v>439</v>
      </c>
      <c r="C740" s="5">
        <v>45826</v>
      </c>
      <c r="D740" s="3" t="s">
        <v>21</v>
      </c>
      <c r="E740" s="3" t="s">
        <v>1416</v>
      </c>
      <c r="F740" s="14" t="s">
        <v>811</v>
      </c>
      <c r="G740" s="4" t="s">
        <v>16</v>
      </c>
      <c r="H740" s="2" t="s">
        <v>17</v>
      </c>
      <c r="I740" s="2" t="s">
        <v>24</v>
      </c>
      <c r="J740" s="2" t="s">
        <v>72</v>
      </c>
      <c r="K740" s="1" t="s">
        <v>1391</v>
      </c>
      <c r="L740" s="1" t="s">
        <v>21</v>
      </c>
    </row>
    <row r="741" spans="2:12" ht="56" hidden="1" x14ac:dyDescent="0.35">
      <c r="B741" s="2">
        <v>440</v>
      </c>
      <c r="C741" s="5">
        <v>45826</v>
      </c>
      <c r="D741" s="3" t="s">
        <v>21</v>
      </c>
      <c r="E741" s="3" t="s">
        <v>1416</v>
      </c>
      <c r="F741" s="14" t="s">
        <v>1417</v>
      </c>
      <c r="G741" s="4" t="s">
        <v>16</v>
      </c>
      <c r="H741" s="2" t="s">
        <v>17</v>
      </c>
      <c r="I741" s="2" t="s">
        <v>24</v>
      </c>
      <c r="J741" s="2" t="s">
        <v>44</v>
      </c>
      <c r="K741" s="1" t="s">
        <v>1391</v>
      </c>
      <c r="L741" s="1" t="s">
        <v>13</v>
      </c>
    </row>
    <row r="742" spans="2:12" ht="56" hidden="1" x14ac:dyDescent="0.35">
      <c r="B742" s="2">
        <v>462</v>
      </c>
      <c r="C742" s="5">
        <v>45833</v>
      </c>
      <c r="D742" s="3" t="s">
        <v>21</v>
      </c>
      <c r="E742" s="3" t="s">
        <v>1418</v>
      </c>
      <c r="F742" s="14" t="s">
        <v>20</v>
      </c>
      <c r="G742" s="4" t="s">
        <v>16</v>
      </c>
      <c r="H742" s="2" t="s">
        <v>17</v>
      </c>
      <c r="I742" s="2" t="s">
        <v>24</v>
      </c>
      <c r="J742" s="2" t="s">
        <v>72</v>
      </c>
      <c r="K742" s="1" t="s">
        <v>1391</v>
      </c>
      <c r="L742" s="1" t="s">
        <v>21</v>
      </c>
    </row>
    <row r="743" spans="2:12" ht="56" hidden="1" x14ac:dyDescent="0.35">
      <c r="B743" s="2">
        <v>463</v>
      </c>
      <c r="C743" s="5">
        <v>45833</v>
      </c>
      <c r="D743" s="3" t="s">
        <v>13</v>
      </c>
      <c r="E743" s="3" t="s">
        <v>1419</v>
      </c>
      <c r="F743" s="14" t="s">
        <v>1420</v>
      </c>
      <c r="G743" s="4" t="s">
        <v>16</v>
      </c>
      <c r="H743" s="2" t="s">
        <v>17</v>
      </c>
      <c r="I743" s="2" t="s">
        <v>24</v>
      </c>
      <c r="J743" s="2" t="s">
        <v>33</v>
      </c>
      <c r="K743" s="1" t="s">
        <v>1391</v>
      </c>
      <c r="L743" s="1" t="s">
        <v>13</v>
      </c>
    </row>
    <row r="744" spans="2:12" ht="42" hidden="1" x14ac:dyDescent="0.35">
      <c r="B744" s="2">
        <v>9083</v>
      </c>
      <c r="C744" s="5">
        <v>45845</v>
      </c>
      <c r="D744" s="3" t="s">
        <v>21</v>
      </c>
      <c r="E744" s="3" t="s">
        <v>1421</v>
      </c>
      <c r="F744" s="14" t="s">
        <v>182</v>
      </c>
      <c r="G744" s="4" t="s">
        <v>16</v>
      </c>
      <c r="H744" s="2" t="s">
        <v>17</v>
      </c>
      <c r="I744" s="2" t="s">
        <v>37</v>
      </c>
      <c r="J744" s="2" t="s">
        <v>112</v>
      </c>
      <c r="K744" s="1" t="s">
        <v>1391</v>
      </c>
      <c r="L744" s="1" t="s">
        <v>21</v>
      </c>
    </row>
    <row r="745" spans="2:12" ht="56" hidden="1" x14ac:dyDescent="0.35">
      <c r="B745" s="2">
        <v>9306</v>
      </c>
      <c r="C745" s="5">
        <v>45869</v>
      </c>
      <c r="D745" s="3" t="s">
        <v>21</v>
      </c>
      <c r="E745" s="3" t="s">
        <v>1422</v>
      </c>
      <c r="F745" s="14" t="s">
        <v>1399</v>
      </c>
      <c r="G745" s="4" t="s">
        <v>16</v>
      </c>
      <c r="H745" s="2" t="s">
        <v>17</v>
      </c>
      <c r="I745" s="2" t="s">
        <v>24</v>
      </c>
      <c r="J745" s="2" t="s">
        <v>29</v>
      </c>
      <c r="K745" s="1" t="s">
        <v>1391</v>
      </c>
      <c r="L745" s="1" t="s">
        <v>21</v>
      </c>
    </row>
    <row r="746" spans="2:12" ht="56" hidden="1" x14ac:dyDescent="0.35">
      <c r="B746" s="2">
        <v>9307</v>
      </c>
      <c r="C746" s="5">
        <v>45869</v>
      </c>
      <c r="D746" s="3" t="s">
        <v>13</v>
      </c>
      <c r="E746" s="3" t="s">
        <v>1423</v>
      </c>
      <c r="F746" s="14" t="s">
        <v>811</v>
      </c>
      <c r="G746" s="4" t="s">
        <v>16</v>
      </c>
      <c r="H746" s="2" t="s">
        <v>17</v>
      </c>
      <c r="I746" s="2" t="s">
        <v>24</v>
      </c>
      <c r="J746" s="2" t="s">
        <v>33</v>
      </c>
      <c r="K746" s="1" t="s">
        <v>1391</v>
      </c>
      <c r="L746" s="1" t="s">
        <v>13</v>
      </c>
    </row>
    <row r="747" spans="2:12" ht="28" hidden="1" x14ac:dyDescent="0.35">
      <c r="B747" s="2">
        <v>9475</v>
      </c>
      <c r="C747" s="5">
        <v>45875</v>
      </c>
      <c r="D747" s="3" t="s">
        <v>21</v>
      </c>
      <c r="E747" s="3" t="s">
        <v>1424</v>
      </c>
      <c r="F747" s="14" t="s">
        <v>811</v>
      </c>
      <c r="G747" s="4" t="s">
        <v>16</v>
      </c>
      <c r="H747" s="2" t="s">
        <v>17</v>
      </c>
      <c r="I747" s="2" t="s">
        <v>24</v>
      </c>
      <c r="J747" s="2" t="s">
        <v>33</v>
      </c>
      <c r="K747" s="1" t="s">
        <v>1391</v>
      </c>
      <c r="L747" s="1" t="s">
        <v>21</v>
      </c>
    </row>
    <row r="748" spans="2:12" ht="56" hidden="1" x14ac:dyDescent="0.35">
      <c r="B748" s="2">
        <v>9476</v>
      </c>
      <c r="C748" s="5">
        <v>45875</v>
      </c>
      <c r="D748" s="3" t="s">
        <v>13</v>
      </c>
      <c r="E748" s="3" t="s">
        <v>1425</v>
      </c>
      <c r="F748" s="14" t="s">
        <v>789</v>
      </c>
      <c r="G748" s="4" t="s">
        <v>16</v>
      </c>
      <c r="H748" s="2" t="s">
        <v>17</v>
      </c>
      <c r="I748" s="2" t="s">
        <v>24</v>
      </c>
      <c r="J748" s="2" t="s">
        <v>44</v>
      </c>
      <c r="K748" s="1" t="s">
        <v>1391</v>
      </c>
      <c r="L748" s="1" t="s">
        <v>13</v>
      </c>
    </row>
    <row r="749" spans="2:12" ht="42" hidden="1" x14ac:dyDescent="0.35">
      <c r="B749" s="2">
        <v>9533</v>
      </c>
      <c r="C749" s="5">
        <v>45879</v>
      </c>
      <c r="D749" s="3" t="s">
        <v>134</v>
      </c>
      <c r="E749" s="3" t="s">
        <v>1426</v>
      </c>
      <c r="F749" s="14" t="s">
        <v>1427</v>
      </c>
      <c r="G749" s="4" t="s">
        <v>16</v>
      </c>
      <c r="H749" s="2" t="s">
        <v>17</v>
      </c>
      <c r="I749" s="2" t="s">
        <v>24</v>
      </c>
      <c r="J749" s="2" t="s">
        <v>33</v>
      </c>
      <c r="K749" s="1" t="s">
        <v>1391</v>
      </c>
      <c r="L749" s="1" t="s">
        <v>21</v>
      </c>
    </row>
    <row r="750" spans="2:12" ht="28" hidden="1" x14ac:dyDescent="0.35">
      <c r="B750" s="2">
        <v>9534</v>
      </c>
      <c r="C750" s="5">
        <v>45879</v>
      </c>
      <c r="D750" s="3" t="s">
        <v>104</v>
      </c>
      <c r="E750" s="3" t="s">
        <v>1428</v>
      </c>
      <c r="F750" s="14" t="s">
        <v>1429</v>
      </c>
      <c r="G750" s="4" t="s">
        <v>16</v>
      </c>
      <c r="H750" s="2" t="s">
        <v>17</v>
      </c>
      <c r="I750" s="2" t="s">
        <v>24</v>
      </c>
      <c r="J750" s="2" t="s">
        <v>33</v>
      </c>
      <c r="K750" s="1" t="s">
        <v>1391</v>
      </c>
      <c r="L750" s="1" t="s">
        <v>13</v>
      </c>
    </row>
    <row r="751" spans="2:12" ht="56" hidden="1" x14ac:dyDescent="0.35">
      <c r="B751" s="2">
        <v>9532</v>
      </c>
      <c r="C751" s="5">
        <v>45889</v>
      </c>
      <c r="D751" s="3" t="s">
        <v>95</v>
      </c>
      <c r="E751" s="3" t="s">
        <v>1430</v>
      </c>
      <c r="F751" s="14" t="s">
        <v>1431</v>
      </c>
      <c r="G751" s="4" t="s">
        <v>16</v>
      </c>
      <c r="H751" s="2" t="s">
        <v>17</v>
      </c>
      <c r="I751" s="2" t="s">
        <v>37</v>
      </c>
      <c r="J751" s="2" t="s">
        <v>121</v>
      </c>
      <c r="K751" s="1" t="s">
        <v>1391</v>
      </c>
      <c r="L751" s="1" t="s">
        <v>13</v>
      </c>
    </row>
    <row r="752" spans="2:12" ht="56" hidden="1" x14ac:dyDescent="0.35">
      <c r="B752" s="2">
        <v>9531</v>
      </c>
      <c r="C752" s="5">
        <v>45889</v>
      </c>
      <c r="D752" s="3" t="s">
        <v>278</v>
      </c>
      <c r="E752" s="3" t="s">
        <v>1432</v>
      </c>
      <c r="F752" s="14" t="s">
        <v>483</v>
      </c>
      <c r="G752" s="4" t="s">
        <v>16</v>
      </c>
      <c r="H752" s="2" t="s">
        <v>17</v>
      </c>
      <c r="I752" s="2" t="s">
        <v>37</v>
      </c>
      <c r="J752" s="2" t="s">
        <v>121</v>
      </c>
      <c r="K752" s="1" t="s">
        <v>1391</v>
      </c>
      <c r="L752" s="1" t="s">
        <v>21</v>
      </c>
    </row>
    <row r="753" spans="2:12" ht="56" hidden="1" x14ac:dyDescent="0.35">
      <c r="B753" s="2">
        <v>9568</v>
      </c>
      <c r="C753" s="5">
        <v>45895</v>
      </c>
      <c r="D753" s="3" t="s">
        <v>21</v>
      </c>
      <c r="E753" s="3" t="s">
        <v>1433</v>
      </c>
      <c r="F753" s="14" t="s">
        <v>1434</v>
      </c>
      <c r="G753" s="4" t="s">
        <v>51</v>
      </c>
      <c r="H753" s="2" t="s">
        <v>17</v>
      </c>
      <c r="I753" s="2" t="s">
        <v>24</v>
      </c>
      <c r="J753" s="2" t="s">
        <v>44</v>
      </c>
      <c r="K753" s="1" t="s">
        <v>1391</v>
      </c>
      <c r="L753" s="1" t="s">
        <v>21</v>
      </c>
    </row>
    <row r="754" spans="2:12" ht="56" hidden="1" x14ac:dyDescent="0.35">
      <c r="B754" s="2">
        <v>9567</v>
      </c>
      <c r="C754" s="5">
        <v>45895</v>
      </c>
      <c r="D754" s="3" t="s">
        <v>21</v>
      </c>
      <c r="E754" s="3" t="s">
        <v>1435</v>
      </c>
      <c r="F754" s="14" t="s">
        <v>1436</v>
      </c>
      <c r="G754" s="4" t="s">
        <v>51</v>
      </c>
      <c r="H754" s="2" t="s">
        <v>17</v>
      </c>
      <c r="I754" s="2" t="s">
        <v>24</v>
      </c>
      <c r="J754" s="2" t="s">
        <v>44</v>
      </c>
      <c r="K754" s="1" t="s">
        <v>1391</v>
      </c>
      <c r="L754" s="1" t="s">
        <v>21</v>
      </c>
    </row>
    <row r="755" spans="2:12" ht="42" hidden="1" x14ac:dyDescent="0.35">
      <c r="B755" s="2">
        <v>9891</v>
      </c>
      <c r="C755" s="5">
        <v>45904</v>
      </c>
      <c r="D755" s="3" t="s">
        <v>21</v>
      </c>
      <c r="E755" s="3" t="s">
        <v>1437</v>
      </c>
      <c r="F755" s="14" t="s">
        <v>182</v>
      </c>
      <c r="G755" s="4" t="s">
        <v>16</v>
      </c>
      <c r="H755" s="2" t="s">
        <v>17</v>
      </c>
      <c r="I755" s="2" t="s">
        <v>24</v>
      </c>
      <c r="J755" s="2" t="s">
        <v>54</v>
      </c>
      <c r="K755" s="1" t="s">
        <v>1391</v>
      </c>
      <c r="L755" s="1" t="s">
        <v>21</v>
      </c>
    </row>
    <row r="756" spans="2:12" ht="56" hidden="1" x14ac:dyDescent="0.35">
      <c r="B756" s="2">
        <v>9892</v>
      </c>
      <c r="C756" s="5">
        <v>45904</v>
      </c>
      <c r="D756" s="3" t="s">
        <v>21</v>
      </c>
      <c r="E756" s="3" t="s">
        <v>1438</v>
      </c>
      <c r="F756" s="14" t="s">
        <v>1439</v>
      </c>
      <c r="G756" s="4" t="s">
        <v>16</v>
      </c>
      <c r="H756" s="2" t="s">
        <v>17</v>
      </c>
      <c r="I756" s="2" t="s">
        <v>24</v>
      </c>
      <c r="J756" s="2" t="s">
        <v>54</v>
      </c>
      <c r="K756" s="1" t="s">
        <v>1391</v>
      </c>
      <c r="L756" s="1" t="s">
        <v>13</v>
      </c>
    </row>
    <row r="757" spans="2:12" ht="56" hidden="1" x14ac:dyDescent="0.35">
      <c r="B757" s="2">
        <v>9709</v>
      </c>
      <c r="C757" s="5">
        <v>45909</v>
      </c>
      <c r="D757" s="3" t="s">
        <v>21</v>
      </c>
      <c r="E757" s="3" t="s">
        <v>1440</v>
      </c>
      <c r="F757" s="14" t="s">
        <v>1441</v>
      </c>
      <c r="G757" s="4" t="s">
        <v>51</v>
      </c>
      <c r="H757" s="2" t="s">
        <v>17</v>
      </c>
      <c r="I757" s="2" t="s">
        <v>24</v>
      </c>
      <c r="J757" s="2" t="s">
        <v>72</v>
      </c>
      <c r="K757" s="1" t="s">
        <v>1391</v>
      </c>
      <c r="L757" s="1" t="s">
        <v>21</v>
      </c>
    </row>
    <row r="758" spans="2:12" ht="42" hidden="1" x14ac:dyDescent="0.35">
      <c r="B758" s="2">
        <v>9896</v>
      </c>
      <c r="C758" s="5">
        <v>45918</v>
      </c>
      <c r="D758" s="3" t="s">
        <v>21</v>
      </c>
      <c r="E758" s="3" t="s">
        <v>1442</v>
      </c>
      <c r="F758" s="14" t="s">
        <v>1443</v>
      </c>
      <c r="G758" s="4" t="s">
        <v>16</v>
      </c>
      <c r="H758" s="2" t="s">
        <v>17</v>
      </c>
      <c r="I758" s="2" t="s">
        <v>24</v>
      </c>
      <c r="J758" s="2" t="s">
        <v>29</v>
      </c>
      <c r="K758" s="1" t="s">
        <v>1391</v>
      </c>
      <c r="L758" s="1" t="s">
        <v>21</v>
      </c>
    </row>
    <row r="759" spans="2:12" ht="42" hidden="1" x14ac:dyDescent="0.35">
      <c r="B759" s="2">
        <v>9897</v>
      </c>
      <c r="C759" s="5">
        <v>45918</v>
      </c>
      <c r="D759" s="3" t="s">
        <v>21</v>
      </c>
      <c r="E759" s="3" t="s">
        <v>1444</v>
      </c>
      <c r="F759" s="14" t="s">
        <v>182</v>
      </c>
      <c r="G759" s="4" t="s">
        <v>16</v>
      </c>
      <c r="H759" s="2" t="s">
        <v>17</v>
      </c>
      <c r="I759" s="2" t="s">
        <v>24</v>
      </c>
      <c r="J759" s="2" t="s">
        <v>29</v>
      </c>
      <c r="K759" s="1" t="s">
        <v>1391</v>
      </c>
      <c r="L759" s="1" t="s">
        <v>13</v>
      </c>
    </row>
    <row r="760" spans="2:12" ht="42" hidden="1" x14ac:dyDescent="0.35">
      <c r="B760" s="2">
        <v>9898</v>
      </c>
      <c r="C760" s="5">
        <v>45918</v>
      </c>
      <c r="D760" s="3" t="s">
        <v>21</v>
      </c>
      <c r="E760" s="3" t="s">
        <v>1445</v>
      </c>
      <c r="F760" s="14" t="s">
        <v>1446</v>
      </c>
      <c r="G760" s="4" t="s">
        <v>16</v>
      </c>
      <c r="H760" s="2" t="s">
        <v>17</v>
      </c>
      <c r="I760" s="2" t="s">
        <v>24</v>
      </c>
      <c r="J760" s="2" t="s">
        <v>29</v>
      </c>
      <c r="K760" s="1" t="s">
        <v>1391</v>
      </c>
      <c r="L760" s="1" t="s">
        <v>21</v>
      </c>
    </row>
    <row r="761" spans="2:12" ht="42" hidden="1" x14ac:dyDescent="0.35">
      <c r="B761" s="2">
        <v>9899</v>
      </c>
      <c r="C761" s="5">
        <v>45930</v>
      </c>
      <c r="D761" s="3" t="s">
        <v>21</v>
      </c>
      <c r="E761" s="3" t="s">
        <v>1447</v>
      </c>
      <c r="F761" s="14" t="s">
        <v>1448</v>
      </c>
      <c r="G761" s="4" t="s">
        <v>16</v>
      </c>
      <c r="H761" s="2" t="s">
        <v>17</v>
      </c>
      <c r="I761" s="2" t="s">
        <v>24</v>
      </c>
      <c r="J761" s="2" t="s">
        <v>29</v>
      </c>
      <c r="K761" s="1" t="s">
        <v>1391</v>
      </c>
      <c r="L761" s="1" t="s">
        <v>13</v>
      </c>
    </row>
    <row r="762" spans="2:12" ht="56" hidden="1" x14ac:dyDescent="0.35">
      <c r="B762" s="2">
        <v>9895</v>
      </c>
      <c r="C762" s="5">
        <v>45930</v>
      </c>
      <c r="D762" s="3" t="s">
        <v>95</v>
      </c>
      <c r="E762" s="3" t="s">
        <v>1449</v>
      </c>
      <c r="F762" s="14" t="s">
        <v>1450</v>
      </c>
      <c r="G762" s="4" t="s">
        <v>51</v>
      </c>
      <c r="H762" s="2" t="s">
        <v>17</v>
      </c>
      <c r="I762" s="2" t="s">
        <v>24</v>
      </c>
      <c r="J762" s="2" t="s">
        <v>72</v>
      </c>
      <c r="K762" s="1" t="s">
        <v>1391</v>
      </c>
      <c r="L762" s="1" t="s">
        <v>21</v>
      </c>
    </row>
    <row r="763" spans="2:12" ht="42" hidden="1" x14ac:dyDescent="0.35">
      <c r="B763" s="2">
        <v>9974</v>
      </c>
      <c r="C763" s="5">
        <v>45937</v>
      </c>
      <c r="D763" s="3" t="s">
        <v>104</v>
      </c>
      <c r="E763" s="3" t="s">
        <v>1451</v>
      </c>
      <c r="F763" s="14" t="s">
        <v>138</v>
      </c>
      <c r="G763" s="4" t="s">
        <v>16</v>
      </c>
      <c r="H763" s="2" t="s">
        <v>17</v>
      </c>
      <c r="I763" s="2" t="s">
        <v>24</v>
      </c>
      <c r="J763" s="2" t="s">
        <v>41</v>
      </c>
      <c r="K763" s="1" t="s">
        <v>1391</v>
      </c>
      <c r="L763" s="1" t="s">
        <v>21</v>
      </c>
    </row>
    <row r="764" spans="2:12" ht="42" hidden="1" x14ac:dyDescent="0.35">
      <c r="B764" s="2">
        <v>9998</v>
      </c>
      <c r="C764" s="5">
        <v>45936</v>
      </c>
      <c r="D764" s="3" t="s">
        <v>21</v>
      </c>
      <c r="E764" s="3" t="s">
        <v>1452</v>
      </c>
      <c r="F764" s="14" t="s">
        <v>216</v>
      </c>
      <c r="G764" s="4" t="s">
        <v>16</v>
      </c>
      <c r="H764" s="2" t="s">
        <v>17</v>
      </c>
      <c r="I764" s="2" t="s">
        <v>24</v>
      </c>
      <c r="J764" s="2" t="s">
        <v>29</v>
      </c>
      <c r="K764" s="1" t="s">
        <v>1391</v>
      </c>
      <c r="L764" s="1" t="s">
        <v>13</v>
      </c>
    </row>
    <row r="765" spans="2:12" ht="42" hidden="1" x14ac:dyDescent="0.35">
      <c r="B765" s="2">
        <v>10033</v>
      </c>
      <c r="C765" s="5">
        <v>45944</v>
      </c>
      <c r="D765" s="3" t="s">
        <v>21</v>
      </c>
      <c r="E765" s="3" t="s">
        <v>1453</v>
      </c>
      <c r="F765" s="14" t="s">
        <v>182</v>
      </c>
      <c r="G765" s="4" t="s">
        <v>16</v>
      </c>
      <c r="H765" s="2" t="s">
        <v>17</v>
      </c>
      <c r="I765" s="2" t="s">
        <v>24</v>
      </c>
      <c r="J765" s="2" t="s">
        <v>33</v>
      </c>
      <c r="K765" s="1" t="s">
        <v>1391</v>
      </c>
      <c r="L765" s="1" t="s">
        <v>21</v>
      </c>
    </row>
    <row r="766" spans="2:12" ht="42" hidden="1" x14ac:dyDescent="0.35">
      <c r="B766" s="2">
        <v>10034</v>
      </c>
      <c r="C766" s="5">
        <v>45944</v>
      </c>
      <c r="D766" s="3" t="s">
        <v>21</v>
      </c>
      <c r="E766" s="3" t="s">
        <v>1454</v>
      </c>
      <c r="F766" s="14" t="s">
        <v>1455</v>
      </c>
      <c r="G766" s="4" t="s">
        <v>16</v>
      </c>
      <c r="H766" s="2" t="s">
        <v>17</v>
      </c>
      <c r="I766" s="2" t="s">
        <v>24</v>
      </c>
      <c r="J766" s="2" t="s">
        <v>33</v>
      </c>
      <c r="K766" s="1" t="s">
        <v>1391</v>
      </c>
      <c r="L766" s="1" t="s">
        <v>13</v>
      </c>
    </row>
    <row r="767" spans="2:12" ht="56" hidden="1" x14ac:dyDescent="0.35">
      <c r="B767" s="2">
        <v>10139</v>
      </c>
      <c r="C767" s="5">
        <v>45947</v>
      </c>
      <c r="D767" s="3" t="s">
        <v>104</v>
      </c>
      <c r="E767" s="3" t="s">
        <v>1456</v>
      </c>
      <c r="F767" s="14" t="s">
        <v>757</v>
      </c>
      <c r="G767" s="4" t="s">
        <v>16</v>
      </c>
      <c r="H767" s="2" t="s">
        <v>17</v>
      </c>
      <c r="I767" s="2" t="s">
        <v>24</v>
      </c>
      <c r="J767" s="2" t="s">
        <v>33</v>
      </c>
      <c r="K767" s="1" t="s">
        <v>1391</v>
      </c>
      <c r="L767" s="1" t="s">
        <v>13</v>
      </c>
    </row>
    <row r="768" spans="2:12" ht="42" hidden="1" x14ac:dyDescent="0.35">
      <c r="B768" s="2">
        <v>10138</v>
      </c>
      <c r="C768" s="5">
        <v>45947</v>
      </c>
      <c r="D768" s="3" t="s">
        <v>104</v>
      </c>
      <c r="E768" s="3" t="s">
        <v>1457</v>
      </c>
      <c r="F768" s="14" t="s">
        <v>1458</v>
      </c>
      <c r="G768" s="4" t="s">
        <v>16</v>
      </c>
      <c r="H768" s="2" t="s">
        <v>17</v>
      </c>
      <c r="I768" s="2" t="s">
        <v>24</v>
      </c>
      <c r="J768" s="2" t="s">
        <v>33</v>
      </c>
      <c r="K768" s="1" t="s">
        <v>1391</v>
      </c>
      <c r="L768" s="1" t="s">
        <v>21</v>
      </c>
    </row>
    <row r="769" spans="2:12" ht="56" hidden="1" x14ac:dyDescent="0.35">
      <c r="B769" s="2">
        <v>10152</v>
      </c>
      <c r="C769" s="5">
        <v>45957</v>
      </c>
      <c r="D769" s="3" t="s">
        <v>21</v>
      </c>
      <c r="E769" s="3" t="s">
        <v>1459</v>
      </c>
      <c r="F769" s="14" t="s">
        <v>1460</v>
      </c>
      <c r="G769" s="4" t="s">
        <v>16</v>
      </c>
      <c r="H769" s="2" t="s">
        <v>17</v>
      </c>
      <c r="I769" s="2" t="s">
        <v>24</v>
      </c>
      <c r="J769" s="2" t="s">
        <v>44</v>
      </c>
      <c r="K769" s="1" t="s">
        <v>1391</v>
      </c>
      <c r="L769" s="1" t="s">
        <v>13</v>
      </c>
    </row>
    <row r="770" spans="2:12" ht="56" hidden="1" x14ac:dyDescent="0.35">
      <c r="B770" s="2">
        <v>10151</v>
      </c>
      <c r="C770" s="5">
        <v>45957</v>
      </c>
      <c r="D770" s="3" t="s">
        <v>21</v>
      </c>
      <c r="E770" s="3" t="s">
        <v>1461</v>
      </c>
      <c r="F770" s="14" t="s">
        <v>23</v>
      </c>
      <c r="G770" s="4" t="s">
        <v>16</v>
      </c>
      <c r="H770" s="2" t="s">
        <v>17</v>
      </c>
      <c r="I770" s="2" t="s">
        <v>24</v>
      </c>
      <c r="J770" s="2" t="s">
        <v>44</v>
      </c>
      <c r="K770" s="1" t="s">
        <v>1391</v>
      </c>
      <c r="L770" s="1" t="s">
        <v>21</v>
      </c>
    </row>
    <row r="771" spans="2:12" ht="42" hidden="1" x14ac:dyDescent="0.35">
      <c r="B771" s="2">
        <v>10296</v>
      </c>
      <c r="C771" s="5">
        <v>45966</v>
      </c>
      <c r="D771" s="3" t="s">
        <v>21</v>
      </c>
      <c r="E771" s="3" t="s">
        <v>1462</v>
      </c>
      <c r="F771" s="14" t="s">
        <v>1463</v>
      </c>
      <c r="G771" s="4" t="s">
        <v>16</v>
      </c>
      <c r="H771" s="2" t="s">
        <v>17</v>
      </c>
      <c r="I771" s="2" t="s">
        <v>24</v>
      </c>
      <c r="J771" s="2" t="s">
        <v>29</v>
      </c>
      <c r="K771" s="1" t="s">
        <v>1391</v>
      </c>
      <c r="L771" s="1" t="s">
        <v>13</v>
      </c>
    </row>
    <row r="772" spans="2:12" ht="42" hidden="1" x14ac:dyDescent="0.35">
      <c r="B772" s="2">
        <v>10295</v>
      </c>
      <c r="C772" s="5">
        <v>45966</v>
      </c>
      <c r="D772" s="3" t="s">
        <v>21</v>
      </c>
      <c r="E772" s="3" t="s">
        <v>1464</v>
      </c>
      <c r="F772" s="14" t="s">
        <v>1401</v>
      </c>
      <c r="G772" s="4" t="s">
        <v>16</v>
      </c>
      <c r="H772" s="2" t="s">
        <v>17</v>
      </c>
      <c r="I772" s="2" t="s">
        <v>24</v>
      </c>
      <c r="J772" s="2" t="s">
        <v>29</v>
      </c>
      <c r="K772" s="1" t="s">
        <v>1391</v>
      </c>
      <c r="L772" s="1" t="s">
        <v>21</v>
      </c>
    </row>
    <row r="773" spans="2:12" ht="56" hidden="1" x14ac:dyDescent="0.35">
      <c r="B773" s="2">
        <v>10382</v>
      </c>
      <c r="C773" s="5">
        <v>45973</v>
      </c>
      <c r="D773" s="3" t="s">
        <v>21</v>
      </c>
      <c r="E773" s="3" t="s">
        <v>1465</v>
      </c>
      <c r="F773" s="14" t="s">
        <v>1466</v>
      </c>
      <c r="G773" s="4" t="s">
        <v>16</v>
      </c>
      <c r="H773" s="2" t="s">
        <v>17</v>
      </c>
      <c r="I773" s="2" t="s">
        <v>24</v>
      </c>
      <c r="J773" s="2" t="s">
        <v>33</v>
      </c>
      <c r="K773" s="1" t="s">
        <v>1391</v>
      </c>
      <c r="L773" s="1" t="s">
        <v>21</v>
      </c>
    </row>
    <row r="774" spans="2:12" ht="42" hidden="1" x14ac:dyDescent="0.35">
      <c r="B774" s="2">
        <v>10385</v>
      </c>
      <c r="C774" s="5">
        <v>45982</v>
      </c>
      <c r="D774" s="3" t="s">
        <v>21</v>
      </c>
      <c r="E774" s="3" t="s">
        <v>1467</v>
      </c>
      <c r="F774" s="14" t="s">
        <v>816</v>
      </c>
      <c r="G774" s="4" t="s">
        <v>16</v>
      </c>
      <c r="H774" s="2" t="s">
        <v>17</v>
      </c>
      <c r="I774" s="2" t="s">
        <v>24</v>
      </c>
      <c r="J774" s="2" t="s">
        <v>29</v>
      </c>
      <c r="K774" s="1" t="s">
        <v>1391</v>
      </c>
      <c r="L774" s="1" t="s">
        <v>21</v>
      </c>
    </row>
    <row r="775" spans="2:12" ht="56" hidden="1" x14ac:dyDescent="0.35">
      <c r="B775" s="2">
        <v>10383</v>
      </c>
      <c r="C775" s="5">
        <v>45973</v>
      </c>
      <c r="D775" s="3" t="s">
        <v>13</v>
      </c>
      <c r="E775" s="3" t="s">
        <v>1468</v>
      </c>
      <c r="F775" s="14" t="s">
        <v>1469</v>
      </c>
      <c r="G775" s="4" t="s">
        <v>16</v>
      </c>
      <c r="H775" s="2" t="s">
        <v>17</v>
      </c>
      <c r="I775" s="2" t="s">
        <v>24</v>
      </c>
      <c r="J775" s="2" t="s">
        <v>33</v>
      </c>
      <c r="K775" s="1" t="s">
        <v>1391</v>
      </c>
      <c r="L775" s="1" t="s">
        <v>13</v>
      </c>
    </row>
    <row r="776" spans="2:12" ht="42" hidden="1" customHeight="1" x14ac:dyDescent="0.35">
      <c r="B776" s="2">
        <v>10388</v>
      </c>
      <c r="C776" s="5">
        <v>45989</v>
      </c>
      <c r="D776" s="3" t="s">
        <v>21</v>
      </c>
      <c r="E776" s="3" t="s">
        <v>1470</v>
      </c>
      <c r="F776" s="14" t="s">
        <v>1401</v>
      </c>
      <c r="G776" s="4" t="s">
        <v>16</v>
      </c>
      <c r="H776" s="2" t="s">
        <v>17</v>
      </c>
      <c r="I776" s="2" t="s">
        <v>24</v>
      </c>
      <c r="J776" s="2" t="s">
        <v>44</v>
      </c>
      <c r="K776" s="1" t="s">
        <v>1391</v>
      </c>
      <c r="L776" s="1" t="s">
        <v>21</v>
      </c>
    </row>
    <row r="777" spans="2:12" ht="42" hidden="1" x14ac:dyDescent="0.35">
      <c r="B777" s="2">
        <v>10384</v>
      </c>
      <c r="C777" s="5">
        <v>45979</v>
      </c>
      <c r="D777" s="3" t="s">
        <v>13</v>
      </c>
      <c r="E777" s="3" t="s">
        <v>1471</v>
      </c>
      <c r="F777" s="14" t="s">
        <v>1472</v>
      </c>
      <c r="G777" s="4" t="s">
        <v>16</v>
      </c>
      <c r="H777" s="2" t="s">
        <v>17</v>
      </c>
      <c r="I777" s="2" t="s">
        <v>24</v>
      </c>
      <c r="J777" s="2" t="s">
        <v>44</v>
      </c>
      <c r="K777" s="1" t="s">
        <v>1391</v>
      </c>
      <c r="L777" s="1" t="s">
        <v>13</v>
      </c>
    </row>
    <row r="778" spans="2:12" ht="56" hidden="1" x14ac:dyDescent="0.35">
      <c r="B778" s="2">
        <v>10387</v>
      </c>
      <c r="C778" s="5">
        <v>45989</v>
      </c>
      <c r="D778" s="3" t="s">
        <v>21</v>
      </c>
      <c r="E778" s="3" t="s">
        <v>1473</v>
      </c>
      <c r="F778" s="14" t="s">
        <v>1474</v>
      </c>
      <c r="G778" s="4" t="s">
        <v>16</v>
      </c>
      <c r="H778" s="2" t="s">
        <v>17</v>
      </c>
      <c r="I778" s="2" t="s">
        <v>24</v>
      </c>
      <c r="J778" s="2" t="s">
        <v>44</v>
      </c>
      <c r="K778" s="1" t="s">
        <v>1391</v>
      </c>
      <c r="L778" s="1" t="s">
        <v>13</v>
      </c>
    </row>
    <row r="779" spans="2:12" ht="56" hidden="1" x14ac:dyDescent="0.35">
      <c r="B779" s="2">
        <v>10530</v>
      </c>
      <c r="C779" s="5">
        <v>46001</v>
      </c>
      <c r="D779" s="3" t="s">
        <v>190</v>
      </c>
      <c r="E779" s="3" t="s">
        <v>1475</v>
      </c>
      <c r="F779" s="14" t="s">
        <v>1476</v>
      </c>
      <c r="G779" s="4" t="s">
        <v>51</v>
      </c>
      <c r="H779" s="2" t="s">
        <v>17</v>
      </c>
      <c r="I779" s="2" t="s">
        <v>24</v>
      </c>
      <c r="J779" s="2" t="s">
        <v>44</v>
      </c>
      <c r="K779" s="1" t="s">
        <v>1391</v>
      </c>
      <c r="L779" s="1" t="s">
        <v>13</v>
      </c>
    </row>
    <row r="780" spans="2:12" ht="56" hidden="1" x14ac:dyDescent="0.35">
      <c r="B780" s="2">
        <v>10529</v>
      </c>
      <c r="C780" s="5">
        <v>46001</v>
      </c>
      <c r="D780" s="3" t="s">
        <v>190</v>
      </c>
      <c r="E780" s="3" t="s">
        <v>1477</v>
      </c>
      <c r="F780" s="14" t="s">
        <v>1478</v>
      </c>
      <c r="G780" s="4" t="s">
        <v>51</v>
      </c>
      <c r="H780" s="2" t="s">
        <v>17</v>
      </c>
      <c r="I780" s="2" t="s">
        <v>24</v>
      </c>
      <c r="J780" s="2" t="s">
        <v>44</v>
      </c>
      <c r="K780" s="1" t="s">
        <v>1391</v>
      </c>
      <c r="L780" s="1" t="s">
        <v>21</v>
      </c>
    </row>
    <row r="781" spans="2:12" ht="42" hidden="1" x14ac:dyDescent="0.35">
      <c r="B781" s="2">
        <v>10532</v>
      </c>
      <c r="C781" s="5">
        <v>46007</v>
      </c>
      <c r="D781" s="3" t="s">
        <v>13</v>
      </c>
      <c r="E781" s="3" t="s">
        <v>1479</v>
      </c>
      <c r="F781" s="14" t="s">
        <v>1480</v>
      </c>
      <c r="G781" s="4" t="s">
        <v>16</v>
      </c>
      <c r="H781" s="2" t="s">
        <v>17</v>
      </c>
      <c r="I781" s="2" t="s">
        <v>24</v>
      </c>
      <c r="J781" s="2" t="s">
        <v>33</v>
      </c>
      <c r="K781" s="1" t="s">
        <v>1391</v>
      </c>
      <c r="L781" s="1" t="s">
        <v>13</v>
      </c>
    </row>
    <row r="782" spans="2:12" ht="42" hidden="1" x14ac:dyDescent="0.35">
      <c r="B782" s="2">
        <v>10531</v>
      </c>
      <c r="C782" s="5">
        <v>46007</v>
      </c>
      <c r="D782" s="3" t="s">
        <v>13</v>
      </c>
      <c r="E782" s="3" t="s">
        <v>1481</v>
      </c>
      <c r="F782" s="14" t="s">
        <v>200</v>
      </c>
      <c r="G782" s="4" t="s">
        <v>16</v>
      </c>
      <c r="H782" s="2" t="s">
        <v>17</v>
      </c>
      <c r="I782" s="2" t="s">
        <v>24</v>
      </c>
      <c r="J782" s="2" t="s">
        <v>33</v>
      </c>
      <c r="K782" s="1" t="s">
        <v>1391</v>
      </c>
      <c r="L782" s="1" t="s">
        <v>21</v>
      </c>
    </row>
    <row r="783" spans="2:12" ht="28" hidden="1" x14ac:dyDescent="0.35">
      <c r="B783" s="2">
        <v>2</v>
      </c>
      <c r="C783" s="5">
        <v>45659</v>
      </c>
      <c r="D783" s="3" t="s">
        <v>21</v>
      </c>
      <c r="E783" s="3" t="s">
        <v>1482</v>
      </c>
      <c r="F783" s="14" t="s">
        <v>1483</v>
      </c>
      <c r="G783" s="4" t="s">
        <v>16</v>
      </c>
      <c r="H783" s="2" t="s">
        <v>17</v>
      </c>
      <c r="I783" s="2" t="s">
        <v>24</v>
      </c>
      <c r="J783" t="s">
        <v>44</v>
      </c>
      <c r="K783" s="1" t="s">
        <v>1484</v>
      </c>
      <c r="L783" s="1" t="s">
        <v>21</v>
      </c>
    </row>
    <row r="784" spans="2:12" ht="28" hidden="1" x14ac:dyDescent="0.35">
      <c r="B784" s="2">
        <v>3</v>
      </c>
      <c r="C784" s="5">
        <v>45659</v>
      </c>
      <c r="D784" s="3" t="s">
        <v>21</v>
      </c>
      <c r="E784" s="3" t="s">
        <v>1485</v>
      </c>
      <c r="F784" s="14" t="s">
        <v>1486</v>
      </c>
      <c r="G784" s="4" t="s">
        <v>16</v>
      </c>
      <c r="H784" s="2" t="s">
        <v>17</v>
      </c>
      <c r="I784" s="2" t="s">
        <v>24</v>
      </c>
      <c r="J784" t="s">
        <v>44</v>
      </c>
      <c r="K784" s="1" t="s">
        <v>1484</v>
      </c>
      <c r="L784" s="1" t="s">
        <v>21</v>
      </c>
    </row>
    <row r="785" spans="2:12" ht="42" hidden="1" x14ac:dyDescent="0.35">
      <c r="B785" s="2">
        <v>214</v>
      </c>
      <c r="C785" s="5">
        <v>45747</v>
      </c>
      <c r="D785" s="3" t="s">
        <v>13</v>
      </c>
      <c r="E785" s="3" t="s">
        <v>1487</v>
      </c>
      <c r="F785" s="14" t="s">
        <v>1488</v>
      </c>
      <c r="G785" s="4" t="s">
        <v>51</v>
      </c>
      <c r="H785" s="2" t="s">
        <v>17</v>
      </c>
      <c r="I785" s="2" t="s">
        <v>24</v>
      </c>
      <c r="J785" s="2" t="s">
        <v>340</v>
      </c>
      <c r="K785" s="1" t="s">
        <v>1484</v>
      </c>
      <c r="L785" s="1" t="s">
        <v>13</v>
      </c>
    </row>
    <row r="786" spans="2:12" ht="56" hidden="1" x14ac:dyDescent="0.35">
      <c r="B786" s="2">
        <v>215</v>
      </c>
      <c r="C786" s="5">
        <v>45747</v>
      </c>
      <c r="D786" s="3" t="s">
        <v>13</v>
      </c>
      <c r="E786" s="3" t="s">
        <v>1489</v>
      </c>
      <c r="F786" s="14" t="s">
        <v>1490</v>
      </c>
      <c r="G786" s="4" t="s">
        <v>51</v>
      </c>
      <c r="H786" s="2" t="s">
        <v>17</v>
      </c>
      <c r="I786" s="2" t="s">
        <v>24</v>
      </c>
      <c r="J786" s="2" t="s">
        <v>340</v>
      </c>
      <c r="K786" s="1" t="s">
        <v>1484</v>
      </c>
      <c r="L786" s="1" t="s">
        <v>13</v>
      </c>
    </row>
    <row r="787" spans="2:12" ht="42" hidden="1" x14ac:dyDescent="0.35">
      <c r="B787" s="2">
        <v>216</v>
      </c>
      <c r="C787" s="5">
        <v>45747</v>
      </c>
      <c r="D787" s="3" t="s">
        <v>13</v>
      </c>
      <c r="E787" s="3" t="s">
        <v>1491</v>
      </c>
      <c r="F787" s="14" t="s">
        <v>333</v>
      </c>
      <c r="G787" s="4" t="s">
        <v>16</v>
      </c>
      <c r="H787" s="2" t="s">
        <v>17</v>
      </c>
      <c r="I787" s="2" t="s">
        <v>24</v>
      </c>
      <c r="J787" s="2" t="s">
        <v>347</v>
      </c>
      <c r="K787" s="1" t="s">
        <v>1484</v>
      </c>
      <c r="L787" s="1" t="s">
        <v>13</v>
      </c>
    </row>
    <row r="788" spans="2:12" ht="28" hidden="1" x14ac:dyDescent="0.35">
      <c r="B788" s="2">
        <v>221</v>
      </c>
      <c r="C788" s="5">
        <v>45747</v>
      </c>
      <c r="D788" s="3" t="s">
        <v>395</v>
      </c>
      <c r="E788" s="3" t="s">
        <v>1492</v>
      </c>
      <c r="F788" s="14" t="s">
        <v>394</v>
      </c>
      <c r="G788" s="4" t="s">
        <v>51</v>
      </c>
      <c r="H788" s="2" t="s">
        <v>17</v>
      </c>
      <c r="I788" s="2" t="s">
        <v>24</v>
      </c>
      <c r="J788" s="2" t="s">
        <v>484</v>
      </c>
      <c r="K788" s="1" t="s">
        <v>1484</v>
      </c>
      <c r="L788" s="1" t="s">
        <v>13</v>
      </c>
    </row>
    <row r="789" spans="2:12" ht="56" hidden="1" x14ac:dyDescent="0.35">
      <c r="B789" s="2">
        <v>264</v>
      </c>
      <c r="C789" s="5">
        <v>45763</v>
      </c>
      <c r="D789" s="3" t="s">
        <v>190</v>
      </c>
      <c r="E789" s="3" t="s">
        <v>1493</v>
      </c>
      <c r="F789" s="14" t="s">
        <v>379</v>
      </c>
      <c r="G789" s="4" t="s">
        <v>16</v>
      </c>
      <c r="H789" s="2" t="s">
        <v>17</v>
      </c>
      <c r="I789" s="2" t="s">
        <v>24</v>
      </c>
      <c r="J789" s="2" t="s">
        <v>33</v>
      </c>
      <c r="K789" s="1" t="s">
        <v>1484</v>
      </c>
      <c r="L789" s="1" t="s">
        <v>21</v>
      </c>
    </row>
    <row r="790" spans="2:12" ht="56" hidden="1" x14ac:dyDescent="0.35">
      <c r="B790" s="2">
        <v>289</v>
      </c>
      <c r="C790" s="5">
        <v>45776</v>
      </c>
      <c r="D790" s="3" t="s">
        <v>21</v>
      </c>
      <c r="E790" s="3" t="s">
        <v>1494</v>
      </c>
      <c r="F790" s="14" t="s">
        <v>1495</v>
      </c>
      <c r="G790" s="4" t="s">
        <v>16</v>
      </c>
      <c r="H790" s="2" t="s">
        <v>17</v>
      </c>
      <c r="I790" s="2" t="s">
        <v>24</v>
      </c>
      <c r="J790" s="2" t="s">
        <v>72</v>
      </c>
      <c r="K790" s="1" t="s">
        <v>1484</v>
      </c>
      <c r="L790" s="1" t="s">
        <v>21</v>
      </c>
    </row>
    <row r="791" spans="2:12" ht="56" hidden="1" x14ac:dyDescent="0.35">
      <c r="B791" s="2">
        <v>290</v>
      </c>
      <c r="C791" s="5">
        <v>45776</v>
      </c>
      <c r="D791" s="3" t="s">
        <v>21</v>
      </c>
      <c r="E791" s="3" t="s">
        <v>1496</v>
      </c>
      <c r="F791" s="14" t="s">
        <v>1497</v>
      </c>
      <c r="G791" s="4" t="s">
        <v>16</v>
      </c>
      <c r="H791" s="2" t="s">
        <v>17</v>
      </c>
      <c r="I791" s="2" t="s">
        <v>24</v>
      </c>
      <c r="J791" s="2" t="s">
        <v>33</v>
      </c>
      <c r="K791" s="1" t="s">
        <v>1484</v>
      </c>
      <c r="L791" s="1" t="s">
        <v>21</v>
      </c>
    </row>
    <row r="792" spans="2:12" ht="42" hidden="1" customHeight="1" x14ac:dyDescent="0.3">
      <c r="B792" s="2">
        <v>309</v>
      </c>
      <c r="C792" s="5">
        <v>45777</v>
      </c>
      <c r="D792" s="3" t="s">
        <v>21</v>
      </c>
      <c r="E792" s="15" t="s">
        <v>1494</v>
      </c>
      <c r="F792" s="14" t="s">
        <v>1495</v>
      </c>
      <c r="G792" s="4" t="s">
        <v>16</v>
      </c>
      <c r="H792" s="2" t="s">
        <v>17</v>
      </c>
      <c r="I792" s="2" t="s">
        <v>24</v>
      </c>
      <c r="J792" s="2" t="s">
        <v>72</v>
      </c>
      <c r="K792" s="1" t="s">
        <v>1484</v>
      </c>
      <c r="L792" s="1" t="s">
        <v>21</v>
      </c>
    </row>
    <row r="793" spans="2:12" ht="28" hidden="1" x14ac:dyDescent="0.35">
      <c r="B793" s="2">
        <v>11215</v>
      </c>
      <c r="C793" s="24">
        <v>46064</v>
      </c>
      <c r="D793" s="3" t="s">
        <v>21</v>
      </c>
      <c r="E793" s="3" t="s">
        <v>1498</v>
      </c>
      <c r="F793" s="14" t="s">
        <v>1499</v>
      </c>
      <c r="G793" s="4" t="s">
        <v>51</v>
      </c>
      <c r="H793" s="2" t="s">
        <v>17</v>
      </c>
      <c r="I793" s="2" t="s">
        <v>24</v>
      </c>
      <c r="J793" s="2" t="s">
        <v>33</v>
      </c>
      <c r="K793" s="1" t="s">
        <v>1391</v>
      </c>
      <c r="L793" s="1" t="s">
        <v>13</v>
      </c>
    </row>
    <row r="794" spans="2:12" ht="28" hidden="1" x14ac:dyDescent="0.35">
      <c r="B794" s="2">
        <v>11214</v>
      </c>
      <c r="C794" s="24">
        <v>46064</v>
      </c>
      <c r="D794" s="3" t="s">
        <v>21</v>
      </c>
      <c r="E794" s="3" t="s">
        <v>1500</v>
      </c>
      <c r="F794" s="14" t="s">
        <v>1501</v>
      </c>
      <c r="G794" s="4" t="s">
        <v>51</v>
      </c>
      <c r="H794" s="2" t="s">
        <v>17</v>
      </c>
      <c r="I794" s="2" t="s">
        <v>24</v>
      </c>
      <c r="J794" s="2" t="s">
        <v>33</v>
      </c>
      <c r="K794" s="1" t="s">
        <v>1391</v>
      </c>
      <c r="L794" s="1" t="s">
        <v>21</v>
      </c>
    </row>
    <row r="795" spans="2:12" ht="28" hidden="1" x14ac:dyDescent="0.35">
      <c r="B795" s="2">
        <v>11213</v>
      </c>
      <c r="C795" s="24">
        <v>46069</v>
      </c>
      <c r="D795" s="3" t="s">
        <v>21</v>
      </c>
      <c r="E795" s="3" t="s">
        <v>1502</v>
      </c>
      <c r="F795" s="14" t="s">
        <v>1503</v>
      </c>
      <c r="G795" s="4" t="s">
        <v>51</v>
      </c>
      <c r="H795" s="2" t="s">
        <v>17</v>
      </c>
      <c r="I795" s="2" t="s">
        <v>24</v>
      </c>
      <c r="J795" s="2" t="s">
        <v>29</v>
      </c>
      <c r="K795" s="1" t="s">
        <v>1391</v>
      </c>
      <c r="L795" s="1" t="s">
        <v>13</v>
      </c>
    </row>
    <row r="796" spans="2:12" ht="28" hidden="1" x14ac:dyDescent="0.35">
      <c r="B796" s="2">
        <v>11212</v>
      </c>
      <c r="C796" s="24">
        <v>46069</v>
      </c>
      <c r="D796" s="3" t="s">
        <v>21</v>
      </c>
      <c r="E796" s="3" t="s">
        <v>1502</v>
      </c>
      <c r="F796" s="14" t="s">
        <v>975</v>
      </c>
      <c r="G796" s="4" t="s">
        <v>51</v>
      </c>
      <c r="H796" s="2" t="s">
        <v>17</v>
      </c>
      <c r="I796" s="2" t="s">
        <v>24</v>
      </c>
      <c r="J796" s="2" t="s">
        <v>29</v>
      </c>
      <c r="K796" s="1" t="s">
        <v>1391</v>
      </c>
      <c r="L796" s="1" t="s">
        <v>21</v>
      </c>
    </row>
    <row r="797" spans="2:12" ht="28" hidden="1" x14ac:dyDescent="0.35">
      <c r="B797" s="2">
        <v>11211</v>
      </c>
      <c r="C797" s="24">
        <v>46077</v>
      </c>
      <c r="D797" s="3" t="s">
        <v>21</v>
      </c>
      <c r="E797" s="3" t="s">
        <v>1504</v>
      </c>
      <c r="F797" s="14" t="s">
        <v>219</v>
      </c>
      <c r="G797" s="4" t="s">
        <v>51</v>
      </c>
      <c r="H797" s="2" t="s">
        <v>17</v>
      </c>
      <c r="I797" s="2" t="s">
        <v>24</v>
      </c>
      <c r="J797" s="2" t="s">
        <v>33</v>
      </c>
      <c r="K797" s="1" t="s">
        <v>1391</v>
      </c>
      <c r="L797" s="1" t="s">
        <v>13</v>
      </c>
    </row>
    <row r="798" spans="2:12" ht="42" hidden="1" x14ac:dyDescent="0.35">
      <c r="B798" s="2">
        <v>11210</v>
      </c>
      <c r="C798" s="24">
        <v>46077</v>
      </c>
      <c r="D798" s="3" t="s">
        <v>104</v>
      </c>
      <c r="E798" s="3" t="s">
        <v>1505</v>
      </c>
      <c r="F798" s="14" t="s">
        <v>1506</v>
      </c>
      <c r="G798" s="4" t="s">
        <v>51</v>
      </c>
      <c r="H798" s="2" t="s">
        <v>17</v>
      </c>
      <c r="I798" s="2" t="s">
        <v>24</v>
      </c>
      <c r="J798" s="2" t="s">
        <v>33</v>
      </c>
      <c r="K798" s="1" t="s">
        <v>1391</v>
      </c>
      <c r="L798" s="1" t="s">
        <v>21</v>
      </c>
    </row>
    <row r="799" spans="2:12" ht="28" hidden="1" x14ac:dyDescent="0.35">
      <c r="B799" s="2">
        <v>11318</v>
      </c>
      <c r="C799" s="24">
        <v>46087</v>
      </c>
      <c r="D799" s="3" t="s">
        <v>134</v>
      </c>
      <c r="E799" s="3" t="s">
        <v>1507</v>
      </c>
      <c r="F799" s="14" t="s">
        <v>1508</v>
      </c>
      <c r="G799" s="4" t="s">
        <v>16</v>
      </c>
      <c r="H799" s="2" t="s">
        <v>17</v>
      </c>
      <c r="I799" s="2" t="s">
        <v>37</v>
      </c>
      <c r="J799" s="2" t="s">
        <v>112</v>
      </c>
      <c r="K799" s="1" t="s">
        <v>1391</v>
      </c>
      <c r="L799" s="1" t="s">
        <v>21</v>
      </c>
    </row>
    <row r="800" spans="2:12" ht="28" hidden="1" x14ac:dyDescent="0.35">
      <c r="B800" s="2">
        <v>11319</v>
      </c>
      <c r="C800" s="24">
        <v>46087</v>
      </c>
      <c r="D800" s="3" t="s">
        <v>134</v>
      </c>
      <c r="E800" s="3" t="s">
        <v>1509</v>
      </c>
      <c r="F800" s="14" t="s">
        <v>1510</v>
      </c>
      <c r="G800" s="4" t="s">
        <v>16</v>
      </c>
      <c r="H800" s="2" t="s">
        <v>17</v>
      </c>
      <c r="I800" s="2" t="s">
        <v>37</v>
      </c>
      <c r="J800" s="2" t="s">
        <v>112</v>
      </c>
      <c r="K800" s="1" t="s">
        <v>1391</v>
      </c>
      <c r="L800" s="1" t="s">
        <v>13</v>
      </c>
    </row>
    <row r="801" spans="2:12" ht="56" hidden="1" x14ac:dyDescent="0.35">
      <c r="B801" s="2">
        <v>11521</v>
      </c>
      <c r="C801" s="24">
        <v>46095</v>
      </c>
      <c r="D801" s="3" t="s">
        <v>21</v>
      </c>
      <c r="E801" s="3" t="s">
        <v>1511</v>
      </c>
      <c r="F801" s="14" t="s">
        <v>1512</v>
      </c>
      <c r="G801" s="4" t="s">
        <v>16</v>
      </c>
      <c r="H801" s="2" t="s">
        <v>17</v>
      </c>
      <c r="I801" s="2" t="s">
        <v>18</v>
      </c>
      <c r="J801" s="2" t="s">
        <v>171</v>
      </c>
      <c r="K801" s="1" t="s">
        <v>1391</v>
      </c>
      <c r="L801" s="1" t="s">
        <v>13</v>
      </c>
    </row>
    <row r="802" spans="2:12" ht="56" hidden="1" x14ac:dyDescent="0.35">
      <c r="B802" s="2">
        <v>11520</v>
      </c>
      <c r="C802" s="24">
        <v>46095</v>
      </c>
      <c r="D802" s="3" t="s">
        <v>21</v>
      </c>
      <c r="E802" s="3" t="s">
        <v>1513</v>
      </c>
      <c r="F802" s="14" t="s">
        <v>1514</v>
      </c>
      <c r="G802" s="4" t="s">
        <v>16</v>
      </c>
      <c r="H802" s="2" t="s">
        <v>17</v>
      </c>
      <c r="I802" s="2" t="s">
        <v>18</v>
      </c>
      <c r="J802" s="2" t="s">
        <v>171</v>
      </c>
      <c r="K802" s="1" t="s">
        <v>1391</v>
      </c>
      <c r="L802" s="1" t="s">
        <v>21</v>
      </c>
    </row>
    <row r="803" spans="2:12" ht="56" hidden="1" x14ac:dyDescent="0.35">
      <c r="B803" s="2">
        <v>11519</v>
      </c>
      <c r="C803" s="24">
        <v>46099</v>
      </c>
      <c r="D803" s="3" t="s">
        <v>21</v>
      </c>
      <c r="E803" s="3" t="s">
        <v>1515</v>
      </c>
      <c r="F803" s="14" t="s">
        <v>1516</v>
      </c>
      <c r="G803" s="4" t="s">
        <v>16</v>
      </c>
      <c r="H803" s="2" t="s">
        <v>17</v>
      </c>
      <c r="I803" s="2" t="s">
        <v>18</v>
      </c>
      <c r="J803" s="2" t="s">
        <v>171</v>
      </c>
      <c r="K803" s="1" t="s">
        <v>1391</v>
      </c>
      <c r="L803" s="1" t="s">
        <v>13</v>
      </c>
    </row>
    <row r="804" spans="2:12" ht="56" hidden="1" x14ac:dyDescent="0.35">
      <c r="B804" s="2">
        <v>11518</v>
      </c>
      <c r="C804" s="24">
        <v>46101</v>
      </c>
      <c r="D804" s="3" t="s">
        <v>21</v>
      </c>
      <c r="E804" s="3" t="s">
        <v>1517</v>
      </c>
      <c r="F804" s="14" t="s">
        <v>1518</v>
      </c>
      <c r="G804" s="4" t="s">
        <v>16</v>
      </c>
      <c r="H804" s="2" t="s">
        <v>17</v>
      </c>
      <c r="I804" s="2" t="s">
        <v>18</v>
      </c>
      <c r="J804" s="2" t="s">
        <v>171</v>
      </c>
      <c r="K804" s="1" t="s">
        <v>1391</v>
      </c>
      <c r="L804" s="1" t="s">
        <v>21</v>
      </c>
    </row>
    <row r="805" spans="2:12" ht="28" hidden="1" x14ac:dyDescent="0.35">
      <c r="B805" s="2">
        <v>11571</v>
      </c>
      <c r="C805" s="24">
        <v>46112</v>
      </c>
      <c r="D805" s="3" t="s">
        <v>21</v>
      </c>
      <c r="E805" s="3" t="s">
        <v>1519</v>
      </c>
      <c r="F805" s="14" t="s">
        <v>1520</v>
      </c>
      <c r="G805" s="4" t="s">
        <v>16</v>
      </c>
      <c r="H805" s="2" t="s">
        <v>17</v>
      </c>
      <c r="I805" s="2" t="s">
        <v>18</v>
      </c>
      <c r="J805" s="2" t="s">
        <v>171</v>
      </c>
      <c r="K805" s="1" t="s">
        <v>1391</v>
      </c>
      <c r="L805" s="1" t="s">
        <v>21</v>
      </c>
    </row>
    <row r="806" spans="2:12" ht="56" hidden="1" x14ac:dyDescent="0.35">
      <c r="B806" s="2">
        <v>11572</v>
      </c>
      <c r="C806" s="24">
        <v>46112</v>
      </c>
      <c r="D806" s="3" t="s">
        <v>13</v>
      </c>
      <c r="E806" s="3" t="s">
        <v>1521</v>
      </c>
      <c r="F806" s="14" t="s">
        <v>1522</v>
      </c>
      <c r="G806" s="4" t="s">
        <v>16</v>
      </c>
      <c r="H806" s="2" t="s">
        <v>17</v>
      </c>
      <c r="I806" s="2" t="s">
        <v>24</v>
      </c>
      <c r="J806" s="2" t="s">
        <v>33</v>
      </c>
      <c r="K806" s="1" t="s">
        <v>1391</v>
      </c>
      <c r="L806" s="1" t="s">
        <v>13</v>
      </c>
    </row>
    <row r="807" spans="2:12" ht="56" hidden="1" x14ac:dyDescent="0.35">
      <c r="B807" s="2">
        <v>14</v>
      </c>
      <c r="C807" s="5">
        <v>45663</v>
      </c>
      <c r="D807" s="3" t="s">
        <v>26</v>
      </c>
      <c r="E807" s="3" t="s">
        <v>1523</v>
      </c>
      <c r="F807" s="14" t="s">
        <v>1524</v>
      </c>
      <c r="G807" s="4" t="s">
        <v>51</v>
      </c>
      <c r="H807" s="2" t="s">
        <v>17</v>
      </c>
      <c r="I807" s="2" t="s">
        <v>24</v>
      </c>
      <c r="J807" t="s">
        <v>72</v>
      </c>
      <c r="K807" s="1" t="s">
        <v>1525</v>
      </c>
      <c r="L807" s="1" t="s">
        <v>26</v>
      </c>
    </row>
    <row r="808" spans="2:12" ht="56" hidden="1" x14ac:dyDescent="0.35">
      <c r="B808" s="2">
        <v>15</v>
      </c>
      <c r="C808" s="5">
        <v>45663</v>
      </c>
      <c r="D808" s="3" t="s">
        <v>26</v>
      </c>
      <c r="E808" s="3" t="s">
        <v>1526</v>
      </c>
      <c r="F808" s="14" t="s">
        <v>1527</v>
      </c>
      <c r="G808" s="4" t="s">
        <v>51</v>
      </c>
      <c r="H808" s="2" t="s">
        <v>17</v>
      </c>
      <c r="I808" s="2" t="s">
        <v>24</v>
      </c>
      <c r="J808" t="s">
        <v>72</v>
      </c>
      <c r="K808" s="1" t="s">
        <v>1525</v>
      </c>
      <c r="L808" s="1" t="s">
        <v>26</v>
      </c>
    </row>
    <row r="809" spans="2:12" ht="42" hidden="1" x14ac:dyDescent="0.35">
      <c r="B809" s="2">
        <v>25</v>
      </c>
      <c r="C809" s="5">
        <v>45666</v>
      </c>
      <c r="D809" s="3" t="s">
        <v>34</v>
      </c>
      <c r="E809" s="3" t="s">
        <v>1528</v>
      </c>
      <c r="F809" s="14" t="s">
        <v>1529</v>
      </c>
      <c r="G809" s="4" t="s">
        <v>51</v>
      </c>
      <c r="H809" s="2" t="s">
        <v>17</v>
      </c>
      <c r="I809" s="2" t="s">
        <v>18</v>
      </c>
      <c r="J809" t="s">
        <v>68</v>
      </c>
      <c r="K809" s="1" t="s">
        <v>1525</v>
      </c>
      <c r="L809" s="1" t="s">
        <v>34</v>
      </c>
    </row>
    <row r="810" spans="2:12" ht="56" hidden="1" x14ac:dyDescent="0.35">
      <c r="B810" s="2">
        <v>26</v>
      </c>
      <c r="C810" s="5">
        <v>45666</v>
      </c>
      <c r="D810" s="3" t="s">
        <v>34</v>
      </c>
      <c r="E810" s="3" t="s">
        <v>1530</v>
      </c>
      <c r="F810" s="14" t="s">
        <v>1531</v>
      </c>
      <c r="G810" s="4" t="s">
        <v>51</v>
      </c>
      <c r="H810" s="2" t="s">
        <v>17</v>
      </c>
      <c r="I810" s="2" t="s">
        <v>18</v>
      </c>
      <c r="J810" t="s">
        <v>68</v>
      </c>
      <c r="K810" s="1" t="s">
        <v>1525</v>
      </c>
      <c r="L810" s="1" t="s">
        <v>34</v>
      </c>
    </row>
    <row r="811" spans="2:12" ht="42" hidden="1" x14ac:dyDescent="0.35">
      <c r="B811" s="2">
        <v>150</v>
      </c>
      <c r="C811" s="5">
        <v>45716</v>
      </c>
      <c r="D811" s="3" t="s">
        <v>26</v>
      </c>
      <c r="E811" s="3" t="s">
        <v>1532</v>
      </c>
      <c r="F811" s="14" t="s">
        <v>388</v>
      </c>
      <c r="G811" s="4" t="s">
        <v>16</v>
      </c>
      <c r="H811" s="2" t="s">
        <v>17</v>
      </c>
      <c r="I811" s="2" t="s">
        <v>37</v>
      </c>
      <c r="J811" s="2" t="s">
        <v>112</v>
      </c>
      <c r="K811" s="1" t="s">
        <v>1525</v>
      </c>
      <c r="L811" s="1" t="s">
        <v>26</v>
      </c>
    </row>
    <row r="812" spans="2:12" ht="42" hidden="1" x14ac:dyDescent="0.35">
      <c r="B812" s="2">
        <v>151</v>
      </c>
      <c r="C812" s="5">
        <v>45716</v>
      </c>
      <c r="D812" s="3" t="s">
        <v>26</v>
      </c>
      <c r="E812" s="3" t="s">
        <v>1533</v>
      </c>
      <c r="F812" s="14" t="s">
        <v>85</v>
      </c>
      <c r="G812" s="4" t="s">
        <v>16</v>
      </c>
      <c r="H812" s="2" t="s">
        <v>17</v>
      </c>
      <c r="I812" s="2" t="s">
        <v>37</v>
      </c>
      <c r="J812" s="2" t="s">
        <v>112</v>
      </c>
      <c r="K812" s="1" t="s">
        <v>1525</v>
      </c>
      <c r="L812" s="1" t="s">
        <v>26</v>
      </c>
    </row>
    <row r="813" spans="2:12" ht="42" hidden="1" x14ac:dyDescent="0.35">
      <c r="B813" s="2">
        <v>152</v>
      </c>
      <c r="C813" s="5">
        <v>45716</v>
      </c>
      <c r="D813" s="3" t="s">
        <v>26</v>
      </c>
      <c r="E813" s="3" t="s">
        <v>1534</v>
      </c>
      <c r="F813" s="14" t="s">
        <v>710</v>
      </c>
      <c r="G813" s="4" t="s">
        <v>51</v>
      </c>
      <c r="H813" s="2" t="s">
        <v>17</v>
      </c>
      <c r="I813" s="2" t="s">
        <v>18</v>
      </c>
      <c r="J813" s="2" t="s">
        <v>19</v>
      </c>
      <c r="K813" s="1" t="s">
        <v>1525</v>
      </c>
      <c r="L813" s="1" t="s">
        <v>26</v>
      </c>
    </row>
    <row r="814" spans="2:12" ht="42" hidden="1" x14ac:dyDescent="0.35">
      <c r="B814" s="2">
        <v>153</v>
      </c>
      <c r="C814" s="5">
        <v>45716</v>
      </c>
      <c r="D814" s="3" t="s">
        <v>34</v>
      </c>
      <c r="E814" s="3" t="s">
        <v>1535</v>
      </c>
      <c r="F814" s="14" t="s">
        <v>1536</v>
      </c>
      <c r="G814" s="4" t="s">
        <v>16</v>
      </c>
      <c r="H814" s="2" t="s">
        <v>17</v>
      </c>
      <c r="I814" s="2" t="s">
        <v>24</v>
      </c>
      <c r="J814" s="2" t="s">
        <v>72</v>
      </c>
      <c r="K814" s="1" t="s">
        <v>1525</v>
      </c>
      <c r="L814" s="1" t="s">
        <v>34</v>
      </c>
    </row>
    <row r="815" spans="2:12" ht="42" hidden="1" x14ac:dyDescent="0.35">
      <c r="B815" s="2">
        <v>206</v>
      </c>
      <c r="C815" s="5">
        <v>45743</v>
      </c>
      <c r="D815" s="3" t="s">
        <v>34</v>
      </c>
      <c r="E815" s="3" t="s">
        <v>1537</v>
      </c>
      <c r="F815" s="14" t="s">
        <v>1538</v>
      </c>
      <c r="G815" s="4" t="s">
        <v>51</v>
      </c>
      <c r="H815" s="2" t="s">
        <v>17</v>
      </c>
      <c r="I815" s="2" t="s">
        <v>18</v>
      </c>
      <c r="J815" s="2" t="s">
        <v>19</v>
      </c>
      <c r="K815" s="1" t="s">
        <v>1525</v>
      </c>
      <c r="L815" s="1" t="s">
        <v>34</v>
      </c>
    </row>
    <row r="816" spans="2:12" ht="42" hidden="1" x14ac:dyDescent="0.35">
      <c r="B816" s="2">
        <v>207</v>
      </c>
      <c r="C816" s="5">
        <v>45743</v>
      </c>
      <c r="D816" s="3" t="s">
        <v>34</v>
      </c>
      <c r="E816" s="3" t="s">
        <v>1539</v>
      </c>
      <c r="F816" s="14" t="s">
        <v>1540</v>
      </c>
      <c r="G816" s="4" t="s">
        <v>51</v>
      </c>
      <c r="H816" s="2" t="s">
        <v>17</v>
      </c>
      <c r="I816" s="2" t="s">
        <v>18</v>
      </c>
      <c r="J816" s="2" t="s">
        <v>19</v>
      </c>
      <c r="K816" s="1" t="s">
        <v>1525</v>
      </c>
      <c r="L816" s="1" t="s">
        <v>34</v>
      </c>
    </row>
    <row r="817" spans="2:12" ht="56" hidden="1" x14ac:dyDescent="0.35">
      <c r="B817" s="2">
        <v>229</v>
      </c>
      <c r="C817" s="5">
        <v>45747</v>
      </c>
      <c r="D817" s="3" t="s">
        <v>34</v>
      </c>
      <c r="E817" s="3" t="s">
        <v>1541</v>
      </c>
      <c r="F817" s="14" t="s">
        <v>1542</v>
      </c>
      <c r="G817" s="4" t="s">
        <v>51</v>
      </c>
      <c r="H817" s="2" t="s">
        <v>17</v>
      </c>
      <c r="I817" s="2" t="s">
        <v>18</v>
      </c>
      <c r="J817" s="2" t="s">
        <v>68</v>
      </c>
      <c r="K817" s="1" t="s">
        <v>1525</v>
      </c>
      <c r="L817" s="1" t="s">
        <v>34</v>
      </c>
    </row>
    <row r="818" spans="2:12" ht="42" hidden="1" x14ac:dyDescent="0.35">
      <c r="B818" s="2">
        <v>232</v>
      </c>
      <c r="C818" s="5">
        <v>45747</v>
      </c>
      <c r="D818" s="3" t="s">
        <v>34</v>
      </c>
      <c r="E818" s="3" t="s">
        <v>1543</v>
      </c>
      <c r="F818" s="14" t="s">
        <v>85</v>
      </c>
      <c r="G818" s="4" t="s">
        <v>16</v>
      </c>
      <c r="H818" s="2" t="s">
        <v>17</v>
      </c>
      <c r="I818" s="2" t="s">
        <v>18</v>
      </c>
      <c r="J818" s="2" t="s">
        <v>68</v>
      </c>
      <c r="K818" s="1" t="s">
        <v>1525</v>
      </c>
      <c r="L818" s="1" t="s">
        <v>34</v>
      </c>
    </row>
    <row r="819" spans="2:12" ht="42" hidden="1" x14ac:dyDescent="0.35">
      <c r="B819" s="2">
        <v>244</v>
      </c>
      <c r="C819" s="5">
        <v>45754</v>
      </c>
      <c r="D819" s="3" t="s">
        <v>26</v>
      </c>
      <c r="E819" s="3" t="s">
        <v>1544</v>
      </c>
      <c r="F819" s="14" t="s">
        <v>1360</v>
      </c>
      <c r="G819" s="4" t="s">
        <v>16</v>
      </c>
      <c r="H819" s="2" t="s">
        <v>281</v>
      </c>
      <c r="I819" s="2" t="s">
        <v>24</v>
      </c>
      <c r="J819" s="2" t="s">
        <v>44</v>
      </c>
      <c r="K819" s="1" t="s">
        <v>1525</v>
      </c>
      <c r="L819" s="1" t="s">
        <v>26</v>
      </c>
    </row>
    <row r="820" spans="2:12" ht="42" hidden="1" x14ac:dyDescent="0.35">
      <c r="B820" s="2">
        <v>297</v>
      </c>
      <c r="C820" s="5">
        <v>45777</v>
      </c>
      <c r="D820" s="3" t="s">
        <v>34</v>
      </c>
      <c r="E820" s="3" t="s">
        <v>1545</v>
      </c>
      <c r="F820" s="14" t="s">
        <v>53</v>
      </c>
      <c r="G820" s="4" t="s">
        <v>16</v>
      </c>
      <c r="H820" s="2" t="s">
        <v>17</v>
      </c>
      <c r="I820" s="2" t="s">
        <v>24</v>
      </c>
      <c r="J820" s="2" t="s">
        <v>72</v>
      </c>
      <c r="K820" s="1" t="s">
        <v>1525</v>
      </c>
      <c r="L820" s="1" t="s">
        <v>34</v>
      </c>
    </row>
    <row r="821" spans="2:12" ht="42" hidden="1" x14ac:dyDescent="0.35">
      <c r="B821" s="2">
        <v>298</v>
      </c>
      <c r="C821" s="5">
        <v>45777</v>
      </c>
      <c r="D821" s="3" t="s">
        <v>34</v>
      </c>
      <c r="E821" s="3" t="s">
        <v>1546</v>
      </c>
      <c r="F821" s="14" t="s">
        <v>491</v>
      </c>
      <c r="G821" s="4" t="s">
        <v>16</v>
      </c>
      <c r="H821" s="2" t="s">
        <v>17</v>
      </c>
      <c r="I821" s="2" t="s">
        <v>18</v>
      </c>
      <c r="J821" s="2" t="s">
        <v>68</v>
      </c>
      <c r="K821" s="1" t="s">
        <v>1525</v>
      </c>
      <c r="L821" s="1" t="s">
        <v>34</v>
      </c>
    </row>
    <row r="822" spans="2:12" ht="42" hidden="1" x14ac:dyDescent="0.35">
      <c r="B822" s="2">
        <v>299</v>
      </c>
      <c r="C822" s="5">
        <v>45777</v>
      </c>
      <c r="D822" s="3" t="s">
        <v>34</v>
      </c>
      <c r="E822" s="3" t="s">
        <v>1547</v>
      </c>
      <c r="F822" s="14" t="s">
        <v>85</v>
      </c>
      <c r="G822" s="4" t="s">
        <v>16</v>
      </c>
      <c r="H822" s="2" t="s">
        <v>17</v>
      </c>
      <c r="I822" s="2" t="s">
        <v>24</v>
      </c>
      <c r="J822" s="2" t="s">
        <v>72</v>
      </c>
      <c r="K822" s="1" t="s">
        <v>1525</v>
      </c>
      <c r="L822" s="1" t="s">
        <v>34</v>
      </c>
    </row>
    <row r="823" spans="2:12" ht="28" hidden="1" x14ac:dyDescent="0.35">
      <c r="B823" s="2">
        <v>300</v>
      </c>
      <c r="C823" s="5">
        <v>45777</v>
      </c>
      <c r="D823" s="3" t="s">
        <v>34</v>
      </c>
      <c r="E823" s="3" t="s">
        <v>1548</v>
      </c>
      <c r="F823" s="14" t="s">
        <v>85</v>
      </c>
      <c r="G823" s="4" t="s">
        <v>16</v>
      </c>
      <c r="H823" s="2" t="s">
        <v>17</v>
      </c>
      <c r="I823" s="2" t="s">
        <v>24</v>
      </c>
      <c r="J823" s="2" t="s">
        <v>72</v>
      </c>
      <c r="K823" s="1" t="s">
        <v>1525</v>
      </c>
      <c r="L823" s="1" t="s">
        <v>34</v>
      </c>
    </row>
    <row r="824" spans="2:12" ht="42" hidden="1" x14ac:dyDescent="0.35">
      <c r="B824" s="2">
        <v>303</v>
      </c>
      <c r="C824" s="5">
        <v>45777</v>
      </c>
      <c r="D824" s="3" t="s">
        <v>26</v>
      </c>
      <c r="E824" s="3" t="s">
        <v>1549</v>
      </c>
      <c r="F824" s="14" t="s">
        <v>1550</v>
      </c>
      <c r="G824" s="4" t="s">
        <v>51</v>
      </c>
      <c r="H824" s="2" t="s">
        <v>17</v>
      </c>
      <c r="I824" s="2" t="s">
        <v>18</v>
      </c>
      <c r="J824" s="2" t="s">
        <v>19</v>
      </c>
      <c r="K824" s="1" t="s">
        <v>1525</v>
      </c>
      <c r="L824" s="1" t="s">
        <v>26</v>
      </c>
    </row>
    <row r="825" spans="2:12" ht="28" hidden="1" x14ac:dyDescent="0.35">
      <c r="B825" s="2">
        <v>326</v>
      </c>
      <c r="C825" s="5">
        <v>45784</v>
      </c>
      <c r="D825" s="3" t="s">
        <v>21</v>
      </c>
      <c r="E825" s="3" t="s">
        <v>1551</v>
      </c>
      <c r="F825" s="14" t="s">
        <v>816</v>
      </c>
      <c r="G825" s="4" t="s">
        <v>16</v>
      </c>
      <c r="H825" s="2" t="s">
        <v>17</v>
      </c>
      <c r="I825" s="2" t="s">
        <v>24</v>
      </c>
      <c r="J825" s="2" t="s">
        <v>29</v>
      </c>
      <c r="K825" s="1" t="s">
        <v>1525</v>
      </c>
      <c r="L825" s="1" t="s">
        <v>21</v>
      </c>
    </row>
    <row r="826" spans="2:12" ht="28" hidden="1" x14ac:dyDescent="0.35">
      <c r="B826" s="2">
        <v>328</v>
      </c>
      <c r="C826" s="5">
        <v>45784</v>
      </c>
      <c r="D826" s="3" t="s">
        <v>13</v>
      </c>
      <c r="E826" s="3" t="s">
        <v>1552</v>
      </c>
      <c r="F826" s="14" t="s">
        <v>1399</v>
      </c>
      <c r="G826" s="4" t="s">
        <v>16</v>
      </c>
      <c r="H826" s="2" t="s">
        <v>17</v>
      </c>
      <c r="I826" s="2" t="s">
        <v>24</v>
      </c>
      <c r="J826" s="2" t="s">
        <v>29</v>
      </c>
      <c r="K826" s="1" t="s">
        <v>1525</v>
      </c>
      <c r="L826" s="1" t="s">
        <v>13</v>
      </c>
    </row>
    <row r="827" spans="2:12" ht="70" hidden="1" x14ac:dyDescent="0.35">
      <c r="B827" s="2">
        <v>332</v>
      </c>
      <c r="C827" s="5">
        <v>45784</v>
      </c>
      <c r="D827" s="3" t="s">
        <v>34</v>
      </c>
      <c r="E827" s="3" t="s">
        <v>1553</v>
      </c>
      <c r="F827" s="14" t="s">
        <v>1554</v>
      </c>
      <c r="G827" s="4" t="s">
        <v>51</v>
      </c>
      <c r="H827" s="2" t="s">
        <v>17</v>
      </c>
      <c r="I827" s="2" t="s">
        <v>18</v>
      </c>
      <c r="J827" s="2" t="s">
        <v>19</v>
      </c>
      <c r="K827" s="1" t="s">
        <v>1525</v>
      </c>
      <c r="L827" s="1" t="s">
        <v>34</v>
      </c>
    </row>
    <row r="828" spans="2:12" ht="56" hidden="1" x14ac:dyDescent="0.35">
      <c r="B828" s="2">
        <v>334</v>
      </c>
      <c r="C828" s="5">
        <v>45784</v>
      </c>
      <c r="D828" s="3" t="s">
        <v>26</v>
      </c>
      <c r="E828" s="3" t="s">
        <v>1555</v>
      </c>
      <c r="F828" s="14" t="s">
        <v>1556</v>
      </c>
      <c r="G828" s="4" t="s">
        <v>51</v>
      </c>
      <c r="H828" s="2" t="s">
        <v>17</v>
      </c>
      <c r="I828" s="2" t="s">
        <v>18</v>
      </c>
      <c r="J828" s="2" t="s">
        <v>19</v>
      </c>
      <c r="K828" s="1" t="s">
        <v>1525</v>
      </c>
      <c r="L828" s="1" t="s">
        <v>26</v>
      </c>
    </row>
    <row r="829" spans="2:12" ht="56" hidden="1" x14ac:dyDescent="0.35">
      <c r="B829" s="2">
        <v>351</v>
      </c>
      <c r="C829" s="5">
        <v>45791</v>
      </c>
      <c r="D829" s="3" t="s">
        <v>34</v>
      </c>
      <c r="E829" s="3" t="s">
        <v>1557</v>
      </c>
      <c r="F829" s="14" t="s">
        <v>1558</v>
      </c>
      <c r="G829" s="4" t="s">
        <v>16</v>
      </c>
      <c r="H829" s="2" t="s">
        <v>17</v>
      </c>
      <c r="I829" s="2" t="s">
        <v>24</v>
      </c>
      <c r="J829" s="2" t="s">
        <v>72</v>
      </c>
      <c r="K829" s="1" t="s">
        <v>1525</v>
      </c>
      <c r="L829" s="1" t="s">
        <v>34</v>
      </c>
    </row>
    <row r="830" spans="2:12" ht="42" hidden="1" x14ac:dyDescent="0.35">
      <c r="B830" s="2">
        <v>354</v>
      </c>
      <c r="C830" s="5">
        <v>45791</v>
      </c>
      <c r="D830" s="3" t="s">
        <v>26</v>
      </c>
      <c r="E830" s="3" t="s">
        <v>1559</v>
      </c>
      <c r="F830" s="14" t="s">
        <v>1560</v>
      </c>
      <c r="G830" s="4" t="s">
        <v>51</v>
      </c>
      <c r="H830" s="2" t="s">
        <v>17</v>
      </c>
      <c r="I830" s="2" t="s">
        <v>24</v>
      </c>
      <c r="J830" s="2" t="s">
        <v>44</v>
      </c>
      <c r="K830" s="1" t="s">
        <v>1525</v>
      </c>
      <c r="L830" s="1" t="s">
        <v>26</v>
      </c>
    </row>
    <row r="831" spans="2:12" ht="56" hidden="1" x14ac:dyDescent="0.35">
      <c r="B831" s="2">
        <v>369</v>
      </c>
      <c r="C831" s="5">
        <v>45798</v>
      </c>
      <c r="D831" s="3" t="s">
        <v>26</v>
      </c>
      <c r="E831" s="3" t="s">
        <v>1561</v>
      </c>
      <c r="F831" s="14" t="s">
        <v>1562</v>
      </c>
      <c r="G831" s="4" t="s">
        <v>51</v>
      </c>
      <c r="H831" s="2" t="s">
        <v>17</v>
      </c>
      <c r="I831" s="2" t="s">
        <v>24</v>
      </c>
      <c r="J831" s="2" t="s">
        <v>54</v>
      </c>
      <c r="K831" s="1" t="s">
        <v>1525</v>
      </c>
      <c r="L831" s="1" t="s">
        <v>26</v>
      </c>
    </row>
    <row r="832" spans="2:12" ht="56" hidden="1" x14ac:dyDescent="0.35">
      <c r="B832" s="2">
        <v>393</v>
      </c>
      <c r="C832" s="5">
        <v>45805</v>
      </c>
      <c r="D832" s="3" t="s">
        <v>26</v>
      </c>
      <c r="E832" s="3" t="s">
        <v>1563</v>
      </c>
      <c r="F832" s="14" t="s">
        <v>1564</v>
      </c>
      <c r="G832" s="4" t="s">
        <v>51</v>
      </c>
      <c r="H832" s="2" t="s">
        <v>17</v>
      </c>
      <c r="I832" s="2" t="s">
        <v>24</v>
      </c>
      <c r="J832" s="2" t="s">
        <v>54</v>
      </c>
      <c r="K832" s="1" t="s">
        <v>1525</v>
      </c>
      <c r="L832" s="1" t="s">
        <v>26</v>
      </c>
    </row>
    <row r="833" spans="2:12" ht="56" hidden="1" x14ac:dyDescent="0.35">
      <c r="B833" s="2">
        <v>395</v>
      </c>
      <c r="C833" s="5">
        <v>45807</v>
      </c>
      <c r="D833" s="3" t="s">
        <v>34</v>
      </c>
      <c r="E833" s="3" t="s">
        <v>1565</v>
      </c>
      <c r="F833" s="14" t="s">
        <v>1566</v>
      </c>
      <c r="G833" s="4" t="s">
        <v>51</v>
      </c>
      <c r="H833" s="2" t="s">
        <v>17</v>
      </c>
      <c r="I833" s="2" t="s">
        <v>24</v>
      </c>
      <c r="J833" s="2" t="s">
        <v>44</v>
      </c>
      <c r="K833" s="1" t="s">
        <v>1525</v>
      </c>
      <c r="L833" s="1" t="s">
        <v>34</v>
      </c>
    </row>
    <row r="834" spans="2:12" ht="42" hidden="1" x14ac:dyDescent="0.35">
      <c r="B834" s="2">
        <v>396</v>
      </c>
      <c r="C834" s="5">
        <v>45807</v>
      </c>
      <c r="D834" s="3" t="s">
        <v>26</v>
      </c>
      <c r="E834" s="3" t="s">
        <v>1567</v>
      </c>
      <c r="F834" s="14" t="s">
        <v>388</v>
      </c>
      <c r="G834" s="4" t="s">
        <v>16</v>
      </c>
      <c r="H834" s="2" t="s">
        <v>17</v>
      </c>
      <c r="I834" s="2" t="s">
        <v>37</v>
      </c>
      <c r="J834" s="2" t="s">
        <v>112</v>
      </c>
      <c r="K834" s="1" t="s">
        <v>1525</v>
      </c>
      <c r="L834" s="1" t="s">
        <v>26</v>
      </c>
    </row>
    <row r="835" spans="2:12" ht="56" hidden="1" x14ac:dyDescent="0.35">
      <c r="B835" s="2">
        <v>414</v>
      </c>
      <c r="C835" s="5">
        <v>45814</v>
      </c>
      <c r="D835" s="3" t="s">
        <v>34</v>
      </c>
      <c r="E835" s="3" t="s">
        <v>1568</v>
      </c>
      <c r="F835" s="14" t="s">
        <v>1569</v>
      </c>
      <c r="G835" s="4" t="s">
        <v>16</v>
      </c>
      <c r="H835" s="2" t="s">
        <v>17</v>
      </c>
      <c r="I835" s="2" t="s">
        <v>24</v>
      </c>
      <c r="J835" s="2" t="s">
        <v>33</v>
      </c>
      <c r="K835" s="1" t="s">
        <v>1525</v>
      </c>
      <c r="L835" s="1" t="s">
        <v>34</v>
      </c>
    </row>
    <row r="836" spans="2:12" ht="70" hidden="1" x14ac:dyDescent="0.35">
      <c r="B836" s="2">
        <v>415</v>
      </c>
      <c r="C836" s="5">
        <v>45814</v>
      </c>
      <c r="D836" s="3" t="s">
        <v>26</v>
      </c>
      <c r="E836" s="3" t="s">
        <v>1570</v>
      </c>
      <c r="F836" s="14" t="s">
        <v>1571</v>
      </c>
      <c r="G836" s="4" t="s">
        <v>51</v>
      </c>
      <c r="H836" s="2" t="s">
        <v>17</v>
      </c>
      <c r="I836" s="2" t="s">
        <v>24</v>
      </c>
      <c r="J836" s="2" t="s">
        <v>33</v>
      </c>
      <c r="K836" s="1" t="s">
        <v>1525</v>
      </c>
      <c r="L836" s="1" t="s">
        <v>26</v>
      </c>
    </row>
    <row r="837" spans="2:12" ht="42" hidden="1" x14ac:dyDescent="0.35">
      <c r="B837" s="2">
        <v>423</v>
      </c>
      <c r="C837" s="5">
        <v>45818</v>
      </c>
      <c r="D837" s="3" t="s">
        <v>34</v>
      </c>
      <c r="E837" s="3" t="s">
        <v>1572</v>
      </c>
      <c r="F837" s="14" t="s">
        <v>1573</v>
      </c>
      <c r="G837" s="4" t="s">
        <v>51</v>
      </c>
      <c r="H837" s="2" t="s">
        <v>17</v>
      </c>
      <c r="I837" s="2" t="s">
        <v>24</v>
      </c>
      <c r="J837" s="2" t="s">
        <v>54</v>
      </c>
      <c r="K837" s="1" t="s">
        <v>1525</v>
      </c>
      <c r="L837" s="1" t="s">
        <v>34</v>
      </c>
    </row>
    <row r="838" spans="2:12" ht="56" hidden="1" x14ac:dyDescent="0.35">
      <c r="B838" s="2">
        <v>424</v>
      </c>
      <c r="C838" s="5">
        <v>45818</v>
      </c>
      <c r="D838" s="3" t="s">
        <v>26</v>
      </c>
      <c r="E838" s="3" t="s">
        <v>1574</v>
      </c>
      <c r="F838" s="14" t="s">
        <v>1575</v>
      </c>
      <c r="G838" s="4" t="s">
        <v>51</v>
      </c>
      <c r="H838" s="2" t="s">
        <v>17</v>
      </c>
      <c r="I838" s="2" t="s">
        <v>37</v>
      </c>
      <c r="J838" s="2" t="s">
        <v>112</v>
      </c>
      <c r="K838" s="1" t="s">
        <v>1525</v>
      </c>
      <c r="L838" s="1" t="s">
        <v>26</v>
      </c>
    </row>
    <row r="839" spans="2:12" ht="42" hidden="1" x14ac:dyDescent="0.35">
      <c r="B839" s="2">
        <v>464</v>
      </c>
      <c r="C839" s="5">
        <v>45833</v>
      </c>
      <c r="D839" s="3" t="s">
        <v>34</v>
      </c>
      <c r="E839" s="3" t="s">
        <v>1576</v>
      </c>
      <c r="F839" s="14" t="s">
        <v>1181</v>
      </c>
      <c r="G839" s="4" t="s">
        <v>16</v>
      </c>
      <c r="H839" s="2" t="s">
        <v>17</v>
      </c>
      <c r="I839" s="2" t="s">
        <v>24</v>
      </c>
      <c r="J839" s="2" t="s">
        <v>25</v>
      </c>
      <c r="K839" s="1" t="s">
        <v>1525</v>
      </c>
      <c r="L839" s="1" t="s">
        <v>34</v>
      </c>
    </row>
    <row r="840" spans="2:12" ht="42" hidden="1" x14ac:dyDescent="0.35">
      <c r="B840" s="2">
        <v>467</v>
      </c>
      <c r="C840" s="5">
        <v>45834</v>
      </c>
      <c r="D840" s="3" t="s">
        <v>26</v>
      </c>
      <c r="E840" s="3" t="s">
        <v>1577</v>
      </c>
      <c r="F840" s="14" t="s">
        <v>602</v>
      </c>
      <c r="G840" s="4" t="s">
        <v>16</v>
      </c>
      <c r="H840" s="2" t="s">
        <v>17</v>
      </c>
      <c r="I840" s="2" t="s">
        <v>18</v>
      </c>
      <c r="J840" s="2" t="s">
        <v>19</v>
      </c>
      <c r="K840" s="1" t="s">
        <v>1525</v>
      </c>
      <c r="L840" s="1" t="s">
        <v>26</v>
      </c>
    </row>
    <row r="841" spans="2:12" ht="28" hidden="1" x14ac:dyDescent="0.35">
      <c r="B841" s="2">
        <v>9138</v>
      </c>
      <c r="C841" s="5">
        <v>45852</v>
      </c>
      <c r="D841" s="3" t="s">
        <v>34</v>
      </c>
      <c r="E841" s="3" t="s">
        <v>1578</v>
      </c>
      <c r="F841" s="14" t="s">
        <v>1579</v>
      </c>
      <c r="G841" s="4" t="s">
        <v>51</v>
      </c>
      <c r="H841" s="2" t="s">
        <v>17</v>
      </c>
      <c r="I841" s="2" t="s">
        <v>18</v>
      </c>
      <c r="J841" s="2" t="s">
        <v>19</v>
      </c>
      <c r="K841" s="1" t="s">
        <v>1525</v>
      </c>
      <c r="L841" s="1" t="s">
        <v>34</v>
      </c>
    </row>
    <row r="842" spans="2:12" ht="56" hidden="1" x14ac:dyDescent="0.35">
      <c r="B842" s="2">
        <v>9155</v>
      </c>
      <c r="C842" s="5">
        <v>45852</v>
      </c>
      <c r="D842" s="3" t="s">
        <v>26</v>
      </c>
      <c r="E842" s="3" t="s">
        <v>1580</v>
      </c>
      <c r="F842" s="14" t="s">
        <v>1581</v>
      </c>
      <c r="G842" s="4" t="s">
        <v>51</v>
      </c>
      <c r="H842" s="2" t="s">
        <v>17</v>
      </c>
      <c r="I842" s="2" t="s">
        <v>18</v>
      </c>
      <c r="J842" s="2" t="s">
        <v>556</v>
      </c>
      <c r="K842" s="1" t="s">
        <v>1525</v>
      </c>
      <c r="L842" s="1" t="s">
        <v>26</v>
      </c>
    </row>
    <row r="843" spans="2:12" ht="42" hidden="1" x14ac:dyDescent="0.35">
      <c r="B843" s="2">
        <v>9330</v>
      </c>
      <c r="C843" s="5">
        <v>45869</v>
      </c>
      <c r="D843" s="3" t="s">
        <v>26</v>
      </c>
      <c r="E843" s="3" t="s">
        <v>1582</v>
      </c>
      <c r="F843" s="14" t="s">
        <v>1583</v>
      </c>
      <c r="G843" s="4" t="s">
        <v>51</v>
      </c>
      <c r="H843" s="2" t="s">
        <v>17</v>
      </c>
      <c r="I843" s="2" t="s">
        <v>18</v>
      </c>
      <c r="J843" s="2" t="s">
        <v>19</v>
      </c>
      <c r="K843" s="1" t="s">
        <v>1525</v>
      </c>
      <c r="L843" s="1" t="s">
        <v>26</v>
      </c>
    </row>
    <row r="844" spans="2:12" ht="42" hidden="1" x14ac:dyDescent="0.35">
      <c r="B844" s="2">
        <v>9331</v>
      </c>
      <c r="C844" s="5">
        <v>45869</v>
      </c>
      <c r="D844" s="3" t="s">
        <v>34</v>
      </c>
      <c r="E844" s="3" t="s">
        <v>1584</v>
      </c>
      <c r="F844" s="14" t="s">
        <v>1585</v>
      </c>
      <c r="G844" s="4" t="s">
        <v>51</v>
      </c>
      <c r="H844" s="2" t="s">
        <v>17</v>
      </c>
      <c r="I844" s="2" t="s">
        <v>24</v>
      </c>
      <c r="J844" s="2" t="s">
        <v>54</v>
      </c>
      <c r="K844" s="1" t="s">
        <v>1525</v>
      </c>
      <c r="L844" s="1" t="s">
        <v>34</v>
      </c>
    </row>
    <row r="845" spans="2:12" ht="42" hidden="1" x14ac:dyDescent="0.35">
      <c r="B845" s="2">
        <v>9624</v>
      </c>
      <c r="C845" s="5">
        <v>45898</v>
      </c>
      <c r="D845" s="3" t="s">
        <v>26</v>
      </c>
      <c r="E845" s="3" t="s">
        <v>1586</v>
      </c>
      <c r="F845" s="14" t="s">
        <v>1587</v>
      </c>
      <c r="G845" s="4" t="s">
        <v>16</v>
      </c>
      <c r="H845" s="2" t="s">
        <v>17</v>
      </c>
      <c r="I845" s="2" t="s">
        <v>24</v>
      </c>
      <c r="J845" s="2" t="s">
        <v>44</v>
      </c>
      <c r="K845" s="1" t="s">
        <v>1525</v>
      </c>
      <c r="L845" s="1" t="s">
        <v>26</v>
      </c>
    </row>
    <row r="846" spans="2:12" ht="56" hidden="1" x14ac:dyDescent="0.35">
      <c r="B846" s="2">
        <v>9627</v>
      </c>
      <c r="C846" s="5">
        <v>45898</v>
      </c>
      <c r="D846" s="3" t="s">
        <v>26</v>
      </c>
      <c r="E846" s="3" t="s">
        <v>1588</v>
      </c>
      <c r="F846" s="14" t="s">
        <v>58</v>
      </c>
      <c r="G846" s="4" t="s">
        <v>16</v>
      </c>
      <c r="H846" s="2" t="s">
        <v>17</v>
      </c>
      <c r="I846" s="2" t="s">
        <v>24</v>
      </c>
      <c r="J846" s="2" t="s">
        <v>33</v>
      </c>
      <c r="K846" s="1" t="s">
        <v>1525</v>
      </c>
      <c r="L846" s="1" t="s">
        <v>26</v>
      </c>
    </row>
    <row r="847" spans="2:12" ht="37" hidden="1" customHeight="1" x14ac:dyDescent="0.35">
      <c r="B847" s="2">
        <v>9691</v>
      </c>
      <c r="C847" s="5">
        <v>45905</v>
      </c>
      <c r="D847" s="3" t="s">
        <v>34</v>
      </c>
      <c r="E847" s="3" t="s">
        <v>1589</v>
      </c>
      <c r="F847" s="14" t="s">
        <v>85</v>
      </c>
      <c r="G847" s="4" t="s">
        <v>16</v>
      </c>
      <c r="H847" s="2" t="s">
        <v>17</v>
      </c>
      <c r="I847" s="2" t="s">
        <v>24</v>
      </c>
      <c r="J847" s="2" t="s">
        <v>33</v>
      </c>
      <c r="K847" s="1" t="s">
        <v>1525</v>
      </c>
      <c r="L847" s="1" t="s">
        <v>34</v>
      </c>
    </row>
    <row r="848" spans="2:12" ht="44.5" hidden="1" customHeight="1" x14ac:dyDescent="0.35">
      <c r="B848" s="2">
        <v>9795</v>
      </c>
      <c r="C848" s="5">
        <v>45919</v>
      </c>
      <c r="D848" s="3" t="s">
        <v>26</v>
      </c>
      <c r="E848" s="3" t="s">
        <v>1590</v>
      </c>
      <c r="F848" s="14" t="s">
        <v>1591</v>
      </c>
      <c r="G848" s="4" t="s">
        <v>51</v>
      </c>
      <c r="H848" s="2" t="s">
        <v>17</v>
      </c>
      <c r="I848" s="2" t="s">
        <v>37</v>
      </c>
      <c r="J848" s="2" t="s">
        <v>38</v>
      </c>
      <c r="K848" s="1" t="s">
        <v>1525</v>
      </c>
      <c r="L848" s="1" t="s">
        <v>26</v>
      </c>
    </row>
    <row r="849" spans="2:12" ht="28" hidden="1" x14ac:dyDescent="0.35">
      <c r="B849" s="2">
        <v>9794</v>
      </c>
      <c r="C849" s="5">
        <v>45919</v>
      </c>
      <c r="D849" s="3" t="s">
        <v>26</v>
      </c>
      <c r="E849" s="3" t="s">
        <v>1592</v>
      </c>
      <c r="F849" s="14" t="s">
        <v>602</v>
      </c>
      <c r="G849" s="4" t="s">
        <v>16</v>
      </c>
      <c r="H849" s="2" t="s">
        <v>17</v>
      </c>
      <c r="I849" s="2" t="s">
        <v>18</v>
      </c>
      <c r="J849" s="2" t="s">
        <v>171</v>
      </c>
      <c r="K849" s="1" t="s">
        <v>1525</v>
      </c>
      <c r="L849" s="1" t="s">
        <v>26</v>
      </c>
    </row>
    <row r="850" spans="2:12" ht="42" hidden="1" x14ac:dyDescent="0.35">
      <c r="B850" s="2">
        <v>9931</v>
      </c>
      <c r="C850" s="5">
        <v>45930</v>
      </c>
      <c r="D850" s="3" t="s">
        <v>34</v>
      </c>
      <c r="E850" s="3" t="s">
        <v>1593</v>
      </c>
      <c r="F850" s="14" t="s">
        <v>1594</v>
      </c>
      <c r="G850" s="4" t="s">
        <v>51</v>
      </c>
      <c r="H850" s="2" t="s">
        <v>17</v>
      </c>
      <c r="I850" s="2" t="s">
        <v>18</v>
      </c>
      <c r="J850" s="2" t="s">
        <v>19</v>
      </c>
      <c r="K850" s="1" t="s">
        <v>1525</v>
      </c>
      <c r="L850" s="1" t="s">
        <v>34</v>
      </c>
    </row>
    <row r="851" spans="2:12" ht="42" hidden="1" x14ac:dyDescent="0.35">
      <c r="B851" s="2">
        <v>10032</v>
      </c>
      <c r="C851" s="5">
        <v>45944</v>
      </c>
      <c r="D851" s="3" t="s">
        <v>34</v>
      </c>
      <c r="E851" s="3" t="s">
        <v>1595</v>
      </c>
      <c r="F851" s="14" t="s">
        <v>1596</v>
      </c>
      <c r="G851" s="4" t="s">
        <v>51</v>
      </c>
      <c r="H851" s="2" t="s">
        <v>17</v>
      </c>
      <c r="I851" s="2" t="s">
        <v>18</v>
      </c>
      <c r="J851" s="2" t="s">
        <v>556</v>
      </c>
      <c r="K851" s="1" t="s">
        <v>1525</v>
      </c>
      <c r="L851" s="1" t="s">
        <v>34</v>
      </c>
    </row>
    <row r="852" spans="2:12" ht="42" hidden="1" x14ac:dyDescent="0.35">
      <c r="B852" s="2">
        <v>10031</v>
      </c>
      <c r="C852" s="5">
        <v>45944</v>
      </c>
      <c r="D852" s="3" t="s">
        <v>26</v>
      </c>
      <c r="E852" s="3" t="s">
        <v>1597</v>
      </c>
      <c r="F852" s="14" t="s">
        <v>1455</v>
      </c>
      <c r="G852" s="4" t="s">
        <v>51</v>
      </c>
      <c r="H852" s="2" t="s">
        <v>17</v>
      </c>
      <c r="I852" s="2" t="s">
        <v>18</v>
      </c>
      <c r="J852" s="2" t="s">
        <v>19</v>
      </c>
      <c r="K852" s="1" t="s">
        <v>1525</v>
      </c>
      <c r="L852" s="1" t="s">
        <v>26</v>
      </c>
    </row>
    <row r="853" spans="2:12" ht="42" hidden="1" x14ac:dyDescent="0.35">
      <c r="B853" s="2">
        <v>10165</v>
      </c>
      <c r="C853" s="5">
        <v>45961</v>
      </c>
      <c r="D853" s="3" t="s">
        <v>34</v>
      </c>
      <c r="E853" s="3" t="s">
        <v>1598</v>
      </c>
      <c r="F853" s="14" t="s">
        <v>85</v>
      </c>
      <c r="G853" s="4" t="s">
        <v>16</v>
      </c>
      <c r="H853" s="2" t="s">
        <v>17</v>
      </c>
      <c r="I853" s="2" t="s">
        <v>24</v>
      </c>
      <c r="J853" s="2" t="s">
        <v>29</v>
      </c>
      <c r="K853" s="1" t="s">
        <v>1525</v>
      </c>
      <c r="L853" s="1" t="s">
        <v>34</v>
      </c>
    </row>
    <row r="854" spans="2:12" ht="42" hidden="1" x14ac:dyDescent="0.35">
      <c r="B854" s="2">
        <v>10166</v>
      </c>
      <c r="C854" s="5">
        <v>45961</v>
      </c>
      <c r="D854" s="3" t="s">
        <v>34</v>
      </c>
      <c r="E854" s="3" t="s">
        <v>1599</v>
      </c>
      <c r="F854" s="14" t="s">
        <v>1160</v>
      </c>
      <c r="G854" s="4" t="s">
        <v>16</v>
      </c>
      <c r="H854" s="2" t="s">
        <v>17</v>
      </c>
      <c r="I854" s="2" t="s">
        <v>407</v>
      </c>
      <c r="J854" s="2" t="s">
        <v>909</v>
      </c>
      <c r="K854" s="1" t="s">
        <v>1525</v>
      </c>
      <c r="L854" s="1" t="s">
        <v>34</v>
      </c>
    </row>
    <row r="855" spans="2:12" ht="42" hidden="1" x14ac:dyDescent="0.35">
      <c r="B855" s="2">
        <v>10298</v>
      </c>
      <c r="C855" s="5">
        <v>45975</v>
      </c>
      <c r="D855" s="3" t="s">
        <v>26</v>
      </c>
      <c r="E855" s="3" t="s">
        <v>1600</v>
      </c>
      <c r="F855" s="14" t="s">
        <v>1601</v>
      </c>
      <c r="G855" s="4" t="s">
        <v>51</v>
      </c>
      <c r="H855" s="2" t="s">
        <v>17</v>
      </c>
      <c r="I855" s="2" t="s">
        <v>37</v>
      </c>
      <c r="J855" s="2" t="s">
        <v>38</v>
      </c>
      <c r="K855" s="1" t="s">
        <v>1525</v>
      </c>
      <c r="L855" s="1" t="s">
        <v>26</v>
      </c>
    </row>
    <row r="856" spans="2:12" ht="56" hidden="1" x14ac:dyDescent="0.35">
      <c r="B856" s="2">
        <v>10299</v>
      </c>
      <c r="C856" s="5">
        <v>45975</v>
      </c>
      <c r="D856" s="3" t="s">
        <v>34</v>
      </c>
      <c r="E856" s="3" t="s">
        <v>1602</v>
      </c>
      <c r="F856" s="14" t="s">
        <v>1603</v>
      </c>
      <c r="G856" s="4" t="s">
        <v>51</v>
      </c>
      <c r="H856" s="2" t="s">
        <v>17</v>
      </c>
      <c r="I856" s="2" t="s">
        <v>18</v>
      </c>
      <c r="J856" s="2" t="s">
        <v>19</v>
      </c>
      <c r="K856" s="1" t="s">
        <v>1525</v>
      </c>
      <c r="L856" s="1" t="s">
        <v>34</v>
      </c>
    </row>
    <row r="857" spans="2:12" ht="56" hidden="1" x14ac:dyDescent="0.35">
      <c r="B857" s="2">
        <v>10424</v>
      </c>
      <c r="C857" s="5">
        <v>45992</v>
      </c>
      <c r="D857" s="3" t="s">
        <v>34</v>
      </c>
      <c r="E857" s="3" t="s">
        <v>1604</v>
      </c>
      <c r="F857" s="14" t="s">
        <v>1605</v>
      </c>
      <c r="G857" s="4" t="s">
        <v>51</v>
      </c>
      <c r="H857" s="2" t="s">
        <v>17</v>
      </c>
      <c r="I857" s="2" t="s">
        <v>24</v>
      </c>
      <c r="J857" s="2" t="s">
        <v>44</v>
      </c>
      <c r="K857" s="1" t="s">
        <v>1525</v>
      </c>
      <c r="L857" s="1" t="s">
        <v>34</v>
      </c>
    </row>
    <row r="858" spans="2:12" ht="42" hidden="1" x14ac:dyDescent="0.35">
      <c r="B858" s="2">
        <v>10987</v>
      </c>
      <c r="C858" s="5">
        <v>46052</v>
      </c>
      <c r="D858" s="3" t="s">
        <v>34</v>
      </c>
      <c r="E858" s="3" t="s">
        <v>1606</v>
      </c>
      <c r="F858" s="14" t="s">
        <v>1607</v>
      </c>
      <c r="G858" s="4" t="s">
        <v>16</v>
      </c>
      <c r="H858" s="2" t="s">
        <v>17</v>
      </c>
      <c r="I858" s="2" t="s">
        <v>24</v>
      </c>
      <c r="J858" s="2" t="s">
        <v>33</v>
      </c>
      <c r="K858" s="1" t="s">
        <v>1525</v>
      </c>
      <c r="L858" s="1" t="s">
        <v>34</v>
      </c>
    </row>
    <row r="859" spans="2:12" ht="42" hidden="1" x14ac:dyDescent="0.35">
      <c r="B859" s="2">
        <v>10986</v>
      </c>
      <c r="C859" s="5">
        <v>46052</v>
      </c>
      <c r="D859" s="3" t="s">
        <v>34</v>
      </c>
      <c r="E859" s="3" t="s">
        <v>1608</v>
      </c>
      <c r="F859" s="14" t="s">
        <v>1609</v>
      </c>
      <c r="G859" s="4" t="s">
        <v>16</v>
      </c>
      <c r="H859" s="2" t="s">
        <v>17</v>
      </c>
      <c r="I859" s="2" t="s">
        <v>37</v>
      </c>
      <c r="J859" s="2" t="s">
        <v>38</v>
      </c>
      <c r="K859" s="1" t="s">
        <v>1525</v>
      </c>
      <c r="L859" s="1" t="s">
        <v>26</v>
      </c>
    </row>
    <row r="860" spans="2:12" ht="42" hidden="1" x14ac:dyDescent="0.35">
      <c r="B860" s="2">
        <v>10985</v>
      </c>
      <c r="C860" s="5">
        <v>46052</v>
      </c>
      <c r="D860" s="3" t="s">
        <v>34</v>
      </c>
      <c r="E860" s="3" t="s">
        <v>1610</v>
      </c>
      <c r="F860" s="14" t="s">
        <v>1611</v>
      </c>
      <c r="G860" s="4" t="s">
        <v>51</v>
      </c>
      <c r="H860" s="2" t="s">
        <v>17</v>
      </c>
      <c r="I860" s="2" t="s">
        <v>37</v>
      </c>
      <c r="J860" s="2" t="s">
        <v>38</v>
      </c>
      <c r="K860" s="1" t="s">
        <v>1525</v>
      </c>
      <c r="L860" s="1" t="s">
        <v>26</v>
      </c>
    </row>
    <row r="861" spans="2:12" ht="42" hidden="1" x14ac:dyDescent="0.35">
      <c r="B861" s="2">
        <v>11250</v>
      </c>
      <c r="C861" s="24">
        <v>46080</v>
      </c>
      <c r="D861" s="3" t="s">
        <v>26</v>
      </c>
      <c r="E861" s="3" t="s">
        <v>1612</v>
      </c>
      <c r="F861" s="14" t="s">
        <v>1613</v>
      </c>
      <c r="G861" s="4" t="s">
        <v>51</v>
      </c>
      <c r="H861" s="2" t="s">
        <v>17</v>
      </c>
      <c r="I861" s="2" t="s">
        <v>18</v>
      </c>
      <c r="J861" s="2" t="s">
        <v>19</v>
      </c>
      <c r="K861" s="1" t="s">
        <v>1525</v>
      </c>
      <c r="L861" s="1" t="s">
        <v>26</v>
      </c>
    </row>
    <row r="862" spans="2:12" ht="56" hidden="1" x14ac:dyDescent="0.35">
      <c r="B862" s="2">
        <v>11249</v>
      </c>
      <c r="C862" s="24">
        <v>46080</v>
      </c>
      <c r="D862" s="3" t="s">
        <v>34</v>
      </c>
      <c r="E862" s="3" t="s">
        <v>1614</v>
      </c>
      <c r="F862" s="14" t="s">
        <v>1615</v>
      </c>
      <c r="G862" s="4" t="s">
        <v>51</v>
      </c>
      <c r="H862" s="2" t="s">
        <v>17</v>
      </c>
      <c r="I862" s="2" t="s">
        <v>18</v>
      </c>
      <c r="J862" s="2" t="s">
        <v>19</v>
      </c>
      <c r="K862" s="1" t="s">
        <v>1525</v>
      </c>
      <c r="L862" s="1" t="s">
        <v>26</v>
      </c>
    </row>
    <row r="863" spans="2:12" ht="28" hidden="1" x14ac:dyDescent="0.35">
      <c r="B863" s="2">
        <v>11251</v>
      </c>
      <c r="C863" s="24">
        <v>46080</v>
      </c>
      <c r="D863" s="3" t="s">
        <v>26</v>
      </c>
      <c r="E863" s="3" t="s">
        <v>1616</v>
      </c>
      <c r="F863" s="14" t="s">
        <v>1617</v>
      </c>
      <c r="G863" s="4" t="s">
        <v>51</v>
      </c>
      <c r="H863" s="2" t="s">
        <v>17</v>
      </c>
      <c r="I863" s="2" t="s">
        <v>18</v>
      </c>
      <c r="J863" s="2" t="s">
        <v>19</v>
      </c>
      <c r="K863" s="1" t="s">
        <v>1525</v>
      </c>
      <c r="L863" s="1" t="s">
        <v>26</v>
      </c>
    </row>
    <row r="864" spans="2:12" ht="42" hidden="1" x14ac:dyDescent="0.35">
      <c r="B864" s="2">
        <v>11258</v>
      </c>
      <c r="C864" s="24">
        <v>46083</v>
      </c>
      <c r="D864" s="3" t="s">
        <v>26</v>
      </c>
      <c r="E864" s="3" t="s">
        <v>1618</v>
      </c>
      <c r="F864" s="14" t="s">
        <v>1613</v>
      </c>
      <c r="G864" s="4" t="s">
        <v>51</v>
      </c>
      <c r="H864" s="2" t="s">
        <v>17</v>
      </c>
      <c r="I864" s="2" t="s">
        <v>18</v>
      </c>
      <c r="J864" s="2" t="s">
        <v>19</v>
      </c>
      <c r="K864" s="1" t="s">
        <v>1525</v>
      </c>
      <c r="L864" s="1" t="s">
        <v>26</v>
      </c>
    </row>
    <row r="865" spans="2:12" ht="56" hidden="1" x14ac:dyDescent="0.35">
      <c r="B865" s="2">
        <v>11257</v>
      </c>
      <c r="C865" s="24">
        <v>46083</v>
      </c>
      <c r="D865" s="3" t="s">
        <v>34</v>
      </c>
      <c r="E865" s="3" t="s">
        <v>1619</v>
      </c>
      <c r="F865" s="14" t="s">
        <v>1620</v>
      </c>
      <c r="G865" s="4" t="s">
        <v>51</v>
      </c>
      <c r="H865" s="2" t="s">
        <v>17</v>
      </c>
      <c r="I865" s="2" t="s">
        <v>18</v>
      </c>
      <c r="J865" s="2" t="s">
        <v>19</v>
      </c>
      <c r="K865" s="1" t="s">
        <v>1525</v>
      </c>
      <c r="L865" s="1" t="s">
        <v>26</v>
      </c>
    </row>
    <row r="866" spans="2:12" ht="28" hidden="1" x14ac:dyDescent="0.35">
      <c r="B866" s="2">
        <v>11256</v>
      </c>
      <c r="C866" s="24">
        <v>46083</v>
      </c>
      <c r="D866" s="3" t="s">
        <v>26</v>
      </c>
      <c r="E866" s="3" t="s">
        <v>1616</v>
      </c>
      <c r="F866" s="14" t="s">
        <v>1617</v>
      </c>
      <c r="G866" s="4" t="s">
        <v>51</v>
      </c>
      <c r="H866" s="2" t="s">
        <v>17</v>
      </c>
      <c r="I866" s="2" t="s">
        <v>18</v>
      </c>
      <c r="J866" s="2" t="s">
        <v>19</v>
      </c>
      <c r="K866" s="1" t="s">
        <v>1525</v>
      </c>
      <c r="L866" s="1" t="s">
        <v>34</v>
      </c>
    </row>
    <row r="867" spans="2:12" ht="56" hidden="1" x14ac:dyDescent="0.35">
      <c r="B867" s="2">
        <v>60</v>
      </c>
      <c r="C867" s="5">
        <v>45677</v>
      </c>
      <c r="D867" s="3" t="s">
        <v>96</v>
      </c>
      <c r="E867" s="3" t="s">
        <v>1621</v>
      </c>
      <c r="F867" s="14" t="s">
        <v>1622</v>
      </c>
      <c r="G867" s="4" t="s">
        <v>51</v>
      </c>
      <c r="H867" s="2" t="s">
        <v>17</v>
      </c>
      <c r="I867" s="2" t="s">
        <v>18</v>
      </c>
      <c r="J867" t="s">
        <v>68</v>
      </c>
      <c r="K867" s="1" t="s">
        <v>1623</v>
      </c>
      <c r="L867" s="1" t="s">
        <v>227</v>
      </c>
    </row>
    <row r="868" spans="2:12" ht="42" hidden="1" x14ac:dyDescent="0.35">
      <c r="B868" s="2">
        <v>36</v>
      </c>
      <c r="C868" s="5">
        <v>45670</v>
      </c>
      <c r="D868" s="3" t="s">
        <v>190</v>
      </c>
      <c r="E868" s="3" t="s">
        <v>1624</v>
      </c>
      <c r="F868" s="14" t="s">
        <v>1625</v>
      </c>
      <c r="G868" s="4" t="s">
        <v>16</v>
      </c>
      <c r="H868" s="2" t="s">
        <v>17</v>
      </c>
      <c r="I868" s="2" t="s">
        <v>24</v>
      </c>
      <c r="J868" t="s">
        <v>72</v>
      </c>
      <c r="K868" s="1" t="s">
        <v>592</v>
      </c>
      <c r="L868" s="1" t="s">
        <v>190</v>
      </c>
    </row>
    <row r="869" spans="2:12" ht="42" hidden="1" x14ac:dyDescent="0.35">
      <c r="B869" s="2">
        <v>37</v>
      </c>
      <c r="C869" s="5">
        <v>45670</v>
      </c>
      <c r="D869" s="3" t="s">
        <v>190</v>
      </c>
      <c r="E869" s="3" t="s">
        <v>1626</v>
      </c>
      <c r="F869" s="14" t="s">
        <v>981</v>
      </c>
      <c r="G869" s="4" t="s">
        <v>16</v>
      </c>
      <c r="H869" s="2" t="s">
        <v>17</v>
      </c>
      <c r="I869" s="2" t="s">
        <v>24</v>
      </c>
      <c r="J869" t="s">
        <v>72</v>
      </c>
      <c r="K869" s="1" t="s">
        <v>592</v>
      </c>
      <c r="L869" s="1" t="s">
        <v>190</v>
      </c>
    </row>
    <row r="870" spans="2:12" ht="42" hidden="1" x14ac:dyDescent="0.35">
      <c r="B870" s="2">
        <v>38</v>
      </c>
      <c r="C870" s="5">
        <v>45670</v>
      </c>
      <c r="D870" s="3" t="s">
        <v>190</v>
      </c>
      <c r="E870" s="3" t="s">
        <v>1627</v>
      </c>
      <c r="F870" s="14" t="s">
        <v>607</v>
      </c>
      <c r="G870" s="4" t="s">
        <v>16</v>
      </c>
      <c r="H870" s="2" t="s">
        <v>17</v>
      </c>
      <c r="I870" s="2" t="s">
        <v>24</v>
      </c>
      <c r="J870" t="s">
        <v>72</v>
      </c>
      <c r="K870" s="1" t="s">
        <v>592</v>
      </c>
      <c r="L870" s="1" t="s">
        <v>190</v>
      </c>
    </row>
    <row r="871" spans="2:12" ht="56" hidden="1" x14ac:dyDescent="0.35">
      <c r="B871" s="2">
        <v>50</v>
      </c>
      <c r="C871" s="5">
        <v>45673</v>
      </c>
      <c r="D871" s="3" t="s">
        <v>196</v>
      </c>
      <c r="E871" s="3" t="s">
        <v>1628</v>
      </c>
      <c r="F871" s="14" t="s">
        <v>915</v>
      </c>
      <c r="G871" s="4" t="s">
        <v>51</v>
      </c>
      <c r="H871" s="2" t="s">
        <v>17</v>
      </c>
      <c r="I871" s="2" t="s">
        <v>24</v>
      </c>
      <c r="J871" t="s">
        <v>33</v>
      </c>
      <c r="K871" s="1" t="s">
        <v>592</v>
      </c>
      <c r="L871" s="1" t="s">
        <v>190</v>
      </c>
    </row>
    <row r="872" spans="2:12" ht="56" hidden="1" x14ac:dyDescent="0.35">
      <c r="B872" s="2">
        <v>114</v>
      </c>
      <c r="C872" s="5">
        <v>45702</v>
      </c>
      <c r="D872" s="3" t="s">
        <v>250</v>
      </c>
      <c r="E872" s="3" t="s">
        <v>1629</v>
      </c>
      <c r="F872" s="14" t="s">
        <v>1630</v>
      </c>
      <c r="G872" s="4" t="s">
        <v>16</v>
      </c>
      <c r="H872" s="2" t="s">
        <v>17</v>
      </c>
      <c r="I872" s="2" t="s">
        <v>24</v>
      </c>
      <c r="J872" s="2" t="s">
        <v>33</v>
      </c>
      <c r="K872" s="1" t="s">
        <v>592</v>
      </c>
      <c r="L872" s="1" t="s">
        <v>250</v>
      </c>
    </row>
    <row r="873" spans="2:12" ht="28" hidden="1" x14ac:dyDescent="0.35">
      <c r="B873" s="2">
        <v>190</v>
      </c>
      <c r="C873" s="5">
        <v>45730</v>
      </c>
      <c r="D873" s="3" t="s">
        <v>250</v>
      </c>
      <c r="E873" s="3" t="s">
        <v>1631</v>
      </c>
      <c r="F873" s="14" t="s">
        <v>1632</v>
      </c>
      <c r="G873" s="4" t="s">
        <v>51</v>
      </c>
      <c r="H873" s="2" t="s">
        <v>17</v>
      </c>
      <c r="I873" s="2" t="s">
        <v>18</v>
      </c>
      <c r="J873" s="2" t="s">
        <v>19</v>
      </c>
      <c r="K873" s="1" t="s">
        <v>592</v>
      </c>
      <c r="L873" s="1" t="s">
        <v>190</v>
      </c>
    </row>
    <row r="874" spans="2:12" ht="28" hidden="1" x14ac:dyDescent="0.35">
      <c r="B874" s="2">
        <v>252</v>
      </c>
      <c r="C874" s="5">
        <v>45758</v>
      </c>
      <c r="D874" s="3" t="s">
        <v>26</v>
      </c>
      <c r="E874" s="3" t="s">
        <v>1633</v>
      </c>
      <c r="F874" s="14" t="s">
        <v>388</v>
      </c>
      <c r="G874" s="4" t="s">
        <v>16</v>
      </c>
      <c r="H874" s="2" t="s">
        <v>17</v>
      </c>
      <c r="I874" s="2" t="s">
        <v>24</v>
      </c>
      <c r="J874" s="2" t="s">
        <v>54</v>
      </c>
      <c r="K874" s="1" t="s">
        <v>592</v>
      </c>
      <c r="L874" s="1" t="s">
        <v>190</v>
      </c>
    </row>
    <row r="875" spans="2:12" ht="42" hidden="1" x14ac:dyDescent="0.35">
      <c r="B875" s="2">
        <v>304</v>
      </c>
      <c r="C875" s="5">
        <v>45777</v>
      </c>
      <c r="D875" s="3" t="s">
        <v>250</v>
      </c>
      <c r="E875" s="3" t="s">
        <v>1634</v>
      </c>
      <c r="F875" s="14" t="s">
        <v>1259</v>
      </c>
      <c r="G875" s="4" t="s">
        <v>16</v>
      </c>
      <c r="H875" s="2" t="s">
        <v>17</v>
      </c>
      <c r="I875" s="2" t="s">
        <v>24</v>
      </c>
      <c r="J875" s="2" t="s">
        <v>44</v>
      </c>
      <c r="K875" s="1" t="s">
        <v>592</v>
      </c>
      <c r="L875" s="1" t="s">
        <v>250</v>
      </c>
    </row>
    <row r="876" spans="2:12" ht="42" hidden="1" x14ac:dyDescent="0.35">
      <c r="B876" s="2">
        <v>305</v>
      </c>
      <c r="C876" s="5">
        <v>45777</v>
      </c>
      <c r="D876" s="3" t="s">
        <v>250</v>
      </c>
      <c r="E876" s="3" t="s">
        <v>1635</v>
      </c>
      <c r="F876" s="14" t="s">
        <v>1636</v>
      </c>
      <c r="G876" s="4" t="s">
        <v>51</v>
      </c>
      <c r="H876" s="2" t="s">
        <v>17</v>
      </c>
      <c r="I876" s="2" t="s">
        <v>24</v>
      </c>
      <c r="J876" s="2" t="s">
        <v>72</v>
      </c>
      <c r="K876" s="1" t="s">
        <v>592</v>
      </c>
      <c r="L876" s="1" t="s">
        <v>250</v>
      </c>
    </row>
    <row r="877" spans="2:12" ht="28" hidden="1" x14ac:dyDescent="0.35">
      <c r="B877" s="2">
        <v>306</v>
      </c>
      <c r="C877" s="5">
        <v>45777</v>
      </c>
      <c r="D877" s="3" t="s">
        <v>250</v>
      </c>
      <c r="E877" s="3" t="s">
        <v>1637</v>
      </c>
      <c r="F877" s="14" t="s">
        <v>1638</v>
      </c>
      <c r="G877" s="4" t="s">
        <v>16</v>
      </c>
      <c r="H877" s="2" t="s">
        <v>17</v>
      </c>
      <c r="I877" s="2" t="s">
        <v>37</v>
      </c>
      <c r="J877" s="2" t="s">
        <v>38</v>
      </c>
      <c r="K877" s="1" t="s">
        <v>592</v>
      </c>
      <c r="L877" s="1" t="s">
        <v>250</v>
      </c>
    </row>
    <row r="878" spans="2:12" ht="28" hidden="1" x14ac:dyDescent="0.35">
      <c r="B878" s="2">
        <v>335</v>
      </c>
      <c r="C878" s="5">
        <v>45785</v>
      </c>
      <c r="D878" s="3" t="s">
        <v>193</v>
      </c>
      <c r="E878" s="3" t="s">
        <v>1639</v>
      </c>
      <c r="F878" s="14" t="s">
        <v>1640</v>
      </c>
      <c r="G878" s="4" t="s">
        <v>51</v>
      </c>
      <c r="H878" s="2" t="s">
        <v>17</v>
      </c>
      <c r="I878" s="2" t="s">
        <v>24</v>
      </c>
      <c r="J878" s="2" t="s">
        <v>72</v>
      </c>
      <c r="K878" s="1" t="s">
        <v>592</v>
      </c>
      <c r="L878" s="1" t="s">
        <v>250</v>
      </c>
    </row>
    <row r="879" spans="2:12" ht="28" hidden="1" x14ac:dyDescent="0.35">
      <c r="B879" s="2">
        <v>458</v>
      </c>
      <c r="C879" s="5">
        <v>45831</v>
      </c>
      <c r="D879" s="3" t="s">
        <v>95</v>
      </c>
      <c r="E879" s="3" t="s">
        <v>1641</v>
      </c>
      <c r="F879" s="14" t="s">
        <v>694</v>
      </c>
      <c r="G879" s="4" t="s">
        <v>16</v>
      </c>
      <c r="H879" s="2" t="s">
        <v>17</v>
      </c>
      <c r="I879" s="2" t="s">
        <v>24</v>
      </c>
      <c r="J879" s="2" t="s">
        <v>54</v>
      </c>
      <c r="K879" s="1" t="s">
        <v>592</v>
      </c>
      <c r="L879" s="1" t="s">
        <v>250</v>
      </c>
    </row>
    <row r="880" spans="2:12" ht="28" hidden="1" x14ac:dyDescent="0.35">
      <c r="B880" s="2">
        <v>9321</v>
      </c>
      <c r="C880" s="5">
        <v>45862</v>
      </c>
      <c r="D880" s="3" t="s">
        <v>278</v>
      </c>
      <c r="E880" s="3" t="s">
        <v>1642</v>
      </c>
      <c r="F880" s="14" t="s">
        <v>1643</v>
      </c>
      <c r="G880" s="4" t="s">
        <v>16</v>
      </c>
      <c r="H880" s="2" t="s">
        <v>17</v>
      </c>
      <c r="I880" s="2" t="s">
        <v>18</v>
      </c>
      <c r="J880" s="2" t="s">
        <v>19</v>
      </c>
      <c r="K880" s="1" t="s">
        <v>592</v>
      </c>
      <c r="L880" s="1" t="s">
        <v>250</v>
      </c>
    </row>
    <row r="881" spans="2:12" ht="42" hidden="1" x14ac:dyDescent="0.35">
      <c r="B881" s="2">
        <v>10157</v>
      </c>
      <c r="C881" s="5">
        <v>45961</v>
      </c>
      <c r="D881" s="3" t="s">
        <v>190</v>
      </c>
      <c r="E881" s="3" t="s">
        <v>1644</v>
      </c>
      <c r="F881" s="14" t="s">
        <v>422</v>
      </c>
      <c r="G881" s="4" t="s">
        <v>16</v>
      </c>
      <c r="H881" s="2" t="s">
        <v>17</v>
      </c>
      <c r="I881" s="2" t="s">
        <v>37</v>
      </c>
      <c r="J881" s="2" t="s">
        <v>38</v>
      </c>
      <c r="K881" s="1" t="s">
        <v>592</v>
      </c>
      <c r="L881" s="1" t="s">
        <v>190</v>
      </c>
    </row>
    <row r="882" spans="2:12" ht="42" hidden="1" x14ac:dyDescent="0.35">
      <c r="B882" s="2">
        <v>10533</v>
      </c>
      <c r="C882" s="5">
        <v>46013</v>
      </c>
      <c r="D882" s="3" t="s">
        <v>190</v>
      </c>
      <c r="E882" s="3" t="s">
        <v>1645</v>
      </c>
      <c r="F882" s="14" t="s">
        <v>1646</v>
      </c>
      <c r="G882" s="4" t="s">
        <v>51</v>
      </c>
      <c r="H882" s="2" t="s">
        <v>17</v>
      </c>
      <c r="I882" s="2" t="s">
        <v>24</v>
      </c>
      <c r="J882" s="2" t="s">
        <v>54</v>
      </c>
      <c r="K882" s="1" t="s">
        <v>592</v>
      </c>
      <c r="L882" s="1" t="s">
        <v>190</v>
      </c>
    </row>
    <row r="883" spans="2:12" ht="28" hidden="1" x14ac:dyDescent="0.35">
      <c r="B883" s="2">
        <v>10544</v>
      </c>
      <c r="C883" s="5">
        <v>46021</v>
      </c>
      <c r="D883" s="3" t="s">
        <v>190</v>
      </c>
      <c r="E883" s="3" t="s">
        <v>1647</v>
      </c>
      <c r="F883" s="14" t="s">
        <v>1648</v>
      </c>
      <c r="G883" s="4" t="s">
        <v>16</v>
      </c>
      <c r="H883" s="2" t="s">
        <v>17</v>
      </c>
      <c r="I883" s="2" t="s">
        <v>24</v>
      </c>
      <c r="J883" s="2" t="s">
        <v>25</v>
      </c>
      <c r="K883" s="1" t="s">
        <v>592</v>
      </c>
      <c r="L883" s="1" t="s">
        <v>190</v>
      </c>
    </row>
    <row r="884" spans="2:12" ht="28" hidden="1" x14ac:dyDescent="0.35">
      <c r="B884" s="2">
        <v>10951</v>
      </c>
      <c r="C884" s="5">
        <v>46052</v>
      </c>
      <c r="D884" s="3" t="s">
        <v>190</v>
      </c>
      <c r="E884" s="3" t="s">
        <v>1649</v>
      </c>
      <c r="F884" s="14" t="s">
        <v>1650</v>
      </c>
      <c r="G884" s="4" t="s">
        <v>51</v>
      </c>
      <c r="H884" s="2" t="s">
        <v>17</v>
      </c>
      <c r="I884" s="2" t="s">
        <v>24</v>
      </c>
      <c r="J884" s="2" t="s">
        <v>33</v>
      </c>
      <c r="K884" s="1" t="s">
        <v>592</v>
      </c>
      <c r="L884" s="1" t="s">
        <v>190</v>
      </c>
    </row>
    <row r="885" spans="2:12" ht="42" hidden="1" x14ac:dyDescent="0.35">
      <c r="B885" s="2">
        <v>51</v>
      </c>
      <c r="C885" s="5">
        <v>45673</v>
      </c>
      <c r="D885" s="3" t="s">
        <v>196</v>
      </c>
      <c r="E885" s="3" t="s">
        <v>1651</v>
      </c>
      <c r="F885" s="14" t="s">
        <v>1652</v>
      </c>
      <c r="G885" s="4" t="s">
        <v>51</v>
      </c>
      <c r="H885" s="2" t="s">
        <v>17</v>
      </c>
      <c r="I885" s="2" t="s">
        <v>18</v>
      </c>
      <c r="J885" t="s">
        <v>19</v>
      </c>
      <c r="K885" s="1" t="s">
        <v>1653</v>
      </c>
      <c r="L885" s="1" t="s">
        <v>196</v>
      </c>
    </row>
    <row r="886" spans="2:12" ht="56" hidden="1" x14ac:dyDescent="0.35">
      <c r="B886" s="2">
        <v>139</v>
      </c>
      <c r="C886" s="5">
        <v>45716</v>
      </c>
      <c r="D886" s="3" t="s">
        <v>196</v>
      </c>
      <c r="E886" s="3" t="s">
        <v>1654</v>
      </c>
      <c r="F886" s="14" t="s">
        <v>1655</v>
      </c>
      <c r="G886" s="4" t="s">
        <v>16</v>
      </c>
      <c r="H886" s="2" t="s">
        <v>17</v>
      </c>
      <c r="I886" s="2" t="s">
        <v>24</v>
      </c>
      <c r="J886" s="2" t="s">
        <v>289</v>
      </c>
      <c r="K886" s="1" t="s">
        <v>1653</v>
      </c>
      <c r="L886" s="1" t="s">
        <v>196</v>
      </c>
    </row>
    <row r="887" spans="2:12" ht="42" hidden="1" x14ac:dyDescent="0.35">
      <c r="B887" s="2">
        <v>211</v>
      </c>
      <c r="C887" s="5">
        <v>45744</v>
      </c>
      <c r="D887" s="3" t="s">
        <v>196</v>
      </c>
      <c r="E887" s="3" t="s">
        <v>1656</v>
      </c>
      <c r="F887" s="14" t="s">
        <v>920</v>
      </c>
      <c r="G887" s="4" t="s">
        <v>16</v>
      </c>
      <c r="H887" s="2" t="s">
        <v>17</v>
      </c>
      <c r="I887" s="2" t="s">
        <v>18</v>
      </c>
      <c r="J887" s="2" t="s">
        <v>68</v>
      </c>
      <c r="K887" s="1" t="s">
        <v>1653</v>
      </c>
      <c r="L887" s="1" t="s">
        <v>196</v>
      </c>
    </row>
    <row r="888" spans="2:12" ht="56" hidden="1" x14ac:dyDescent="0.35">
      <c r="B888" s="2">
        <v>308</v>
      </c>
      <c r="C888" s="5">
        <v>45777</v>
      </c>
      <c r="D888" s="3" t="s">
        <v>196</v>
      </c>
      <c r="E888" s="3" t="s">
        <v>1657</v>
      </c>
      <c r="F888" s="14" t="s">
        <v>288</v>
      </c>
      <c r="G888" s="4" t="s">
        <v>51</v>
      </c>
      <c r="H888" s="2" t="s">
        <v>17</v>
      </c>
      <c r="I888" s="2" t="s">
        <v>18</v>
      </c>
      <c r="J888" s="2" t="s">
        <v>68</v>
      </c>
      <c r="K888" s="1" t="s">
        <v>1653</v>
      </c>
      <c r="L888" s="1" t="s">
        <v>196</v>
      </c>
    </row>
    <row r="889" spans="2:12" ht="56" hidden="1" x14ac:dyDescent="0.35">
      <c r="B889" s="2">
        <v>327</v>
      </c>
      <c r="C889" s="5">
        <v>45784</v>
      </c>
      <c r="D889" s="3" t="s">
        <v>196</v>
      </c>
      <c r="E889" s="3" t="s">
        <v>1658</v>
      </c>
      <c r="F889" s="14" t="s">
        <v>1659</v>
      </c>
      <c r="G889" s="4" t="s">
        <v>51</v>
      </c>
      <c r="H889" s="2" t="s">
        <v>17</v>
      </c>
      <c r="I889" s="2" t="s">
        <v>24</v>
      </c>
      <c r="J889" s="2" t="s">
        <v>54</v>
      </c>
      <c r="K889" s="1" t="s">
        <v>1653</v>
      </c>
      <c r="L889" s="1" t="s">
        <v>196</v>
      </c>
    </row>
    <row r="890" spans="2:12" ht="42" hidden="1" x14ac:dyDescent="0.35">
      <c r="B890" s="2">
        <v>9529</v>
      </c>
      <c r="C890" s="5">
        <v>45887</v>
      </c>
      <c r="D890" s="3" t="s">
        <v>395</v>
      </c>
      <c r="E890" s="3" t="s">
        <v>1660</v>
      </c>
      <c r="F890" s="14" t="s">
        <v>394</v>
      </c>
      <c r="G890" s="4" t="s">
        <v>51</v>
      </c>
      <c r="H890" s="2" t="s">
        <v>17</v>
      </c>
      <c r="I890" s="2" t="s">
        <v>37</v>
      </c>
      <c r="J890" s="2" t="s">
        <v>112</v>
      </c>
      <c r="K890" s="1" t="s">
        <v>1653</v>
      </c>
      <c r="L890" s="1" t="s">
        <v>196</v>
      </c>
    </row>
    <row r="891" spans="2:12" ht="42" hidden="1" x14ac:dyDescent="0.35">
      <c r="B891" s="2">
        <v>9929</v>
      </c>
      <c r="C891" s="5">
        <v>45930</v>
      </c>
      <c r="D891" s="3" t="s">
        <v>196</v>
      </c>
      <c r="E891" s="3" t="s">
        <v>1661</v>
      </c>
      <c r="F891" s="14" t="s">
        <v>1077</v>
      </c>
      <c r="G891" s="4" t="s">
        <v>51</v>
      </c>
      <c r="H891" s="2" t="s">
        <v>17</v>
      </c>
      <c r="I891" s="2" t="s">
        <v>18</v>
      </c>
      <c r="J891" s="2" t="s">
        <v>19</v>
      </c>
      <c r="K891" s="1" t="s">
        <v>1653</v>
      </c>
      <c r="L891" s="1" t="s">
        <v>196</v>
      </c>
    </row>
    <row r="892" spans="2:12" ht="56" hidden="1" x14ac:dyDescent="0.35">
      <c r="B892" s="2">
        <v>10167</v>
      </c>
      <c r="C892" s="5">
        <v>45961</v>
      </c>
      <c r="D892" s="3" t="s">
        <v>196</v>
      </c>
      <c r="E892" s="3" t="s">
        <v>1662</v>
      </c>
      <c r="F892" s="14" t="s">
        <v>1663</v>
      </c>
      <c r="G892" s="4" t="s">
        <v>51</v>
      </c>
      <c r="H892" s="2" t="s">
        <v>17</v>
      </c>
      <c r="I892" s="2" t="s">
        <v>37</v>
      </c>
      <c r="J892" s="2" t="s">
        <v>81</v>
      </c>
      <c r="K892" s="1" t="s">
        <v>1653</v>
      </c>
      <c r="L892" s="1" t="s">
        <v>196</v>
      </c>
    </row>
    <row r="893" spans="2:12" ht="42" hidden="1" x14ac:dyDescent="0.35">
      <c r="B893" s="2">
        <v>10374</v>
      </c>
      <c r="C893" s="5">
        <v>45989</v>
      </c>
      <c r="D893" s="3" t="s">
        <v>196</v>
      </c>
      <c r="E893" s="3" t="s">
        <v>1664</v>
      </c>
      <c r="F893" s="14" t="s">
        <v>1665</v>
      </c>
      <c r="G893" s="4" t="s">
        <v>51</v>
      </c>
      <c r="H893" s="2" t="s">
        <v>17</v>
      </c>
      <c r="I893" s="2" t="s">
        <v>18</v>
      </c>
      <c r="J893" s="2" t="s">
        <v>19</v>
      </c>
      <c r="K893" s="1" t="s">
        <v>1653</v>
      </c>
      <c r="L893" s="1" t="s">
        <v>196</v>
      </c>
    </row>
    <row r="894" spans="2:12" ht="42" hidden="1" x14ac:dyDescent="0.35">
      <c r="B894" s="2">
        <v>10988</v>
      </c>
      <c r="C894" s="5">
        <v>46053</v>
      </c>
      <c r="D894" s="3" t="s">
        <v>196</v>
      </c>
      <c r="E894" s="3" t="s">
        <v>1666</v>
      </c>
      <c r="F894" s="14" t="s">
        <v>1667</v>
      </c>
      <c r="G894" s="4" t="s">
        <v>51</v>
      </c>
      <c r="H894" s="2" t="s">
        <v>17</v>
      </c>
      <c r="I894" s="2" t="s">
        <v>18</v>
      </c>
      <c r="J894" s="2" t="s">
        <v>19</v>
      </c>
      <c r="K894" s="1" t="s">
        <v>1653</v>
      </c>
      <c r="L894" s="1" t="s">
        <v>196</v>
      </c>
    </row>
    <row r="895" spans="2:12" ht="56" hidden="1" x14ac:dyDescent="0.35">
      <c r="B895" s="2">
        <v>11247</v>
      </c>
      <c r="C895" s="24">
        <v>46080</v>
      </c>
      <c r="D895" s="3" t="s">
        <v>196</v>
      </c>
      <c r="E895" s="3" t="s">
        <v>1668</v>
      </c>
      <c r="F895" s="14" t="s">
        <v>1669</v>
      </c>
      <c r="G895" s="4" t="s">
        <v>51</v>
      </c>
      <c r="H895" s="2" t="s">
        <v>17</v>
      </c>
      <c r="I895" s="2" t="s">
        <v>24</v>
      </c>
      <c r="J895" s="2" t="s">
        <v>33</v>
      </c>
      <c r="K895" s="1" t="s">
        <v>1653</v>
      </c>
      <c r="L895" s="1" t="s">
        <v>196</v>
      </c>
    </row>
    <row r="896" spans="2:12" ht="42" hidden="1" x14ac:dyDescent="0.35">
      <c r="B896" s="2">
        <v>85</v>
      </c>
      <c r="C896" s="5">
        <v>45687</v>
      </c>
      <c r="D896" s="3" t="s">
        <v>26</v>
      </c>
      <c r="E896" s="3" t="s">
        <v>1670</v>
      </c>
      <c r="F896" s="14" t="s">
        <v>1571</v>
      </c>
      <c r="G896" s="4" t="s">
        <v>51</v>
      </c>
      <c r="H896" s="2" t="s">
        <v>17</v>
      </c>
      <c r="I896" s="2" t="s">
        <v>18</v>
      </c>
      <c r="J896" t="s">
        <v>68</v>
      </c>
      <c r="K896" s="1" t="s">
        <v>1671</v>
      </c>
      <c r="L896" s="1" t="s">
        <v>26</v>
      </c>
    </row>
    <row r="897" spans="2:12" ht="42" hidden="1" x14ac:dyDescent="0.35">
      <c r="B897" s="2">
        <v>124</v>
      </c>
      <c r="C897" s="5">
        <v>45709</v>
      </c>
      <c r="D897" s="3" t="s">
        <v>371</v>
      </c>
      <c r="E897" s="3" t="s">
        <v>1672</v>
      </c>
      <c r="F897" s="14" t="s">
        <v>1673</v>
      </c>
      <c r="G897" s="4" t="s">
        <v>51</v>
      </c>
      <c r="H897" s="2" t="s">
        <v>17</v>
      </c>
      <c r="I897" s="2" t="s">
        <v>37</v>
      </c>
      <c r="J897" s="2" t="s">
        <v>38</v>
      </c>
      <c r="K897" s="1" t="s">
        <v>1674</v>
      </c>
      <c r="L897" s="1" t="s">
        <v>371</v>
      </c>
    </row>
    <row r="898" spans="2:12" ht="42" hidden="1" x14ac:dyDescent="0.35">
      <c r="B898" s="2">
        <v>250</v>
      </c>
      <c r="C898" s="5">
        <v>45756</v>
      </c>
      <c r="D898" s="3" t="s">
        <v>190</v>
      </c>
      <c r="E898" s="3" t="s">
        <v>1675</v>
      </c>
      <c r="F898" s="14" t="s">
        <v>718</v>
      </c>
      <c r="G898" s="4" t="s">
        <v>51</v>
      </c>
      <c r="H898" s="2" t="s">
        <v>17</v>
      </c>
      <c r="I898" s="2" t="s">
        <v>37</v>
      </c>
      <c r="J898" s="2" t="s">
        <v>112</v>
      </c>
      <c r="K898" s="1" t="s">
        <v>1674</v>
      </c>
      <c r="L898" s="1" t="s">
        <v>371</v>
      </c>
    </row>
    <row r="899" spans="2:12" ht="56" hidden="1" x14ac:dyDescent="0.35">
      <c r="B899" s="2">
        <v>278</v>
      </c>
      <c r="C899" s="5">
        <v>45772</v>
      </c>
      <c r="D899" s="3" t="s">
        <v>371</v>
      </c>
      <c r="E899" s="3" t="s">
        <v>1676</v>
      </c>
      <c r="F899" s="14" t="s">
        <v>1677</v>
      </c>
      <c r="G899" s="4" t="s">
        <v>51</v>
      </c>
      <c r="H899" s="2" t="s">
        <v>17</v>
      </c>
      <c r="I899" s="2" t="s">
        <v>37</v>
      </c>
      <c r="J899" s="2" t="s">
        <v>38</v>
      </c>
      <c r="K899" s="1" t="s">
        <v>1674</v>
      </c>
      <c r="L899" s="1" t="s">
        <v>371</v>
      </c>
    </row>
    <row r="900" spans="2:12" ht="42" hidden="1" x14ac:dyDescent="0.35">
      <c r="B900" s="2">
        <v>341</v>
      </c>
      <c r="C900" s="5">
        <v>45789</v>
      </c>
      <c r="D900" s="3" t="s">
        <v>193</v>
      </c>
      <c r="E900" s="3" t="s">
        <v>1678</v>
      </c>
      <c r="F900" s="14" t="s">
        <v>1679</v>
      </c>
      <c r="G900" s="4" t="s">
        <v>51</v>
      </c>
      <c r="H900" s="2" t="s">
        <v>17</v>
      </c>
      <c r="I900" s="2" t="s">
        <v>24</v>
      </c>
      <c r="J900" s="2" t="s">
        <v>241</v>
      </c>
      <c r="K900" s="1" t="s">
        <v>1674</v>
      </c>
      <c r="L900" s="1" t="s">
        <v>371</v>
      </c>
    </row>
    <row r="901" spans="2:12" ht="70" hidden="1" x14ac:dyDescent="0.35">
      <c r="B901" s="2">
        <v>390</v>
      </c>
      <c r="C901" s="5">
        <v>45805</v>
      </c>
      <c r="D901" s="3" t="s">
        <v>193</v>
      </c>
      <c r="E901" s="3" t="s">
        <v>1680</v>
      </c>
      <c r="F901" s="14" t="s">
        <v>1681</v>
      </c>
      <c r="G901" s="4" t="s">
        <v>51</v>
      </c>
      <c r="H901" s="2" t="s">
        <v>17</v>
      </c>
      <c r="I901" s="2" t="s">
        <v>18</v>
      </c>
      <c r="J901" s="2" t="s">
        <v>19</v>
      </c>
      <c r="K901" s="1" t="s">
        <v>1674</v>
      </c>
      <c r="L901" s="1" t="s">
        <v>371</v>
      </c>
    </row>
    <row r="902" spans="2:12" ht="56" hidden="1" x14ac:dyDescent="0.35">
      <c r="B902" s="2">
        <v>9299</v>
      </c>
      <c r="C902" s="5">
        <v>45868</v>
      </c>
      <c r="D902" s="3" t="s">
        <v>371</v>
      </c>
      <c r="E902" s="3" t="s">
        <v>1682</v>
      </c>
      <c r="F902" s="14" t="s">
        <v>1683</v>
      </c>
      <c r="G902" s="4" t="s">
        <v>51</v>
      </c>
      <c r="H902" s="2" t="s">
        <v>17</v>
      </c>
      <c r="I902" s="2" t="s">
        <v>24</v>
      </c>
      <c r="J902" s="2" t="s">
        <v>63</v>
      </c>
      <c r="K902" s="1" t="s">
        <v>1674</v>
      </c>
      <c r="L902" s="1" t="s">
        <v>371</v>
      </c>
    </row>
    <row r="903" spans="2:12" ht="56" hidden="1" x14ac:dyDescent="0.35">
      <c r="B903" s="2">
        <v>9478</v>
      </c>
      <c r="C903" s="5">
        <v>45883</v>
      </c>
      <c r="D903" s="3" t="s">
        <v>190</v>
      </c>
      <c r="E903" s="3" t="s">
        <v>1684</v>
      </c>
      <c r="F903" s="14" t="s">
        <v>524</v>
      </c>
      <c r="G903" s="4" t="s">
        <v>51</v>
      </c>
      <c r="H903" s="2" t="s">
        <v>17</v>
      </c>
      <c r="I903" s="2" t="s">
        <v>18</v>
      </c>
      <c r="J903" s="2" t="s">
        <v>68</v>
      </c>
      <c r="K903" s="1" t="s">
        <v>1674</v>
      </c>
      <c r="L903" s="1" t="s">
        <v>371</v>
      </c>
    </row>
    <row r="904" spans="2:12" ht="56" hidden="1" x14ac:dyDescent="0.35">
      <c r="B904" s="2">
        <v>9477</v>
      </c>
      <c r="C904" s="5">
        <v>45872</v>
      </c>
      <c r="D904" s="3" t="s">
        <v>190</v>
      </c>
      <c r="E904" s="3" t="s">
        <v>1685</v>
      </c>
      <c r="F904" s="14" t="s">
        <v>718</v>
      </c>
      <c r="G904" s="4" t="s">
        <v>51</v>
      </c>
      <c r="H904" s="2" t="s">
        <v>17</v>
      </c>
      <c r="I904" s="2" t="s">
        <v>18</v>
      </c>
      <c r="J904" s="2" t="s">
        <v>68</v>
      </c>
      <c r="K904" s="1" t="s">
        <v>1674</v>
      </c>
      <c r="L904" s="1" t="s">
        <v>371</v>
      </c>
    </row>
    <row r="905" spans="2:12" ht="56" hidden="1" x14ac:dyDescent="0.35">
      <c r="B905" s="2">
        <v>9585</v>
      </c>
      <c r="C905" s="5">
        <v>45896</v>
      </c>
      <c r="D905" s="3" t="s">
        <v>34</v>
      </c>
      <c r="E905" s="3" t="s">
        <v>1686</v>
      </c>
      <c r="F905" s="14" t="s">
        <v>1687</v>
      </c>
      <c r="G905" s="4" t="s">
        <v>51</v>
      </c>
      <c r="H905" s="2" t="s">
        <v>281</v>
      </c>
      <c r="I905" s="2" t="s">
        <v>37</v>
      </c>
      <c r="J905" s="2" t="s">
        <v>38</v>
      </c>
      <c r="K905" s="1" t="s">
        <v>1674</v>
      </c>
      <c r="L905" s="1" t="s">
        <v>371</v>
      </c>
    </row>
    <row r="906" spans="2:12" ht="56" hidden="1" x14ac:dyDescent="0.35">
      <c r="B906" s="2">
        <v>9945</v>
      </c>
      <c r="C906" s="5">
        <v>45932</v>
      </c>
      <c r="D906" s="3" t="s">
        <v>371</v>
      </c>
      <c r="E906" s="3" t="s">
        <v>1688</v>
      </c>
      <c r="F906" s="14" t="s">
        <v>1689</v>
      </c>
      <c r="G906" s="4" t="s">
        <v>51</v>
      </c>
      <c r="H906" s="2" t="s">
        <v>17</v>
      </c>
      <c r="I906" s="2" t="s">
        <v>37</v>
      </c>
      <c r="J906" s="2" t="s">
        <v>112</v>
      </c>
      <c r="K906" s="1" t="s">
        <v>1674</v>
      </c>
      <c r="L906" s="1" t="s">
        <v>371</v>
      </c>
    </row>
    <row r="907" spans="2:12" ht="28" hidden="1" x14ac:dyDescent="0.35">
      <c r="B907" s="2">
        <v>4</v>
      </c>
      <c r="C907" s="5">
        <v>45659</v>
      </c>
      <c r="D907" s="3" t="s">
        <v>13</v>
      </c>
      <c r="E907" s="3" t="s">
        <v>1690</v>
      </c>
      <c r="F907" s="14" t="s">
        <v>1691</v>
      </c>
      <c r="G907" s="4" t="s">
        <v>16</v>
      </c>
      <c r="H907" s="2" t="s">
        <v>17</v>
      </c>
      <c r="I907" s="2" t="s">
        <v>18</v>
      </c>
      <c r="J907" t="s">
        <v>68</v>
      </c>
      <c r="K907" s="1" t="s">
        <v>1692</v>
      </c>
      <c r="L907" s="1" t="s">
        <v>13</v>
      </c>
    </row>
    <row r="908" spans="2:12" ht="28" hidden="1" x14ac:dyDescent="0.35">
      <c r="B908" s="2">
        <v>28</v>
      </c>
      <c r="C908" s="5">
        <v>45666</v>
      </c>
      <c r="D908" s="3" t="s">
        <v>134</v>
      </c>
      <c r="E908" s="3" t="s">
        <v>1693</v>
      </c>
      <c r="F908" s="14" t="s">
        <v>766</v>
      </c>
      <c r="G908" s="4" t="s">
        <v>16</v>
      </c>
      <c r="H908" s="2" t="s">
        <v>17</v>
      </c>
      <c r="I908" s="2" t="s">
        <v>24</v>
      </c>
      <c r="J908" t="s">
        <v>33</v>
      </c>
      <c r="K908" s="1" t="s">
        <v>1692</v>
      </c>
      <c r="L908" s="1" t="s">
        <v>134</v>
      </c>
    </row>
    <row r="909" spans="2:12" ht="42" hidden="1" x14ac:dyDescent="0.35">
      <c r="B909" s="2">
        <v>83</v>
      </c>
      <c r="C909" s="5">
        <v>45687</v>
      </c>
      <c r="D909" s="3" t="s">
        <v>34</v>
      </c>
      <c r="E909" s="3" t="s">
        <v>1694</v>
      </c>
      <c r="F909" s="14" t="s">
        <v>1695</v>
      </c>
      <c r="G909" s="4" t="s">
        <v>51</v>
      </c>
      <c r="H909" s="2" t="s">
        <v>17</v>
      </c>
      <c r="I909" s="2" t="s">
        <v>18</v>
      </c>
      <c r="J909" t="s">
        <v>68</v>
      </c>
      <c r="K909" s="1" t="s">
        <v>1692</v>
      </c>
      <c r="L909" s="1" t="s">
        <v>34</v>
      </c>
    </row>
    <row r="910" spans="2:12" ht="28" hidden="1" x14ac:dyDescent="0.35">
      <c r="B910" s="2">
        <v>101</v>
      </c>
      <c r="C910" s="5">
        <v>45694</v>
      </c>
      <c r="D910" s="3" t="s">
        <v>134</v>
      </c>
      <c r="E910" s="3" t="s">
        <v>1696</v>
      </c>
      <c r="F910" s="14" t="s">
        <v>1259</v>
      </c>
      <c r="G910" s="4" t="s">
        <v>16</v>
      </c>
      <c r="H910" s="2" t="s">
        <v>17</v>
      </c>
      <c r="I910" s="2" t="s">
        <v>24</v>
      </c>
      <c r="J910" s="2" t="s">
        <v>33</v>
      </c>
      <c r="K910" s="1" t="s">
        <v>1692</v>
      </c>
      <c r="L910" s="1" t="s">
        <v>134</v>
      </c>
    </row>
    <row r="911" spans="2:12" ht="28" hidden="1" x14ac:dyDescent="0.35">
      <c r="B911" s="2">
        <v>102</v>
      </c>
      <c r="C911" s="5">
        <v>45694</v>
      </c>
      <c r="D911" s="3" t="s">
        <v>134</v>
      </c>
      <c r="E911" s="3" t="s">
        <v>1697</v>
      </c>
      <c r="F911" s="14" t="s">
        <v>127</v>
      </c>
      <c r="G911" s="4" t="s">
        <v>16</v>
      </c>
      <c r="H911" s="2" t="s">
        <v>17</v>
      </c>
      <c r="I911" s="2" t="s">
        <v>24</v>
      </c>
      <c r="J911" s="2" t="s">
        <v>33</v>
      </c>
      <c r="K911" s="1" t="s">
        <v>1692</v>
      </c>
      <c r="L911" s="1" t="s">
        <v>134</v>
      </c>
    </row>
    <row r="912" spans="2:12" ht="28" hidden="1" x14ac:dyDescent="0.35">
      <c r="B912" s="2">
        <v>113</v>
      </c>
      <c r="C912" s="5">
        <v>45702</v>
      </c>
      <c r="D912" s="3" t="s">
        <v>134</v>
      </c>
      <c r="E912" s="3" t="s">
        <v>1698</v>
      </c>
      <c r="F912" s="14" t="s">
        <v>1699</v>
      </c>
      <c r="G912" s="4" t="s">
        <v>16</v>
      </c>
      <c r="H912" s="2" t="s">
        <v>17</v>
      </c>
      <c r="I912" s="2" t="s">
        <v>24</v>
      </c>
      <c r="J912" s="2" t="s">
        <v>54</v>
      </c>
      <c r="K912" s="1" t="s">
        <v>1692</v>
      </c>
      <c r="L912" s="1" t="s">
        <v>134</v>
      </c>
    </row>
    <row r="913" spans="2:12" ht="28" hidden="1" x14ac:dyDescent="0.35">
      <c r="B913" s="2">
        <v>168</v>
      </c>
      <c r="C913" s="5">
        <v>45719</v>
      </c>
      <c r="D913" s="3" t="s">
        <v>134</v>
      </c>
      <c r="E913" s="3" t="s">
        <v>1700</v>
      </c>
      <c r="F913" s="14" t="s">
        <v>1155</v>
      </c>
      <c r="G913" s="4" t="s">
        <v>16</v>
      </c>
      <c r="H913" s="2" t="s">
        <v>17</v>
      </c>
      <c r="I913" s="2" t="s">
        <v>24</v>
      </c>
      <c r="J913" s="2" t="s">
        <v>347</v>
      </c>
      <c r="K913" s="1" t="s">
        <v>1692</v>
      </c>
      <c r="L913" s="1" t="s">
        <v>134</v>
      </c>
    </row>
    <row r="914" spans="2:12" ht="28" hidden="1" x14ac:dyDescent="0.35">
      <c r="B914" s="2">
        <v>169</v>
      </c>
      <c r="C914" s="5">
        <v>45719</v>
      </c>
      <c r="D914" s="3" t="s">
        <v>134</v>
      </c>
      <c r="E914" s="3" t="s">
        <v>1701</v>
      </c>
      <c r="F914" s="14" t="s">
        <v>101</v>
      </c>
      <c r="G914" s="4" t="s">
        <v>16</v>
      </c>
      <c r="H914" s="2" t="s">
        <v>17</v>
      </c>
      <c r="I914" s="2" t="s">
        <v>24</v>
      </c>
      <c r="J914" s="2" t="s">
        <v>347</v>
      </c>
      <c r="K914" s="1" t="s">
        <v>1692</v>
      </c>
      <c r="L914" s="1" t="s">
        <v>134</v>
      </c>
    </row>
    <row r="915" spans="2:12" ht="28" hidden="1" x14ac:dyDescent="0.35">
      <c r="B915" s="2">
        <v>170</v>
      </c>
      <c r="C915" s="5">
        <v>45719</v>
      </c>
      <c r="D915" s="3" t="s">
        <v>104</v>
      </c>
      <c r="E915" s="3" t="s">
        <v>1702</v>
      </c>
      <c r="F915" s="14" t="s">
        <v>109</v>
      </c>
      <c r="G915" s="4" t="s">
        <v>51</v>
      </c>
      <c r="H915" s="2" t="s">
        <v>17</v>
      </c>
      <c r="I915" s="2" t="s">
        <v>24</v>
      </c>
      <c r="J915" s="2" t="s">
        <v>347</v>
      </c>
      <c r="K915" s="1" t="s">
        <v>1692</v>
      </c>
      <c r="L915" s="1" t="s">
        <v>104</v>
      </c>
    </row>
    <row r="916" spans="2:12" ht="28" hidden="1" x14ac:dyDescent="0.35">
      <c r="B916" s="2">
        <v>171</v>
      </c>
      <c r="C916" s="5">
        <v>45719</v>
      </c>
      <c r="D916" s="3" t="s">
        <v>104</v>
      </c>
      <c r="E916" s="3" t="s">
        <v>1703</v>
      </c>
      <c r="F916" s="14" t="s">
        <v>1253</v>
      </c>
      <c r="G916" s="4" t="s">
        <v>16</v>
      </c>
      <c r="H916" s="2" t="s">
        <v>17</v>
      </c>
      <c r="I916" s="2" t="s">
        <v>24</v>
      </c>
      <c r="J916" s="2" t="s">
        <v>347</v>
      </c>
      <c r="K916" s="1" t="s">
        <v>1692</v>
      </c>
      <c r="L916" s="1" t="s">
        <v>104</v>
      </c>
    </row>
    <row r="917" spans="2:12" ht="28" hidden="1" x14ac:dyDescent="0.35">
      <c r="B917" s="2">
        <v>183</v>
      </c>
      <c r="C917" s="5">
        <v>45727</v>
      </c>
      <c r="D917" s="3" t="s">
        <v>134</v>
      </c>
      <c r="E917" s="3" t="s">
        <v>1704</v>
      </c>
      <c r="F917" s="14" t="s">
        <v>1705</v>
      </c>
      <c r="G917" s="4" t="s">
        <v>16</v>
      </c>
      <c r="H917" s="2" t="s">
        <v>17</v>
      </c>
      <c r="I917" s="2" t="s">
        <v>24</v>
      </c>
      <c r="J917" s="2" t="s">
        <v>33</v>
      </c>
      <c r="K917" s="1" t="s">
        <v>1692</v>
      </c>
      <c r="L917" s="1" t="s">
        <v>134</v>
      </c>
    </row>
    <row r="918" spans="2:12" ht="28" hidden="1" x14ac:dyDescent="0.35">
      <c r="B918" s="2">
        <v>204</v>
      </c>
      <c r="C918" s="5">
        <v>45743</v>
      </c>
      <c r="D918" s="3" t="s">
        <v>134</v>
      </c>
      <c r="E918" s="3" t="s">
        <v>1706</v>
      </c>
      <c r="F918" s="14" t="s">
        <v>101</v>
      </c>
      <c r="G918" s="4" t="s">
        <v>16</v>
      </c>
      <c r="H918" s="2" t="s">
        <v>17</v>
      </c>
      <c r="I918" s="2" t="s">
        <v>24</v>
      </c>
      <c r="J918" s="2" t="s">
        <v>347</v>
      </c>
      <c r="K918" s="1" t="s">
        <v>1692</v>
      </c>
      <c r="L918" s="1" t="s">
        <v>134</v>
      </c>
    </row>
    <row r="919" spans="2:12" ht="28" hidden="1" x14ac:dyDescent="0.35">
      <c r="B919" s="2">
        <v>205</v>
      </c>
      <c r="C919" s="5">
        <v>45743</v>
      </c>
      <c r="D919" s="3" t="s">
        <v>134</v>
      </c>
      <c r="E919" s="3" t="s">
        <v>1707</v>
      </c>
      <c r="F919" s="14" t="s">
        <v>158</v>
      </c>
      <c r="G919" s="4" t="s">
        <v>16</v>
      </c>
      <c r="H919" s="2" t="s">
        <v>17</v>
      </c>
      <c r="I919" s="2" t="s">
        <v>24</v>
      </c>
      <c r="J919" s="2" t="s">
        <v>347</v>
      </c>
      <c r="K919" s="1" t="s">
        <v>1692</v>
      </c>
      <c r="L919" s="1" t="s">
        <v>134</v>
      </c>
    </row>
    <row r="920" spans="2:12" ht="28" hidden="1" x14ac:dyDescent="0.35">
      <c r="B920" s="2">
        <v>249</v>
      </c>
      <c r="C920" s="5">
        <v>45755</v>
      </c>
      <c r="D920" s="3" t="s">
        <v>104</v>
      </c>
      <c r="E920" s="3" t="s">
        <v>1708</v>
      </c>
      <c r="F920" s="14" t="s">
        <v>164</v>
      </c>
      <c r="G920" s="4" t="s">
        <v>16</v>
      </c>
      <c r="H920" s="2" t="s">
        <v>17</v>
      </c>
      <c r="I920" s="2" t="s">
        <v>24</v>
      </c>
      <c r="J920" s="2" t="s">
        <v>33</v>
      </c>
      <c r="K920" s="1" t="s">
        <v>1692</v>
      </c>
      <c r="L920" s="1" t="s">
        <v>134</v>
      </c>
    </row>
    <row r="921" spans="2:12" ht="28" hidden="1" x14ac:dyDescent="0.35">
      <c r="B921" s="2">
        <v>259</v>
      </c>
      <c r="C921" s="5">
        <v>45762</v>
      </c>
      <c r="D921" s="3" t="s">
        <v>134</v>
      </c>
      <c r="E921" s="3" t="s">
        <v>1709</v>
      </c>
      <c r="F921" s="14" t="s">
        <v>1710</v>
      </c>
      <c r="G921" s="4" t="s">
        <v>16</v>
      </c>
      <c r="H921" s="2" t="s">
        <v>17</v>
      </c>
      <c r="I921" s="2" t="s">
        <v>37</v>
      </c>
      <c r="J921" s="2" t="s">
        <v>121</v>
      </c>
      <c r="K921" s="1" t="s">
        <v>1692</v>
      </c>
      <c r="L921" s="1" t="s">
        <v>134</v>
      </c>
    </row>
    <row r="922" spans="2:12" ht="28" hidden="1" x14ac:dyDescent="0.35">
      <c r="B922" s="2">
        <v>266</v>
      </c>
      <c r="C922" s="5">
        <v>45768</v>
      </c>
      <c r="D922" s="3" t="s">
        <v>134</v>
      </c>
      <c r="E922" s="3" t="s">
        <v>1711</v>
      </c>
      <c r="F922" s="14" t="s">
        <v>127</v>
      </c>
      <c r="G922" s="4" t="s">
        <v>16</v>
      </c>
      <c r="H922" s="2" t="s">
        <v>17</v>
      </c>
      <c r="I922" s="2" t="s">
        <v>24</v>
      </c>
      <c r="J922" s="2" t="s">
        <v>33</v>
      </c>
      <c r="K922" s="1" t="s">
        <v>1692</v>
      </c>
      <c r="L922" s="1" t="s">
        <v>134</v>
      </c>
    </row>
    <row r="923" spans="2:12" ht="28" hidden="1" x14ac:dyDescent="0.35">
      <c r="B923" s="2">
        <v>267</v>
      </c>
      <c r="C923" s="5">
        <v>45768</v>
      </c>
      <c r="D923" s="3" t="s">
        <v>134</v>
      </c>
      <c r="E923" s="3" t="s">
        <v>1712</v>
      </c>
      <c r="F923" s="14" t="s">
        <v>101</v>
      </c>
      <c r="G923" s="4" t="s">
        <v>16</v>
      </c>
      <c r="H923" s="2" t="s">
        <v>17</v>
      </c>
      <c r="I923" s="2" t="s">
        <v>24</v>
      </c>
      <c r="J923" s="2" t="s">
        <v>33</v>
      </c>
      <c r="K923" s="1" t="s">
        <v>1692</v>
      </c>
      <c r="L923" s="1" t="s">
        <v>134</v>
      </c>
    </row>
    <row r="924" spans="2:12" ht="28" hidden="1" x14ac:dyDescent="0.35">
      <c r="B924" s="2">
        <v>288</v>
      </c>
      <c r="C924" s="5">
        <v>45776</v>
      </c>
      <c r="D924" s="3" t="s">
        <v>134</v>
      </c>
      <c r="E924" s="3" t="s">
        <v>1713</v>
      </c>
      <c r="F924" s="14" t="s">
        <v>109</v>
      </c>
      <c r="G924" s="4" t="s">
        <v>16</v>
      </c>
      <c r="H924" s="2" t="s">
        <v>17</v>
      </c>
      <c r="I924" s="2" t="s">
        <v>18</v>
      </c>
      <c r="J924" s="2" t="s">
        <v>68</v>
      </c>
      <c r="K924" s="1" t="s">
        <v>1692</v>
      </c>
      <c r="L924" s="1" t="s">
        <v>134</v>
      </c>
    </row>
    <row r="925" spans="2:12" ht="28" hidden="1" x14ac:dyDescent="0.35">
      <c r="B925" s="2">
        <v>291</v>
      </c>
      <c r="C925" s="5">
        <v>45776</v>
      </c>
      <c r="D925" s="3" t="s">
        <v>134</v>
      </c>
      <c r="E925" s="3" t="s">
        <v>1714</v>
      </c>
      <c r="F925" s="14" t="s">
        <v>138</v>
      </c>
      <c r="G925" s="4" t="s">
        <v>16</v>
      </c>
      <c r="H925" s="2" t="s">
        <v>17</v>
      </c>
      <c r="I925" s="2" t="s">
        <v>18</v>
      </c>
      <c r="J925" s="2" t="s">
        <v>68</v>
      </c>
      <c r="K925" s="1" t="s">
        <v>1692</v>
      </c>
      <c r="L925" s="1" t="s">
        <v>134</v>
      </c>
    </row>
    <row r="926" spans="2:12" ht="28" hidden="1" x14ac:dyDescent="0.35">
      <c r="B926" s="2">
        <v>315</v>
      </c>
      <c r="C926" s="5">
        <v>45779</v>
      </c>
      <c r="D926" s="3" t="s">
        <v>134</v>
      </c>
      <c r="E926" s="3" t="s">
        <v>1715</v>
      </c>
      <c r="F926" s="14" t="s">
        <v>1699</v>
      </c>
      <c r="G926" s="4" t="s">
        <v>16</v>
      </c>
      <c r="H926" s="2" t="s">
        <v>17</v>
      </c>
      <c r="I926" s="2" t="s">
        <v>24</v>
      </c>
      <c r="J926" s="2" t="s">
        <v>54</v>
      </c>
      <c r="K926" s="1" t="s">
        <v>1692</v>
      </c>
      <c r="L926" s="1" t="s">
        <v>134</v>
      </c>
    </row>
    <row r="927" spans="2:12" ht="42" hidden="1" x14ac:dyDescent="0.35">
      <c r="B927" s="2">
        <v>323</v>
      </c>
      <c r="C927" s="5">
        <v>45783</v>
      </c>
      <c r="D927" s="3" t="s">
        <v>134</v>
      </c>
      <c r="E927" s="3" t="s">
        <v>1716</v>
      </c>
      <c r="F927" s="14" t="s">
        <v>1717</v>
      </c>
      <c r="G927" s="4" t="s">
        <v>16</v>
      </c>
      <c r="H927" s="2" t="s">
        <v>17</v>
      </c>
      <c r="I927" s="2" t="s">
        <v>24</v>
      </c>
      <c r="J927" s="2" t="s">
        <v>41</v>
      </c>
      <c r="K927" s="1" t="s">
        <v>1692</v>
      </c>
      <c r="L927" s="1" t="s">
        <v>134</v>
      </c>
    </row>
    <row r="928" spans="2:12" ht="28" hidden="1" x14ac:dyDescent="0.35">
      <c r="B928" s="2">
        <v>346</v>
      </c>
      <c r="C928" s="5">
        <v>45789</v>
      </c>
      <c r="D928" s="3" t="s">
        <v>104</v>
      </c>
      <c r="E928" s="3" t="s">
        <v>1718</v>
      </c>
      <c r="F928" s="14" t="s">
        <v>131</v>
      </c>
      <c r="G928" s="4" t="s">
        <v>16</v>
      </c>
      <c r="H928" s="2" t="s">
        <v>17</v>
      </c>
      <c r="I928" s="2" t="s">
        <v>24</v>
      </c>
      <c r="J928" s="2" t="s">
        <v>33</v>
      </c>
      <c r="K928" s="1" t="s">
        <v>1692</v>
      </c>
      <c r="L928" s="1" t="s">
        <v>134</v>
      </c>
    </row>
    <row r="929" spans="2:12" ht="28" hidden="1" x14ac:dyDescent="0.35">
      <c r="B929" s="2">
        <v>367</v>
      </c>
      <c r="C929" s="5">
        <v>45798</v>
      </c>
      <c r="D929" s="3" t="s">
        <v>134</v>
      </c>
      <c r="E929" s="3" t="s">
        <v>1719</v>
      </c>
      <c r="F929" s="14" t="s">
        <v>1155</v>
      </c>
      <c r="G929" s="4" t="s">
        <v>16</v>
      </c>
      <c r="H929" s="2" t="s">
        <v>17</v>
      </c>
      <c r="I929" s="2" t="s">
        <v>24</v>
      </c>
      <c r="J929" s="2" t="s">
        <v>33</v>
      </c>
      <c r="K929" s="1" t="s">
        <v>1692</v>
      </c>
      <c r="L929" s="1" t="s">
        <v>134</v>
      </c>
    </row>
    <row r="930" spans="2:12" ht="42" hidden="1" x14ac:dyDescent="0.35">
      <c r="B930" s="2">
        <v>385</v>
      </c>
      <c r="C930" s="5">
        <v>45803</v>
      </c>
      <c r="D930" s="3" t="s">
        <v>220</v>
      </c>
      <c r="E930" s="3" t="s">
        <v>1720</v>
      </c>
      <c r="F930" s="14" t="s">
        <v>1721</v>
      </c>
      <c r="G930" s="4" t="s">
        <v>51</v>
      </c>
      <c r="H930" s="2" t="s">
        <v>17</v>
      </c>
      <c r="I930" s="2" t="s">
        <v>24</v>
      </c>
      <c r="J930" s="2" t="s">
        <v>54</v>
      </c>
      <c r="K930" s="1" t="s">
        <v>1692</v>
      </c>
      <c r="L930" s="1" t="s">
        <v>220</v>
      </c>
    </row>
    <row r="931" spans="2:12" ht="28" hidden="1" x14ac:dyDescent="0.35">
      <c r="B931" s="2">
        <v>416</v>
      </c>
      <c r="C931" s="5">
        <v>45814</v>
      </c>
      <c r="D931" s="3" t="s">
        <v>134</v>
      </c>
      <c r="E931" s="3" t="s">
        <v>1722</v>
      </c>
      <c r="F931" s="14" t="s">
        <v>393</v>
      </c>
      <c r="G931" s="4" t="s">
        <v>16</v>
      </c>
      <c r="H931" s="2" t="s">
        <v>17</v>
      </c>
      <c r="I931" s="2" t="s">
        <v>24</v>
      </c>
      <c r="J931" s="2" t="s">
        <v>33</v>
      </c>
      <c r="K931" s="1" t="s">
        <v>1692</v>
      </c>
      <c r="L931" s="1" t="s">
        <v>134</v>
      </c>
    </row>
    <row r="932" spans="2:12" ht="28" hidden="1" x14ac:dyDescent="0.35">
      <c r="B932" s="2">
        <v>427</v>
      </c>
      <c r="C932" s="5">
        <v>45819</v>
      </c>
      <c r="D932" s="3" t="s">
        <v>21</v>
      </c>
      <c r="E932" s="3" t="s">
        <v>1723</v>
      </c>
      <c r="F932" s="14" t="s">
        <v>1724</v>
      </c>
      <c r="G932" s="4" t="s">
        <v>16</v>
      </c>
      <c r="H932" s="2" t="s">
        <v>17</v>
      </c>
      <c r="I932" s="2" t="s">
        <v>18</v>
      </c>
      <c r="J932" s="2" t="s">
        <v>171</v>
      </c>
      <c r="K932" s="1" t="s">
        <v>1692</v>
      </c>
      <c r="L932" s="1" t="s">
        <v>134</v>
      </c>
    </row>
    <row r="933" spans="2:12" ht="28" hidden="1" x14ac:dyDescent="0.35">
      <c r="B933" s="2">
        <v>446</v>
      </c>
      <c r="C933" s="5">
        <v>45827</v>
      </c>
      <c r="D933" s="3" t="s">
        <v>196</v>
      </c>
      <c r="E933" s="3" t="s">
        <v>1725</v>
      </c>
      <c r="F933" s="14" t="s">
        <v>1653</v>
      </c>
      <c r="G933" s="4" t="s">
        <v>16</v>
      </c>
      <c r="H933" s="2" t="s">
        <v>17</v>
      </c>
      <c r="I933" s="2" t="s">
        <v>24</v>
      </c>
      <c r="J933" s="2" t="s">
        <v>44</v>
      </c>
      <c r="K933" s="1" t="s">
        <v>1692</v>
      </c>
      <c r="L933" s="1" t="s">
        <v>134</v>
      </c>
    </row>
    <row r="934" spans="2:12" ht="28" hidden="1" x14ac:dyDescent="0.35">
      <c r="B934" s="2">
        <v>479</v>
      </c>
      <c r="C934" s="5">
        <v>45835</v>
      </c>
      <c r="D934" s="3" t="s">
        <v>134</v>
      </c>
      <c r="E934" s="3" t="s">
        <v>1726</v>
      </c>
      <c r="F934" s="14" t="s">
        <v>718</v>
      </c>
      <c r="G934" s="4" t="s">
        <v>51</v>
      </c>
      <c r="H934" s="2" t="s">
        <v>17</v>
      </c>
      <c r="I934" s="2" t="s">
        <v>37</v>
      </c>
      <c r="J934" s="2" t="s">
        <v>121</v>
      </c>
      <c r="K934" s="1" t="s">
        <v>1692</v>
      </c>
      <c r="L934" s="1" t="s">
        <v>134</v>
      </c>
    </row>
    <row r="935" spans="2:12" hidden="1" x14ac:dyDescent="0.35">
      <c r="B935" s="2">
        <v>492</v>
      </c>
      <c r="C935" s="5">
        <v>45845</v>
      </c>
      <c r="D935" s="3" t="s">
        <v>134</v>
      </c>
      <c r="E935" s="3" t="s">
        <v>1727</v>
      </c>
      <c r="F935" s="14" t="s">
        <v>1728</v>
      </c>
      <c r="G935" s="4" t="s">
        <v>51</v>
      </c>
      <c r="H935" s="2" t="s">
        <v>17</v>
      </c>
      <c r="I935" s="2" t="s">
        <v>24</v>
      </c>
      <c r="J935" s="2" t="s">
        <v>54</v>
      </c>
      <c r="K935" s="1" t="s">
        <v>1692</v>
      </c>
      <c r="L935" s="1" t="s">
        <v>134</v>
      </c>
    </row>
    <row r="936" spans="2:12" ht="28" hidden="1" x14ac:dyDescent="0.35">
      <c r="B936" s="2">
        <v>9082</v>
      </c>
      <c r="C936" s="5">
        <v>45846</v>
      </c>
      <c r="D936" s="3" t="s">
        <v>104</v>
      </c>
      <c r="E936" s="3" t="s">
        <v>1729</v>
      </c>
      <c r="F936" s="14" t="s">
        <v>138</v>
      </c>
      <c r="G936" s="4" t="s">
        <v>16</v>
      </c>
      <c r="H936" s="2" t="s">
        <v>17</v>
      </c>
      <c r="I936" s="2" t="s">
        <v>37</v>
      </c>
      <c r="J936" s="2" t="s">
        <v>81</v>
      </c>
      <c r="K936" s="1" t="s">
        <v>1692</v>
      </c>
      <c r="L936" s="1" t="s">
        <v>134</v>
      </c>
    </row>
    <row r="937" spans="2:12" hidden="1" x14ac:dyDescent="0.35">
      <c r="B937" s="2">
        <v>9133</v>
      </c>
      <c r="C937" s="5">
        <v>45848</v>
      </c>
      <c r="D937" s="3" t="s">
        <v>104</v>
      </c>
      <c r="E937" s="3" t="s">
        <v>1730</v>
      </c>
      <c r="F937" s="14" t="s">
        <v>1731</v>
      </c>
      <c r="G937" s="4" t="s">
        <v>16</v>
      </c>
      <c r="H937" s="2" t="s">
        <v>17</v>
      </c>
      <c r="I937" s="2" t="s">
        <v>37</v>
      </c>
      <c r="J937" s="2" t="s">
        <v>81</v>
      </c>
      <c r="K937" s="1" t="s">
        <v>1692</v>
      </c>
      <c r="L937" s="1" t="s">
        <v>134</v>
      </c>
    </row>
    <row r="938" spans="2:12" ht="28" hidden="1" x14ac:dyDescent="0.35">
      <c r="B938" s="2">
        <v>9132</v>
      </c>
      <c r="C938" s="5">
        <v>45848</v>
      </c>
      <c r="D938" s="3" t="s">
        <v>104</v>
      </c>
      <c r="E938" s="3" t="s">
        <v>1732</v>
      </c>
      <c r="F938" s="14" t="s">
        <v>1733</v>
      </c>
      <c r="G938" s="4" t="s">
        <v>16</v>
      </c>
      <c r="H938" s="2" t="s">
        <v>17</v>
      </c>
      <c r="I938" s="2" t="s">
        <v>37</v>
      </c>
      <c r="J938" s="2" t="s">
        <v>81</v>
      </c>
      <c r="K938" s="1" t="s">
        <v>1692</v>
      </c>
      <c r="L938" s="1" t="s">
        <v>134</v>
      </c>
    </row>
    <row r="939" spans="2:12" ht="42" hidden="1" x14ac:dyDescent="0.35">
      <c r="B939" s="2">
        <v>9212</v>
      </c>
      <c r="C939" s="5">
        <v>45854</v>
      </c>
      <c r="D939" s="3" t="s">
        <v>234</v>
      </c>
      <c r="E939" s="3" t="s">
        <v>1734</v>
      </c>
      <c r="F939" s="14" t="s">
        <v>1735</v>
      </c>
      <c r="G939" s="4" t="s">
        <v>16</v>
      </c>
      <c r="H939" s="2" t="s">
        <v>281</v>
      </c>
      <c r="I939" s="2" t="s">
        <v>24</v>
      </c>
      <c r="J939" s="2" t="s">
        <v>54</v>
      </c>
      <c r="K939" s="1" t="s">
        <v>1692</v>
      </c>
      <c r="L939" s="1" t="s">
        <v>134</v>
      </c>
    </row>
    <row r="940" spans="2:12" ht="42" hidden="1" x14ac:dyDescent="0.35">
      <c r="B940" s="2">
        <v>9273</v>
      </c>
      <c r="C940" s="5">
        <v>45866</v>
      </c>
      <c r="D940" s="3" t="s">
        <v>134</v>
      </c>
      <c r="E940" s="3" t="s">
        <v>1736</v>
      </c>
      <c r="F940" s="14" t="s">
        <v>1737</v>
      </c>
      <c r="G940" s="4" t="s">
        <v>51</v>
      </c>
      <c r="H940" s="2" t="s">
        <v>17</v>
      </c>
      <c r="I940" s="2" t="s">
        <v>24</v>
      </c>
      <c r="J940" s="2" t="s">
        <v>44</v>
      </c>
      <c r="K940" s="1" t="s">
        <v>1692</v>
      </c>
      <c r="L940" s="1" t="s">
        <v>134</v>
      </c>
    </row>
    <row r="941" spans="2:12" ht="56" hidden="1" x14ac:dyDescent="0.35">
      <c r="B941" s="2">
        <v>9387</v>
      </c>
      <c r="C941" s="5">
        <v>45876</v>
      </c>
      <c r="D941" s="3" t="s">
        <v>234</v>
      </c>
      <c r="E941" s="3" t="s">
        <v>1738</v>
      </c>
      <c r="F941" s="14" t="s">
        <v>743</v>
      </c>
      <c r="G941" s="4" t="s">
        <v>16</v>
      </c>
      <c r="H941" s="2" t="s">
        <v>281</v>
      </c>
      <c r="I941" s="2" t="s">
        <v>24</v>
      </c>
      <c r="J941" s="2" t="s">
        <v>33</v>
      </c>
      <c r="K941" s="1" t="s">
        <v>1692</v>
      </c>
      <c r="L941" s="1" t="s">
        <v>134</v>
      </c>
    </row>
    <row r="942" spans="2:12" hidden="1" x14ac:dyDescent="0.35">
      <c r="B942" s="2">
        <v>9435</v>
      </c>
      <c r="C942" s="5">
        <v>45880</v>
      </c>
      <c r="D942" s="3" t="s">
        <v>134</v>
      </c>
      <c r="E942" s="3" t="s">
        <v>1739</v>
      </c>
      <c r="F942" s="14" t="s">
        <v>854</v>
      </c>
      <c r="G942" s="4" t="s">
        <v>16</v>
      </c>
      <c r="H942" s="2" t="s">
        <v>17</v>
      </c>
      <c r="I942" s="2" t="s">
        <v>24</v>
      </c>
      <c r="J942" s="2" t="s">
        <v>54</v>
      </c>
      <c r="K942" s="1" t="s">
        <v>1692</v>
      </c>
      <c r="L942" s="1" t="s">
        <v>134</v>
      </c>
    </row>
    <row r="943" spans="2:12" ht="28" hidden="1" x14ac:dyDescent="0.35">
      <c r="B943" s="2">
        <v>9436</v>
      </c>
      <c r="C943" s="5">
        <v>45880</v>
      </c>
      <c r="D943" s="3" t="s">
        <v>134</v>
      </c>
      <c r="E943" s="3" t="s">
        <v>1740</v>
      </c>
      <c r="F943" s="14" t="s">
        <v>1710</v>
      </c>
      <c r="G943" s="4" t="s">
        <v>16</v>
      </c>
      <c r="H943" s="2" t="s">
        <v>17</v>
      </c>
      <c r="I943" s="2" t="s">
        <v>24</v>
      </c>
      <c r="J943" s="2" t="s">
        <v>54</v>
      </c>
      <c r="K943" s="1" t="s">
        <v>1692</v>
      </c>
      <c r="L943" s="1" t="s">
        <v>134</v>
      </c>
    </row>
    <row r="944" spans="2:12" ht="28" hidden="1" x14ac:dyDescent="0.35">
      <c r="B944" s="2">
        <v>9539</v>
      </c>
      <c r="C944" s="5">
        <v>45890</v>
      </c>
      <c r="D944" s="3" t="s">
        <v>134</v>
      </c>
      <c r="E944" s="3" t="s">
        <v>1741</v>
      </c>
      <c r="F944" s="14" t="s">
        <v>455</v>
      </c>
      <c r="G944" s="4" t="s">
        <v>16</v>
      </c>
      <c r="H944" s="2" t="s">
        <v>281</v>
      </c>
      <c r="I944" s="2" t="s">
        <v>24</v>
      </c>
      <c r="J944" s="2" t="s">
        <v>54</v>
      </c>
      <c r="K944" s="1" t="s">
        <v>1692</v>
      </c>
      <c r="L944" s="1" t="s">
        <v>134</v>
      </c>
    </row>
    <row r="945" spans="2:12" hidden="1" x14ac:dyDescent="0.35">
      <c r="B945" s="2">
        <v>9588</v>
      </c>
      <c r="C945" s="5">
        <v>45896</v>
      </c>
      <c r="D945" s="3" t="s">
        <v>134</v>
      </c>
      <c r="E945" s="3" t="s">
        <v>1742</v>
      </c>
      <c r="F945" s="14" t="s">
        <v>753</v>
      </c>
      <c r="G945" s="4" t="s">
        <v>16</v>
      </c>
      <c r="H945" s="2" t="s">
        <v>17</v>
      </c>
      <c r="I945" s="2" t="s">
        <v>24</v>
      </c>
      <c r="J945" s="2" t="s">
        <v>33</v>
      </c>
      <c r="K945" s="1" t="s">
        <v>1692</v>
      </c>
      <c r="L945" s="1" t="s">
        <v>134</v>
      </c>
    </row>
    <row r="946" spans="2:12" ht="28" hidden="1" x14ac:dyDescent="0.35">
      <c r="B946" s="2">
        <v>9589</v>
      </c>
      <c r="C946" s="5">
        <v>45896</v>
      </c>
      <c r="D946" s="3" t="s">
        <v>134</v>
      </c>
      <c r="E946" s="3" t="s">
        <v>1743</v>
      </c>
      <c r="F946" s="14" t="s">
        <v>1262</v>
      </c>
      <c r="G946" s="4" t="s">
        <v>51</v>
      </c>
      <c r="H946" s="2" t="s">
        <v>17</v>
      </c>
      <c r="I946" s="2" t="s">
        <v>24</v>
      </c>
      <c r="J946" s="2" t="s">
        <v>33</v>
      </c>
      <c r="K946" s="1" t="s">
        <v>1692</v>
      </c>
      <c r="L946" s="1" t="s">
        <v>134</v>
      </c>
    </row>
    <row r="947" spans="2:12" ht="28" hidden="1" x14ac:dyDescent="0.35">
      <c r="B947" s="2">
        <v>9590</v>
      </c>
      <c r="C947" s="5">
        <v>45896</v>
      </c>
      <c r="D947" s="3" t="s">
        <v>134</v>
      </c>
      <c r="E947" s="3" t="s">
        <v>1744</v>
      </c>
      <c r="F947" s="14" t="s">
        <v>101</v>
      </c>
      <c r="G947" s="4" t="s">
        <v>16</v>
      </c>
      <c r="H947" s="2" t="s">
        <v>17</v>
      </c>
      <c r="I947" s="2" t="s">
        <v>24</v>
      </c>
      <c r="J947" s="2" t="s">
        <v>33</v>
      </c>
      <c r="K947" s="1" t="s">
        <v>1692</v>
      </c>
      <c r="L947" s="1" t="s">
        <v>134</v>
      </c>
    </row>
    <row r="948" spans="2:12" ht="28" hidden="1" x14ac:dyDescent="0.35">
      <c r="B948" s="2">
        <v>9591</v>
      </c>
      <c r="C948" s="5">
        <v>45896</v>
      </c>
      <c r="D948" s="3" t="s">
        <v>134</v>
      </c>
      <c r="E948" s="3" t="s">
        <v>1745</v>
      </c>
      <c r="F948" s="14" t="s">
        <v>1746</v>
      </c>
      <c r="G948" s="4" t="s">
        <v>16</v>
      </c>
      <c r="H948" s="2" t="s">
        <v>17</v>
      </c>
      <c r="I948" s="2" t="s">
        <v>24</v>
      </c>
      <c r="J948" s="2" t="s">
        <v>33</v>
      </c>
      <c r="K948" s="1" t="s">
        <v>1692</v>
      </c>
      <c r="L948" s="1" t="s">
        <v>134</v>
      </c>
    </row>
    <row r="949" spans="2:12" hidden="1" x14ac:dyDescent="0.35">
      <c r="B949" s="2">
        <v>9689</v>
      </c>
      <c r="C949" s="5">
        <v>45905</v>
      </c>
      <c r="D949" s="3" t="s">
        <v>134</v>
      </c>
      <c r="E949" s="3" t="s">
        <v>1747</v>
      </c>
      <c r="F949" s="14" t="s">
        <v>393</v>
      </c>
      <c r="G949" s="4" t="s">
        <v>16</v>
      </c>
      <c r="H949" s="2" t="s">
        <v>281</v>
      </c>
      <c r="I949" s="2" t="s">
        <v>24</v>
      </c>
      <c r="J949" s="2" t="s">
        <v>33</v>
      </c>
      <c r="K949" s="1" t="s">
        <v>1692</v>
      </c>
      <c r="L949" s="1" t="s">
        <v>134</v>
      </c>
    </row>
    <row r="950" spans="2:12" hidden="1" x14ac:dyDescent="0.35">
      <c r="B950" s="2">
        <v>9789</v>
      </c>
      <c r="C950" s="5">
        <v>45917</v>
      </c>
      <c r="D950" s="3" t="s">
        <v>134</v>
      </c>
      <c r="E950" s="3" t="s">
        <v>1748</v>
      </c>
      <c r="F950" s="14" t="s">
        <v>393</v>
      </c>
      <c r="G950" s="4" t="s">
        <v>16</v>
      </c>
      <c r="H950" s="2" t="s">
        <v>17</v>
      </c>
      <c r="I950" s="2" t="s">
        <v>24</v>
      </c>
      <c r="J950" s="2" t="s">
        <v>54</v>
      </c>
      <c r="K950" s="1" t="s">
        <v>1692</v>
      </c>
      <c r="L950" s="1" t="s">
        <v>134</v>
      </c>
    </row>
    <row r="951" spans="2:12" ht="28" hidden="1" x14ac:dyDescent="0.35">
      <c r="B951" s="2">
        <v>9921</v>
      </c>
      <c r="C951" s="5">
        <v>45929</v>
      </c>
      <c r="D951" s="3" t="s">
        <v>134</v>
      </c>
      <c r="E951" s="3" t="s">
        <v>1749</v>
      </c>
      <c r="F951" s="14" t="s">
        <v>1155</v>
      </c>
      <c r="G951" s="4" t="s">
        <v>16</v>
      </c>
      <c r="H951" s="2" t="s">
        <v>17</v>
      </c>
      <c r="I951" s="2" t="s">
        <v>24</v>
      </c>
      <c r="J951" s="2" t="s">
        <v>54</v>
      </c>
      <c r="K951" s="1" t="s">
        <v>1692</v>
      </c>
      <c r="L951" s="1" t="s">
        <v>134</v>
      </c>
    </row>
    <row r="952" spans="2:12" hidden="1" x14ac:dyDescent="0.35">
      <c r="B952" s="2">
        <v>9968</v>
      </c>
      <c r="C952" s="5">
        <v>45937</v>
      </c>
      <c r="D952" s="3" t="s">
        <v>190</v>
      </c>
      <c r="E952" s="3" t="s">
        <v>1750</v>
      </c>
      <c r="F952" s="14" t="s">
        <v>1625</v>
      </c>
      <c r="G952" s="4" t="s">
        <v>16</v>
      </c>
      <c r="H952" s="2" t="s">
        <v>17</v>
      </c>
      <c r="I952" s="2" t="s">
        <v>24</v>
      </c>
      <c r="J952" s="2" t="s">
        <v>33</v>
      </c>
      <c r="K952" s="1" t="s">
        <v>1692</v>
      </c>
      <c r="L952" s="1" t="s">
        <v>134</v>
      </c>
    </row>
    <row r="953" spans="2:12" ht="42" hidden="1" x14ac:dyDescent="0.35">
      <c r="B953" s="2">
        <v>10009</v>
      </c>
      <c r="C953" s="5">
        <v>45940</v>
      </c>
      <c r="D953" s="3" t="s">
        <v>196</v>
      </c>
      <c r="E953" s="3" t="s">
        <v>1751</v>
      </c>
      <c r="F953" s="14" t="s">
        <v>1653</v>
      </c>
      <c r="G953" s="4" t="s">
        <v>16</v>
      </c>
      <c r="H953" s="2" t="s">
        <v>17</v>
      </c>
      <c r="I953" s="2" t="s">
        <v>24</v>
      </c>
      <c r="J953" s="2" t="s">
        <v>33</v>
      </c>
      <c r="K953" s="1" t="s">
        <v>1692</v>
      </c>
      <c r="L953" s="1" t="s">
        <v>134</v>
      </c>
    </row>
    <row r="954" spans="2:12" ht="28" hidden="1" x14ac:dyDescent="0.35">
      <c r="B954" s="2">
        <v>10096</v>
      </c>
      <c r="C954" s="5">
        <v>45951</v>
      </c>
      <c r="D954" s="3" t="s">
        <v>104</v>
      </c>
      <c r="E954" s="3" t="s">
        <v>1752</v>
      </c>
      <c r="F954" s="14" t="s">
        <v>1753</v>
      </c>
      <c r="G954" s="4" t="s">
        <v>16</v>
      </c>
      <c r="H954" s="2" t="s">
        <v>17</v>
      </c>
      <c r="I954" s="2" t="s">
        <v>24</v>
      </c>
      <c r="J954" s="2" t="s">
        <v>33</v>
      </c>
      <c r="K954" s="1" t="s">
        <v>1692</v>
      </c>
      <c r="L954" s="1" t="s">
        <v>134</v>
      </c>
    </row>
    <row r="955" spans="2:12" hidden="1" x14ac:dyDescent="0.35">
      <c r="B955" s="2">
        <v>10143</v>
      </c>
      <c r="C955" s="5">
        <v>45957</v>
      </c>
      <c r="D955" s="3" t="s">
        <v>234</v>
      </c>
      <c r="E955" s="3" t="s">
        <v>1754</v>
      </c>
      <c r="F955" s="14" t="s">
        <v>1755</v>
      </c>
      <c r="G955" s="4" t="s">
        <v>16</v>
      </c>
      <c r="H955" s="2" t="s">
        <v>17</v>
      </c>
      <c r="I955" s="2" t="s">
        <v>24</v>
      </c>
      <c r="J955" s="2" t="s">
        <v>33</v>
      </c>
      <c r="K955" s="1" t="s">
        <v>1692</v>
      </c>
      <c r="L955" s="1" t="s">
        <v>134</v>
      </c>
    </row>
    <row r="956" spans="2:12" ht="28" hidden="1" x14ac:dyDescent="0.35">
      <c r="B956" s="2">
        <v>10213</v>
      </c>
      <c r="C956" s="5">
        <v>45966</v>
      </c>
      <c r="D956" s="3" t="s">
        <v>134</v>
      </c>
      <c r="E956" s="3" t="s">
        <v>1756</v>
      </c>
      <c r="F956" s="14" t="s">
        <v>393</v>
      </c>
      <c r="G956" s="4" t="s">
        <v>16</v>
      </c>
      <c r="H956" s="2" t="s">
        <v>17</v>
      </c>
      <c r="I956" s="2" t="s">
        <v>24</v>
      </c>
      <c r="J956" s="2" t="s">
        <v>33</v>
      </c>
      <c r="K956" s="1" t="s">
        <v>1692</v>
      </c>
      <c r="L956" s="1" t="s">
        <v>134</v>
      </c>
    </row>
    <row r="957" spans="2:12" hidden="1" x14ac:dyDescent="0.35">
      <c r="B957" s="2">
        <v>10498</v>
      </c>
      <c r="C957" s="5">
        <v>46009</v>
      </c>
      <c r="D957" s="3" t="s">
        <v>95</v>
      </c>
      <c r="E957" s="3" t="s">
        <v>1754</v>
      </c>
      <c r="F957" s="14" t="s">
        <v>694</v>
      </c>
      <c r="G957" s="4" t="s">
        <v>16</v>
      </c>
      <c r="H957" s="2" t="s">
        <v>17</v>
      </c>
      <c r="I957" s="2" t="s">
        <v>24</v>
      </c>
      <c r="J957" s="2" t="s">
        <v>33</v>
      </c>
      <c r="K957" s="1" t="s">
        <v>1757</v>
      </c>
      <c r="L957" s="1" t="s">
        <v>134</v>
      </c>
    </row>
    <row r="958" spans="2:12" ht="42" hidden="1" x14ac:dyDescent="0.35">
      <c r="B958" s="2">
        <v>10507</v>
      </c>
      <c r="C958" s="5">
        <v>46014</v>
      </c>
      <c r="D958" s="3" t="s">
        <v>134</v>
      </c>
      <c r="E958" s="3" t="s">
        <v>1758</v>
      </c>
      <c r="F958" s="14" t="s">
        <v>1759</v>
      </c>
      <c r="G958" s="4" t="s">
        <v>16</v>
      </c>
      <c r="H958" s="2" t="s">
        <v>281</v>
      </c>
      <c r="I958" s="2" t="s">
        <v>18</v>
      </c>
      <c r="J958" s="2" t="s">
        <v>68</v>
      </c>
      <c r="K958" s="1" t="s">
        <v>1692</v>
      </c>
      <c r="L958" s="1" t="s">
        <v>134</v>
      </c>
    </row>
    <row r="959" spans="2:12" ht="42" hidden="1" x14ac:dyDescent="0.35">
      <c r="B959" s="2">
        <v>10508</v>
      </c>
      <c r="C959" s="5">
        <v>46014</v>
      </c>
      <c r="D959" s="3" t="s">
        <v>134</v>
      </c>
      <c r="E959" s="3" t="s">
        <v>1760</v>
      </c>
      <c r="F959" s="14" t="s">
        <v>1761</v>
      </c>
      <c r="G959" s="4" t="s">
        <v>16</v>
      </c>
      <c r="H959" s="2" t="s">
        <v>281</v>
      </c>
      <c r="I959" s="2" t="s">
        <v>18</v>
      </c>
      <c r="J959" s="2" t="s">
        <v>68</v>
      </c>
      <c r="K959" s="1" t="s">
        <v>1692</v>
      </c>
      <c r="L959" s="1" t="s">
        <v>134</v>
      </c>
    </row>
    <row r="960" spans="2:12" ht="42" hidden="1" x14ac:dyDescent="0.35">
      <c r="B960" s="2">
        <v>10509</v>
      </c>
      <c r="C960" s="5">
        <v>46014</v>
      </c>
      <c r="D960" s="3" t="s">
        <v>134</v>
      </c>
      <c r="E960" s="3" t="s">
        <v>1762</v>
      </c>
      <c r="F960" s="14" t="s">
        <v>1763</v>
      </c>
      <c r="G960" s="4" t="s">
        <v>16</v>
      </c>
      <c r="H960" s="2" t="s">
        <v>281</v>
      </c>
      <c r="I960" s="2" t="s">
        <v>18</v>
      </c>
      <c r="J960" s="2" t="s">
        <v>68</v>
      </c>
      <c r="K960" s="1" t="s">
        <v>1692</v>
      </c>
      <c r="L960" s="1" t="s">
        <v>134</v>
      </c>
    </row>
    <row r="961" spans="2:12" ht="28" hidden="1" x14ac:dyDescent="0.35">
      <c r="B961" s="2">
        <v>10506</v>
      </c>
      <c r="C961" s="5">
        <v>46014</v>
      </c>
      <c r="D961" s="3" t="s">
        <v>134</v>
      </c>
      <c r="E961" s="3" t="s">
        <v>1764</v>
      </c>
      <c r="F961" s="14" t="s">
        <v>1765</v>
      </c>
      <c r="G961" s="4" t="s">
        <v>16</v>
      </c>
      <c r="H961" s="2" t="s">
        <v>281</v>
      </c>
      <c r="I961" s="2" t="s">
        <v>18</v>
      </c>
      <c r="J961" s="2" t="s">
        <v>68</v>
      </c>
      <c r="K961" s="1" t="s">
        <v>1692</v>
      </c>
      <c r="L961" s="1" t="s">
        <v>134</v>
      </c>
    </row>
    <row r="962" spans="2:12" ht="68.5" hidden="1" customHeight="1" x14ac:dyDescent="0.35">
      <c r="B962" s="2">
        <v>10925</v>
      </c>
      <c r="C962" s="5">
        <v>46027</v>
      </c>
      <c r="D962" s="3" t="s">
        <v>234</v>
      </c>
      <c r="E962" s="3" t="s">
        <v>1766</v>
      </c>
      <c r="F962" s="14" t="s">
        <v>1767</v>
      </c>
      <c r="G962" s="4" t="s">
        <v>16</v>
      </c>
      <c r="H962" s="2" t="s">
        <v>17</v>
      </c>
      <c r="I962" s="2" t="s">
        <v>37</v>
      </c>
      <c r="J962" s="2" t="s">
        <v>81</v>
      </c>
      <c r="K962" s="1" t="s">
        <v>1757</v>
      </c>
      <c r="L962" s="1" t="s">
        <v>134</v>
      </c>
    </row>
    <row r="963" spans="2:12" ht="28" hidden="1" x14ac:dyDescent="0.35">
      <c r="B963" s="2">
        <v>10929</v>
      </c>
      <c r="C963" s="5">
        <v>46049</v>
      </c>
      <c r="D963" s="3" t="s">
        <v>104</v>
      </c>
      <c r="E963" s="3" t="s">
        <v>1768</v>
      </c>
      <c r="F963" s="14" t="s">
        <v>757</v>
      </c>
      <c r="G963" s="4" t="s">
        <v>16</v>
      </c>
      <c r="H963" s="2" t="s">
        <v>17</v>
      </c>
      <c r="I963" s="2" t="s">
        <v>37</v>
      </c>
      <c r="J963" s="2" t="s">
        <v>81</v>
      </c>
      <c r="K963" s="1" t="s">
        <v>1757</v>
      </c>
      <c r="L963" s="1" t="s">
        <v>134</v>
      </c>
    </row>
    <row r="964" spans="2:12" ht="28" hidden="1" x14ac:dyDescent="0.35">
      <c r="B964" s="2">
        <v>10928</v>
      </c>
      <c r="C964" s="5">
        <v>46049</v>
      </c>
      <c r="D964" s="3" t="s">
        <v>104</v>
      </c>
      <c r="E964" s="3" t="s">
        <v>1769</v>
      </c>
      <c r="F964" s="14" t="s">
        <v>1770</v>
      </c>
      <c r="G964" s="4" t="s">
        <v>16</v>
      </c>
      <c r="H964" s="2" t="s">
        <v>17</v>
      </c>
      <c r="I964" s="2" t="s">
        <v>37</v>
      </c>
      <c r="J964" s="2" t="s">
        <v>81</v>
      </c>
      <c r="K964" s="1" t="s">
        <v>1757</v>
      </c>
      <c r="L964" s="1" t="s">
        <v>134</v>
      </c>
    </row>
    <row r="965" spans="2:12" ht="28" hidden="1" x14ac:dyDescent="0.35">
      <c r="B965" s="2">
        <v>10927</v>
      </c>
      <c r="C965" s="5">
        <v>46042</v>
      </c>
      <c r="D965" s="3" t="s">
        <v>104</v>
      </c>
      <c r="E965" s="3" t="s">
        <v>1771</v>
      </c>
      <c r="F965" s="14" t="s">
        <v>138</v>
      </c>
      <c r="G965" s="4" t="s">
        <v>16</v>
      </c>
      <c r="H965" s="2" t="s">
        <v>17</v>
      </c>
      <c r="I965" s="2" t="s">
        <v>37</v>
      </c>
      <c r="J965" s="2" t="s">
        <v>81</v>
      </c>
      <c r="K965" s="1" t="s">
        <v>1757</v>
      </c>
      <c r="L965" s="1" t="s">
        <v>134</v>
      </c>
    </row>
    <row r="966" spans="2:12" hidden="1" x14ac:dyDescent="0.35">
      <c r="B966" s="2">
        <v>10926</v>
      </c>
      <c r="C966" s="5">
        <v>46031</v>
      </c>
      <c r="D966" s="3" t="s">
        <v>134</v>
      </c>
      <c r="E966" s="3" t="s">
        <v>1772</v>
      </c>
      <c r="F966" s="14" t="s">
        <v>1773</v>
      </c>
      <c r="G966" s="4" t="s">
        <v>16</v>
      </c>
      <c r="H966" s="2" t="s">
        <v>17</v>
      </c>
      <c r="I966" s="2" t="s">
        <v>24</v>
      </c>
      <c r="J966" s="2" t="s">
        <v>54</v>
      </c>
      <c r="K966" s="1" t="s">
        <v>1757</v>
      </c>
      <c r="L966" s="1" t="s">
        <v>134</v>
      </c>
    </row>
    <row r="967" spans="2:12" ht="28" hidden="1" x14ac:dyDescent="0.35">
      <c r="B967" s="2">
        <v>10925</v>
      </c>
      <c r="C967" s="5">
        <v>46027</v>
      </c>
      <c r="D967" s="3" t="s">
        <v>234</v>
      </c>
      <c r="E967" s="3" t="s">
        <v>1766</v>
      </c>
      <c r="F967" s="14" t="s">
        <v>1767</v>
      </c>
      <c r="G967" s="4" t="s">
        <v>16</v>
      </c>
      <c r="H967" s="2" t="s">
        <v>17</v>
      </c>
      <c r="I967" s="2" t="s">
        <v>37</v>
      </c>
      <c r="J967" s="2" t="s">
        <v>81</v>
      </c>
      <c r="K967" s="1" t="s">
        <v>1757</v>
      </c>
      <c r="L967" s="1" t="s">
        <v>134</v>
      </c>
    </row>
    <row r="968" spans="2:12" ht="56" hidden="1" x14ac:dyDescent="0.35">
      <c r="B968" s="2">
        <v>11020</v>
      </c>
      <c r="C968" s="5">
        <v>46063</v>
      </c>
      <c r="D968" s="3" t="s">
        <v>134</v>
      </c>
      <c r="E968" s="3" t="s">
        <v>1774</v>
      </c>
      <c r="F968" s="14" t="s">
        <v>1775</v>
      </c>
      <c r="G968" s="4" t="s">
        <v>51</v>
      </c>
      <c r="H968" s="2" t="s">
        <v>281</v>
      </c>
      <c r="I968" s="2" t="s">
        <v>24</v>
      </c>
      <c r="J968" s="2" t="s">
        <v>44</v>
      </c>
      <c r="K968" s="1" t="s">
        <v>1757</v>
      </c>
      <c r="L968" s="1" t="s">
        <v>134</v>
      </c>
    </row>
    <row r="969" spans="2:12" ht="28" hidden="1" x14ac:dyDescent="0.35">
      <c r="B969" s="2">
        <v>11021</v>
      </c>
      <c r="C969" s="5">
        <v>46063</v>
      </c>
      <c r="D969" s="3" t="s">
        <v>134</v>
      </c>
      <c r="E969" s="3" t="s">
        <v>1776</v>
      </c>
      <c r="F969" s="14" t="s">
        <v>1777</v>
      </c>
      <c r="G969" s="4" t="s">
        <v>51</v>
      </c>
      <c r="H969" s="2" t="s">
        <v>281</v>
      </c>
      <c r="I969" s="2" t="s">
        <v>24</v>
      </c>
      <c r="J969" s="2" t="s">
        <v>44</v>
      </c>
      <c r="K969" s="1" t="s">
        <v>1757</v>
      </c>
      <c r="L969" s="1" t="s">
        <v>134</v>
      </c>
    </row>
    <row r="970" spans="2:12" hidden="1" x14ac:dyDescent="0.35">
      <c r="B970" s="2">
        <v>11022</v>
      </c>
      <c r="C970" s="5">
        <v>46054</v>
      </c>
      <c r="D970" s="3" t="s">
        <v>104</v>
      </c>
      <c r="E970" s="3" t="s">
        <v>1778</v>
      </c>
      <c r="F970" s="14" t="s">
        <v>757</v>
      </c>
      <c r="G970" s="4" t="s">
        <v>51</v>
      </c>
      <c r="H970" s="2" t="s">
        <v>281</v>
      </c>
      <c r="I970" s="2" t="s">
        <v>37</v>
      </c>
      <c r="J970" s="2" t="s">
        <v>81</v>
      </c>
      <c r="K970" s="1" t="s">
        <v>1757</v>
      </c>
      <c r="L970" s="1" t="s">
        <v>134</v>
      </c>
    </row>
    <row r="971" spans="2:12" ht="28" hidden="1" x14ac:dyDescent="0.35">
      <c r="B971" s="2">
        <v>11023</v>
      </c>
      <c r="C971" s="5">
        <v>46062</v>
      </c>
      <c r="D971" s="3" t="s">
        <v>104</v>
      </c>
      <c r="E971" s="3" t="s">
        <v>1779</v>
      </c>
      <c r="F971" s="14" t="s">
        <v>1780</v>
      </c>
      <c r="G971" s="4" t="s">
        <v>16</v>
      </c>
      <c r="H971" s="2" t="s">
        <v>281</v>
      </c>
      <c r="I971" s="2" t="s">
        <v>37</v>
      </c>
      <c r="J971" s="2" t="s">
        <v>81</v>
      </c>
      <c r="K971" s="1" t="s">
        <v>1757</v>
      </c>
      <c r="L971" s="1" t="s">
        <v>134</v>
      </c>
    </row>
    <row r="972" spans="2:12" hidden="1" x14ac:dyDescent="0.35">
      <c r="B972" s="2">
        <v>11179</v>
      </c>
      <c r="C972" s="24">
        <v>46077</v>
      </c>
      <c r="D972" s="3" t="s">
        <v>134</v>
      </c>
      <c r="E972" s="3" t="s">
        <v>1781</v>
      </c>
      <c r="F972" s="14" t="s">
        <v>1782</v>
      </c>
      <c r="G972" s="4" t="s">
        <v>16</v>
      </c>
      <c r="H972" s="2" t="s">
        <v>17</v>
      </c>
      <c r="I972" s="2" t="s">
        <v>18</v>
      </c>
      <c r="J972" s="2" t="s">
        <v>171</v>
      </c>
      <c r="K972" s="1" t="s">
        <v>1757</v>
      </c>
      <c r="L972" s="1" t="s">
        <v>134</v>
      </c>
    </row>
    <row r="973" spans="2:12" hidden="1" x14ac:dyDescent="0.35">
      <c r="B973" s="2">
        <v>11176</v>
      </c>
      <c r="C973" s="24">
        <v>46077</v>
      </c>
      <c r="D973" s="3" t="s">
        <v>134</v>
      </c>
      <c r="E973" s="3" t="s">
        <v>1783</v>
      </c>
      <c r="F973" s="14" t="s">
        <v>1784</v>
      </c>
      <c r="G973" s="4" t="s">
        <v>51</v>
      </c>
      <c r="H973" s="2" t="s">
        <v>17</v>
      </c>
      <c r="I973" s="2" t="s">
        <v>18</v>
      </c>
      <c r="J973" s="2" t="s">
        <v>19</v>
      </c>
      <c r="K973" s="1" t="s">
        <v>1757</v>
      </c>
      <c r="L973" s="1" t="s">
        <v>134</v>
      </c>
    </row>
    <row r="974" spans="2:12" hidden="1" x14ac:dyDescent="0.35">
      <c r="B974" s="2">
        <v>11177</v>
      </c>
      <c r="C974" s="24">
        <v>46077</v>
      </c>
      <c r="D974" s="3" t="s">
        <v>134</v>
      </c>
      <c r="E974" s="3" t="s">
        <v>1785</v>
      </c>
      <c r="F974" s="14" t="s">
        <v>1508</v>
      </c>
      <c r="G974" s="4" t="s">
        <v>16</v>
      </c>
      <c r="H974" s="2" t="s">
        <v>281</v>
      </c>
      <c r="I974" s="2" t="s">
        <v>24</v>
      </c>
      <c r="J974" s="2" t="s">
        <v>54</v>
      </c>
      <c r="K974" s="1" t="s">
        <v>1757</v>
      </c>
      <c r="L974" s="1" t="s">
        <v>134</v>
      </c>
    </row>
    <row r="975" spans="2:12" hidden="1" x14ac:dyDescent="0.35">
      <c r="B975" s="2">
        <v>11261</v>
      </c>
      <c r="C975" s="24">
        <v>46080</v>
      </c>
      <c r="D975" s="3" t="s">
        <v>134</v>
      </c>
      <c r="E975" s="3" t="s">
        <v>1786</v>
      </c>
      <c r="F975" s="14" t="s">
        <v>1787</v>
      </c>
      <c r="G975" s="4" t="s">
        <v>51</v>
      </c>
      <c r="H975" s="2" t="s">
        <v>17</v>
      </c>
      <c r="I975" s="2" t="s">
        <v>24</v>
      </c>
      <c r="J975" s="2" t="s">
        <v>54</v>
      </c>
      <c r="K975" s="1" t="s">
        <v>1692</v>
      </c>
      <c r="L975" s="1" t="s">
        <v>134</v>
      </c>
    </row>
    <row r="976" spans="2:12" ht="56" hidden="1" x14ac:dyDescent="0.35">
      <c r="B976" s="2">
        <v>408</v>
      </c>
      <c r="C976" s="5">
        <v>45812</v>
      </c>
      <c r="D976" s="3" t="s">
        <v>21</v>
      </c>
      <c r="E976" s="3" t="s">
        <v>1788</v>
      </c>
      <c r="F976" s="14" t="s">
        <v>979</v>
      </c>
      <c r="G976" s="4" t="s">
        <v>51</v>
      </c>
      <c r="H976" s="2" t="s">
        <v>17</v>
      </c>
      <c r="I976" s="2" t="s">
        <v>24</v>
      </c>
      <c r="J976" s="2" t="s">
        <v>33</v>
      </c>
      <c r="K976" s="1" t="s">
        <v>1789</v>
      </c>
      <c r="L976" s="1" t="s">
        <v>278</v>
      </c>
    </row>
    <row r="977" spans="2:12" ht="42" hidden="1" x14ac:dyDescent="0.35">
      <c r="B977" s="2">
        <v>453</v>
      </c>
      <c r="C977" s="5">
        <v>45830</v>
      </c>
      <c r="D977" s="3" t="s">
        <v>227</v>
      </c>
      <c r="E977" s="3" t="s">
        <v>1790</v>
      </c>
      <c r="F977" s="14" t="s">
        <v>1791</v>
      </c>
      <c r="G977" s="4" t="s">
        <v>51</v>
      </c>
      <c r="H977" s="2" t="s">
        <v>17</v>
      </c>
      <c r="I977" s="2" t="s">
        <v>18</v>
      </c>
      <c r="J977" s="2" t="s">
        <v>68</v>
      </c>
      <c r="K977" s="1" t="s">
        <v>1789</v>
      </c>
      <c r="L977" s="1" t="s">
        <v>278</v>
      </c>
    </row>
    <row r="978" spans="2:12" ht="42" hidden="1" x14ac:dyDescent="0.35">
      <c r="B978" s="2">
        <v>477</v>
      </c>
      <c r="C978" s="5">
        <v>45835</v>
      </c>
      <c r="D978" s="3" t="s">
        <v>278</v>
      </c>
      <c r="E978" s="3" t="s">
        <v>1792</v>
      </c>
      <c r="F978" s="14" t="s">
        <v>1793</v>
      </c>
      <c r="G978" s="4" t="s">
        <v>51</v>
      </c>
      <c r="H978" s="2" t="s">
        <v>17</v>
      </c>
      <c r="I978" s="2" t="s">
        <v>24</v>
      </c>
      <c r="J978" s="2" t="s">
        <v>44</v>
      </c>
      <c r="K978" s="1" t="s">
        <v>1789</v>
      </c>
      <c r="L978" s="1" t="s">
        <v>278</v>
      </c>
    </row>
    <row r="979" spans="2:12" ht="42" hidden="1" x14ac:dyDescent="0.35">
      <c r="B979" s="2">
        <v>9089</v>
      </c>
      <c r="C979" s="5">
        <v>45846</v>
      </c>
      <c r="D979" s="3" t="s">
        <v>278</v>
      </c>
      <c r="E979" s="3" t="s">
        <v>1794</v>
      </c>
      <c r="F979" s="14" t="s">
        <v>737</v>
      </c>
      <c r="G979" s="4" t="s">
        <v>51</v>
      </c>
      <c r="H979" s="2" t="s">
        <v>17</v>
      </c>
      <c r="I979" s="2" t="s">
        <v>24</v>
      </c>
      <c r="J979" s="2" t="s">
        <v>72</v>
      </c>
      <c r="K979" s="1" t="s">
        <v>1789</v>
      </c>
      <c r="L979" s="1" t="s">
        <v>278</v>
      </c>
    </row>
    <row r="980" spans="2:12" ht="42" hidden="1" x14ac:dyDescent="0.35">
      <c r="B980" s="2">
        <v>9621</v>
      </c>
      <c r="C980" s="5">
        <v>45898</v>
      </c>
      <c r="D980" s="3" t="s">
        <v>278</v>
      </c>
      <c r="E980" s="3" t="s">
        <v>1795</v>
      </c>
      <c r="F980" s="14" t="s">
        <v>1796</v>
      </c>
      <c r="G980" s="4" t="s">
        <v>51</v>
      </c>
      <c r="H980" s="2" t="s">
        <v>17</v>
      </c>
      <c r="I980" s="2" t="s">
        <v>298</v>
      </c>
      <c r="J980" s="2" t="s">
        <v>299</v>
      </c>
      <c r="K980" s="1" t="s">
        <v>1789</v>
      </c>
      <c r="L980" s="1" t="s">
        <v>278</v>
      </c>
    </row>
    <row r="981" spans="2:12" ht="42" hidden="1" x14ac:dyDescent="0.35">
      <c r="B981" s="2">
        <v>10168</v>
      </c>
      <c r="C981" s="5">
        <v>45961</v>
      </c>
      <c r="D981" s="3" t="s">
        <v>278</v>
      </c>
      <c r="E981" s="3" t="s">
        <v>1797</v>
      </c>
      <c r="F981" s="14" t="s">
        <v>1798</v>
      </c>
      <c r="G981" s="4" t="s">
        <v>51</v>
      </c>
      <c r="H981" s="2" t="s">
        <v>17</v>
      </c>
      <c r="I981" s="2" t="s">
        <v>24</v>
      </c>
      <c r="J981" s="2" t="s">
        <v>44</v>
      </c>
      <c r="K981" s="1" t="s">
        <v>1789</v>
      </c>
      <c r="L981" s="1" t="s">
        <v>278</v>
      </c>
    </row>
    <row r="982" spans="2:12" ht="42" hidden="1" x14ac:dyDescent="0.35">
      <c r="B982" s="2">
        <v>11013</v>
      </c>
      <c r="C982" s="5">
        <v>46057</v>
      </c>
      <c r="D982" s="3" t="s">
        <v>278</v>
      </c>
      <c r="E982" s="3" t="s">
        <v>1799</v>
      </c>
      <c r="F982" s="14" t="s">
        <v>1800</v>
      </c>
      <c r="G982" s="4" t="s">
        <v>51</v>
      </c>
      <c r="H982" s="2" t="s">
        <v>17</v>
      </c>
      <c r="I982" s="2" t="s">
        <v>37</v>
      </c>
      <c r="J982" s="2" t="s">
        <v>517</v>
      </c>
      <c r="K982" s="1" t="s">
        <v>1789</v>
      </c>
      <c r="L982" s="1" t="s">
        <v>278</v>
      </c>
    </row>
    <row r="983" spans="2:12" ht="28" hidden="1" x14ac:dyDescent="0.35">
      <c r="B983" s="2">
        <v>11166</v>
      </c>
      <c r="C983" s="24">
        <v>46073</v>
      </c>
      <c r="D983" s="3" t="s">
        <v>278</v>
      </c>
      <c r="E983" s="3" t="s">
        <v>1801</v>
      </c>
      <c r="F983" s="14" t="s">
        <v>1802</v>
      </c>
      <c r="G983" s="4" t="s">
        <v>51</v>
      </c>
      <c r="H983" s="2" t="s">
        <v>17</v>
      </c>
      <c r="I983" s="2" t="s">
        <v>298</v>
      </c>
      <c r="J983" s="2" t="s">
        <v>299</v>
      </c>
      <c r="K983" s="1" t="s">
        <v>1789</v>
      </c>
      <c r="L983" s="1" t="s">
        <v>278</v>
      </c>
    </row>
    <row r="984" spans="2:12" ht="42" hidden="1" x14ac:dyDescent="0.35">
      <c r="B984" s="2">
        <v>11546</v>
      </c>
      <c r="C984" s="24">
        <v>46108</v>
      </c>
      <c r="D984" s="3" t="s">
        <v>227</v>
      </c>
      <c r="E984" s="3" t="s">
        <v>1803</v>
      </c>
      <c r="F984" s="14" t="s">
        <v>1804</v>
      </c>
      <c r="G984" s="4" t="s">
        <v>51</v>
      </c>
      <c r="H984" s="2" t="s">
        <v>17</v>
      </c>
      <c r="I984" s="2" t="s">
        <v>37</v>
      </c>
      <c r="J984" s="2" t="s">
        <v>112</v>
      </c>
      <c r="K984" s="1" t="s">
        <v>1805</v>
      </c>
      <c r="L984" s="1" t="s">
        <v>278</v>
      </c>
    </row>
    <row r="985" spans="2:12" ht="42" hidden="1" x14ac:dyDescent="0.35">
      <c r="B985" s="2">
        <v>431</v>
      </c>
      <c r="C985" s="5">
        <v>45821</v>
      </c>
      <c r="D985" s="3" t="s">
        <v>220</v>
      </c>
      <c r="E985" s="3" t="s">
        <v>1806</v>
      </c>
      <c r="F985" s="14" t="s">
        <v>335</v>
      </c>
      <c r="G985" s="4" t="s">
        <v>51</v>
      </c>
      <c r="H985" s="2" t="s">
        <v>17</v>
      </c>
      <c r="I985" s="2" t="s">
        <v>24</v>
      </c>
      <c r="J985" s="2" t="s">
        <v>54</v>
      </c>
      <c r="K985" s="1" t="s">
        <v>1807</v>
      </c>
      <c r="L985" s="1" t="s">
        <v>220</v>
      </c>
    </row>
    <row r="986" spans="2:12" ht="42" hidden="1" x14ac:dyDescent="0.35">
      <c r="B986" s="2">
        <v>432</v>
      </c>
      <c r="C986" s="5">
        <v>45821</v>
      </c>
      <c r="D986" s="3" t="s">
        <v>193</v>
      </c>
      <c r="E986" s="3" t="s">
        <v>1808</v>
      </c>
      <c r="F986" s="14" t="s">
        <v>1042</v>
      </c>
      <c r="G986" s="4" t="s">
        <v>51</v>
      </c>
      <c r="H986" s="2" t="s">
        <v>17</v>
      </c>
      <c r="I986" s="2" t="s">
        <v>24</v>
      </c>
      <c r="J986" s="2" t="s">
        <v>72</v>
      </c>
      <c r="K986" s="1" t="s">
        <v>1807</v>
      </c>
      <c r="L986" s="1" t="s">
        <v>190</v>
      </c>
    </row>
    <row r="987" spans="2:12" ht="42" hidden="1" x14ac:dyDescent="0.35">
      <c r="B987" s="2">
        <v>433</v>
      </c>
      <c r="C987" s="5">
        <v>45821</v>
      </c>
      <c r="D987" s="3" t="s">
        <v>193</v>
      </c>
      <c r="E987" s="3" t="s">
        <v>1809</v>
      </c>
      <c r="F987" s="14" t="s">
        <v>1810</v>
      </c>
      <c r="G987" s="4" t="s">
        <v>51</v>
      </c>
      <c r="H987" s="2" t="s">
        <v>17</v>
      </c>
      <c r="I987" s="2" t="s">
        <v>24</v>
      </c>
      <c r="J987" s="2" t="s">
        <v>33</v>
      </c>
      <c r="K987" s="1" t="s">
        <v>1807</v>
      </c>
      <c r="L987" s="1" t="s">
        <v>250</v>
      </c>
    </row>
    <row r="988" spans="2:12" ht="42" hidden="1" x14ac:dyDescent="0.35">
      <c r="B988" s="2">
        <v>434</v>
      </c>
      <c r="C988" s="5">
        <v>45821</v>
      </c>
      <c r="D988" s="3" t="s">
        <v>193</v>
      </c>
      <c r="E988" s="3" t="s">
        <v>1811</v>
      </c>
      <c r="F988" s="14" t="s">
        <v>1812</v>
      </c>
      <c r="G988" s="4" t="s">
        <v>51</v>
      </c>
      <c r="H988" s="2" t="s">
        <v>17</v>
      </c>
      <c r="I988" s="2" t="s">
        <v>24</v>
      </c>
      <c r="J988" s="2" t="s">
        <v>33</v>
      </c>
      <c r="K988" s="1" t="s">
        <v>1807</v>
      </c>
      <c r="L988" s="1" t="s">
        <v>190</v>
      </c>
    </row>
    <row r="989" spans="2:12" ht="28" hidden="1" x14ac:dyDescent="0.35">
      <c r="B989" s="2">
        <v>9977</v>
      </c>
      <c r="C989" s="5">
        <v>45937</v>
      </c>
      <c r="D989" s="3" t="s">
        <v>21</v>
      </c>
      <c r="E989" s="3" t="s">
        <v>1813</v>
      </c>
      <c r="F989" s="14" t="s">
        <v>1814</v>
      </c>
      <c r="G989" s="4" t="s">
        <v>51</v>
      </c>
      <c r="H989" s="2" t="s">
        <v>17</v>
      </c>
      <c r="I989" s="2" t="s">
        <v>24</v>
      </c>
      <c r="J989" s="2" t="s">
        <v>33</v>
      </c>
      <c r="K989" s="1" t="s">
        <v>1807</v>
      </c>
      <c r="L989" s="1" t="s">
        <v>250</v>
      </c>
    </row>
    <row r="990" spans="2:12" ht="56" hidden="1" x14ac:dyDescent="0.35">
      <c r="B990" s="2">
        <v>10183</v>
      </c>
      <c r="C990" s="5">
        <v>45964</v>
      </c>
      <c r="D990" s="3" t="s">
        <v>250</v>
      </c>
      <c r="E990" s="3" t="s">
        <v>1815</v>
      </c>
      <c r="F990" s="14" t="s">
        <v>1816</v>
      </c>
      <c r="G990" s="4" t="s">
        <v>51</v>
      </c>
      <c r="H990" s="2" t="s">
        <v>17</v>
      </c>
      <c r="I990" s="2" t="s">
        <v>18</v>
      </c>
      <c r="J990" s="2" t="s">
        <v>19</v>
      </c>
      <c r="K990" s="1" t="s">
        <v>1807</v>
      </c>
      <c r="L990" s="1" t="s">
        <v>190</v>
      </c>
    </row>
    <row r="991" spans="2:12" ht="56" hidden="1" x14ac:dyDescent="0.35">
      <c r="B991" s="2">
        <v>97</v>
      </c>
      <c r="C991" s="5">
        <v>45692</v>
      </c>
      <c r="D991" s="3" t="s">
        <v>134</v>
      </c>
      <c r="E991" s="3" t="s">
        <v>1817</v>
      </c>
      <c r="F991" s="14" t="s">
        <v>1818</v>
      </c>
      <c r="G991" s="4" t="s">
        <v>51</v>
      </c>
      <c r="H991" s="2" t="s">
        <v>17</v>
      </c>
      <c r="I991" s="2" t="s">
        <v>24</v>
      </c>
      <c r="J991" s="2" t="s">
        <v>72</v>
      </c>
      <c r="K991" s="1" t="s">
        <v>413</v>
      </c>
      <c r="L991" s="1" t="s">
        <v>190</v>
      </c>
    </row>
    <row r="992" spans="2:12" ht="56" hidden="1" x14ac:dyDescent="0.35">
      <c r="B992" s="2">
        <v>160</v>
      </c>
      <c r="C992" s="5">
        <v>45716</v>
      </c>
      <c r="D992" s="3" t="s">
        <v>250</v>
      </c>
      <c r="E992" s="3" t="s">
        <v>1819</v>
      </c>
      <c r="F992" s="14" t="s">
        <v>847</v>
      </c>
      <c r="G992" s="4" t="s">
        <v>51</v>
      </c>
      <c r="H992" s="2" t="s">
        <v>17</v>
      </c>
      <c r="I992" s="2" t="s">
        <v>37</v>
      </c>
      <c r="J992" s="2" t="s">
        <v>38</v>
      </c>
      <c r="K992" s="1" t="s">
        <v>413</v>
      </c>
      <c r="L992" s="1" t="s">
        <v>250</v>
      </c>
    </row>
    <row r="993" spans="2:12" ht="56" hidden="1" x14ac:dyDescent="0.35">
      <c r="B993" s="2">
        <v>223</v>
      </c>
      <c r="C993" s="5">
        <v>45747</v>
      </c>
      <c r="D993" s="3" t="s">
        <v>250</v>
      </c>
      <c r="E993" s="3" t="s">
        <v>1820</v>
      </c>
      <c r="F993" s="14" t="s">
        <v>1821</v>
      </c>
      <c r="G993" s="4" t="s">
        <v>51</v>
      </c>
      <c r="H993" s="2" t="s">
        <v>17</v>
      </c>
      <c r="I993" s="2" t="s">
        <v>37</v>
      </c>
      <c r="J993" s="2" t="s">
        <v>38</v>
      </c>
      <c r="K993" s="1" t="s">
        <v>413</v>
      </c>
      <c r="L993" s="1" t="s">
        <v>250</v>
      </c>
    </row>
    <row r="994" spans="2:12" ht="42" hidden="1" x14ac:dyDescent="0.35">
      <c r="B994" s="2">
        <v>22</v>
      </c>
      <c r="C994" s="5">
        <v>45665</v>
      </c>
      <c r="D994" s="3" t="s">
        <v>193</v>
      </c>
      <c r="E994" s="3" t="s">
        <v>1822</v>
      </c>
      <c r="F994" s="14" t="s">
        <v>1823</v>
      </c>
      <c r="G994" s="4" t="s">
        <v>51</v>
      </c>
      <c r="H994" s="2" t="s">
        <v>17</v>
      </c>
      <c r="I994" s="2" t="s">
        <v>24</v>
      </c>
      <c r="J994" t="s">
        <v>72</v>
      </c>
      <c r="K994" s="1" t="s">
        <v>1824</v>
      </c>
      <c r="L994" s="1" t="s">
        <v>193</v>
      </c>
    </row>
    <row r="995" spans="2:12" ht="42" hidden="1" x14ac:dyDescent="0.35">
      <c r="B995" s="2">
        <v>100</v>
      </c>
      <c r="C995" s="5">
        <v>45694</v>
      </c>
      <c r="D995" s="3" t="s">
        <v>193</v>
      </c>
      <c r="E995" s="3" t="s">
        <v>1825</v>
      </c>
      <c r="F995" s="14" t="s">
        <v>1016</v>
      </c>
      <c r="G995" s="4" t="s">
        <v>51</v>
      </c>
      <c r="H995" s="2" t="s">
        <v>17</v>
      </c>
      <c r="I995" s="2" t="s">
        <v>18</v>
      </c>
      <c r="J995" s="2" t="s">
        <v>68</v>
      </c>
      <c r="K995" s="1" t="s">
        <v>1824</v>
      </c>
      <c r="L995" s="1" t="s">
        <v>193</v>
      </c>
    </row>
    <row r="996" spans="2:12" ht="42" hidden="1" x14ac:dyDescent="0.35">
      <c r="B996" s="2">
        <v>312</v>
      </c>
      <c r="C996" s="5">
        <v>45779</v>
      </c>
      <c r="D996" s="3" t="s">
        <v>193</v>
      </c>
      <c r="E996" s="3" t="s">
        <v>1826</v>
      </c>
      <c r="F996" s="14" t="s">
        <v>1827</v>
      </c>
      <c r="G996" s="4" t="s">
        <v>51</v>
      </c>
      <c r="H996" s="2" t="s">
        <v>17</v>
      </c>
      <c r="I996" s="2" t="s">
        <v>24</v>
      </c>
      <c r="J996" s="2" t="s">
        <v>25</v>
      </c>
      <c r="K996" s="1" t="s">
        <v>1828</v>
      </c>
      <c r="L996" s="1" t="s">
        <v>193</v>
      </c>
    </row>
    <row r="997" spans="2:12" ht="42" hidden="1" x14ac:dyDescent="0.35">
      <c r="B997" s="2">
        <v>348</v>
      </c>
      <c r="C997" s="5">
        <v>45790</v>
      </c>
      <c r="D997" s="3" t="s">
        <v>193</v>
      </c>
      <c r="E997" s="3" t="s">
        <v>1829</v>
      </c>
      <c r="F997" s="14" t="s">
        <v>1830</v>
      </c>
      <c r="G997" s="4" t="s">
        <v>51</v>
      </c>
      <c r="H997" s="2" t="s">
        <v>17</v>
      </c>
      <c r="I997" s="2" t="s">
        <v>24</v>
      </c>
      <c r="J997" s="2" t="s">
        <v>29</v>
      </c>
      <c r="K997" s="1" t="s">
        <v>1828</v>
      </c>
      <c r="L997" s="1" t="s">
        <v>193</v>
      </c>
    </row>
    <row r="998" spans="2:12" ht="80.150000000000006" hidden="1" customHeight="1" x14ac:dyDescent="0.35">
      <c r="B998" s="2">
        <v>465</v>
      </c>
      <c r="C998" s="5">
        <v>45833</v>
      </c>
      <c r="D998" s="3" t="s">
        <v>104</v>
      </c>
      <c r="E998" s="3" t="s">
        <v>1831</v>
      </c>
      <c r="F998" s="14" t="s">
        <v>828</v>
      </c>
      <c r="G998" s="4" t="s">
        <v>51</v>
      </c>
      <c r="H998" s="2" t="s">
        <v>17</v>
      </c>
      <c r="I998" s="2" t="s">
        <v>24</v>
      </c>
      <c r="J998" s="2" t="s">
        <v>72</v>
      </c>
      <c r="K998" s="1" t="s">
        <v>1828</v>
      </c>
      <c r="L998" s="1" t="s">
        <v>193</v>
      </c>
    </row>
    <row r="999" spans="2:12" ht="63" hidden="1" customHeight="1" x14ac:dyDescent="0.35">
      <c r="B999" s="2">
        <v>11875</v>
      </c>
      <c r="C999" s="24">
        <v>46141</v>
      </c>
      <c r="D999" s="3" t="s">
        <v>26</v>
      </c>
      <c r="E999" s="3" t="s">
        <v>1832</v>
      </c>
      <c r="F999" s="14" t="s">
        <v>1833</v>
      </c>
      <c r="G999" s="4" t="s">
        <v>51</v>
      </c>
      <c r="H999" s="2" t="s">
        <v>17</v>
      </c>
      <c r="I999" s="2" t="s">
        <v>37</v>
      </c>
      <c r="J999" s="2" t="s">
        <v>38</v>
      </c>
      <c r="K999" s="1" t="s">
        <v>30</v>
      </c>
      <c r="L999" s="1" t="s">
        <v>26</v>
      </c>
    </row>
    <row r="1000" spans="2:12" ht="42" hidden="1" x14ac:dyDescent="0.35">
      <c r="B1000" s="2">
        <v>213</v>
      </c>
      <c r="C1000" s="5">
        <v>45746</v>
      </c>
      <c r="D1000" s="3" t="s">
        <v>26</v>
      </c>
      <c r="E1000" s="3" t="s">
        <v>1834</v>
      </c>
      <c r="F1000" s="14" t="s">
        <v>1835</v>
      </c>
      <c r="G1000" s="4" t="s">
        <v>51</v>
      </c>
      <c r="H1000" s="2" t="s">
        <v>17</v>
      </c>
      <c r="I1000" s="2" t="s">
        <v>24</v>
      </c>
      <c r="J1000" s="2" t="s">
        <v>54</v>
      </c>
      <c r="K1000" s="1" t="s">
        <v>1836</v>
      </c>
      <c r="L1000" s="1" t="s">
        <v>95</v>
      </c>
    </row>
    <row r="1001" spans="2:12" ht="42" hidden="1" x14ac:dyDescent="0.35">
      <c r="B1001" s="2">
        <v>410</v>
      </c>
      <c r="C1001" s="5">
        <v>45812</v>
      </c>
      <c r="D1001" s="3" t="s">
        <v>104</v>
      </c>
      <c r="E1001" s="3" t="s">
        <v>1837</v>
      </c>
      <c r="F1001" s="14" t="s">
        <v>138</v>
      </c>
      <c r="G1001" s="4" t="s">
        <v>16</v>
      </c>
      <c r="H1001" s="2" t="s">
        <v>17</v>
      </c>
      <c r="I1001" s="2" t="s">
        <v>24</v>
      </c>
      <c r="J1001" s="2" t="s">
        <v>44</v>
      </c>
      <c r="K1001" s="1" t="s">
        <v>1836</v>
      </c>
      <c r="L1001" s="1" t="s">
        <v>95</v>
      </c>
    </row>
    <row r="1002" spans="2:12" ht="74.150000000000006" hidden="1" customHeight="1" x14ac:dyDescent="0.35">
      <c r="B1002" s="2">
        <v>412</v>
      </c>
      <c r="C1002" s="5">
        <v>45813</v>
      </c>
      <c r="D1002" s="3" t="s">
        <v>104</v>
      </c>
      <c r="E1002" s="3" t="s">
        <v>1838</v>
      </c>
      <c r="F1002" s="14" t="s">
        <v>1839</v>
      </c>
      <c r="G1002" s="4" t="s">
        <v>51</v>
      </c>
      <c r="H1002" s="2" t="s">
        <v>17</v>
      </c>
      <c r="I1002" s="2" t="s">
        <v>37</v>
      </c>
      <c r="J1002" s="2" t="s">
        <v>112</v>
      </c>
      <c r="K1002" s="1" t="s">
        <v>1836</v>
      </c>
      <c r="L1002" s="1" t="s">
        <v>95</v>
      </c>
    </row>
    <row r="1003" spans="2:12" ht="42" hidden="1" x14ac:dyDescent="0.35">
      <c r="B1003" s="2">
        <v>9403</v>
      </c>
      <c r="C1003" s="5">
        <v>45871</v>
      </c>
      <c r="D1003" s="3" t="s">
        <v>21</v>
      </c>
      <c r="E1003" s="3" t="s">
        <v>1840</v>
      </c>
      <c r="F1003" s="14" t="s">
        <v>219</v>
      </c>
      <c r="G1003" s="4" t="s">
        <v>16</v>
      </c>
      <c r="H1003" s="2" t="s">
        <v>17</v>
      </c>
      <c r="I1003" s="2" t="s">
        <v>24</v>
      </c>
      <c r="J1003" s="2" t="s">
        <v>29</v>
      </c>
      <c r="K1003" s="1" t="s">
        <v>1836</v>
      </c>
      <c r="L1003" s="1" t="s">
        <v>95</v>
      </c>
    </row>
    <row r="1004" spans="2:12" ht="69.650000000000006" hidden="1" customHeight="1" x14ac:dyDescent="0.35">
      <c r="B1004" s="2">
        <v>10062</v>
      </c>
      <c r="C1004" s="5">
        <v>45949</v>
      </c>
      <c r="D1004" s="3" t="s">
        <v>13</v>
      </c>
      <c r="E1004" s="3" t="s">
        <v>1841</v>
      </c>
      <c r="F1004" s="14" t="s">
        <v>1842</v>
      </c>
      <c r="G1004" s="4" t="s">
        <v>51</v>
      </c>
      <c r="H1004" s="2" t="s">
        <v>17</v>
      </c>
      <c r="I1004" s="2" t="s">
        <v>24</v>
      </c>
      <c r="J1004" s="2" t="s">
        <v>44</v>
      </c>
      <c r="K1004" s="1" t="s">
        <v>1836</v>
      </c>
      <c r="L1004" s="1" t="s">
        <v>95</v>
      </c>
    </row>
    <row r="1005" spans="2:12" ht="42" hidden="1" x14ac:dyDescent="0.35">
      <c r="B1005" s="2">
        <v>9254</v>
      </c>
      <c r="C1005" s="5">
        <v>45859</v>
      </c>
      <c r="D1005" s="3" t="s">
        <v>26</v>
      </c>
      <c r="E1005" s="3" t="s">
        <v>1843</v>
      </c>
      <c r="F1005" s="14" t="s">
        <v>58</v>
      </c>
      <c r="G1005" s="4" t="s">
        <v>16</v>
      </c>
      <c r="H1005" s="2" t="s">
        <v>17</v>
      </c>
      <c r="I1005" s="2" t="s">
        <v>24</v>
      </c>
      <c r="J1005" s="2" t="s">
        <v>44</v>
      </c>
      <c r="K1005" s="1" t="s">
        <v>913</v>
      </c>
      <c r="L1005" s="1" t="s">
        <v>26</v>
      </c>
    </row>
    <row r="1006" spans="2:12" ht="64" hidden="1" customHeight="1" x14ac:dyDescent="0.35">
      <c r="B1006" s="2">
        <v>23</v>
      </c>
      <c r="C1006" s="5">
        <v>45665</v>
      </c>
      <c r="D1006" s="3" t="s">
        <v>937</v>
      </c>
      <c r="E1006" s="3" t="s">
        <v>1844</v>
      </c>
      <c r="F1006" s="14" t="s">
        <v>1845</v>
      </c>
      <c r="G1006" s="4" t="s">
        <v>16</v>
      </c>
      <c r="H1006" s="2" t="s">
        <v>17</v>
      </c>
      <c r="I1006" s="2" t="s">
        <v>24</v>
      </c>
      <c r="J1006" t="s">
        <v>44</v>
      </c>
      <c r="K1006" s="1" t="s">
        <v>1846</v>
      </c>
      <c r="L1006" s="1" t="s">
        <v>937</v>
      </c>
    </row>
    <row r="1007" spans="2:12" ht="42" hidden="1" x14ac:dyDescent="0.35">
      <c r="B1007" s="2">
        <v>42</v>
      </c>
      <c r="C1007" s="5">
        <v>45671</v>
      </c>
      <c r="D1007" s="3" t="s">
        <v>937</v>
      </c>
      <c r="E1007" s="3" t="s">
        <v>1847</v>
      </c>
      <c r="F1007" s="14" t="s">
        <v>1848</v>
      </c>
      <c r="G1007" s="4" t="s">
        <v>51</v>
      </c>
      <c r="H1007" s="2" t="s">
        <v>17</v>
      </c>
      <c r="I1007" s="2" t="s">
        <v>37</v>
      </c>
      <c r="J1007" t="s">
        <v>121</v>
      </c>
      <c r="K1007" s="1" t="s">
        <v>1846</v>
      </c>
      <c r="L1007" s="1" t="s">
        <v>937</v>
      </c>
    </row>
    <row r="1008" spans="2:12" ht="56" hidden="1" x14ac:dyDescent="0.35">
      <c r="B1008" s="2">
        <v>43</v>
      </c>
      <c r="C1008" s="5">
        <v>45671</v>
      </c>
      <c r="D1008" s="3" t="s">
        <v>937</v>
      </c>
      <c r="E1008" s="3" t="s">
        <v>1849</v>
      </c>
      <c r="F1008" s="14" t="s">
        <v>1850</v>
      </c>
      <c r="G1008" s="4" t="s">
        <v>51</v>
      </c>
      <c r="H1008" s="2" t="s">
        <v>17</v>
      </c>
      <c r="I1008" s="2" t="s">
        <v>37</v>
      </c>
      <c r="J1008" t="s">
        <v>121</v>
      </c>
      <c r="K1008" s="1" t="s">
        <v>1846</v>
      </c>
      <c r="L1008" s="1" t="s">
        <v>937</v>
      </c>
    </row>
    <row r="1009" spans="2:12" ht="66" hidden="1" customHeight="1" x14ac:dyDescent="0.35">
      <c r="B1009" s="2">
        <v>48</v>
      </c>
      <c r="C1009" s="5">
        <v>45672</v>
      </c>
      <c r="D1009" s="3" t="s">
        <v>96</v>
      </c>
      <c r="E1009" s="3" t="s">
        <v>1851</v>
      </c>
      <c r="F1009" s="14" t="s">
        <v>1852</v>
      </c>
      <c r="G1009" s="4" t="s">
        <v>16</v>
      </c>
      <c r="H1009" s="2" t="s">
        <v>17</v>
      </c>
      <c r="I1009" s="2" t="s">
        <v>18</v>
      </c>
      <c r="J1009" t="s">
        <v>19</v>
      </c>
      <c r="K1009" s="1" t="s">
        <v>1846</v>
      </c>
      <c r="L1009" s="1" t="s">
        <v>937</v>
      </c>
    </row>
    <row r="1010" spans="2:12" ht="73" hidden="1" customHeight="1" x14ac:dyDescent="0.35">
      <c r="B1010" s="2">
        <v>210</v>
      </c>
      <c r="C1010" s="5">
        <v>45743</v>
      </c>
      <c r="D1010" s="3" t="s">
        <v>937</v>
      </c>
      <c r="E1010" s="3" t="s">
        <v>1853</v>
      </c>
      <c r="F1010" s="14" t="s">
        <v>1854</v>
      </c>
      <c r="G1010" s="4" t="s">
        <v>51</v>
      </c>
      <c r="H1010" s="2" t="s">
        <v>17</v>
      </c>
      <c r="I1010" s="2" t="s">
        <v>18</v>
      </c>
      <c r="J1010" s="2" t="s">
        <v>19</v>
      </c>
      <c r="K1010" s="1" t="s">
        <v>1846</v>
      </c>
      <c r="L1010" s="1" t="s">
        <v>937</v>
      </c>
    </row>
    <row r="1011" spans="2:12" ht="56.15" hidden="1" customHeight="1" x14ac:dyDescent="0.35">
      <c r="B1011" s="2">
        <v>237</v>
      </c>
      <c r="C1011" s="5">
        <v>45749</v>
      </c>
      <c r="D1011" s="3" t="s">
        <v>205</v>
      </c>
      <c r="E1011" s="3" t="s">
        <v>1855</v>
      </c>
      <c r="F1011" s="14" t="s">
        <v>702</v>
      </c>
      <c r="G1011" s="4" t="s">
        <v>16</v>
      </c>
      <c r="H1011" s="2" t="s">
        <v>17</v>
      </c>
      <c r="I1011" s="2" t="s">
        <v>18</v>
      </c>
      <c r="J1011" s="2" t="s">
        <v>19</v>
      </c>
      <c r="K1011" s="1" t="s">
        <v>1846</v>
      </c>
      <c r="L1011" s="1" t="s">
        <v>937</v>
      </c>
    </row>
    <row r="1012" spans="2:12" ht="79.5" hidden="1" customHeight="1" x14ac:dyDescent="0.35">
      <c r="B1012" s="2">
        <v>274</v>
      </c>
      <c r="C1012" s="5">
        <v>45770</v>
      </c>
      <c r="D1012" s="3" t="s">
        <v>96</v>
      </c>
      <c r="E1012" s="3" t="s">
        <v>1856</v>
      </c>
      <c r="F1012" s="14" t="s">
        <v>966</v>
      </c>
      <c r="G1012" s="4" t="s">
        <v>16</v>
      </c>
      <c r="H1012" s="2" t="s">
        <v>17</v>
      </c>
      <c r="I1012" s="2" t="s">
        <v>37</v>
      </c>
      <c r="J1012" s="2" t="s">
        <v>121</v>
      </c>
      <c r="K1012" s="1" t="s">
        <v>1846</v>
      </c>
      <c r="L1012" s="1" t="s">
        <v>937</v>
      </c>
    </row>
    <row r="1013" spans="2:12" ht="28" hidden="1" x14ac:dyDescent="0.35">
      <c r="B1013" s="2">
        <v>276</v>
      </c>
      <c r="C1013" s="5">
        <v>45772</v>
      </c>
      <c r="D1013" s="3" t="s">
        <v>96</v>
      </c>
      <c r="E1013" s="3" t="s">
        <v>1857</v>
      </c>
      <c r="F1013" s="14" t="s">
        <v>1858</v>
      </c>
      <c r="G1013" s="4" t="s">
        <v>16</v>
      </c>
      <c r="H1013" s="2" t="s">
        <v>17</v>
      </c>
      <c r="I1013" s="2" t="s">
        <v>37</v>
      </c>
      <c r="J1013" s="2" t="s">
        <v>121</v>
      </c>
      <c r="K1013" s="1" t="s">
        <v>1846</v>
      </c>
      <c r="L1013" s="1" t="s">
        <v>937</v>
      </c>
    </row>
    <row r="1014" spans="2:12" ht="56.5" hidden="1" customHeight="1" x14ac:dyDescent="0.35">
      <c r="B1014" s="2">
        <v>383</v>
      </c>
      <c r="C1014" s="5">
        <v>45803</v>
      </c>
      <c r="D1014" s="3" t="s">
        <v>34</v>
      </c>
      <c r="E1014" s="3" t="s">
        <v>1859</v>
      </c>
      <c r="F1014" s="14" t="s">
        <v>1160</v>
      </c>
      <c r="G1014" s="4" t="s">
        <v>16</v>
      </c>
      <c r="H1014" s="2" t="s">
        <v>17</v>
      </c>
      <c r="I1014" s="2" t="s">
        <v>24</v>
      </c>
      <c r="J1014" s="2" t="s">
        <v>44</v>
      </c>
      <c r="K1014" s="1" t="s">
        <v>1846</v>
      </c>
      <c r="L1014" s="1" t="s">
        <v>937</v>
      </c>
    </row>
    <row r="1015" spans="2:12" hidden="1" x14ac:dyDescent="0.35">
      <c r="B1015" s="2">
        <v>403</v>
      </c>
      <c r="C1015" s="5">
        <v>45812</v>
      </c>
      <c r="D1015" s="3" t="s">
        <v>95</v>
      </c>
      <c r="E1015" s="3" t="s">
        <v>1860</v>
      </c>
      <c r="F1015" s="14" t="s">
        <v>694</v>
      </c>
      <c r="G1015" s="4" t="s">
        <v>16</v>
      </c>
      <c r="H1015" s="2" t="s">
        <v>17</v>
      </c>
      <c r="I1015" s="2" t="s">
        <v>24</v>
      </c>
      <c r="J1015" s="2" t="s">
        <v>41</v>
      </c>
      <c r="K1015" s="1" t="s">
        <v>1846</v>
      </c>
      <c r="L1015" s="1" t="s">
        <v>937</v>
      </c>
    </row>
    <row r="1016" spans="2:12" hidden="1" x14ac:dyDescent="0.35">
      <c r="B1016" s="2">
        <v>404</v>
      </c>
      <c r="C1016" s="5">
        <v>45812</v>
      </c>
      <c r="D1016" s="3" t="s">
        <v>937</v>
      </c>
      <c r="E1016" s="3" t="s">
        <v>1861</v>
      </c>
      <c r="F1016" s="14" t="s">
        <v>138</v>
      </c>
      <c r="G1016" s="4" t="s">
        <v>16</v>
      </c>
      <c r="H1016" s="2" t="s">
        <v>17</v>
      </c>
      <c r="I1016" s="2" t="s">
        <v>24</v>
      </c>
      <c r="J1016" s="2" t="s">
        <v>54</v>
      </c>
      <c r="K1016" s="1" t="s">
        <v>1846</v>
      </c>
      <c r="L1016" s="1" t="s">
        <v>937</v>
      </c>
    </row>
    <row r="1017" spans="2:12" hidden="1" x14ac:dyDescent="0.35">
      <c r="B1017" s="2">
        <v>478</v>
      </c>
      <c r="C1017" s="5">
        <v>45835</v>
      </c>
      <c r="D1017" s="3" t="s">
        <v>937</v>
      </c>
      <c r="E1017" s="3" t="s">
        <v>1862</v>
      </c>
      <c r="F1017" s="14" t="s">
        <v>1024</v>
      </c>
      <c r="G1017" s="4" t="s">
        <v>51</v>
      </c>
      <c r="H1017" s="2" t="s">
        <v>17</v>
      </c>
      <c r="I1017" s="2" t="s">
        <v>37</v>
      </c>
      <c r="J1017" s="2" t="s">
        <v>121</v>
      </c>
      <c r="K1017" s="1" t="s">
        <v>1846</v>
      </c>
      <c r="L1017" s="1" t="s">
        <v>937</v>
      </c>
    </row>
    <row r="1018" spans="2:12" ht="42" hidden="1" x14ac:dyDescent="0.35">
      <c r="B1018" s="2">
        <v>324</v>
      </c>
      <c r="C1018" s="5">
        <v>45784</v>
      </c>
      <c r="D1018" s="3" t="s">
        <v>250</v>
      </c>
      <c r="E1018" s="3" t="s">
        <v>1863</v>
      </c>
      <c r="F1018" s="14" t="s">
        <v>413</v>
      </c>
      <c r="G1018" s="4" t="s">
        <v>16</v>
      </c>
      <c r="H1018" s="2" t="s">
        <v>17</v>
      </c>
      <c r="I1018" s="2" t="s">
        <v>18</v>
      </c>
      <c r="J1018" s="2" t="s">
        <v>19</v>
      </c>
      <c r="K1018" s="1" t="s">
        <v>422</v>
      </c>
      <c r="L1018" s="1" t="s">
        <v>190</v>
      </c>
    </row>
    <row r="1019" spans="2:12" ht="70" hidden="1" customHeight="1" x14ac:dyDescent="0.35">
      <c r="B1019" s="2">
        <v>370</v>
      </c>
      <c r="C1019" s="5">
        <v>45799</v>
      </c>
      <c r="D1019" s="3" t="s">
        <v>234</v>
      </c>
      <c r="E1019" s="3" t="s">
        <v>1864</v>
      </c>
      <c r="F1019" s="14" t="s">
        <v>271</v>
      </c>
      <c r="G1019" s="4" t="s">
        <v>16</v>
      </c>
      <c r="H1019" s="2" t="s">
        <v>17</v>
      </c>
      <c r="I1019" s="2" t="s">
        <v>18</v>
      </c>
      <c r="J1019" s="2" t="s">
        <v>68</v>
      </c>
      <c r="K1019" s="1" t="s">
        <v>422</v>
      </c>
      <c r="L1019" s="1" t="s">
        <v>190</v>
      </c>
    </row>
    <row r="1020" spans="2:12" ht="56" hidden="1" x14ac:dyDescent="0.35">
      <c r="B1020" s="2">
        <v>407</v>
      </c>
      <c r="C1020" s="5">
        <v>45812</v>
      </c>
      <c r="D1020" s="3" t="s">
        <v>95</v>
      </c>
      <c r="E1020" s="3" t="s">
        <v>1865</v>
      </c>
      <c r="F1020" s="14" t="s">
        <v>657</v>
      </c>
      <c r="G1020" s="4" t="s">
        <v>16</v>
      </c>
      <c r="H1020" s="2" t="s">
        <v>17</v>
      </c>
      <c r="I1020" s="2" t="s">
        <v>18</v>
      </c>
      <c r="J1020" s="2" t="s">
        <v>68</v>
      </c>
      <c r="K1020" s="1" t="s">
        <v>422</v>
      </c>
      <c r="L1020" s="1" t="s">
        <v>250</v>
      </c>
    </row>
    <row r="1021" spans="2:12" ht="56" hidden="1" x14ac:dyDescent="0.35">
      <c r="B1021" s="2">
        <v>419</v>
      </c>
      <c r="C1021" s="5">
        <v>45817</v>
      </c>
      <c r="D1021" s="3" t="s">
        <v>250</v>
      </c>
      <c r="E1021" s="3" t="s">
        <v>1866</v>
      </c>
      <c r="F1021" s="14" t="s">
        <v>1867</v>
      </c>
      <c r="G1021" s="4" t="s">
        <v>51</v>
      </c>
      <c r="H1021" s="2" t="s">
        <v>17</v>
      </c>
      <c r="I1021" s="2" t="s">
        <v>24</v>
      </c>
      <c r="J1021" s="2" t="s">
        <v>33</v>
      </c>
      <c r="K1021" s="1" t="s">
        <v>422</v>
      </c>
      <c r="L1021" s="1" t="s">
        <v>250</v>
      </c>
    </row>
    <row r="1022" spans="2:12" ht="56.5" hidden="1" customHeight="1" x14ac:dyDescent="0.35">
      <c r="B1022" s="2">
        <v>420</v>
      </c>
      <c r="C1022" s="5">
        <v>45817</v>
      </c>
      <c r="D1022" s="3" t="s">
        <v>250</v>
      </c>
      <c r="E1022" s="3" t="s">
        <v>1868</v>
      </c>
      <c r="F1022" s="14" t="s">
        <v>1869</v>
      </c>
      <c r="G1022" s="4" t="s">
        <v>51</v>
      </c>
      <c r="H1022" s="2" t="s">
        <v>17</v>
      </c>
      <c r="I1022" s="2" t="s">
        <v>24</v>
      </c>
      <c r="J1022" s="2" t="s">
        <v>63</v>
      </c>
      <c r="K1022" s="1" t="s">
        <v>422</v>
      </c>
      <c r="L1022" s="1" t="s">
        <v>190</v>
      </c>
    </row>
    <row r="1023" spans="2:12" ht="42" hidden="1" x14ac:dyDescent="0.35">
      <c r="B1023" s="2">
        <v>441</v>
      </c>
      <c r="C1023" s="5">
        <v>45826</v>
      </c>
      <c r="D1023" s="3" t="s">
        <v>193</v>
      </c>
      <c r="E1023" s="3" t="s">
        <v>1870</v>
      </c>
      <c r="F1023" s="14" t="s">
        <v>1812</v>
      </c>
      <c r="G1023" s="4" t="s">
        <v>51</v>
      </c>
      <c r="H1023" s="2" t="s">
        <v>17</v>
      </c>
      <c r="I1023" s="2" t="s">
        <v>24</v>
      </c>
      <c r="J1023" s="2" t="s">
        <v>25</v>
      </c>
      <c r="K1023" s="1" t="s">
        <v>422</v>
      </c>
      <c r="L1023" s="1" t="s">
        <v>250</v>
      </c>
    </row>
    <row r="1024" spans="2:12" ht="42" hidden="1" x14ac:dyDescent="0.35">
      <c r="B1024" s="2">
        <v>454</v>
      </c>
      <c r="C1024" s="5">
        <v>45831</v>
      </c>
      <c r="D1024" s="3" t="s">
        <v>95</v>
      </c>
      <c r="E1024" s="3" t="s">
        <v>1871</v>
      </c>
      <c r="F1024" s="14" t="s">
        <v>1872</v>
      </c>
      <c r="G1024" s="4" t="s">
        <v>16</v>
      </c>
      <c r="H1024" s="2" t="s">
        <v>17</v>
      </c>
      <c r="I1024" s="2" t="s">
        <v>24</v>
      </c>
      <c r="J1024" s="2" t="s">
        <v>33</v>
      </c>
      <c r="K1024" s="1" t="s">
        <v>422</v>
      </c>
      <c r="L1024" s="1" t="s">
        <v>190</v>
      </c>
    </row>
    <row r="1025" spans="2:12" ht="56" hidden="1" x14ac:dyDescent="0.35">
      <c r="B1025" s="2">
        <v>455</v>
      </c>
      <c r="C1025" s="5">
        <v>45831</v>
      </c>
      <c r="D1025" s="3" t="s">
        <v>190</v>
      </c>
      <c r="E1025" s="3" t="s">
        <v>1873</v>
      </c>
      <c r="F1025" s="14" t="s">
        <v>718</v>
      </c>
      <c r="G1025" s="4" t="s">
        <v>16</v>
      </c>
      <c r="H1025" s="2" t="s">
        <v>17</v>
      </c>
      <c r="I1025" s="2" t="s">
        <v>24</v>
      </c>
      <c r="J1025" s="2" t="s">
        <v>33</v>
      </c>
      <c r="K1025" s="1" t="s">
        <v>422</v>
      </c>
      <c r="L1025" s="1" t="s">
        <v>250</v>
      </c>
    </row>
    <row r="1026" spans="2:12" ht="56" hidden="1" x14ac:dyDescent="0.35">
      <c r="B1026" s="2">
        <v>456</v>
      </c>
      <c r="C1026" s="5">
        <v>45831</v>
      </c>
      <c r="D1026" s="3" t="s">
        <v>250</v>
      </c>
      <c r="E1026" s="3" t="s">
        <v>1874</v>
      </c>
      <c r="F1026" s="14" t="s">
        <v>428</v>
      </c>
      <c r="G1026" s="4" t="s">
        <v>51</v>
      </c>
      <c r="H1026" s="2" t="s">
        <v>17</v>
      </c>
      <c r="I1026" s="2" t="s">
        <v>37</v>
      </c>
      <c r="J1026" s="2" t="s">
        <v>112</v>
      </c>
      <c r="K1026" s="1" t="s">
        <v>422</v>
      </c>
      <c r="L1026" s="1" t="s">
        <v>190</v>
      </c>
    </row>
    <row r="1027" spans="2:12" ht="56" hidden="1" x14ac:dyDescent="0.35">
      <c r="B1027" s="2">
        <v>457</v>
      </c>
      <c r="C1027" s="5">
        <v>45831</v>
      </c>
      <c r="D1027" s="3" t="s">
        <v>250</v>
      </c>
      <c r="E1027" s="3" t="s">
        <v>1875</v>
      </c>
      <c r="F1027" s="14" t="s">
        <v>1876</v>
      </c>
      <c r="G1027" s="4" t="s">
        <v>51</v>
      </c>
      <c r="H1027" s="2" t="s">
        <v>17</v>
      </c>
      <c r="I1027" s="2" t="s">
        <v>24</v>
      </c>
      <c r="J1027" s="2" t="s">
        <v>54</v>
      </c>
      <c r="K1027" s="1" t="s">
        <v>422</v>
      </c>
      <c r="L1027" s="1" t="s">
        <v>250</v>
      </c>
    </row>
    <row r="1028" spans="2:12" ht="56" hidden="1" x14ac:dyDescent="0.35">
      <c r="B1028" s="2">
        <v>484</v>
      </c>
      <c r="C1028" s="5">
        <v>45840</v>
      </c>
      <c r="D1028" s="3" t="s">
        <v>250</v>
      </c>
      <c r="E1028" s="3" t="s">
        <v>1877</v>
      </c>
      <c r="F1028" s="14" t="s">
        <v>1878</v>
      </c>
      <c r="G1028" s="4" t="s">
        <v>51</v>
      </c>
      <c r="H1028" s="2" t="s">
        <v>17</v>
      </c>
      <c r="I1028" s="2" t="s">
        <v>18</v>
      </c>
      <c r="J1028" s="2" t="s">
        <v>19</v>
      </c>
      <c r="K1028" s="1" t="s">
        <v>422</v>
      </c>
      <c r="L1028" s="1" t="s">
        <v>190</v>
      </c>
    </row>
    <row r="1029" spans="2:12" ht="49.5" hidden="1" customHeight="1" x14ac:dyDescent="0.35">
      <c r="B1029" s="2">
        <v>485</v>
      </c>
      <c r="C1029" s="5">
        <v>45839</v>
      </c>
      <c r="D1029" s="3" t="s">
        <v>250</v>
      </c>
      <c r="E1029" s="3" t="s">
        <v>1879</v>
      </c>
      <c r="F1029" s="14" t="s">
        <v>1728</v>
      </c>
      <c r="G1029" s="4" t="s">
        <v>51</v>
      </c>
      <c r="H1029" s="2" t="s">
        <v>17</v>
      </c>
      <c r="I1029" s="2" t="s">
        <v>24</v>
      </c>
      <c r="J1029" s="2" t="s">
        <v>72</v>
      </c>
      <c r="K1029" s="1" t="s">
        <v>422</v>
      </c>
      <c r="L1029" s="1" t="s">
        <v>250</v>
      </c>
    </row>
    <row r="1030" spans="2:12" ht="70.5" hidden="1" customHeight="1" x14ac:dyDescent="0.35">
      <c r="B1030" s="2">
        <v>486</v>
      </c>
      <c r="C1030" s="5">
        <v>45839</v>
      </c>
      <c r="D1030" s="3" t="s">
        <v>250</v>
      </c>
      <c r="E1030" s="3" t="s">
        <v>1880</v>
      </c>
      <c r="F1030" s="14" t="s">
        <v>499</v>
      </c>
      <c r="G1030" s="4" t="s">
        <v>51</v>
      </c>
      <c r="H1030" s="2" t="s">
        <v>17</v>
      </c>
      <c r="I1030" s="2" t="s">
        <v>24</v>
      </c>
      <c r="J1030" s="2" t="s">
        <v>72</v>
      </c>
      <c r="K1030" s="1" t="s">
        <v>422</v>
      </c>
      <c r="L1030" s="1" t="s">
        <v>250</v>
      </c>
    </row>
    <row r="1031" spans="2:12" ht="66.650000000000006" hidden="1" customHeight="1" x14ac:dyDescent="0.35">
      <c r="B1031" s="2">
        <v>9088</v>
      </c>
      <c r="C1031" s="5">
        <v>45846</v>
      </c>
      <c r="D1031" s="3" t="s">
        <v>190</v>
      </c>
      <c r="E1031" s="3" t="s">
        <v>1881</v>
      </c>
      <c r="F1031" s="14" t="s">
        <v>1882</v>
      </c>
      <c r="G1031" s="4" t="s">
        <v>16</v>
      </c>
      <c r="H1031" s="2" t="s">
        <v>17</v>
      </c>
      <c r="I1031" s="2" t="s">
        <v>24</v>
      </c>
      <c r="J1031" s="2" t="s">
        <v>33</v>
      </c>
      <c r="K1031" s="1" t="s">
        <v>422</v>
      </c>
      <c r="L1031" s="1" t="s">
        <v>190</v>
      </c>
    </row>
    <row r="1032" spans="2:12" ht="56" hidden="1" x14ac:dyDescent="0.35">
      <c r="B1032" s="2">
        <v>9087</v>
      </c>
      <c r="C1032" s="5">
        <v>45846</v>
      </c>
      <c r="D1032" s="3" t="s">
        <v>250</v>
      </c>
      <c r="E1032" s="3" t="s">
        <v>1883</v>
      </c>
      <c r="F1032" s="14" t="s">
        <v>192</v>
      </c>
      <c r="G1032" s="4" t="s">
        <v>51</v>
      </c>
      <c r="H1032" s="2" t="s">
        <v>17</v>
      </c>
      <c r="I1032" s="2" t="s">
        <v>24</v>
      </c>
      <c r="J1032" s="2" t="s">
        <v>33</v>
      </c>
      <c r="K1032" s="1" t="s">
        <v>422</v>
      </c>
      <c r="L1032" s="1" t="s">
        <v>250</v>
      </c>
    </row>
    <row r="1033" spans="2:12" ht="56" hidden="1" x14ac:dyDescent="0.35">
      <c r="B1033" s="2">
        <v>9268</v>
      </c>
      <c r="C1033" s="5">
        <v>45861</v>
      </c>
      <c r="D1033" s="3" t="s">
        <v>250</v>
      </c>
      <c r="E1033" s="3" t="s">
        <v>1884</v>
      </c>
      <c r="F1033" s="14" t="s">
        <v>1885</v>
      </c>
      <c r="G1033" s="4" t="s">
        <v>51</v>
      </c>
      <c r="H1033" s="2" t="s">
        <v>17</v>
      </c>
      <c r="I1033" s="2" t="s">
        <v>18</v>
      </c>
      <c r="J1033" s="2" t="s">
        <v>19</v>
      </c>
      <c r="K1033" s="1" t="s">
        <v>422</v>
      </c>
      <c r="L1033" s="1" t="s">
        <v>250</v>
      </c>
    </row>
    <row r="1034" spans="2:12" ht="54.65" hidden="1" customHeight="1" x14ac:dyDescent="0.35">
      <c r="B1034" s="2">
        <v>9329</v>
      </c>
      <c r="C1034" s="5">
        <v>45869</v>
      </c>
      <c r="D1034" s="3" t="s">
        <v>227</v>
      </c>
      <c r="E1034" s="3" t="s">
        <v>1886</v>
      </c>
      <c r="F1034" s="14" t="s">
        <v>1887</v>
      </c>
      <c r="G1034" s="4" t="s">
        <v>51</v>
      </c>
      <c r="H1034" s="2" t="s">
        <v>17</v>
      </c>
      <c r="I1034" s="2" t="s">
        <v>18</v>
      </c>
      <c r="J1034" s="2" t="s">
        <v>19</v>
      </c>
      <c r="K1034" s="1" t="s">
        <v>422</v>
      </c>
      <c r="L1034" s="1" t="s">
        <v>190</v>
      </c>
    </row>
    <row r="1035" spans="2:12" ht="42" hidden="1" x14ac:dyDescent="0.35">
      <c r="B1035" s="2">
        <v>10172</v>
      </c>
      <c r="C1035" s="5">
        <v>45960</v>
      </c>
      <c r="D1035" s="3" t="s">
        <v>190</v>
      </c>
      <c r="E1035" s="3" t="s">
        <v>1888</v>
      </c>
      <c r="F1035" s="14" t="s">
        <v>1889</v>
      </c>
      <c r="G1035" s="4" t="s">
        <v>16</v>
      </c>
      <c r="H1035" s="2" t="s">
        <v>17</v>
      </c>
      <c r="I1035" s="2" t="s">
        <v>24</v>
      </c>
      <c r="J1035" s="2" t="s">
        <v>25</v>
      </c>
      <c r="K1035" s="1" t="s">
        <v>422</v>
      </c>
      <c r="L1035" s="1" t="s">
        <v>190</v>
      </c>
    </row>
    <row r="1036" spans="2:12" ht="42" hidden="1" x14ac:dyDescent="0.35">
      <c r="B1036" s="2">
        <v>10174</v>
      </c>
      <c r="C1036" s="5">
        <v>45961</v>
      </c>
      <c r="D1036" s="3" t="s">
        <v>250</v>
      </c>
      <c r="E1036" s="3" t="s">
        <v>1890</v>
      </c>
      <c r="F1036" s="14" t="s">
        <v>1108</v>
      </c>
      <c r="G1036" s="4" t="s">
        <v>51</v>
      </c>
      <c r="H1036" s="2" t="s">
        <v>17</v>
      </c>
      <c r="I1036" s="2" t="s">
        <v>24</v>
      </c>
      <c r="J1036" s="2" t="s">
        <v>33</v>
      </c>
      <c r="K1036" s="1" t="s">
        <v>422</v>
      </c>
      <c r="L1036" s="1" t="s">
        <v>250</v>
      </c>
    </row>
    <row r="1037" spans="2:12" ht="42" hidden="1" x14ac:dyDescent="0.35">
      <c r="B1037" s="2">
        <v>10171</v>
      </c>
      <c r="C1037" s="5">
        <v>45961</v>
      </c>
      <c r="D1037" s="3" t="s">
        <v>190</v>
      </c>
      <c r="E1037" s="3" t="s">
        <v>1891</v>
      </c>
      <c r="F1037" s="14" t="s">
        <v>1892</v>
      </c>
      <c r="G1037" s="4" t="s">
        <v>16</v>
      </c>
      <c r="H1037" s="2" t="s">
        <v>17</v>
      </c>
      <c r="I1037" s="2" t="s">
        <v>24</v>
      </c>
      <c r="J1037" s="2" t="s">
        <v>72</v>
      </c>
      <c r="K1037" s="1" t="s">
        <v>422</v>
      </c>
      <c r="L1037" s="1" t="s">
        <v>190</v>
      </c>
    </row>
    <row r="1038" spans="2:12" ht="42" hidden="1" x14ac:dyDescent="0.35">
      <c r="B1038" s="2">
        <v>10173</v>
      </c>
      <c r="C1038" s="5">
        <v>45960</v>
      </c>
      <c r="D1038" s="3" t="s">
        <v>250</v>
      </c>
      <c r="E1038" s="3" t="s">
        <v>1893</v>
      </c>
      <c r="F1038" s="14" t="s">
        <v>887</v>
      </c>
      <c r="G1038" s="4" t="s">
        <v>16</v>
      </c>
      <c r="H1038" s="2" t="s">
        <v>17</v>
      </c>
      <c r="I1038" s="2" t="s">
        <v>24</v>
      </c>
      <c r="J1038" s="2" t="s">
        <v>33</v>
      </c>
      <c r="K1038" s="1" t="s">
        <v>422</v>
      </c>
      <c r="L1038" s="1" t="s">
        <v>250</v>
      </c>
    </row>
    <row r="1039" spans="2:12" ht="42" hidden="1" x14ac:dyDescent="0.35">
      <c r="B1039" s="2">
        <v>10175</v>
      </c>
      <c r="C1039" s="5">
        <v>45961</v>
      </c>
      <c r="D1039" s="3" t="s">
        <v>250</v>
      </c>
      <c r="E1039" s="3" t="s">
        <v>1894</v>
      </c>
      <c r="F1039" s="14" t="s">
        <v>1895</v>
      </c>
      <c r="G1039" s="4" t="s">
        <v>51</v>
      </c>
      <c r="H1039" s="2" t="s">
        <v>17</v>
      </c>
      <c r="I1039" s="2" t="s">
        <v>24</v>
      </c>
      <c r="J1039" s="2" t="s">
        <v>33</v>
      </c>
      <c r="K1039" s="1" t="s">
        <v>422</v>
      </c>
      <c r="L1039" s="1" t="s">
        <v>250</v>
      </c>
    </row>
    <row r="1040" spans="2:12" ht="42" hidden="1" x14ac:dyDescent="0.35">
      <c r="B1040" s="2">
        <v>10485</v>
      </c>
      <c r="C1040" s="5">
        <v>46002</v>
      </c>
      <c r="D1040" s="3" t="s">
        <v>395</v>
      </c>
      <c r="E1040" s="3" t="s">
        <v>1896</v>
      </c>
      <c r="F1040" s="14" t="s">
        <v>1897</v>
      </c>
      <c r="G1040" s="4" t="s">
        <v>51</v>
      </c>
      <c r="H1040" s="2" t="s">
        <v>17</v>
      </c>
      <c r="I1040" s="2" t="s">
        <v>24</v>
      </c>
      <c r="J1040" s="2" t="s">
        <v>33</v>
      </c>
      <c r="K1040" s="1" t="s">
        <v>422</v>
      </c>
      <c r="L1040" s="1" t="s">
        <v>250</v>
      </c>
    </row>
    <row r="1041" spans="2:12" ht="42" hidden="1" x14ac:dyDescent="0.35">
      <c r="B1041" s="2">
        <v>10484</v>
      </c>
      <c r="C1041" s="5">
        <v>46002</v>
      </c>
      <c r="D1041" s="3" t="s">
        <v>190</v>
      </c>
      <c r="E1041" s="3" t="s">
        <v>1898</v>
      </c>
      <c r="F1041" s="14" t="s">
        <v>1899</v>
      </c>
      <c r="G1041" s="4" t="s">
        <v>51</v>
      </c>
      <c r="H1041" s="2" t="s">
        <v>17</v>
      </c>
      <c r="I1041" s="2" t="s">
        <v>24</v>
      </c>
      <c r="J1041" s="2" t="s">
        <v>33</v>
      </c>
      <c r="K1041" s="1" t="s">
        <v>422</v>
      </c>
      <c r="L1041" s="1" t="s">
        <v>193</v>
      </c>
    </row>
    <row r="1042" spans="2:12" ht="42" hidden="1" x14ac:dyDescent="0.35">
      <c r="B1042" s="2">
        <v>62</v>
      </c>
      <c r="C1042" s="5">
        <v>45678</v>
      </c>
      <c r="D1042" s="3" t="s">
        <v>190</v>
      </c>
      <c r="E1042" s="3" t="s">
        <v>1900</v>
      </c>
      <c r="F1042" s="14" t="s">
        <v>413</v>
      </c>
      <c r="G1042" s="4" t="s">
        <v>16</v>
      </c>
      <c r="H1042" s="2" t="s">
        <v>17</v>
      </c>
      <c r="I1042" s="2" t="s">
        <v>18</v>
      </c>
      <c r="J1042" t="s">
        <v>19</v>
      </c>
      <c r="K1042" s="1" t="s">
        <v>1901</v>
      </c>
      <c r="L1042" s="1" t="s">
        <v>190</v>
      </c>
    </row>
    <row r="1043" spans="2:12" ht="28" hidden="1" x14ac:dyDescent="0.35">
      <c r="B1043" s="2">
        <v>103</v>
      </c>
      <c r="C1043" s="5">
        <v>45695</v>
      </c>
      <c r="D1043" s="3" t="s">
        <v>190</v>
      </c>
      <c r="E1043" s="3" t="s">
        <v>1902</v>
      </c>
      <c r="F1043" s="14" t="s">
        <v>413</v>
      </c>
      <c r="G1043" s="4" t="s">
        <v>16</v>
      </c>
      <c r="H1043" s="2" t="s">
        <v>17</v>
      </c>
      <c r="I1043" s="2" t="s">
        <v>24</v>
      </c>
      <c r="J1043" s="2" t="s">
        <v>54</v>
      </c>
      <c r="K1043" s="1" t="s">
        <v>1901</v>
      </c>
      <c r="L1043" s="1" t="s">
        <v>190</v>
      </c>
    </row>
    <row r="1044" spans="2:12" ht="56" hidden="1" x14ac:dyDescent="0.35">
      <c r="B1044" s="2">
        <v>180</v>
      </c>
      <c r="C1044" s="5">
        <v>45723</v>
      </c>
      <c r="D1044" s="3" t="s">
        <v>190</v>
      </c>
      <c r="E1044" s="3" t="s">
        <v>1903</v>
      </c>
      <c r="F1044" s="14" t="s">
        <v>1904</v>
      </c>
      <c r="G1044" s="4" t="s">
        <v>16</v>
      </c>
      <c r="H1044" s="2" t="s">
        <v>17</v>
      </c>
      <c r="I1044" s="2" t="s">
        <v>18</v>
      </c>
      <c r="J1044" s="2" t="s">
        <v>68</v>
      </c>
      <c r="K1044" s="1" t="s">
        <v>1901</v>
      </c>
      <c r="L1044" s="1" t="s">
        <v>190</v>
      </c>
    </row>
    <row r="1045" spans="2:12" ht="56" hidden="1" x14ac:dyDescent="0.35">
      <c r="B1045" s="2">
        <v>241</v>
      </c>
      <c r="C1045" s="5">
        <v>45752</v>
      </c>
      <c r="D1045" s="3" t="s">
        <v>96</v>
      </c>
      <c r="E1045" s="3" t="s">
        <v>1905</v>
      </c>
      <c r="F1045" s="14" t="s">
        <v>1906</v>
      </c>
      <c r="G1045" s="4" t="s">
        <v>51</v>
      </c>
      <c r="H1045" s="2" t="s">
        <v>17</v>
      </c>
      <c r="I1045" s="2" t="s">
        <v>37</v>
      </c>
      <c r="J1045" s="2" t="s">
        <v>38</v>
      </c>
      <c r="K1045" s="1" t="s">
        <v>1901</v>
      </c>
      <c r="L1045" s="1" t="s">
        <v>278</v>
      </c>
    </row>
    <row r="1046" spans="2:12" ht="69.650000000000006" hidden="1" customHeight="1" x14ac:dyDescent="0.35">
      <c r="B1046" s="2">
        <v>9358</v>
      </c>
      <c r="C1046" s="5">
        <v>45870</v>
      </c>
      <c r="D1046" s="3" t="s">
        <v>21</v>
      </c>
      <c r="E1046" s="3" t="s">
        <v>1907</v>
      </c>
      <c r="F1046" s="14" t="s">
        <v>607</v>
      </c>
      <c r="G1046" s="4" t="s">
        <v>16</v>
      </c>
      <c r="H1046" s="2" t="s">
        <v>17</v>
      </c>
      <c r="I1046" s="2" t="s">
        <v>18</v>
      </c>
      <c r="J1046" s="2" t="s">
        <v>68</v>
      </c>
      <c r="K1046" s="1" t="s">
        <v>1901</v>
      </c>
      <c r="L1046" s="1" t="s">
        <v>190</v>
      </c>
    </row>
    <row r="1047" spans="2:12" ht="56" hidden="1" x14ac:dyDescent="0.35">
      <c r="B1047" s="2">
        <v>9359</v>
      </c>
      <c r="C1047" s="5">
        <v>45870</v>
      </c>
      <c r="D1047" s="3" t="s">
        <v>250</v>
      </c>
      <c r="E1047" s="3" t="s">
        <v>1908</v>
      </c>
      <c r="F1047" s="14" t="s">
        <v>1878</v>
      </c>
      <c r="G1047" s="4" t="s">
        <v>16</v>
      </c>
      <c r="H1047" s="2" t="s">
        <v>17</v>
      </c>
      <c r="I1047" s="2" t="s">
        <v>18</v>
      </c>
      <c r="J1047" s="2" t="s">
        <v>19</v>
      </c>
      <c r="K1047" s="1" t="s">
        <v>1901</v>
      </c>
      <c r="L1047" s="1" t="s">
        <v>250</v>
      </c>
    </row>
    <row r="1048" spans="2:12" ht="42" hidden="1" x14ac:dyDescent="0.35">
      <c r="B1048" s="2">
        <v>11216</v>
      </c>
      <c r="C1048" s="24">
        <v>46076</v>
      </c>
      <c r="D1048" s="3" t="s">
        <v>190</v>
      </c>
      <c r="E1048" s="3" t="s">
        <v>1909</v>
      </c>
      <c r="F1048" s="14" t="s">
        <v>1910</v>
      </c>
      <c r="G1048" s="4" t="s">
        <v>16</v>
      </c>
      <c r="H1048" s="2" t="s">
        <v>17</v>
      </c>
      <c r="I1048" s="2" t="s">
        <v>18</v>
      </c>
      <c r="J1048" s="2" t="s">
        <v>68</v>
      </c>
      <c r="K1048" s="1" t="s">
        <v>1901</v>
      </c>
      <c r="L1048" s="1" t="s">
        <v>190</v>
      </c>
    </row>
    <row r="1049" spans="2:12" ht="42" hidden="1" x14ac:dyDescent="0.35">
      <c r="B1049" s="2">
        <v>11217</v>
      </c>
      <c r="C1049" s="24">
        <v>46076</v>
      </c>
      <c r="D1049" s="3" t="s">
        <v>190</v>
      </c>
      <c r="E1049" s="3" t="s">
        <v>1911</v>
      </c>
      <c r="F1049" s="14" t="s">
        <v>607</v>
      </c>
      <c r="G1049" s="4" t="s">
        <v>16</v>
      </c>
      <c r="H1049" s="2" t="s">
        <v>17</v>
      </c>
      <c r="I1049" s="2" t="s">
        <v>18</v>
      </c>
      <c r="J1049" s="2" t="s">
        <v>68</v>
      </c>
      <c r="K1049" s="1" t="s">
        <v>1901</v>
      </c>
      <c r="L1049" s="1" t="s">
        <v>190</v>
      </c>
    </row>
    <row r="1050" spans="2:12" ht="28" hidden="1" x14ac:dyDescent="0.35">
      <c r="B1050" s="2">
        <v>40</v>
      </c>
      <c r="C1050" s="5">
        <v>45670</v>
      </c>
      <c r="D1050" s="3" t="s">
        <v>21</v>
      </c>
      <c r="E1050" s="3" t="s">
        <v>1912</v>
      </c>
      <c r="F1050" s="14" t="s">
        <v>1913</v>
      </c>
      <c r="G1050" s="4" t="s">
        <v>16</v>
      </c>
      <c r="H1050" s="2" t="s">
        <v>17</v>
      </c>
      <c r="I1050" s="2" t="s">
        <v>18</v>
      </c>
      <c r="J1050" t="s">
        <v>19</v>
      </c>
      <c r="K1050" s="1" t="s">
        <v>1914</v>
      </c>
      <c r="L1050" s="1" t="s">
        <v>95</v>
      </c>
    </row>
    <row r="1051" spans="2:12" ht="28" hidden="1" x14ac:dyDescent="0.35">
      <c r="B1051" s="2">
        <v>41</v>
      </c>
      <c r="C1051" s="5">
        <v>45670</v>
      </c>
      <c r="D1051" s="3" t="s">
        <v>21</v>
      </c>
      <c r="E1051" s="3" t="s">
        <v>1915</v>
      </c>
      <c r="F1051" s="14" t="s">
        <v>1913</v>
      </c>
      <c r="G1051" s="4" t="s">
        <v>16</v>
      </c>
      <c r="H1051" s="2" t="s">
        <v>17</v>
      </c>
      <c r="I1051" s="2" t="s">
        <v>18</v>
      </c>
      <c r="J1051" t="s">
        <v>19</v>
      </c>
      <c r="K1051" s="1" t="s">
        <v>1914</v>
      </c>
      <c r="L1051" s="1" t="s">
        <v>95</v>
      </c>
    </row>
    <row r="1052" spans="2:12" ht="42" hidden="1" x14ac:dyDescent="0.35">
      <c r="B1052" s="2">
        <v>49</v>
      </c>
      <c r="C1052" s="5">
        <v>45672</v>
      </c>
      <c r="D1052" s="3" t="s">
        <v>104</v>
      </c>
      <c r="E1052" s="3" t="s">
        <v>1916</v>
      </c>
      <c r="F1052" s="14" t="s">
        <v>1253</v>
      </c>
      <c r="G1052" s="4" t="s">
        <v>16</v>
      </c>
      <c r="H1052" s="2" t="s">
        <v>17</v>
      </c>
      <c r="I1052" s="2" t="s">
        <v>24</v>
      </c>
      <c r="J1052" t="s">
        <v>33</v>
      </c>
      <c r="K1052" s="1" t="s">
        <v>1914</v>
      </c>
      <c r="L1052" s="1" t="s">
        <v>95</v>
      </c>
    </row>
    <row r="1053" spans="2:12" ht="28" hidden="1" x14ac:dyDescent="0.35">
      <c r="B1053" s="2">
        <v>126</v>
      </c>
      <c r="C1053" s="5">
        <v>45709</v>
      </c>
      <c r="D1053" s="3" t="s">
        <v>104</v>
      </c>
      <c r="E1053" s="3" t="s">
        <v>1917</v>
      </c>
      <c r="F1053" s="14" t="s">
        <v>501</v>
      </c>
      <c r="G1053" s="4" t="s">
        <v>16</v>
      </c>
      <c r="H1053" s="2" t="s">
        <v>17</v>
      </c>
      <c r="I1053" s="2" t="s">
        <v>18</v>
      </c>
      <c r="J1053" s="2" t="s">
        <v>68</v>
      </c>
      <c r="K1053" s="1" t="s">
        <v>1914</v>
      </c>
      <c r="L1053" s="1" t="s">
        <v>104</v>
      </c>
    </row>
    <row r="1054" spans="2:12" ht="42" hidden="1" x14ac:dyDescent="0.35">
      <c r="B1054" s="2">
        <v>271</v>
      </c>
      <c r="C1054" s="5">
        <v>45769</v>
      </c>
      <c r="D1054" s="3" t="s">
        <v>96</v>
      </c>
      <c r="E1054" s="3" t="s">
        <v>1918</v>
      </c>
      <c r="F1054" s="14" t="s">
        <v>1919</v>
      </c>
      <c r="G1054" s="4" t="s">
        <v>51</v>
      </c>
      <c r="H1054" s="2" t="s">
        <v>17</v>
      </c>
      <c r="I1054" s="2" t="s">
        <v>24</v>
      </c>
      <c r="J1054" s="2" t="s">
        <v>33</v>
      </c>
      <c r="K1054" s="1" t="s">
        <v>1914</v>
      </c>
      <c r="L1054" s="1" t="s">
        <v>95</v>
      </c>
    </row>
    <row r="1055" spans="2:12" ht="28" hidden="1" x14ac:dyDescent="0.35">
      <c r="B1055" s="2">
        <v>381</v>
      </c>
      <c r="C1055" s="5">
        <v>45803</v>
      </c>
      <c r="D1055" s="3" t="s">
        <v>234</v>
      </c>
      <c r="E1055" s="3" t="s">
        <v>1920</v>
      </c>
      <c r="F1055" s="14" t="s">
        <v>1921</v>
      </c>
      <c r="G1055" s="4" t="s">
        <v>16</v>
      </c>
      <c r="H1055" s="2" t="s">
        <v>17</v>
      </c>
      <c r="I1055" s="2" t="s">
        <v>18</v>
      </c>
      <c r="J1055" s="2" t="s">
        <v>19</v>
      </c>
      <c r="K1055" s="1" t="s">
        <v>1914</v>
      </c>
      <c r="L1055" s="1" t="s">
        <v>95</v>
      </c>
    </row>
    <row r="1056" spans="2:12" ht="42" hidden="1" x14ac:dyDescent="0.35">
      <c r="B1056" s="2">
        <v>9258</v>
      </c>
      <c r="C1056" s="5">
        <v>45862</v>
      </c>
      <c r="D1056" s="3" t="s">
        <v>104</v>
      </c>
      <c r="E1056" s="3" t="s">
        <v>1922</v>
      </c>
      <c r="F1056" s="14" t="s">
        <v>138</v>
      </c>
      <c r="G1056" s="4" t="s">
        <v>16</v>
      </c>
      <c r="H1056" s="2" t="s">
        <v>17</v>
      </c>
      <c r="I1056" s="2" t="s">
        <v>24</v>
      </c>
      <c r="J1056" s="2" t="s">
        <v>72</v>
      </c>
      <c r="K1056" s="1" t="s">
        <v>1914</v>
      </c>
      <c r="L1056" s="1" t="s">
        <v>95</v>
      </c>
    </row>
    <row r="1057" spans="2:12" ht="42" hidden="1" x14ac:dyDescent="0.35">
      <c r="B1057" s="2">
        <v>10140</v>
      </c>
      <c r="C1057" s="5">
        <v>45953</v>
      </c>
      <c r="D1057" s="3" t="s">
        <v>220</v>
      </c>
      <c r="E1057" s="3" t="s">
        <v>1923</v>
      </c>
      <c r="F1057" s="14" t="s">
        <v>1011</v>
      </c>
      <c r="G1057" s="4" t="s">
        <v>51</v>
      </c>
      <c r="H1057" s="2" t="s">
        <v>17</v>
      </c>
      <c r="I1057" s="2" t="s">
        <v>24</v>
      </c>
      <c r="J1057" s="2" t="s">
        <v>33</v>
      </c>
      <c r="K1057" s="1" t="s">
        <v>700</v>
      </c>
      <c r="L1057" s="1" t="s">
        <v>95</v>
      </c>
    </row>
    <row r="1058" spans="2:12" ht="56" hidden="1" x14ac:dyDescent="0.35">
      <c r="B1058" s="2">
        <v>61</v>
      </c>
      <c r="C1058" s="5">
        <v>45677</v>
      </c>
      <c r="D1058" s="3" t="s">
        <v>250</v>
      </c>
      <c r="E1058" s="3" t="s">
        <v>1924</v>
      </c>
      <c r="F1058" s="14" t="s">
        <v>1925</v>
      </c>
      <c r="G1058" s="4" t="s">
        <v>51</v>
      </c>
      <c r="H1058" s="2" t="s">
        <v>17</v>
      </c>
      <c r="I1058" s="2" t="s">
        <v>18</v>
      </c>
      <c r="J1058" t="s">
        <v>68</v>
      </c>
      <c r="K1058" s="1" t="s">
        <v>1926</v>
      </c>
      <c r="L1058" s="1" t="s">
        <v>395</v>
      </c>
    </row>
    <row r="1059" spans="2:12" ht="42" hidden="1" x14ac:dyDescent="0.35">
      <c r="B1059" s="2">
        <v>66</v>
      </c>
      <c r="C1059" s="5">
        <v>45679</v>
      </c>
      <c r="D1059" s="3" t="s">
        <v>193</v>
      </c>
      <c r="E1059" s="3" t="s">
        <v>1927</v>
      </c>
      <c r="F1059" s="14" t="s">
        <v>1928</v>
      </c>
      <c r="G1059" s="4" t="s">
        <v>51</v>
      </c>
      <c r="H1059" s="2" t="s">
        <v>17</v>
      </c>
      <c r="I1059" s="2" t="s">
        <v>18</v>
      </c>
      <c r="J1059" t="s">
        <v>68</v>
      </c>
      <c r="K1059" s="1" t="s">
        <v>1926</v>
      </c>
      <c r="L1059" s="1" t="s">
        <v>395</v>
      </c>
    </row>
    <row r="1060" spans="2:12" ht="70" hidden="1" x14ac:dyDescent="0.35">
      <c r="B1060" s="2">
        <v>133</v>
      </c>
      <c r="C1060" s="5">
        <v>45713</v>
      </c>
      <c r="D1060" s="3" t="s">
        <v>250</v>
      </c>
      <c r="E1060" s="3" t="s">
        <v>1929</v>
      </c>
      <c r="F1060" s="14" t="s">
        <v>571</v>
      </c>
      <c r="G1060" s="4" t="s">
        <v>51</v>
      </c>
      <c r="H1060" s="2" t="s">
        <v>17</v>
      </c>
      <c r="I1060" s="2" t="s">
        <v>24</v>
      </c>
      <c r="J1060" s="2" t="s">
        <v>289</v>
      </c>
      <c r="K1060" s="1" t="s">
        <v>1926</v>
      </c>
      <c r="L1060" s="1" t="s">
        <v>395</v>
      </c>
    </row>
    <row r="1061" spans="2:12" ht="42" hidden="1" x14ac:dyDescent="0.35">
      <c r="B1061" s="2">
        <v>352</v>
      </c>
      <c r="C1061" s="5">
        <v>45791</v>
      </c>
      <c r="D1061" s="3" t="s">
        <v>13</v>
      </c>
      <c r="E1061" s="3" t="s">
        <v>1930</v>
      </c>
      <c r="F1061" s="14" t="s">
        <v>1931</v>
      </c>
      <c r="G1061" s="4" t="s">
        <v>51</v>
      </c>
      <c r="H1061" s="2" t="s">
        <v>17</v>
      </c>
      <c r="I1061" s="2" t="s">
        <v>24</v>
      </c>
      <c r="J1061" s="2" t="s">
        <v>72</v>
      </c>
      <c r="K1061" s="1" t="s">
        <v>1926</v>
      </c>
      <c r="L1061" s="1" t="s">
        <v>395</v>
      </c>
    </row>
    <row r="1062" spans="2:12" ht="28" hidden="1" x14ac:dyDescent="0.35">
      <c r="B1062" s="2">
        <v>372</v>
      </c>
      <c r="C1062" s="5">
        <v>45799</v>
      </c>
      <c r="D1062" s="3" t="s">
        <v>234</v>
      </c>
      <c r="E1062" s="3" t="s">
        <v>1932</v>
      </c>
      <c r="F1062" s="14" t="s">
        <v>405</v>
      </c>
      <c r="G1062" s="4" t="s">
        <v>16</v>
      </c>
      <c r="H1062" s="2" t="s">
        <v>17</v>
      </c>
      <c r="I1062" s="2" t="s">
        <v>18</v>
      </c>
      <c r="J1062" s="2" t="s">
        <v>19</v>
      </c>
      <c r="K1062" s="1" t="s">
        <v>1926</v>
      </c>
      <c r="L1062" s="1" t="s">
        <v>395</v>
      </c>
    </row>
    <row r="1063" spans="2:12" ht="28" hidden="1" x14ac:dyDescent="0.35">
      <c r="B1063" s="2">
        <v>373</v>
      </c>
      <c r="C1063" s="5">
        <v>45799</v>
      </c>
      <c r="D1063" s="3" t="s">
        <v>234</v>
      </c>
      <c r="E1063" s="3" t="s">
        <v>1933</v>
      </c>
      <c r="F1063" s="14" t="s">
        <v>1934</v>
      </c>
      <c r="G1063" s="4" t="s">
        <v>16</v>
      </c>
      <c r="H1063" s="2" t="s">
        <v>17</v>
      </c>
      <c r="I1063" s="2" t="s">
        <v>24</v>
      </c>
      <c r="J1063" s="2" t="s">
        <v>33</v>
      </c>
      <c r="K1063" s="1" t="s">
        <v>1926</v>
      </c>
      <c r="L1063" s="1" t="s">
        <v>395</v>
      </c>
    </row>
    <row r="1064" spans="2:12" ht="42" hidden="1" x14ac:dyDescent="0.35">
      <c r="B1064" s="2">
        <v>374</v>
      </c>
      <c r="C1064" s="5">
        <v>45799</v>
      </c>
      <c r="D1064" s="3" t="s">
        <v>234</v>
      </c>
      <c r="E1064" s="3" t="s">
        <v>1935</v>
      </c>
      <c r="F1064" s="14" t="s">
        <v>1936</v>
      </c>
      <c r="G1064" s="4" t="s">
        <v>16</v>
      </c>
      <c r="H1064" s="2" t="s">
        <v>17</v>
      </c>
      <c r="I1064" s="2" t="s">
        <v>24</v>
      </c>
      <c r="J1064" s="2" t="s">
        <v>44</v>
      </c>
      <c r="K1064" s="1" t="s">
        <v>1926</v>
      </c>
      <c r="L1064" s="1" t="s">
        <v>395</v>
      </c>
    </row>
    <row r="1065" spans="2:12" ht="56" hidden="1" x14ac:dyDescent="0.35">
      <c r="B1065" s="2">
        <v>445</v>
      </c>
      <c r="C1065" s="5">
        <v>45827</v>
      </c>
      <c r="D1065" s="3" t="s">
        <v>104</v>
      </c>
      <c r="E1065" s="3" t="s">
        <v>1937</v>
      </c>
      <c r="F1065" s="14" t="s">
        <v>106</v>
      </c>
      <c r="G1065" s="4" t="s">
        <v>16</v>
      </c>
      <c r="H1065" s="2" t="s">
        <v>17</v>
      </c>
      <c r="I1065" s="2" t="s">
        <v>24</v>
      </c>
      <c r="J1065" s="2" t="s">
        <v>261</v>
      </c>
      <c r="K1065" s="1" t="s">
        <v>1926</v>
      </c>
      <c r="L1065" s="1" t="s">
        <v>395</v>
      </c>
    </row>
    <row r="1066" spans="2:12" ht="28" hidden="1" x14ac:dyDescent="0.35">
      <c r="B1066" s="2">
        <v>10465</v>
      </c>
      <c r="C1066" s="5">
        <v>46001</v>
      </c>
      <c r="D1066" s="3" t="s">
        <v>227</v>
      </c>
      <c r="E1066" s="3" t="s">
        <v>1938</v>
      </c>
      <c r="F1066" s="14" t="s">
        <v>1939</v>
      </c>
      <c r="G1066" s="4" t="s">
        <v>51</v>
      </c>
      <c r="H1066" s="2" t="s">
        <v>17</v>
      </c>
      <c r="I1066" s="2" t="s">
        <v>18</v>
      </c>
      <c r="J1066" s="2" t="s">
        <v>19</v>
      </c>
      <c r="K1066" s="1" t="s">
        <v>1926</v>
      </c>
      <c r="L1066" s="1" t="s">
        <v>395</v>
      </c>
    </row>
    <row r="1067" spans="2:12" ht="35.5" hidden="1" customHeight="1" x14ac:dyDescent="0.35">
      <c r="B1067" s="2">
        <v>11577</v>
      </c>
      <c r="C1067" s="24">
        <v>46112</v>
      </c>
      <c r="D1067" s="3" t="s">
        <v>104</v>
      </c>
      <c r="E1067" s="3" t="s">
        <v>1940</v>
      </c>
      <c r="F1067" s="14" t="s">
        <v>1941</v>
      </c>
      <c r="G1067" s="4" t="s">
        <v>51</v>
      </c>
      <c r="H1067" s="2" t="s">
        <v>17</v>
      </c>
      <c r="I1067" s="2" t="s">
        <v>37</v>
      </c>
      <c r="J1067" s="2" t="s">
        <v>38</v>
      </c>
      <c r="K1067" s="1" t="s">
        <v>1147</v>
      </c>
      <c r="L1067" s="1" t="s">
        <v>95</v>
      </c>
    </row>
    <row r="1068" spans="2:12" ht="42" hidden="1" x14ac:dyDescent="0.35">
      <c r="B1068" s="2">
        <v>11876</v>
      </c>
      <c r="C1068" s="24">
        <v>46141</v>
      </c>
      <c r="D1068" s="3" t="s">
        <v>26</v>
      </c>
      <c r="E1068" s="3" t="s">
        <v>1942</v>
      </c>
      <c r="F1068" s="14" t="s">
        <v>1943</v>
      </c>
      <c r="G1068" s="4" t="s">
        <v>51</v>
      </c>
      <c r="H1068" s="2" t="s">
        <v>281</v>
      </c>
      <c r="I1068" s="2" t="s">
        <v>37</v>
      </c>
      <c r="J1068" s="2" t="s">
        <v>38</v>
      </c>
      <c r="K1068" s="1" t="s">
        <v>30</v>
      </c>
      <c r="L1068" s="1" t="s">
        <v>26</v>
      </c>
    </row>
    <row r="1069" spans="2:12" ht="42" hidden="1" x14ac:dyDescent="0.35">
      <c r="B1069" s="2">
        <v>11872</v>
      </c>
      <c r="C1069" s="24">
        <v>46142</v>
      </c>
      <c r="D1069" s="3" t="s">
        <v>34</v>
      </c>
      <c r="E1069" s="3" t="s">
        <v>1944</v>
      </c>
      <c r="F1069" s="14" t="s">
        <v>60</v>
      </c>
      <c r="G1069" s="4" t="s">
        <v>16</v>
      </c>
      <c r="H1069" s="2" t="s">
        <v>17</v>
      </c>
      <c r="I1069" s="2" t="s">
        <v>24</v>
      </c>
      <c r="J1069" s="2" t="s">
        <v>63</v>
      </c>
      <c r="K1069" s="1" t="s">
        <v>30</v>
      </c>
      <c r="L1069" s="1" t="s">
        <v>26</v>
      </c>
    </row>
    <row r="1070" spans="2:12" ht="56" hidden="1" x14ac:dyDescent="0.35">
      <c r="B1070" s="2">
        <v>11588</v>
      </c>
      <c r="C1070" s="24">
        <v>46118</v>
      </c>
      <c r="D1070" s="3" t="s">
        <v>134</v>
      </c>
      <c r="E1070" s="3" t="s">
        <v>1945</v>
      </c>
      <c r="F1070" s="14" t="s">
        <v>1946</v>
      </c>
      <c r="G1070" s="4" t="s">
        <v>51</v>
      </c>
      <c r="H1070" s="2" t="s">
        <v>17</v>
      </c>
      <c r="I1070" s="2" t="s">
        <v>37</v>
      </c>
      <c r="J1070" s="2" t="s">
        <v>121</v>
      </c>
      <c r="K1070" s="1" t="s">
        <v>107</v>
      </c>
      <c r="L1070" s="1" t="s">
        <v>134</v>
      </c>
    </row>
    <row r="1071" spans="2:12" ht="42" hidden="1" x14ac:dyDescent="0.35">
      <c r="B1071" s="2">
        <v>11694</v>
      </c>
      <c r="C1071" s="24">
        <v>46125</v>
      </c>
      <c r="D1071" s="3" t="s">
        <v>134</v>
      </c>
      <c r="E1071" s="3" t="s">
        <v>1947</v>
      </c>
      <c r="F1071" s="14" t="s">
        <v>1948</v>
      </c>
      <c r="G1071" s="4" t="s">
        <v>51</v>
      </c>
      <c r="H1071" s="2" t="s">
        <v>17</v>
      </c>
      <c r="I1071" s="2" t="s">
        <v>24</v>
      </c>
      <c r="J1071" s="2" t="s">
        <v>44</v>
      </c>
      <c r="K1071" s="1" t="s">
        <v>107</v>
      </c>
      <c r="L1071" s="1" t="s">
        <v>134</v>
      </c>
    </row>
    <row r="1072" spans="2:12" ht="42" hidden="1" x14ac:dyDescent="0.35">
      <c r="B1072" s="2">
        <v>11818</v>
      </c>
      <c r="C1072" s="24">
        <v>46129</v>
      </c>
      <c r="D1072" s="3" t="s">
        <v>134</v>
      </c>
      <c r="E1072" s="3" t="s">
        <v>1949</v>
      </c>
      <c r="F1072" s="14" t="s">
        <v>393</v>
      </c>
      <c r="G1072" s="4" t="s">
        <v>16</v>
      </c>
      <c r="H1072" s="2" t="s">
        <v>17</v>
      </c>
      <c r="I1072" s="2" t="s">
        <v>24</v>
      </c>
      <c r="J1072" s="2" t="s">
        <v>44</v>
      </c>
      <c r="K1072" s="1" t="s">
        <v>107</v>
      </c>
      <c r="L1072" s="1" t="s">
        <v>134</v>
      </c>
    </row>
    <row r="1073" spans="2:12" ht="56" hidden="1" x14ac:dyDescent="0.35">
      <c r="B1073" s="2">
        <v>11886</v>
      </c>
      <c r="C1073" s="24">
        <v>46139</v>
      </c>
      <c r="D1073" s="3" t="s">
        <v>134</v>
      </c>
      <c r="E1073" s="3" t="s">
        <v>1950</v>
      </c>
      <c r="F1073" s="14" t="s">
        <v>158</v>
      </c>
      <c r="G1073" s="4" t="s">
        <v>16</v>
      </c>
      <c r="H1073" s="2" t="s">
        <v>17</v>
      </c>
      <c r="I1073" s="2" t="s">
        <v>24</v>
      </c>
      <c r="J1073" s="2" t="s">
        <v>33</v>
      </c>
      <c r="K1073" s="1" t="s">
        <v>107</v>
      </c>
      <c r="L1073" s="1" t="s">
        <v>134</v>
      </c>
    </row>
    <row r="1074" spans="2:12" ht="28" hidden="1" x14ac:dyDescent="0.35">
      <c r="B1074" s="2">
        <v>11648</v>
      </c>
      <c r="C1074" s="24">
        <v>46122</v>
      </c>
      <c r="D1074" s="3" t="s">
        <v>21</v>
      </c>
      <c r="E1074" s="3" t="s">
        <v>1951</v>
      </c>
      <c r="F1074" s="14" t="s">
        <v>1952</v>
      </c>
      <c r="G1074" s="4" t="s">
        <v>16</v>
      </c>
      <c r="H1074" s="2" t="s">
        <v>17</v>
      </c>
      <c r="I1074" s="2" t="s">
        <v>24</v>
      </c>
      <c r="J1074" s="2" t="s">
        <v>33</v>
      </c>
      <c r="K1074" s="1" t="s">
        <v>183</v>
      </c>
      <c r="L1074" s="1" t="s">
        <v>95</v>
      </c>
    </row>
    <row r="1075" spans="2:12" ht="28" hidden="1" x14ac:dyDescent="0.35">
      <c r="B1075" s="2">
        <v>11645</v>
      </c>
      <c r="C1075" s="24">
        <v>46121</v>
      </c>
      <c r="D1075" s="3" t="s">
        <v>193</v>
      </c>
      <c r="E1075" s="3" t="s">
        <v>1953</v>
      </c>
      <c r="F1075" s="14" t="s">
        <v>1954</v>
      </c>
      <c r="G1075" s="4" t="s">
        <v>51</v>
      </c>
      <c r="H1075" s="2" t="s">
        <v>17</v>
      </c>
      <c r="I1075" s="2" t="s">
        <v>24</v>
      </c>
      <c r="J1075" s="2" t="s">
        <v>54</v>
      </c>
      <c r="K1075" s="1" t="s">
        <v>1955</v>
      </c>
      <c r="L1075" s="1" t="s">
        <v>234</v>
      </c>
    </row>
    <row r="1076" spans="2:12" ht="42" hidden="1" x14ac:dyDescent="0.35">
      <c r="B1076" s="2">
        <v>11720</v>
      </c>
      <c r="C1076" s="24">
        <v>46128</v>
      </c>
      <c r="D1076" s="3" t="s">
        <v>95</v>
      </c>
      <c r="E1076" s="3" t="s">
        <v>1956</v>
      </c>
      <c r="F1076" s="14" t="s">
        <v>1957</v>
      </c>
      <c r="G1076" s="4" t="s">
        <v>51</v>
      </c>
      <c r="H1076" s="2" t="s">
        <v>17</v>
      </c>
      <c r="I1076" s="2" t="s">
        <v>37</v>
      </c>
      <c r="J1076" s="2" t="s">
        <v>38</v>
      </c>
      <c r="K1076" s="1" t="s">
        <v>1955</v>
      </c>
      <c r="L1076" s="1" t="s">
        <v>234</v>
      </c>
    </row>
    <row r="1077" spans="2:12" ht="42" hidden="1" x14ac:dyDescent="0.35">
      <c r="B1077" s="2">
        <v>11719</v>
      </c>
      <c r="C1077" s="24">
        <v>46128</v>
      </c>
      <c r="D1077" s="3" t="s">
        <v>95</v>
      </c>
      <c r="E1077" s="3" t="s">
        <v>1958</v>
      </c>
      <c r="F1077" s="14" t="s">
        <v>1959</v>
      </c>
      <c r="G1077" s="4" t="s">
        <v>51</v>
      </c>
      <c r="H1077" s="2" t="s">
        <v>17</v>
      </c>
      <c r="I1077" s="2" t="s">
        <v>37</v>
      </c>
      <c r="J1077" s="2" t="s">
        <v>38</v>
      </c>
      <c r="K1077" s="1" t="s">
        <v>1955</v>
      </c>
      <c r="L1077" s="1" t="s">
        <v>234</v>
      </c>
    </row>
    <row r="1078" spans="2:12" ht="28" hidden="1" x14ac:dyDescent="0.35">
      <c r="B1078" s="2">
        <v>11824</v>
      </c>
      <c r="C1078" s="24">
        <v>46139</v>
      </c>
      <c r="D1078" s="3" t="s">
        <v>104</v>
      </c>
      <c r="E1078" s="3" t="s">
        <v>1960</v>
      </c>
      <c r="F1078" s="14" t="s">
        <v>127</v>
      </c>
      <c r="G1078" s="4" t="s">
        <v>16</v>
      </c>
      <c r="H1078" s="2" t="s">
        <v>17</v>
      </c>
      <c r="I1078" s="2" t="s">
        <v>37</v>
      </c>
      <c r="J1078" s="2" t="s">
        <v>38</v>
      </c>
      <c r="K1078" s="1" t="s">
        <v>1955</v>
      </c>
      <c r="L1078" s="1" t="s">
        <v>234</v>
      </c>
    </row>
    <row r="1079" spans="2:12" ht="42" hidden="1" x14ac:dyDescent="0.35">
      <c r="B1079" s="2">
        <v>11882</v>
      </c>
      <c r="C1079" s="24">
        <v>46140</v>
      </c>
      <c r="D1079" s="3" t="s">
        <v>193</v>
      </c>
      <c r="E1079" s="3" t="s">
        <v>1961</v>
      </c>
      <c r="F1079" s="14" t="s">
        <v>1962</v>
      </c>
      <c r="G1079" s="4" t="s">
        <v>51</v>
      </c>
      <c r="H1079" s="2" t="s">
        <v>281</v>
      </c>
      <c r="I1079" s="2" t="s">
        <v>24</v>
      </c>
      <c r="J1079" s="2" t="s">
        <v>241</v>
      </c>
      <c r="K1079" s="1" t="s">
        <v>1955</v>
      </c>
      <c r="L1079" s="1" t="s">
        <v>234</v>
      </c>
    </row>
    <row r="1080" spans="2:12" ht="56" hidden="1" x14ac:dyDescent="0.35">
      <c r="B1080" s="2">
        <v>11878</v>
      </c>
      <c r="C1080" s="24">
        <v>46141</v>
      </c>
      <c r="D1080" s="3" t="s">
        <v>95</v>
      </c>
      <c r="E1080" s="3" t="s">
        <v>1963</v>
      </c>
      <c r="F1080" s="14" t="s">
        <v>1964</v>
      </c>
      <c r="G1080" s="4" t="s">
        <v>51</v>
      </c>
      <c r="H1080" s="2" t="s">
        <v>281</v>
      </c>
      <c r="I1080" s="2" t="s">
        <v>37</v>
      </c>
      <c r="J1080" s="2" t="s">
        <v>517</v>
      </c>
      <c r="K1080" s="1" t="s">
        <v>1955</v>
      </c>
      <c r="L1080" s="1" t="s">
        <v>234</v>
      </c>
    </row>
    <row r="1081" spans="2:12" ht="28" hidden="1" x14ac:dyDescent="0.35">
      <c r="B1081" s="2">
        <v>11871</v>
      </c>
      <c r="C1081" s="24">
        <v>46142</v>
      </c>
      <c r="D1081" s="3" t="s">
        <v>21</v>
      </c>
      <c r="E1081" s="3" t="s">
        <v>1965</v>
      </c>
      <c r="F1081" s="14" t="s">
        <v>1724</v>
      </c>
      <c r="G1081" s="4" t="s">
        <v>16</v>
      </c>
      <c r="H1081" s="2" t="s">
        <v>17</v>
      </c>
      <c r="I1081" s="2" t="s">
        <v>18</v>
      </c>
      <c r="J1081" s="2" t="s">
        <v>19</v>
      </c>
      <c r="K1081" s="1" t="s">
        <v>1955</v>
      </c>
      <c r="L1081" s="1" t="s">
        <v>234</v>
      </c>
    </row>
    <row r="1082" spans="2:12" ht="28" hidden="1" x14ac:dyDescent="0.35">
      <c r="B1082" s="2">
        <v>11870</v>
      </c>
      <c r="C1082" s="24">
        <v>46142</v>
      </c>
      <c r="D1082" s="3" t="s">
        <v>193</v>
      </c>
      <c r="E1082" s="3" t="s">
        <v>1966</v>
      </c>
      <c r="F1082" s="14" t="s">
        <v>1967</v>
      </c>
      <c r="G1082" s="4" t="s">
        <v>51</v>
      </c>
      <c r="H1082" s="2" t="s">
        <v>17</v>
      </c>
      <c r="I1082" s="2" t="s">
        <v>24</v>
      </c>
      <c r="J1082" s="2" t="s">
        <v>241</v>
      </c>
      <c r="K1082" s="1" t="s">
        <v>1955</v>
      </c>
      <c r="L1082" s="1" t="s">
        <v>234</v>
      </c>
    </row>
    <row r="1083" spans="2:12" ht="42" hidden="1" x14ac:dyDescent="0.35">
      <c r="B1083" s="2">
        <v>11868</v>
      </c>
      <c r="C1083" s="24">
        <v>46142</v>
      </c>
      <c r="D1083" s="3" t="s">
        <v>227</v>
      </c>
      <c r="E1083" s="3" t="s">
        <v>1968</v>
      </c>
      <c r="F1083" s="14" t="s">
        <v>1969</v>
      </c>
      <c r="G1083" s="4" t="s">
        <v>51</v>
      </c>
      <c r="H1083" s="2" t="s">
        <v>17</v>
      </c>
      <c r="I1083" s="2" t="s">
        <v>24</v>
      </c>
      <c r="J1083" s="2" t="s">
        <v>54</v>
      </c>
      <c r="K1083" s="1" t="s">
        <v>1970</v>
      </c>
      <c r="L1083" s="1" t="s">
        <v>278</v>
      </c>
    </row>
    <row r="1084" spans="2:12" ht="42" hidden="1" x14ac:dyDescent="0.35">
      <c r="B1084" s="2">
        <v>11760</v>
      </c>
      <c r="C1084" s="24">
        <v>46133</v>
      </c>
      <c r="D1084" s="3" t="s">
        <v>26</v>
      </c>
      <c r="E1084" s="3" t="s">
        <v>1971</v>
      </c>
      <c r="F1084" s="14" t="s">
        <v>1972</v>
      </c>
      <c r="G1084" s="4" t="s">
        <v>16</v>
      </c>
      <c r="H1084" s="2" t="s">
        <v>17</v>
      </c>
      <c r="I1084" s="2" t="s">
        <v>18</v>
      </c>
      <c r="J1084" s="2" t="s">
        <v>171</v>
      </c>
      <c r="K1084" s="1" t="s">
        <v>394</v>
      </c>
      <c r="L1084" s="1" t="s">
        <v>395</v>
      </c>
    </row>
    <row r="1085" spans="2:12" ht="42" hidden="1" x14ac:dyDescent="0.35">
      <c r="B1085" s="2">
        <v>11716</v>
      </c>
      <c r="C1085" s="24">
        <v>46127</v>
      </c>
      <c r="D1085" s="3" t="s">
        <v>104</v>
      </c>
      <c r="E1085" s="3" t="s">
        <v>1973</v>
      </c>
      <c r="F1085" s="14" t="s">
        <v>1974</v>
      </c>
      <c r="G1085" s="4" t="s">
        <v>51</v>
      </c>
      <c r="H1085" s="2" t="s">
        <v>17</v>
      </c>
      <c r="I1085" s="2" t="s">
        <v>18</v>
      </c>
      <c r="J1085" s="2" t="s">
        <v>19</v>
      </c>
      <c r="K1085" s="1" t="s">
        <v>1975</v>
      </c>
      <c r="L1085" s="1" t="s">
        <v>190</v>
      </c>
    </row>
    <row r="1086" spans="2:12" ht="42" hidden="1" x14ac:dyDescent="0.35">
      <c r="B1086" s="2">
        <v>11879</v>
      </c>
      <c r="C1086" s="24">
        <v>46141</v>
      </c>
      <c r="D1086" s="3" t="s">
        <v>190</v>
      </c>
      <c r="E1086" s="3" t="s">
        <v>1976</v>
      </c>
      <c r="F1086" s="14" t="s">
        <v>413</v>
      </c>
      <c r="G1086" s="4" t="s">
        <v>16</v>
      </c>
      <c r="H1086" s="2" t="s">
        <v>17</v>
      </c>
      <c r="I1086" s="2" t="s">
        <v>18</v>
      </c>
      <c r="J1086" s="2" t="s">
        <v>19</v>
      </c>
      <c r="K1086" s="1" t="s">
        <v>1975</v>
      </c>
      <c r="L1086" s="1" t="s">
        <v>190</v>
      </c>
    </row>
    <row r="1087" spans="2:12" hidden="1" x14ac:dyDescent="0.35">
      <c r="B1087" s="2">
        <v>11828</v>
      </c>
      <c r="C1087" s="24">
        <v>46136</v>
      </c>
      <c r="D1087" s="3" t="s">
        <v>190</v>
      </c>
      <c r="E1087" s="3" t="s">
        <v>1977</v>
      </c>
      <c r="F1087" s="14" t="s">
        <v>1978</v>
      </c>
      <c r="G1087" s="4" t="s">
        <v>16</v>
      </c>
      <c r="H1087" s="2" t="s">
        <v>17</v>
      </c>
      <c r="I1087" s="2" t="s">
        <v>37</v>
      </c>
      <c r="J1087" s="2" t="s">
        <v>38</v>
      </c>
      <c r="K1087" s="1" t="s">
        <v>1979</v>
      </c>
      <c r="L1087" s="1" t="s">
        <v>95</v>
      </c>
    </row>
    <row r="1088" spans="2:12" ht="28" hidden="1" x14ac:dyDescent="0.35">
      <c r="B1088" s="2">
        <v>11790</v>
      </c>
      <c r="C1088" s="24">
        <v>46134</v>
      </c>
      <c r="D1088" s="3" t="s">
        <v>104</v>
      </c>
      <c r="E1088" s="3" t="s">
        <v>1980</v>
      </c>
      <c r="F1088" s="14" t="s">
        <v>116</v>
      </c>
      <c r="G1088" s="4" t="s">
        <v>16</v>
      </c>
      <c r="H1088" s="2" t="s">
        <v>17</v>
      </c>
      <c r="I1088" s="2" t="s">
        <v>24</v>
      </c>
      <c r="J1088" s="2" t="s">
        <v>33</v>
      </c>
      <c r="K1088" s="1" t="s">
        <v>445</v>
      </c>
      <c r="L1088" s="1" t="s">
        <v>95</v>
      </c>
    </row>
    <row r="1089" spans="2:12" ht="28" hidden="1" x14ac:dyDescent="0.35">
      <c r="B1089" s="2">
        <v>11789</v>
      </c>
      <c r="C1089" s="24">
        <v>46134</v>
      </c>
      <c r="D1089" s="3" t="s">
        <v>104</v>
      </c>
      <c r="E1089" s="3" t="s">
        <v>1981</v>
      </c>
      <c r="F1089" s="14" t="s">
        <v>1982</v>
      </c>
      <c r="G1089" s="4" t="s">
        <v>16</v>
      </c>
      <c r="H1089" s="2" t="s">
        <v>17</v>
      </c>
      <c r="I1089" s="2" t="s">
        <v>24</v>
      </c>
      <c r="J1089" s="2" t="s">
        <v>33</v>
      </c>
      <c r="K1089" s="1" t="s">
        <v>445</v>
      </c>
      <c r="L1089" s="1" t="s">
        <v>95</v>
      </c>
    </row>
    <row r="1090" spans="2:12" ht="42" hidden="1" x14ac:dyDescent="0.35">
      <c r="B1090" s="2">
        <v>11869</v>
      </c>
      <c r="C1090" s="24">
        <v>46142</v>
      </c>
      <c r="D1090" s="3" t="s">
        <v>196</v>
      </c>
      <c r="E1090" s="3" t="s">
        <v>1983</v>
      </c>
      <c r="F1090" s="14" t="s">
        <v>593</v>
      </c>
      <c r="G1090" s="4" t="s">
        <v>16</v>
      </c>
      <c r="H1090" s="2" t="s">
        <v>17</v>
      </c>
      <c r="I1090" s="2" t="s">
        <v>18</v>
      </c>
      <c r="J1090" s="2" t="s">
        <v>19</v>
      </c>
      <c r="K1090" s="1" t="s">
        <v>418</v>
      </c>
      <c r="L1090" s="1" t="s">
        <v>250</v>
      </c>
    </row>
    <row r="1091" spans="2:12" ht="28" hidden="1" x14ac:dyDescent="0.35">
      <c r="B1091" s="2">
        <v>11732</v>
      </c>
      <c r="C1091" s="24">
        <v>46133</v>
      </c>
      <c r="D1091" s="3" t="s">
        <v>190</v>
      </c>
      <c r="E1091" s="3" t="s">
        <v>1984</v>
      </c>
      <c r="F1091" s="14" t="s">
        <v>981</v>
      </c>
      <c r="G1091" s="4" t="s">
        <v>16</v>
      </c>
      <c r="H1091" s="2" t="s">
        <v>17</v>
      </c>
      <c r="I1091" s="2" t="s">
        <v>24</v>
      </c>
      <c r="J1091" s="2" t="s">
        <v>72</v>
      </c>
      <c r="K1091" s="1" t="s">
        <v>410</v>
      </c>
      <c r="L1091" s="1" t="s">
        <v>190</v>
      </c>
    </row>
    <row r="1092" spans="2:12" ht="50.5" hidden="1" customHeight="1" x14ac:dyDescent="0.35">
      <c r="B1092" s="2">
        <v>11867</v>
      </c>
      <c r="C1092" s="24">
        <v>46142</v>
      </c>
      <c r="D1092" s="3" t="s">
        <v>227</v>
      </c>
      <c r="E1092" s="3" t="s">
        <v>1985</v>
      </c>
      <c r="F1092" s="14" t="s">
        <v>1986</v>
      </c>
      <c r="G1092" s="4" t="s">
        <v>51</v>
      </c>
      <c r="H1092" s="2" t="s">
        <v>17</v>
      </c>
      <c r="I1092" s="2" t="s">
        <v>37</v>
      </c>
      <c r="J1092" s="2" t="s">
        <v>81</v>
      </c>
      <c r="K1092" s="1" t="s">
        <v>483</v>
      </c>
      <c r="L1092" s="1" t="s">
        <v>278</v>
      </c>
    </row>
    <row r="1093" spans="2:12" ht="28" hidden="1" x14ac:dyDescent="0.35">
      <c r="B1093" s="2">
        <v>11722</v>
      </c>
      <c r="C1093" s="24">
        <v>46129</v>
      </c>
      <c r="D1093" s="3" t="s">
        <v>234</v>
      </c>
      <c r="E1093" s="3" t="s">
        <v>1987</v>
      </c>
      <c r="F1093" s="14" t="s">
        <v>1988</v>
      </c>
      <c r="G1093" s="4" t="s">
        <v>16</v>
      </c>
      <c r="H1093" s="2" t="s">
        <v>17</v>
      </c>
      <c r="I1093" s="2" t="s">
        <v>24</v>
      </c>
      <c r="J1093" s="2" t="s">
        <v>33</v>
      </c>
      <c r="K1093" s="1" t="s">
        <v>866</v>
      </c>
      <c r="L1093" s="1" t="s">
        <v>95</v>
      </c>
    </row>
    <row r="1094" spans="2:12" ht="28" hidden="1" x14ac:dyDescent="0.35">
      <c r="B1094" s="2">
        <v>11721</v>
      </c>
      <c r="C1094" s="24">
        <v>46128</v>
      </c>
      <c r="D1094" s="3" t="s">
        <v>234</v>
      </c>
      <c r="E1094" s="3" t="s">
        <v>1989</v>
      </c>
      <c r="F1094" s="14" t="s">
        <v>1990</v>
      </c>
      <c r="G1094" s="4" t="s">
        <v>51</v>
      </c>
      <c r="H1094" s="2" t="s">
        <v>17</v>
      </c>
      <c r="I1094" s="2" t="s">
        <v>24</v>
      </c>
      <c r="J1094" s="2" t="s">
        <v>33</v>
      </c>
      <c r="K1094" s="1" t="s">
        <v>866</v>
      </c>
      <c r="L1094" s="1" t="s">
        <v>95</v>
      </c>
    </row>
    <row r="1095" spans="2:12" ht="42" hidden="1" x14ac:dyDescent="0.35">
      <c r="B1095" s="2">
        <v>11647</v>
      </c>
      <c r="C1095" s="24">
        <v>46118</v>
      </c>
      <c r="D1095" s="3" t="s">
        <v>190</v>
      </c>
      <c r="E1095" s="3" t="s">
        <v>1991</v>
      </c>
      <c r="F1095" s="14" t="s">
        <v>381</v>
      </c>
      <c r="G1095" s="4" t="s">
        <v>16</v>
      </c>
      <c r="H1095" s="2" t="s">
        <v>17</v>
      </c>
      <c r="I1095" s="2" t="s">
        <v>24</v>
      </c>
      <c r="J1095" s="2" t="s">
        <v>33</v>
      </c>
      <c r="K1095" s="1" t="s">
        <v>595</v>
      </c>
      <c r="L1095" s="1" t="s">
        <v>196</v>
      </c>
    </row>
    <row r="1096" spans="2:12" ht="42" hidden="1" x14ac:dyDescent="0.35">
      <c r="B1096" s="2">
        <v>11668</v>
      </c>
      <c r="C1096" s="24">
        <v>46126</v>
      </c>
      <c r="D1096" s="3" t="s">
        <v>26</v>
      </c>
      <c r="E1096" s="3" t="s">
        <v>1992</v>
      </c>
      <c r="F1096" s="14" t="s">
        <v>598</v>
      </c>
      <c r="G1096" s="4" t="s">
        <v>16</v>
      </c>
      <c r="H1096" s="2" t="s">
        <v>17</v>
      </c>
      <c r="I1096" s="2" t="s">
        <v>24</v>
      </c>
      <c r="J1096" s="2" t="s">
        <v>54</v>
      </c>
      <c r="K1096" s="1" t="s">
        <v>595</v>
      </c>
      <c r="L1096" s="1" t="s">
        <v>196</v>
      </c>
    </row>
    <row r="1097" spans="2:12" ht="42" hidden="1" x14ac:dyDescent="0.35">
      <c r="B1097" s="2">
        <v>11601</v>
      </c>
      <c r="C1097" s="24">
        <v>46120</v>
      </c>
      <c r="D1097" s="3" t="s">
        <v>278</v>
      </c>
      <c r="E1097" s="3" t="s">
        <v>1993</v>
      </c>
      <c r="F1097" s="14" t="s">
        <v>1994</v>
      </c>
      <c r="G1097" s="4" t="s">
        <v>51</v>
      </c>
      <c r="H1097" s="2" t="s">
        <v>17</v>
      </c>
      <c r="I1097" s="2" t="s">
        <v>37</v>
      </c>
      <c r="J1097" s="2" t="s">
        <v>112</v>
      </c>
      <c r="K1097" s="1" t="s">
        <v>961</v>
      </c>
      <c r="L1097" s="1" t="s">
        <v>278</v>
      </c>
    </row>
    <row r="1098" spans="2:12" ht="40.5" hidden="1" customHeight="1" x14ac:dyDescent="0.35">
      <c r="B1098" s="2">
        <v>11849</v>
      </c>
      <c r="C1098" s="24">
        <v>46140</v>
      </c>
      <c r="D1098" s="3" t="s">
        <v>193</v>
      </c>
      <c r="E1098" s="3" t="s">
        <v>1995</v>
      </c>
      <c r="F1098" s="14" t="s">
        <v>1996</v>
      </c>
      <c r="G1098" s="4" t="s">
        <v>51</v>
      </c>
      <c r="H1098" s="2" t="s">
        <v>17</v>
      </c>
      <c r="I1098" s="2" t="s">
        <v>37</v>
      </c>
      <c r="J1098" s="2" t="s">
        <v>121</v>
      </c>
      <c r="K1098" s="1" t="s">
        <v>1037</v>
      </c>
      <c r="L1098" s="1" t="s">
        <v>395</v>
      </c>
    </row>
    <row r="1099" spans="2:12" ht="42" hidden="1" x14ac:dyDescent="0.35">
      <c r="B1099" s="2">
        <v>11669</v>
      </c>
      <c r="C1099" s="24">
        <v>46126</v>
      </c>
      <c r="D1099" s="3" t="s">
        <v>96</v>
      </c>
      <c r="E1099" s="3" t="s">
        <v>1997</v>
      </c>
      <c r="F1099" s="14" t="s">
        <v>198</v>
      </c>
      <c r="G1099" s="4" t="s">
        <v>16</v>
      </c>
      <c r="H1099" s="2" t="s">
        <v>17</v>
      </c>
      <c r="I1099" s="2" t="s">
        <v>18</v>
      </c>
      <c r="J1099" s="2" t="s">
        <v>19</v>
      </c>
      <c r="K1099" s="1" t="s">
        <v>1055</v>
      </c>
      <c r="L1099" s="1" t="s">
        <v>196</v>
      </c>
    </row>
    <row r="1100" spans="2:12" ht="42" hidden="1" x14ac:dyDescent="0.35">
      <c r="B1100" s="2">
        <v>11838</v>
      </c>
      <c r="C1100" s="24">
        <v>46142</v>
      </c>
      <c r="D1100" s="3" t="s">
        <v>234</v>
      </c>
      <c r="E1100" s="3" t="s">
        <v>1998</v>
      </c>
      <c r="F1100" s="14" t="s">
        <v>1999</v>
      </c>
      <c r="G1100" s="4" t="s">
        <v>51</v>
      </c>
      <c r="H1100" s="2" t="s">
        <v>17</v>
      </c>
      <c r="I1100" s="2" t="s">
        <v>24</v>
      </c>
      <c r="J1100" s="2" t="s">
        <v>33</v>
      </c>
      <c r="K1100" s="1" t="s">
        <v>1092</v>
      </c>
      <c r="L1100" s="1" t="s">
        <v>95</v>
      </c>
    </row>
    <row r="1101" spans="2:12" ht="28" hidden="1" x14ac:dyDescent="0.35">
      <c r="B1101" s="2">
        <v>11651</v>
      </c>
      <c r="C1101" s="24">
        <v>46122</v>
      </c>
      <c r="D1101" s="3" t="s">
        <v>193</v>
      </c>
      <c r="E1101" s="3" t="s">
        <v>2000</v>
      </c>
      <c r="F1101" s="14" t="s">
        <v>2001</v>
      </c>
      <c r="G1101" s="4" t="s">
        <v>51</v>
      </c>
      <c r="H1101" s="2" t="s">
        <v>17</v>
      </c>
      <c r="I1101" s="2" t="s">
        <v>24</v>
      </c>
      <c r="J1101" s="2" t="s">
        <v>44</v>
      </c>
      <c r="K1101" s="1" t="s">
        <v>1130</v>
      </c>
      <c r="L1101" s="1" t="s">
        <v>95</v>
      </c>
    </row>
    <row r="1102" spans="2:12" ht="50.5" hidden="1" customHeight="1" x14ac:dyDescent="0.35">
      <c r="B1102" s="2">
        <v>11649</v>
      </c>
      <c r="C1102" s="24">
        <v>46122</v>
      </c>
      <c r="D1102" s="3" t="s">
        <v>190</v>
      </c>
      <c r="E1102" s="3" t="s">
        <v>2002</v>
      </c>
      <c r="F1102" s="14" t="s">
        <v>381</v>
      </c>
      <c r="G1102" s="4" t="s">
        <v>16</v>
      </c>
      <c r="H1102" s="2" t="s">
        <v>17</v>
      </c>
      <c r="I1102" s="2" t="s">
        <v>37</v>
      </c>
      <c r="J1102" s="2" t="s">
        <v>38</v>
      </c>
      <c r="K1102" s="1" t="s">
        <v>1130</v>
      </c>
      <c r="L1102" s="1" t="s">
        <v>95</v>
      </c>
    </row>
    <row r="1103" spans="2:12" ht="75" hidden="1" customHeight="1" x14ac:dyDescent="0.35">
      <c r="B1103" s="2">
        <v>11844</v>
      </c>
      <c r="C1103" s="24">
        <v>46142</v>
      </c>
      <c r="D1103" s="3" t="s">
        <v>13</v>
      </c>
      <c r="E1103" s="3" t="s">
        <v>2003</v>
      </c>
      <c r="F1103" s="14" t="s">
        <v>2004</v>
      </c>
      <c r="G1103" s="4" t="s">
        <v>51</v>
      </c>
      <c r="H1103" s="2" t="s">
        <v>17</v>
      </c>
      <c r="I1103" s="2" t="s">
        <v>24</v>
      </c>
      <c r="J1103" s="2" t="s">
        <v>33</v>
      </c>
      <c r="K1103" s="1" t="s">
        <v>1130</v>
      </c>
      <c r="L1103" s="1" t="s">
        <v>95</v>
      </c>
    </row>
    <row r="1104" spans="2:12" ht="26.5" hidden="1" customHeight="1" x14ac:dyDescent="0.35">
      <c r="B1104" s="2">
        <v>11843</v>
      </c>
      <c r="C1104" s="24">
        <v>46142</v>
      </c>
      <c r="D1104" s="3" t="s">
        <v>104</v>
      </c>
      <c r="E1104" s="3" t="s">
        <v>2005</v>
      </c>
      <c r="F1104" s="14" t="s">
        <v>755</v>
      </c>
      <c r="G1104" s="4" t="s">
        <v>16</v>
      </c>
      <c r="H1104" s="2" t="s">
        <v>17</v>
      </c>
      <c r="I1104" s="2" t="s">
        <v>18</v>
      </c>
      <c r="J1104" s="2" t="s">
        <v>171</v>
      </c>
      <c r="K1104" s="1" t="s">
        <v>1147</v>
      </c>
      <c r="L1104" s="1" t="s">
        <v>95</v>
      </c>
    </row>
    <row r="1105" spans="2:12" ht="28" hidden="1" x14ac:dyDescent="0.35">
      <c r="B1105" s="2">
        <v>11842</v>
      </c>
      <c r="C1105" s="24">
        <v>46139</v>
      </c>
      <c r="D1105" s="3" t="s">
        <v>104</v>
      </c>
      <c r="E1105" s="3" t="s">
        <v>2006</v>
      </c>
      <c r="F1105" s="14" t="s">
        <v>127</v>
      </c>
      <c r="G1105" s="4" t="s">
        <v>16</v>
      </c>
      <c r="H1105" s="2" t="s">
        <v>17</v>
      </c>
      <c r="I1105" s="2" t="s">
        <v>37</v>
      </c>
      <c r="J1105" s="2" t="s">
        <v>38</v>
      </c>
      <c r="K1105" s="1" t="s">
        <v>1147</v>
      </c>
      <c r="L1105" s="1" t="s">
        <v>95</v>
      </c>
    </row>
    <row r="1106" spans="2:12" ht="28" hidden="1" x14ac:dyDescent="0.35">
      <c r="B1106" s="2">
        <v>11749</v>
      </c>
      <c r="C1106" s="24">
        <v>46133</v>
      </c>
      <c r="D1106" s="3" t="s">
        <v>96</v>
      </c>
      <c r="E1106" s="3" t="s">
        <v>2007</v>
      </c>
      <c r="F1106" s="14" t="s">
        <v>1211</v>
      </c>
      <c r="G1106" s="4" t="s">
        <v>16</v>
      </c>
      <c r="H1106" s="2" t="s">
        <v>17</v>
      </c>
      <c r="I1106" s="2" t="s">
        <v>37</v>
      </c>
      <c r="J1106" s="2" t="s">
        <v>112</v>
      </c>
      <c r="K1106" s="1" t="s">
        <v>1179</v>
      </c>
      <c r="L1106" s="1" t="s">
        <v>96</v>
      </c>
    </row>
    <row r="1107" spans="2:12" ht="28" hidden="1" x14ac:dyDescent="0.35">
      <c r="B1107" s="2">
        <v>11829</v>
      </c>
      <c r="C1107" s="24">
        <v>46141</v>
      </c>
      <c r="D1107" s="3" t="s">
        <v>96</v>
      </c>
      <c r="E1107" s="3" t="s">
        <v>2008</v>
      </c>
      <c r="F1107" s="14" t="s">
        <v>2009</v>
      </c>
      <c r="G1107" s="4" t="s">
        <v>16</v>
      </c>
      <c r="H1107" s="2" t="s">
        <v>17</v>
      </c>
      <c r="I1107" s="2" t="s">
        <v>37</v>
      </c>
      <c r="J1107" s="2" t="s">
        <v>112</v>
      </c>
      <c r="K1107" s="1" t="s">
        <v>1179</v>
      </c>
      <c r="L1107" s="1" t="s">
        <v>96</v>
      </c>
    </row>
    <row r="1108" spans="2:12" ht="42" hidden="1" x14ac:dyDescent="0.35">
      <c r="B1108" s="2">
        <v>11901</v>
      </c>
      <c r="C1108" s="24">
        <v>46122</v>
      </c>
      <c r="D1108" s="3" t="s">
        <v>227</v>
      </c>
      <c r="E1108" s="3" t="s">
        <v>2010</v>
      </c>
      <c r="F1108" s="14" t="s">
        <v>2011</v>
      </c>
      <c r="G1108" s="4" t="s">
        <v>51</v>
      </c>
      <c r="H1108" s="2" t="s">
        <v>281</v>
      </c>
      <c r="I1108" s="2" t="s">
        <v>18</v>
      </c>
      <c r="J1108" s="2" t="s">
        <v>171</v>
      </c>
      <c r="K1108" s="1" t="s">
        <v>1179</v>
      </c>
      <c r="L1108" s="1" t="s">
        <v>96</v>
      </c>
    </row>
    <row r="1109" spans="2:12" ht="28" hidden="1" x14ac:dyDescent="0.35">
      <c r="B1109" s="2">
        <v>11900</v>
      </c>
      <c r="C1109" s="24">
        <v>46119</v>
      </c>
      <c r="D1109" s="3" t="s">
        <v>227</v>
      </c>
      <c r="E1109" s="3" t="s">
        <v>2012</v>
      </c>
      <c r="F1109" s="14" t="s">
        <v>2013</v>
      </c>
      <c r="G1109" s="4" t="s">
        <v>51</v>
      </c>
      <c r="H1109" s="2" t="s">
        <v>281</v>
      </c>
      <c r="I1109" s="2" t="s">
        <v>24</v>
      </c>
      <c r="J1109" s="2" t="s">
        <v>261</v>
      </c>
      <c r="K1109" s="1" t="s">
        <v>1179</v>
      </c>
      <c r="L1109" s="1" t="s">
        <v>96</v>
      </c>
    </row>
    <row r="1110" spans="2:12" ht="28" hidden="1" x14ac:dyDescent="0.35">
      <c r="B1110" s="2">
        <v>11889</v>
      </c>
      <c r="C1110" s="24">
        <v>46142</v>
      </c>
      <c r="D1110" s="3" t="s">
        <v>104</v>
      </c>
      <c r="E1110" s="3" t="s">
        <v>2014</v>
      </c>
      <c r="F1110" s="14" t="s">
        <v>2015</v>
      </c>
      <c r="G1110" s="4" t="s">
        <v>16</v>
      </c>
      <c r="H1110" s="2" t="s">
        <v>17</v>
      </c>
      <c r="I1110" s="2" t="s">
        <v>407</v>
      </c>
      <c r="J1110" s="2" t="s">
        <v>2016</v>
      </c>
      <c r="K1110" s="1" t="s">
        <v>333</v>
      </c>
      <c r="L1110" s="1" t="s">
        <v>104</v>
      </c>
    </row>
    <row r="1111" spans="2:12" ht="28" hidden="1" x14ac:dyDescent="0.35">
      <c r="B1111" s="2">
        <v>11898</v>
      </c>
      <c r="C1111" s="24">
        <v>46142</v>
      </c>
      <c r="D1111" s="3" t="s">
        <v>104</v>
      </c>
      <c r="E1111" s="3" t="s">
        <v>2017</v>
      </c>
      <c r="F1111" s="14" t="s">
        <v>2018</v>
      </c>
      <c r="G1111" s="4" t="s">
        <v>16</v>
      </c>
      <c r="H1111" s="2" t="s">
        <v>17</v>
      </c>
      <c r="I1111" s="2" t="s">
        <v>24</v>
      </c>
      <c r="J1111" s="2" t="s">
        <v>33</v>
      </c>
      <c r="K1111" s="1" t="s">
        <v>333</v>
      </c>
      <c r="L1111" s="1" t="s">
        <v>104</v>
      </c>
    </row>
    <row r="1112" spans="2:12" ht="42" hidden="1" x14ac:dyDescent="0.35">
      <c r="B1112" s="2">
        <v>11599</v>
      </c>
      <c r="C1112" s="24">
        <v>46119</v>
      </c>
      <c r="D1112" s="3" t="s">
        <v>193</v>
      </c>
      <c r="E1112" s="3" t="s">
        <v>2019</v>
      </c>
      <c r="F1112" s="14" t="s">
        <v>2020</v>
      </c>
      <c r="G1112" s="4" t="s">
        <v>51</v>
      </c>
      <c r="H1112" s="2" t="s">
        <v>17</v>
      </c>
      <c r="I1112" s="2" t="s">
        <v>37</v>
      </c>
      <c r="J1112" s="2" t="s">
        <v>121</v>
      </c>
      <c r="K1112" s="1" t="s">
        <v>243</v>
      </c>
      <c r="L1112" s="1" t="s">
        <v>95</v>
      </c>
    </row>
    <row r="1113" spans="2:12" ht="42" hidden="1" x14ac:dyDescent="0.35">
      <c r="B1113" s="2">
        <v>11874</v>
      </c>
      <c r="C1113" s="24">
        <v>46141</v>
      </c>
      <c r="D1113" s="3" t="s">
        <v>26</v>
      </c>
      <c r="E1113" s="3" t="s">
        <v>2021</v>
      </c>
      <c r="F1113" s="14" t="s">
        <v>2022</v>
      </c>
      <c r="G1113" s="4" t="s">
        <v>51</v>
      </c>
      <c r="H1113" s="2" t="s">
        <v>281</v>
      </c>
      <c r="I1113" s="2" t="s">
        <v>24</v>
      </c>
      <c r="J1113" s="2" t="s">
        <v>29</v>
      </c>
      <c r="K1113" s="1" t="s">
        <v>36</v>
      </c>
      <c r="L1113" s="1" t="s">
        <v>34</v>
      </c>
    </row>
    <row r="1114" spans="2:12" ht="42" hidden="1" x14ac:dyDescent="0.35">
      <c r="B1114" s="2">
        <v>11873</v>
      </c>
      <c r="C1114" s="24">
        <v>46141</v>
      </c>
      <c r="D1114" s="3" t="s">
        <v>26</v>
      </c>
      <c r="E1114" s="3" t="s">
        <v>2023</v>
      </c>
      <c r="F1114" s="14" t="s">
        <v>863</v>
      </c>
      <c r="G1114" s="4" t="s">
        <v>51</v>
      </c>
      <c r="H1114" s="2" t="s">
        <v>281</v>
      </c>
      <c r="I1114" s="2" t="s">
        <v>24</v>
      </c>
      <c r="J1114" s="2" t="s">
        <v>29</v>
      </c>
      <c r="K1114" s="1" t="s">
        <v>36</v>
      </c>
      <c r="L1114" s="1" t="s">
        <v>34</v>
      </c>
    </row>
    <row r="1115" spans="2:12" ht="42" hidden="1" x14ac:dyDescent="0.35">
      <c r="B1115" s="2">
        <v>11683</v>
      </c>
      <c r="C1115" s="24">
        <v>46128</v>
      </c>
      <c r="D1115" s="3" t="s">
        <v>104</v>
      </c>
      <c r="E1115" s="3" t="s">
        <v>2024</v>
      </c>
      <c r="F1115" s="14" t="s">
        <v>116</v>
      </c>
      <c r="G1115" s="4" t="s">
        <v>16</v>
      </c>
      <c r="H1115" s="2" t="s">
        <v>17</v>
      </c>
      <c r="I1115" s="2" t="s">
        <v>24</v>
      </c>
      <c r="J1115" s="2" t="s">
        <v>33</v>
      </c>
      <c r="K1115" s="1" t="s">
        <v>1381</v>
      </c>
      <c r="L1115" s="1" t="s">
        <v>104</v>
      </c>
    </row>
    <row r="1116" spans="2:12" ht="34" hidden="1" customHeight="1" x14ac:dyDescent="0.35">
      <c r="B1116" s="2">
        <v>11773</v>
      </c>
      <c r="C1116" s="24">
        <v>46136</v>
      </c>
      <c r="D1116" s="3" t="s">
        <v>104</v>
      </c>
      <c r="E1116" s="3" t="s">
        <v>2025</v>
      </c>
      <c r="F1116" s="14" t="s">
        <v>127</v>
      </c>
      <c r="G1116" s="4" t="s">
        <v>16</v>
      </c>
      <c r="H1116" s="2" t="s">
        <v>17</v>
      </c>
      <c r="I1116" s="2" t="s">
        <v>24</v>
      </c>
      <c r="J1116" s="2" t="s">
        <v>33</v>
      </c>
      <c r="K1116" s="1" t="s">
        <v>1381</v>
      </c>
      <c r="L1116" s="1" t="s">
        <v>104</v>
      </c>
    </row>
    <row r="1117" spans="2:12" ht="42" hidden="1" x14ac:dyDescent="0.35">
      <c r="B1117" s="2">
        <v>11646</v>
      </c>
      <c r="C1117" s="24">
        <v>46121</v>
      </c>
      <c r="D1117" s="3" t="s">
        <v>21</v>
      </c>
      <c r="E1117" s="3" t="s">
        <v>2026</v>
      </c>
      <c r="F1117" s="14" t="s">
        <v>2027</v>
      </c>
      <c r="G1117" s="4" t="s">
        <v>16</v>
      </c>
      <c r="H1117" s="2" t="s">
        <v>17</v>
      </c>
      <c r="I1117" s="2" t="s">
        <v>18</v>
      </c>
      <c r="J1117" s="2" t="s">
        <v>171</v>
      </c>
      <c r="K1117" s="1" t="s">
        <v>1391</v>
      </c>
      <c r="L1117" s="1" t="s">
        <v>21</v>
      </c>
    </row>
    <row r="1118" spans="2:12" ht="42" hidden="1" x14ac:dyDescent="0.35">
      <c r="B1118" s="2">
        <v>11718</v>
      </c>
      <c r="C1118" s="24">
        <v>46127</v>
      </c>
      <c r="D1118" s="3" t="s">
        <v>234</v>
      </c>
      <c r="E1118" s="3" t="s">
        <v>2028</v>
      </c>
      <c r="F1118" s="14" t="s">
        <v>595</v>
      </c>
      <c r="G1118" s="4" t="s">
        <v>16</v>
      </c>
      <c r="H1118" s="2" t="s">
        <v>17</v>
      </c>
      <c r="I1118" s="2" t="s">
        <v>24</v>
      </c>
      <c r="J1118" s="2" t="s">
        <v>33</v>
      </c>
      <c r="K1118" s="1" t="s">
        <v>1391</v>
      </c>
      <c r="L1118" s="1" t="s">
        <v>13</v>
      </c>
    </row>
    <row r="1119" spans="2:12" ht="42" hidden="1" x14ac:dyDescent="0.35">
      <c r="B1119" s="2">
        <v>11717</v>
      </c>
      <c r="C1119" s="24">
        <v>46127</v>
      </c>
      <c r="D1119" s="3" t="s">
        <v>104</v>
      </c>
      <c r="E1119" s="3" t="s">
        <v>2029</v>
      </c>
      <c r="F1119" s="14" t="s">
        <v>2030</v>
      </c>
      <c r="G1119" s="4" t="s">
        <v>16</v>
      </c>
      <c r="H1119" s="2" t="s">
        <v>17</v>
      </c>
      <c r="I1119" s="2" t="s">
        <v>24</v>
      </c>
      <c r="J1119" s="2" t="s">
        <v>33</v>
      </c>
      <c r="K1119" s="1" t="s">
        <v>1391</v>
      </c>
      <c r="L1119" s="1" t="s">
        <v>21</v>
      </c>
    </row>
    <row r="1120" spans="2:12" ht="42" hidden="1" x14ac:dyDescent="0.35">
      <c r="B1120" s="2">
        <v>11776</v>
      </c>
      <c r="C1120" s="24">
        <v>46134</v>
      </c>
      <c r="D1120" s="3" t="s">
        <v>13</v>
      </c>
      <c r="E1120" s="3" t="s">
        <v>2031</v>
      </c>
      <c r="F1120" s="14" t="s">
        <v>2032</v>
      </c>
      <c r="G1120" s="4" t="s">
        <v>16</v>
      </c>
      <c r="H1120" s="2" t="s">
        <v>17</v>
      </c>
      <c r="I1120" s="2" t="s">
        <v>18</v>
      </c>
      <c r="J1120" s="2" t="s">
        <v>171</v>
      </c>
      <c r="K1120" s="1" t="s">
        <v>1391</v>
      </c>
      <c r="L1120" s="1" t="s">
        <v>13</v>
      </c>
    </row>
    <row r="1121" spans="2:12" ht="42" hidden="1" x14ac:dyDescent="0.35">
      <c r="B1121" s="2">
        <v>11775</v>
      </c>
      <c r="C1121" s="24">
        <v>46134</v>
      </c>
      <c r="D1121" s="3" t="s">
        <v>278</v>
      </c>
      <c r="E1121" s="3" t="s">
        <v>2033</v>
      </c>
      <c r="F1121" s="14" t="s">
        <v>483</v>
      </c>
      <c r="G1121" s="4" t="s">
        <v>16</v>
      </c>
      <c r="H1121" s="2" t="s">
        <v>17</v>
      </c>
      <c r="I1121" s="2" t="s">
        <v>18</v>
      </c>
      <c r="J1121" s="2" t="s">
        <v>171</v>
      </c>
      <c r="K1121" s="1" t="s">
        <v>1391</v>
      </c>
      <c r="L1121" s="1" t="s">
        <v>21</v>
      </c>
    </row>
    <row r="1122" spans="2:12" ht="42" hidden="1" x14ac:dyDescent="0.35">
      <c r="B1122" s="2">
        <v>11821</v>
      </c>
      <c r="C1122" s="24">
        <v>46136</v>
      </c>
      <c r="D1122" s="3" t="s">
        <v>21</v>
      </c>
      <c r="E1122" s="3" t="s">
        <v>2034</v>
      </c>
      <c r="F1122" s="14" t="s">
        <v>582</v>
      </c>
      <c r="G1122" s="4" t="s">
        <v>16</v>
      </c>
      <c r="H1122" s="2" t="s">
        <v>17</v>
      </c>
      <c r="I1122" s="2" t="s">
        <v>18</v>
      </c>
      <c r="J1122" s="2" t="s">
        <v>19</v>
      </c>
      <c r="K1122" s="1" t="s">
        <v>1391</v>
      </c>
      <c r="L1122" s="1" t="s">
        <v>21</v>
      </c>
    </row>
    <row r="1123" spans="2:12" ht="42" hidden="1" x14ac:dyDescent="0.35">
      <c r="B1123" s="2">
        <v>11880</v>
      </c>
      <c r="C1123" s="24">
        <v>46141</v>
      </c>
      <c r="D1123" s="3" t="s">
        <v>21</v>
      </c>
      <c r="E1123" s="3" t="s">
        <v>2035</v>
      </c>
      <c r="F1123" s="14" t="s">
        <v>811</v>
      </c>
      <c r="G1123" s="4" t="s">
        <v>51</v>
      </c>
      <c r="H1123" s="2" t="s">
        <v>17</v>
      </c>
      <c r="I1123" s="2" t="s">
        <v>24</v>
      </c>
      <c r="J1123" s="2" t="s">
        <v>33</v>
      </c>
      <c r="K1123" s="1" t="s">
        <v>1391</v>
      </c>
      <c r="L1123" s="1" t="s">
        <v>21</v>
      </c>
    </row>
    <row r="1124" spans="2:12" ht="42" hidden="1" x14ac:dyDescent="0.35">
      <c r="B1124" s="2">
        <v>11881</v>
      </c>
      <c r="C1124" s="24">
        <v>46141</v>
      </c>
      <c r="D1124" s="3" t="s">
        <v>21</v>
      </c>
      <c r="E1124" s="3" t="s">
        <v>2036</v>
      </c>
      <c r="F1124" s="14" t="s">
        <v>2037</v>
      </c>
      <c r="G1124" s="4" t="s">
        <v>51</v>
      </c>
      <c r="H1124" s="2" t="s">
        <v>17</v>
      </c>
      <c r="I1124" s="2" t="s">
        <v>24</v>
      </c>
      <c r="J1124" s="2" t="s">
        <v>33</v>
      </c>
      <c r="K1124" s="1" t="s">
        <v>1391</v>
      </c>
      <c r="L1124" s="1" t="s">
        <v>13</v>
      </c>
    </row>
    <row r="1125" spans="2:12" ht="56" hidden="1" x14ac:dyDescent="0.35">
      <c r="B1125" s="2">
        <v>11715</v>
      </c>
      <c r="C1125" s="24">
        <v>46126</v>
      </c>
      <c r="D1125" s="3" t="s">
        <v>95</v>
      </c>
      <c r="E1125" s="3" t="s">
        <v>2038</v>
      </c>
      <c r="F1125" s="14" t="s">
        <v>1959</v>
      </c>
      <c r="G1125" s="4" t="s">
        <v>16</v>
      </c>
      <c r="H1125" s="2" t="s">
        <v>17</v>
      </c>
      <c r="I1125" s="2" t="s">
        <v>18</v>
      </c>
      <c r="J1125" s="2" t="s">
        <v>171</v>
      </c>
      <c r="K1125" s="1" t="s">
        <v>1525</v>
      </c>
      <c r="L1125" s="1" t="s">
        <v>26</v>
      </c>
    </row>
    <row r="1126" spans="2:12" ht="56" hidden="1" x14ac:dyDescent="0.35">
      <c r="B1126" s="2">
        <v>11877</v>
      </c>
      <c r="C1126" s="24">
        <v>46141</v>
      </c>
      <c r="D1126" s="3" t="s">
        <v>34</v>
      </c>
      <c r="E1126" s="3" t="s">
        <v>2039</v>
      </c>
      <c r="F1126" s="14" t="s">
        <v>1611</v>
      </c>
      <c r="G1126" s="4" t="s">
        <v>51</v>
      </c>
      <c r="H1126" s="2" t="s">
        <v>17</v>
      </c>
      <c r="I1126" s="2" t="s">
        <v>18</v>
      </c>
      <c r="J1126" s="2" t="s">
        <v>19</v>
      </c>
      <c r="K1126" s="1" t="s">
        <v>1525</v>
      </c>
      <c r="L1126" s="1" t="s">
        <v>34</v>
      </c>
    </row>
    <row r="1127" spans="2:12" ht="56" hidden="1" x14ac:dyDescent="0.35">
      <c r="B1127" s="2">
        <v>11714</v>
      </c>
      <c r="C1127" s="24">
        <v>46125</v>
      </c>
      <c r="D1127" s="3" t="s">
        <v>371</v>
      </c>
      <c r="E1127" s="3" t="s">
        <v>2040</v>
      </c>
      <c r="F1127" s="14" t="s">
        <v>2041</v>
      </c>
      <c r="G1127" s="4" t="s">
        <v>51</v>
      </c>
      <c r="H1127" s="2" t="s">
        <v>17</v>
      </c>
      <c r="I1127" s="2" t="s">
        <v>37</v>
      </c>
      <c r="J1127" s="2" t="s">
        <v>38</v>
      </c>
      <c r="K1127" s="1" t="s">
        <v>1674</v>
      </c>
      <c r="L1127" s="1" t="s">
        <v>371</v>
      </c>
    </row>
    <row r="1128" spans="2:12" ht="56" hidden="1" x14ac:dyDescent="0.35">
      <c r="B1128" s="2">
        <v>11823</v>
      </c>
      <c r="C1128" s="24">
        <v>46139</v>
      </c>
      <c r="D1128" s="3" t="s">
        <v>220</v>
      </c>
      <c r="E1128" s="3" t="s">
        <v>2042</v>
      </c>
      <c r="F1128" s="14" t="s">
        <v>1611</v>
      </c>
      <c r="G1128" s="4" t="s">
        <v>51</v>
      </c>
      <c r="H1128" s="2" t="s">
        <v>17</v>
      </c>
      <c r="I1128" s="2" t="s">
        <v>37</v>
      </c>
      <c r="J1128" s="2" t="s">
        <v>81</v>
      </c>
      <c r="K1128" s="1" t="s">
        <v>1674</v>
      </c>
      <c r="L1128" s="1" t="s">
        <v>371</v>
      </c>
    </row>
    <row r="1129" spans="2:12" ht="42" hidden="1" x14ac:dyDescent="0.35">
      <c r="B1129" s="2">
        <v>11723</v>
      </c>
      <c r="C1129" s="24">
        <v>46132</v>
      </c>
      <c r="D1129" s="3" t="s">
        <v>227</v>
      </c>
      <c r="E1129" s="3" t="s">
        <v>2043</v>
      </c>
      <c r="F1129" s="14" t="s">
        <v>2044</v>
      </c>
      <c r="G1129" s="4" t="s">
        <v>51</v>
      </c>
      <c r="H1129" s="2" t="s">
        <v>17</v>
      </c>
      <c r="I1129" s="2" t="s">
        <v>24</v>
      </c>
      <c r="J1129" s="2" t="s">
        <v>54</v>
      </c>
      <c r="K1129" s="1" t="s">
        <v>1805</v>
      </c>
      <c r="L1129" s="1" t="s">
        <v>278</v>
      </c>
    </row>
    <row r="1130" spans="2:12" ht="56" hidden="1" x14ac:dyDescent="0.35">
      <c r="B1130" s="2">
        <v>11866</v>
      </c>
      <c r="C1130" s="24">
        <v>46142</v>
      </c>
      <c r="D1130" s="3" t="s">
        <v>227</v>
      </c>
      <c r="E1130" s="3" t="s">
        <v>2045</v>
      </c>
      <c r="F1130" s="14" t="s">
        <v>1132</v>
      </c>
      <c r="G1130" s="4" t="s">
        <v>51</v>
      </c>
      <c r="H1130" s="2" t="s">
        <v>17</v>
      </c>
      <c r="I1130" s="2" t="s">
        <v>37</v>
      </c>
      <c r="J1130" s="2" t="s">
        <v>112</v>
      </c>
      <c r="K1130" s="1" t="s">
        <v>1805</v>
      </c>
      <c r="L1130" s="1" t="s">
        <v>278</v>
      </c>
    </row>
    <row r="1131" spans="2:12" ht="28" hidden="1" x14ac:dyDescent="0.35">
      <c r="B1131" s="2">
        <v>11781</v>
      </c>
      <c r="C1131" s="24">
        <v>46134</v>
      </c>
      <c r="D1131" s="3" t="s">
        <v>96</v>
      </c>
      <c r="E1131" s="3" t="s">
        <v>2046</v>
      </c>
      <c r="F1131" s="14" t="s">
        <v>2047</v>
      </c>
      <c r="G1131" s="4" t="s">
        <v>51</v>
      </c>
      <c r="H1131" s="2" t="s">
        <v>281</v>
      </c>
      <c r="I1131" s="2" t="s">
        <v>37</v>
      </c>
      <c r="J1131" s="2" t="s">
        <v>112</v>
      </c>
      <c r="K1131" s="1" t="s">
        <v>2048</v>
      </c>
      <c r="L1131" s="1" t="s">
        <v>371</v>
      </c>
    </row>
    <row r="1132" spans="2:12" ht="65.150000000000006" hidden="1" customHeight="1" x14ac:dyDescent="0.35">
      <c r="B1132" s="2">
        <v>12169</v>
      </c>
      <c r="C1132" s="24">
        <v>46169</v>
      </c>
      <c r="D1132" s="3" t="s">
        <v>21</v>
      </c>
      <c r="E1132" s="3" t="s">
        <v>2049</v>
      </c>
      <c r="F1132" s="14" t="s">
        <v>2050</v>
      </c>
      <c r="G1132" s="4" t="s">
        <v>16</v>
      </c>
      <c r="H1132" s="2" t="s">
        <v>17</v>
      </c>
      <c r="I1132" s="2" t="s">
        <v>18</v>
      </c>
      <c r="J1132" s="2" t="s">
        <v>171</v>
      </c>
      <c r="K1132" s="1" t="s">
        <v>20</v>
      </c>
      <c r="L1132" s="1" t="s">
        <v>21</v>
      </c>
    </row>
    <row r="1133" spans="2:12" ht="42" hidden="1" x14ac:dyDescent="0.35">
      <c r="B1133" s="2">
        <v>12166</v>
      </c>
      <c r="C1133" s="24">
        <v>46169</v>
      </c>
      <c r="D1133" s="3" t="s">
        <v>13</v>
      </c>
      <c r="E1133" s="3" t="s">
        <v>2051</v>
      </c>
      <c r="F1133" s="14" t="s">
        <v>799</v>
      </c>
      <c r="G1133" s="4" t="s">
        <v>16</v>
      </c>
      <c r="H1133" s="2" t="s">
        <v>17</v>
      </c>
      <c r="I1133" s="2" t="s">
        <v>18</v>
      </c>
      <c r="J1133" s="2" t="s">
        <v>171</v>
      </c>
      <c r="K1133" s="1" t="s">
        <v>20</v>
      </c>
      <c r="L1133" s="1" t="s">
        <v>13</v>
      </c>
    </row>
    <row r="1134" spans="2:12" ht="64" hidden="1" customHeight="1" x14ac:dyDescent="0.35">
      <c r="B1134" s="2">
        <v>12165</v>
      </c>
      <c r="C1134" s="24">
        <v>46169</v>
      </c>
      <c r="D1134" s="3" t="s">
        <v>13</v>
      </c>
      <c r="E1134" s="3" t="s">
        <v>2052</v>
      </c>
      <c r="F1134" s="14" t="s">
        <v>23</v>
      </c>
      <c r="G1134" s="4" t="s">
        <v>16</v>
      </c>
      <c r="H1134" s="2" t="s">
        <v>17</v>
      </c>
      <c r="I1134" s="2" t="s">
        <v>24</v>
      </c>
      <c r="J1134" s="2" t="s">
        <v>33</v>
      </c>
      <c r="K1134" s="1" t="s">
        <v>20</v>
      </c>
      <c r="L1134" s="1" t="s">
        <v>13</v>
      </c>
    </row>
    <row r="1135" spans="2:12" ht="42" hidden="1" x14ac:dyDescent="0.35">
      <c r="B1135" s="2">
        <v>12164</v>
      </c>
      <c r="C1135" s="24">
        <v>46168</v>
      </c>
      <c r="D1135" s="3" t="s">
        <v>21</v>
      </c>
      <c r="E1135" s="3" t="s">
        <v>2053</v>
      </c>
      <c r="F1135" s="14" t="s">
        <v>952</v>
      </c>
      <c r="G1135" s="4" t="s">
        <v>51</v>
      </c>
      <c r="H1135" s="2" t="s">
        <v>17</v>
      </c>
      <c r="I1135" s="2" t="s">
        <v>18</v>
      </c>
      <c r="J1135" s="2" t="s">
        <v>171</v>
      </c>
      <c r="K1135" s="1" t="s">
        <v>20</v>
      </c>
      <c r="L1135" s="1" t="s">
        <v>21</v>
      </c>
    </row>
    <row r="1136" spans="2:12" ht="42" hidden="1" x14ac:dyDescent="0.35">
      <c r="B1136" s="2">
        <v>12195</v>
      </c>
      <c r="C1136" s="24">
        <v>46169</v>
      </c>
      <c r="D1136" s="3" t="s">
        <v>21</v>
      </c>
      <c r="E1136" s="3" t="s">
        <v>2054</v>
      </c>
      <c r="F1136" s="14" t="s">
        <v>687</v>
      </c>
      <c r="G1136" s="4" t="s">
        <v>16</v>
      </c>
      <c r="H1136" s="2" t="s">
        <v>17</v>
      </c>
      <c r="I1136" s="2" t="s">
        <v>18</v>
      </c>
      <c r="J1136" s="2" t="s">
        <v>171</v>
      </c>
      <c r="K1136" s="1" t="s">
        <v>20</v>
      </c>
      <c r="L1136" s="1" t="s">
        <v>21</v>
      </c>
    </row>
    <row r="1137" spans="2:12" ht="56" hidden="1" x14ac:dyDescent="0.35">
      <c r="B1137" s="2">
        <v>11958</v>
      </c>
      <c r="C1137" s="24">
        <v>46149</v>
      </c>
      <c r="D1137" s="3" t="s">
        <v>134</v>
      </c>
      <c r="E1137" s="3" t="s">
        <v>2055</v>
      </c>
      <c r="F1137" s="14" t="s">
        <v>160</v>
      </c>
      <c r="G1137" s="4" t="s">
        <v>51</v>
      </c>
      <c r="H1137" s="2" t="s">
        <v>17</v>
      </c>
      <c r="I1137" s="2" t="s">
        <v>24</v>
      </c>
      <c r="J1137" s="2" t="s">
        <v>33</v>
      </c>
      <c r="K1137" s="1" t="s">
        <v>107</v>
      </c>
      <c r="L1137" s="1" t="s">
        <v>134</v>
      </c>
    </row>
    <row r="1138" spans="2:12" ht="42" hidden="1" x14ac:dyDescent="0.35">
      <c r="B1138" s="2">
        <v>12041</v>
      </c>
      <c r="C1138" s="24">
        <v>46156</v>
      </c>
      <c r="D1138" s="3" t="s">
        <v>104</v>
      </c>
      <c r="E1138" s="3" t="s">
        <v>2056</v>
      </c>
      <c r="F1138" s="14" t="s">
        <v>109</v>
      </c>
      <c r="G1138" s="4" t="s">
        <v>16</v>
      </c>
      <c r="H1138" s="2" t="s">
        <v>17</v>
      </c>
      <c r="I1138" s="2" t="s">
        <v>24</v>
      </c>
      <c r="J1138" s="2" t="s">
        <v>54</v>
      </c>
      <c r="K1138" s="1" t="s">
        <v>107</v>
      </c>
      <c r="L1138" s="1" t="s">
        <v>134</v>
      </c>
    </row>
    <row r="1139" spans="2:12" ht="56" hidden="1" x14ac:dyDescent="0.35">
      <c r="B1139" s="2">
        <v>12132</v>
      </c>
      <c r="C1139" s="24">
        <v>46163</v>
      </c>
      <c r="D1139" s="3" t="s">
        <v>134</v>
      </c>
      <c r="E1139" s="3" t="s">
        <v>2057</v>
      </c>
      <c r="F1139" s="14" t="s">
        <v>700</v>
      </c>
      <c r="G1139" s="4" t="s">
        <v>51</v>
      </c>
      <c r="H1139" s="2" t="s">
        <v>17</v>
      </c>
      <c r="I1139" s="2" t="s">
        <v>24</v>
      </c>
      <c r="J1139" s="2" t="s">
        <v>33</v>
      </c>
      <c r="K1139" s="1" t="s">
        <v>107</v>
      </c>
      <c r="L1139" s="1" t="s">
        <v>134</v>
      </c>
    </row>
    <row r="1140" spans="2:12" ht="42" hidden="1" x14ac:dyDescent="0.35">
      <c r="B1140" s="2">
        <v>12189</v>
      </c>
      <c r="C1140" s="24">
        <v>46170</v>
      </c>
      <c r="D1140" s="3" t="s">
        <v>134</v>
      </c>
      <c r="E1140" s="3" t="s">
        <v>2058</v>
      </c>
      <c r="F1140" s="14" t="s">
        <v>2059</v>
      </c>
      <c r="G1140" s="4" t="s">
        <v>51</v>
      </c>
      <c r="H1140" s="2" t="s">
        <v>17</v>
      </c>
      <c r="I1140" s="2" t="s">
        <v>37</v>
      </c>
      <c r="J1140" s="2" t="s">
        <v>81</v>
      </c>
      <c r="K1140" s="1" t="s">
        <v>107</v>
      </c>
      <c r="L1140" s="1" t="s">
        <v>134</v>
      </c>
    </row>
    <row r="1141" spans="2:12" ht="28" hidden="1" x14ac:dyDescent="0.35">
      <c r="B1141" s="2">
        <v>12043</v>
      </c>
      <c r="C1141" s="24">
        <v>46160</v>
      </c>
      <c r="D1141" s="3" t="s">
        <v>34</v>
      </c>
      <c r="E1141" s="3" t="s">
        <v>2060</v>
      </c>
      <c r="F1141" s="14" t="s">
        <v>2061</v>
      </c>
      <c r="G1141" s="4" t="s">
        <v>16</v>
      </c>
      <c r="H1141" s="2" t="s">
        <v>17</v>
      </c>
      <c r="I1141" s="2" t="s">
        <v>37</v>
      </c>
      <c r="J1141" s="2" t="s">
        <v>38</v>
      </c>
      <c r="K1141" s="1" t="s">
        <v>183</v>
      </c>
      <c r="L1141" s="1" t="s">
        <v>95</v>
      </c>
    </row>
    <row r="1142" spans="2:12" ht="28" hidden="1" x14ac:dyDescent="0.35">
      <c r="B1142" s="2">
        <v>12024</v>
      </c>
      <c r="C1142" s="24">
        <v>46149</v>
      </c>
      <c r="D1142" s="3" t="s">
        <v>104</v>
      </c>
      <c r="E1142" s="3" t="s">
        <v>2062</v>
      </c>
      <c r="F1142" s="14" t="s">
        <v>2063</v>
      </c>
      <c r="G1142" s="4" t="s">
        <v>51</v>
      </c>
      <c r="H1142" s="2" t="s">
        <v>17</v>
      </c>
      <c r="I1142" s="2" t="s">
        <v>24</v>
      </c>
      <c r="J1142" s="2" t="s">
        <v>54</v>
      </c>
      <c r="K1142" s="1" t="s">
        <v>1955</v>
      </c>
      <c r="L1142" s="1" t="s">
        <v>234</v>
      </c>
    </row>
    <row r="1143" spans="2:12" ht="28" hidden="1" x14ac:dyDescent="0.35">
      <c r="B1143" s="2">
        <v>12096</v>
      </c>
      <c r="C1143" s="24">
        <v>46163</v>
      </c>
      <c r="D1143" s="3" t="s">
        <v>193</v>
      </c>
      <c r="E1143" s="3" t="s">
        <v>2064</v>
      </c>
      <c r="F1143" s="14" t="s">
        <v>2065</v>
      </c>
      <c r="G1143" s="4" t="s">
        <v>51</v>
      </c>
      <c r="H1143" s="2" t="s">
        <v>17</v>
      </c>
      <c r="I1143" s="2" t="s">
        <v>24</v>
      </c>
      <c r="J1143" s="2" t="s">
        <v>241</v>
      </c>
      <c r="K1143" s="1" t="s">
        <v>1955</v>
      </c>
      <c r="L1143" s="1" t="s">
        <v>234</v>
      </c>
    </row>
    <row r="1144" spans="2:12" ht="28" hidden="1" x14ac:dyDescent="0.35">
      <c r="B1144" s="2">
        <v>12097</v>
      </c>
      <c r="C1144" s="24">
        <v>46163</v>
      </c>
      <c r="D1144" s="3" t="s">
        <v>193</v>
      </c>
      <c r="E1144" s="3" t="s">
        <v>2066</v>
      </c>
      <c r="F1144" s="14" t="s">
        <v>2067</v>
      </c>
      <c r="G1144" s="4" t="s">
        <v>51</v>
      </c>
      <c r="H1144" s="2" t="s">
        <v>17</v>
      </c>
      <c r="I1144" s="2" t="s">
        <v>24</v>
      </c>
      <c r="J1144" s="2" t="s">
        <v>54</v>
      </c>
      <c r="K1144" s="1" t="s">
        <v>1955</v>
      </c>
      <c r="L1144" s="1" t="s">
        <v>234</v>
      </c>
    </row>
    <row r="1145" spans="2:12" ht="42" hidden="1" x14ac:dyDescent="0.35">
      <c r="B1145" s="2">
        <v>12163</v>
      </c>
      <c r="C1145" s="24">
        <v>46167</v>
      </c>
      <c r="D1145" s="3" t="s">
        <v>95</v>
      </c>
      <c r="E1145" s="3" t="s">
        <v>2068</v>
      </c>
      <c r="F1145" s="14" t="s">
        <v>1979</v>
      </c>
      <c r="G1145" s="4" t="s">
        <v>16</v>
      </c>
      <c r="H1145" s="2" t="s">
        <v>17</v>
      </c>
      <c r="I1145" s="2" t="s">
        <v>37</v>
      </c>
      <c r="J1145" s="2" t="s">
        <v>112</v>
      </c>
      <c r="K1145" s="1" t="s">
        <v>1955</v>
      </c>
      <c r="L1145" s="1" t="s">
        <v>234</v>
      </c>
    </row>
    <row r="1146" spans="2:12" ht="28" hidden="1" x14ac:dyDescent="0.35">
      <c r="B1146" s="2">
        <v>12133</v>
      </c>
      <c r="C1146" s="24">
        <v>46169</v>
      </c>
      <c r="D1146" s="3" t="s">
        <v>96</v>
      </c>
      <c r="E1146" s="3" t="s">
        <v>2069</v>
      </c>
      <c r="F1146" s="14" t="s">
        <v>2070</v>
      </c>
      <c r="G1146" s="4" t="s">
        <v>51</v>
      </c>
      <c r="H1146" s="2" t="s">
        <v>17</v>
      </c>
      <c r="I1146" s="2" t="s">
        <v>37</v>
      </c>
      <c r="J1146" s="2" t="s">
        <v>112</v>
      </c>
      <c r="K1146" s="1" t="s">
        <v>1955</v>
      </c>
      <c r="L1146" s="1" t="s">
        <v>234</v>
      </c>
    </row>
    <row r="1147" spans="2:12" ht="28" hidden="1" x14ac:dyDescent="0.35">
      <c r="B1147" s="2">
        <v>12100</v>
      </c>
      <c r="C1147" s="24">
        <v>46164</v>
      </c>
      <c r="D1147" s="3" t="s">
        <v>193</v>
      </c>
      <c r="E1147" s="3" t="s">
        <v>2071</v>
      </c>
      <c r="F1147" s="14" t="s">
        <v>2072</v>
      </c>
      <c r="G1147" s="4" t="s">
        <v>51</v>
      </c>
      <c r="H1147" s="2" t="s">
        <v>17</v>
      </c>
      <c r="I1147" s="2" t="s">
        <v>37</v>
      </c>
      <c r="J1147" s="2" t="s">
        <v>38</v>
      </c>
      <c r="K1147" s="1" t="s">
        <v>1979</v>
      </c>
      <c r="L1147" s="1" t="s">
        <v>95</v>
      </c>
    </row>
    <row r="1148" spans="2:12" ht="56" hidden="1" x14ac:dyDescent="0.35">
      <c r="B1148" s="2">
        <v>12210</v>
      </c>
      <c r="C1148" s="24">
        <v>46173</v>
      </c>
      <c r="D1148" s="3" t="s">
        <v>190</v>
      </c>
      <c r="E1148" s="3" t="s">
        <v>2073</v>
      </c>
      <c r="F1148" s="14" t="s">
        <v>2074</v>
      </c>
      <c r="G1148" s="4" t="s">
        <v>16</v>
      </c>
      <c r="H1148" s="2" t="s">
        <v>281</v>
      </c>
      <c r="I1148" s="2" t="s">
        <v>24</v>
      </c>
      <c r="J1148" s="2" t="s">
        <v>241</v>
      </c>
      <c r="K1148" s="1" t="s">
        <v>426</v>
      </c>
      <c r="L1148" s="1" t="s">
        <v>95</v>
      </c>
    </row>
    <row r="1149" spans="2:12" ht="28" hidden="1" x14ac:dyDescent="0.35">
      <c r="B1149" s="2">
        <v>12193</v>
      </c>
      <c r="C1149" s="24">
        <v>46170</v>
      </c>
      <c r="D1149" s="3" t="s">
        <v>34</v>
      </c>
      <c r="E1149" s="3" t="s">
        <v>2075</v>
      </c>
      <c r="F1149" s="14" t="s">
        <v>2022</v>
      </c>
      <c r="G1149" s="4" t="s">
        <v>16</v>
      </c>
      <c r="H1149" s="2" t="s">
        <v>17</v>
      </c>
      <c r="I1149" s="2" t="s">
        <v>24</v>
      </c>
      <c r="J1149" s="2" t="s">
        <v>72</v>
      </c>
      <c r="K1149" s="1" t="s">
        <v>60</v>
      </c>
      <c r="L1149" s="1" t="s">
        <v>34</v>
      </c>
    </row>
    <row r="1150" spans="2:12" ht="56" hidden="1" x14ac:dyDescent="0.35">
      <c r="B1150" s="2">
        <v>11963</v>
      </c>
      <c r="C1150" s="24">
        <v>46147</v>
      </c>
      <c r="D1150" s="3" t="s">
        <v>190</v>
      </c>
      <c r="E1150" s="3" t="s">
        <v>2076</v>
      </c>
      <c r="F1150" s="14" t="s">
        <v>2077</v>
      </c>
      <c r="G1150" s="4" t="s">
        <v>51</v>
      </c>
      <c r="H1150" s="2" t="s">
        <v>17</v>
      </c>
      <c r="I1150" s="2" t="s">
        <v>37</v>
      </c>
      <c r="J1150" s="2" t="s">
        <v>81</v>
      </c>
      <c r="K1150" s="1" t="s">
        <v>2078</v>
      </c>
      <c r="L1150" s="1" t="s">
        <v>250</v>
      </c>
    </row>
    <row r="1151" spans="2:12" ht="56" hidden="1" x14ac:dyDescent="0.35">
      <c r="B1151" s="2">
        <v>12025</v>
      </c>
      <c r="C1151" s="24">
        <v>46149</v>
      </c>
      <c r="D1151" s="3" t="s">
        <v>190</v>
      </c>
      <c r="E1151" s="3" t="s">
        <v>2076</v>
      </c>
      <c r="F1151" s="14" t="s">
        <v>2077</v>
      </c>
      <c r="G1151" s="4" t="s">
        <v>51</v>
      </c>
      <c r="H1151" s="2" t="s">
        <v>17</v>
      </c>
      <c r="I1151" s="2" t="s">
        <v>37</v>
      </c>
      <c r="J1151" s="2" t="s">
        <v>81</v>
      </c>
      <c r="K1151" s="1" t="s">
        <v>2078</v>
      </c>
      <c r="L1151" s="1" t="s">
        <v>250</v>
      </c>
    </row>
    <row r="1152" spans="2:12" ht="42" hidden="1" x14ac:dyDescent="0.35">
      <c r="B1152" s="2">
        <v>12036</v>
      </c>
      <c r="C1152" s="24">
        <v>46156</v>
      </c>
      <c r="D1152" s="3" t="s">
        <v>220</v>
      </c>
      <c r="E1152" s="3" t="s">
        <v>2079</v>
      </c>
      <c r="F1152" s="14" t="s">
        <v>1846</v>
      </c>
      <c r="G1152" s="4" t="s">
        <v>51</v>
      </c>
      <c r="H1152" s="2" t="s">
        <v>17</v>
      </c>
      <c r="I1152" s="2" t="s">
        <v>18</v>
      </c>
      <c r="J1152" s="2" t="s">
        <v>19</v>
      </c>
      <c r="K1152" s="1" t="s">
        <v>2078</v>
      </c>
      <c r="L1152" s="1" t="s">
        <v>250</v>
      </c>
    </row>
    <row r="1153" spans="2:12" ht="42" hidden="1" x14ac:dyDescent="0.35">
      <c r="B1153" s="2">
        <v>12039</v>
      </c>
      <c r="C1153" s="24">
        <v>46160</v>
      </c>
      <c r="D1153" s="3" t="s">
        <v>227</v>
      </c>
      <c r="E1153" s="3" t="s">
        <v>2080</v>
      </c>
      <c r="F1153" s="14" t="s">
        <v>2081</v>
      </c>
      <c r="G1153" s="4" t="s">
        <v>51</v>
      </c>
      <c r="H1153" s="2" t="s">
        <v>17</v>
      </c>
      <c r="I1153" s="2" t="s">
        <v>18</v>
      </c>
      <c r="J1153" s="2" t="s">
        <v>19</v>
      </c>
      <c r="K1153" s="1" t="s">
        <v>483</v>
      </c>
      <c r="L1153" s="1" t="s">
        <v>278</v>
      </c>
    </row>
    <row r="1154" spans="2:12" ht="42" hidden="1" x14ac:dyDescent="0.35">
      <c r="B1154" s="2">
        <v>12118</v>
      </c>
      <c r="C1154" s="24">
        <v>46167</v>
      </c>
      <c r="D1154" s="3" t="s">
        <v>227</v>
      </c>
      <c r="E1154" s="3" t="s">
        <v>2082</v>
      </c>
      <c r="F1154" s="14" t="s">
        <v>2083</v>
      </c>
      <c r="G1154" s="4" t="s">
        <v>51</v>
      </c>
      <c r="H1154" s="2" t="s">
        <v>17</v>
      </c>
      <c r="I1154" s="2" t="s">
        <v>37</v>
      </c>
      <c r="J1154" s="2" t="s">
        <v>112</v>
      </c>
      <c r="K1154" s="1" t="s">
        <v>483</v>
      </c>
      <c r="L1154" s="1" t="s">
        <v>278</v>
      </c>
    </row>
    <row r="1155" spans="2:12" ht="42" hidden="1" x14ac:dyDescent="0.35">
      <c r="B1155" s="2">
        <v>12175</v>
      </c>
      <c r="C1155" s="24">
        <v>46163</v>
      </c>
      <c r="D1155" s="3" t="s">
        <v>21</v>
      </c>
      <c r="E1155" s="3" t="s">
        <v>2084</v>
      </c>
      <c r="F1155" s="14" t="s">
        <v>447</v>
      </c>
      <c r="G1155" s="4" t="s">
        <v>16</v>
      </c>
      <c r="H1155" s="2" t="s">
        <v>281</v>
      </c>
      <c r="I1155" s="2" t="s">
        <v>24</v>
      </c>
      <c r="J1155" s="2" t="s">
        <v>29</v>
      </c>
      <c r="K1155" s="1" t="s">
        <v>483</v>
      </c>
      <c r="L1155" s="1" t="s">
        <v>278</v>
      </c>
    </row>
    <row r="1156" spans="2:12" ht="28" hidden="1" x14ac:dyDescent="0.35">
      <c r="B1156" s="2">
        <v>12171</v>
      </c>
      <c r="C1156" s="24">
        <v>46171</v>
      </c>
      <c r="D1156" s="3" t="s">
        <v>13</v>
      </c>
      <c r="E1156" s="3" t="s">
        <v>2085</v>
      </c>
      <c r="F1156" s="14" t="s">
        <v>2086</v>
      </c>
      <c r="G1156" s="4" t="s">
        <v>51</v>
      </c>
      <c r="H1156" s="2" t="s">
        <v>17</v>
      </c>
      <c r="I1156" s="2" t="s">
        <v>24</v>
      </c>
      <c r="J1156" s="2" t="s">
        <v>29</v>
      </c>
      <c r="K1156" s="1" t="s">
        <v>657</v>
      </c>
      <c r="L1156" s="1" t="s">
        <v>95</v>
      </c>
    </row>
    <row r="1157" spans="2:12" ht="42" hidden="1" x14ac:dyDescent="0.35">
      <c r="B1157" s="2">
        <v>12035</v>
      </c>
      <c r="C1157" s="24">
        <v>46156</v>
      </c>
      <c r="D1157" s="3" t="s">
        <v>13</v>
      </c>
      <c r="E1157" s="3" t="s">
        <v>2087</v>
      </c>
      <c r="F1157" s="14" t="s">
        <v>2088</v>
      </c>
      <c r="G1157" s="4" t="s">
        <v>16</v>
      </c>
      <c r="H1157" s="2" t="s">
        <v>17</v>
      </c>
      <c r="I1157" s="2" t="s">
        <v>24</v>
      </c>
      <c r="J1157" s="2" t="s">
        <v>29</v>
      </c>
      <c r="K1157" s="1" t="s">
        <v>762</v>
      </c>
      <c r="L1157" s="1" t="s">
        <v>13</v>
      </c>
    </row>
    <row r="1158" spans="2:12" ht="42" hidden="1" x14ac:dyDescent="0.35">
      <c r="B1158" s="2">
        <v>12040</v>
      </c>
      <c r="C1158" s="24">
        <v>46160</v>
      </c>
      <c r="D1158" s="3" t="s">
        <v>193</v>
      </c>
      <c r="E1158" s="3" t="s">
        <v>2089</v>
      </c>
      <c r="F1158" s="14" t="s">
        <v>1011</v>
      </c>
      <c r="G1158" s="4" t="s">
        <v>51</v>
      </c>
      <c r="H1158" s="2" t="s">
        <v>281</v>
      </c>
      <c r="I1158" s="2" t="s">
        <v>37</v>
      </c>
      <c r="J1158" s="2" t="s">
        <v>112</v>
      </c>
      <c r="K1158" s="1" t="s">
        <v>866</v>
      </c>
      <c r="L1158" s="1" t="s">
        <v>95</v>
      </c>
    </row>
    <row r="1159" spans="2:12" ht="28" hidden="1" x14ac:dyDescent="0.35">
      <c r="B1159" s="2">
        <v>12026</v>
      </c>
      <c r="C1159" s="24">
        <v>46156</v>
      </c>
      <c r="D1159" s="3" t="s">
        <v>193</v>
      </c>
      <c r="E1159" s="3" t="s">
        <v>2090</v>
      </c>
      <c r="F1159" s="14" t="s">
        <v>2091</v>
      </c>
      <c r="G1159" s="4" t="s">
        <v>51</v>
      </c>
      <c r="H1159" s="2" t="s">
        <v>281</v>
      </c>
      <c r="I1159" s="2" t="s">
        <v>18</v>
      </c>
      <c r="J1159" s="2" t="s">
        <v>68</v>
      </c>
      <c r="K1159" s="1" t="s">
        <v>866</v>
      </c>
      <c r="L1159" s="1" t="s">
        <v>95</v>
      </c>
    </row>
    <row r="1160" spans="2:12" ht="42" hidden="1" x14ac:dyDescent="0.35">
      <c r="B1160" s="2">
        <v>12023</v>
      </c>
      <c r="C1160" s="24">
        <v>46154</v>
      </c>
      <c r="D1160" s="3" t="s">
        <v>21</v>
      </c>
      <c r="E1160" s="3" t="s">
        <v>2092</v>
      </c>
      <c r="F1160" s="14" t="s">
        <v>2093</v>
      </c>
      <c r="G1160" s="4" t="s">
        <v>51</v>
      </c>
      <c r="H1160" s="2" t="s">
        <v>17</v>
      </c>
      <c r="I1160" s="2" t="s">
        <v>24</v>
      </c>
      <c r="J1160" s="2" t="s">
        <v>29</v>
      </c>
      <c r="K1160" s="1" t="s">
        <v>936</v>
      </c>
      <c r="L1160" s="1" t="s">
        <v>220</v>
      </c>
    </row>
    <row r="1161" spans="2:12" ht="56" hidden="1" x14ac:dyDescent="0.35">
      <c r="B1161" s="2">
        <v>12188</v>
      </c>
      <c r="C1161" s="24">
        <v>46170</v>
      </c>
      <c r="D1161" s="3" t="s">
        <v>250</v>
      </c>
      <c r="E1161" s="3" t="s">
        <v>2094</v>
      </c>
      <c r="F1161" s="14" t="s">
        <v>2095</v>
      </c>
      <c r="G1161" s="4" t="s">
        <v>51</v>
      </c>
      <c r="H1161" s="2" t="s">
        <v>17</v>
      </c>
      <c r="I1161" s="2" t="s">
        <v>37</v>
      </c>
      <c r="J1161" s="2" t="s">
        <v>112</v>
      </c>
      <c r="K1161" s="1" t="s">
        <v>961</v>
      </c>
      <c r="L1161" s="1" t="s">
        <v>278</v>
      </c>
    </row>
    <row r="1162" spans="2:12" ht="42" hidden="1" x14ac:dyDescent="0.35">
      <c r="B1162" s="2">
        <v>12126</v>
      </c>
      <c r="C1162" s="24">
        <v>46167</v>
      </c>
      <c r="D1162" s="3" t="s">
        <v>196</v>
      </c>
      <c r="E1162" s="3" t="s">
        <v>2096</v>
      </c>
      <c r="F1162" s="14" t="s">
        <v>2097</v>
      </c>
      <c r="G1162" s="4" t="s">
        <v>51</v>
      </c>
      <c r="H1162" s="2" t="s">
        <v>17</v>
      </c>
      <c r="I1162" s="2" t="s">
        <v>24</v>
      </c>
      <c r="J1162" s="2" t="s">
        <v>72</v>
      </c>
      <c r="K1162" s="1" t="s">
        <v>1037</v>
      </c>
      <c r="L1162" s="1" t="s">
        <v>395</v>
      </c>
    </row>
    <row r="1163" spans="2:12" ht="42" hidden="1" x14ac:dyDescent="0.35">
      <c r="B1163" s="2">
        <v>12194</v>
      </c>
      <c r="C1163" s="24">
        <v>46171</v>
      </c>
      <c r="D1163" s="3" t="s">
        <v>196</v>
      </c>
      <c r="E1163" s="3" t="s">
        <v>2098</v>
      </c>
      <c r="F1163" s="14" t="s">
        <v>2099</v>
      </c>
      <c r="G1163" s="4" t="s">
        <v>16</v>
      </c>
      <c r="H1163" s="2" t="s">
        <v>17</v>
      </c>
      <c r="I1163" s="2" t="s">
        <v>24</v>
      </c>
      <c r="J1163" s="2" t="s">
        <v>54</v>
      </c>
      <c r="K1163" s="1" t="s">
        <v>1055</v>
      </c>
      <c r="L1163" s="1" t="s">
        <v>196</v>
      </c>
    </row>
    <row r="1164" spans="2:12" ht="56" hidden="1" x14ac:dyDescent="0.35">
      <c r="B1164" s="2">
        <v>12065</v>
      </c>
      <c r="C1164" s="24">
        <v>46161</v>
      </c>
      <c r="D1164" s="3" t="s">
        <v>13</v>
      </c>
      <c r="E1164" s="3" t="s">
        <v>2100</v>
      </c>
      <c r="F1164" s="14" t="s">
        <v>2101</v>
      </c>
      <c r="G1164" s="4" t="s">
        <v>51</v>
      </c>
      <c r="H1164" s="2" t="s">
        <v>17</v>
      </c>
      <c r="I1164" s="2" t="s">
        <v>37</v>
      </c>
      <c r="J1164" s="2" t="s">
        <v>112</v>
      </c>
      <c r="K1164" s="1" t="s">
        <v>1116</v>
      </c>
      <c r="L1164" s="1" t="s">
        <v>95</v>
      </c>
    </row>
    <row r="1165" spans="2:12" ht="56" hidden="1" x14ac:dyDescent="0.35">
      <c r="B1165" s="2">
        <v>12027</v>
      </c>
      <c r="C1165" s="24">
        <v>46149</v>
      </c>
      <c r="D1165" s="3" t="s">
        <v>21</v>
      </c>
      <c r="E1165" s="3" t="s">
        <v>2102</v>
      </c>
      <c r="F1165" s="14" t="s">
        <v>2103</v>
      </c>
      <c r="G1165" s="4" t="s">
        <v>16</v>
      </c>
      <c r="H1165" s="2" t="s">
        <v>17</v>
      </c>
      <c r="I1165" s="2" t="s">
        <v>24</v>
      </c>
      <c r="J1165" s="2" t="s">
        <v>33</v>
      </c>
      <c r="K1165" s="1" t="s">
        <v>1116</v>
      </c>
      <c r="L1165" s="1" t="s">
        <v>95</v>
      </c>
    </row>
    <row r="1166" spans="2:12" ht="42" hidden="1" x14ac:dyDescent="0.35">
      <c r="B1166" s="2">
        <v>11976</v>
      </c>
      <c r="C1166" s="24">
        <v>46154</v>
      </c>
      <c r="D1166" s="3" t="s">
        <v>227</v>
      </c>
      <c r="E1166" s="3" t="s">
        <v>2104</v>
      </c>
      <c r="F1166" s="14" t="s">
        <v>2105</v>
      </c>
      <c r="G1166" s="4" t="s">
        <v>51</v>
      </c>
      <c r="H1166" s="2" t="s">
        <v>17</v>
      </c>
      <c r="I1166" s="2" t="s">
        <v>18</v>
      </c>
      <c r="J1166" s="2" t="s">
        <v>171</v>
      </c>
      <c r="K1166" s="1" t="s">
        <v>1179</v>
      </c>
      <c r="L1166" s="1" t="s">
        <v>96</v>
      </c>
    </row>
    <row r="1167" spans="2:12" ht="42" hidden="1" x14ac:dyDescent="0.35">
      <c r="B1167" s="2">
        <v>12130</v>
      </c>
      <c r="C1167" s="24">
        <v>46149</v>
      </c>
      <c r="D1167" s="3" t="s">
        <v>96</v>
      </c>
      <c r="E1167" s="3" t="s">
        <v>2106</v>
      </c>
      <c r="F1167" s="14" t="s">
        <v>720</v>
      </c>
      <c r="G1167" s="4" t="s">
        <v>16</v>
      </c>
      <c r="H1167" s="2" t="s">
        <v>17</v>
      </c>
      <c r="I1167" s="2" t="s">
        <v>18</v>
      </c>
      <c r="J1167" s="2" t="s">
        <v>68</v>
      </c>
      <c r="K1167" s="1" t="s">
        <v>1179</v>
      </c>
      <c r="L1167" s="1" t="s">
        <v>96</v>
      </c>
    </row>
    <row r="1168" spans="2:12" ht="42" hidden="1" x14ac:dyDescent="0.35">
      <c r="B1168" s="2">
        <v>12129</v>
      </c>
      <c r="C1168" s="24">
        <v>46149</v>
      </c>
      <c r="D1168" s="3" t="s">
        <v>96</v>
      </c>
      <c r="E1168" s="3" t="s">
        <v>2107</v>
      </c>
      <c r="F1168" s="14" t="s">
        <v>734</v>
      </c>
      <c r="G1168" s="4" t="s">
        <v>16</v>
      </c>
      <c r="H1168" s="2" t="s">
        <v>281</v>
      </c>
      <c r="I1168" s="2" t="s">
        <v>18</v>
      </c>
      <c r="J1168" s="2" t="s">
        <v>68</v>
      </c>
      <c r="K1168" s="1" t="s">
        <v>1179</v>
      </c>
      <c r="L1168" s="1" t="s">
        <v>96</v>
      </c>
    </row>
    <row r="1169" spans="2:12" ht="28" hidden="1" x14ac:dyDescent="0.35">
      <c r="B1169" s="2">
        <v>12113</v>
      </c>
      <c r="C1169" s="24">
        <v>46163</v>
      </c>
      <c r="D1169" s="3" t="s">
        <v>96</v>
      </c>
      <c r="E1169" s="3" t="s">
        <v>2108</v>
      </c>
      <c r="F1169" s="14" t="s">
        <v>2109</v>
      </c>
      <c r="G1169" s="4" t="s">
        <v>51</v>
      </c>
      <c r="H1169" s="2" t="s">
        <v>17</v>
      </c>
      <c r="I1169" s="2" t="s">
        <v>24</v>
      </c>
      <c r="J1169" s="2" t="s">
        <v>44</v>
      </c>
      <c r="K1169" s="1" t="s">
        <v>1179</v>
      </c>
      <c r="L1169" s="1" t="s">
        <v>96</v>
      </c>
    </row>
    <row r="1170" spans="2:12" ht="28" hidden="1" x14ac:dyDescent="0.35">
      <c r="B1170" s="2">
        <v>12209</v>
      </c>
      <c r="C1170" s="24">
        <v>46172</v>
      </c>
      <c r="D1170" s="3" t="s">
        <v>227</v>
      </c>
      <c r="E1170" s="3" t="s">
        <v>2110</v>
      </c>
      <c r="F1170" s="14" t="s">
        <v>2111</v>
      </c>
      <c r="G1170" s="4" t="s">
        <v>51</v>
      </c>
      <c r="H1170" s="2" t="s">
        <v>17</v>
      </c>
      <c r="I1170" s="2" t="s">
        <v>37</v>
      </c>
      <c r="J1170" s="2" t="s">
        <v>112</v>
      </c>
      <c r="K1170" s="1" t="s">
        <v>1179</v>
      </c>
      <c r="L1170" s="1" t="s">
        <v>96</v>
      </c>
    </row>
    <row r="1171" spans="2:12" ht="42" hidden="1" x14ac:dyDescent="0.35">
      <c r="B1171" s="2">
        <v>11907</v>
      </c>
      <c r="C1171" s="24">
        <v>46148</v>
      </c>
      <c r="D1171" s="3" t="s">
        <v>193</v>
      </c>
      <c r="E1171" s="3" t="s">
        <v>2112</v>
      </c>
      <c r="F1171" s="14" t="s">
        <v>1835</v>
      </c>
      <c r="G1171" s="4" t="s">
        <v>51</v>
      </c>
      <c r="H1171" s="2" t="s">
        <v>17</v>
      </c>
      <c r="I1171" s="2" t="s">
        <v>24</v>
      </c>
      <c r="J1171" s="2" t="s">
        <v>44</v>
      </c>
      <c r="K1171" s="1" t="s">
        <v>1316</v>
      </c>
      <c r="L1171" s="1" t="s">
        <v>95</v>
      </c>
    </row>
    <row r="1172" spans="2:12" ht="42" hidden="1" x14ac:dyDescent="0.35">
      <c r="B1172" s="2">
        <v>12192</v>
      </c>
      <c r="C1172" s="24">
        <v>46170</v>
      </c>
      <c r="D1172" s="3" t="s">
        <v>250</v>
      </c>
      <c r="E1172" s="3" t="s">
        <v>2113</v>
      </c>
      <c r="F1172" s="14" t="s">
        <v>2114</v>
      </c>
      <c r="G1172" s="4" t="s">
        <v>51</v>
      </c>
      <c r="H1172" s="2" t="s">
        <v>17</v>
      </c>
      <c r="I1172" s="2" t="s">
        <v>24</v>
      </c>
      <c r="J1172" s="2" t="s">
        <v>33</v>
      </c>
      <c r="K1172" s="1" t="s">
        <v>36</v>
      </c>
      <c r="L1172" s="1" t="s">
        <v>26</v>
      </c>
    </row>
    <row r="1173" spans="2:12" ht="42" hidden="1" x14ac:dyDescent="0.35">
      <c r="B1173" s="2">
        <v>11905</v>
      </c>
      <c r="C1173" s="24">
        <v>46149</v>
      </c>
      <c r="D1173" s="3" t="s">
        <v>104</v>
      </c>
      <c r="E1173" s="3" t="s">
        <v>2115</v>
      </c>
      <c r="F1173" s="14" t="s">
        <v>2116</v>
      </c>
      <c r="G1173" s="4" t="s">
        <v>51</v>
      </c>
      <c r="H1173" s="2" t="s">
        <v>17</v>
      </c>
      <c r="I1173" s="2" t="s">
        <v>24</v>
      </c>
      <c r="J1173" s="2" t="s">
        <v>33</v>
      </c>
      <c r="K1173" s="1" t="s">
        <v>1381</v>
      </c>
      <c r="L1173" s="1" t="s">
        <v>104</v>
      </c>
    </row>
    <row r="1174" spans="2:12" ht="28" hidden="1" x14ac:dyDescent="0.35">
      <c r="B1174" s="2">
        <v>12101</v>
      </c>
      <c r="C1174" s="24">
        <v>46164</v>
      </c>
      <c r="D1174" s="3" t="s">
        <v>104</v>
      </c>
      <c r="E1174" s="3" t="s">
        <v>2117</v>
      </c>
      <c r="F1174" s="14" t="s">
        <v>1974</v>
      </c>
      <c r="G1174" s="4" t="s">
        <v>16</v>
      </c>
      <c r="H1174" s="2" t="s">
        <v>17</v>
      </c>
      <c r="I1174" s="2" t="s">
        <v>24</v>
      </c>
      <c r="J1174" s="2" t="s">
        <v>54</v>
      </c>
      <c r="K1174" s="1" t="s">
        <v>1381</v>
      </c>
      <c r="L1174" s="1" t="s">
        <v>104</v>
      </c>
    </row>
    <row r="1175" spans="2:12" ht="42" hidden="1" x14ac:dyDescent="0.35">
      <c r="B1175" s="2">
        <v>12198</v>
      </c>
      <c r="C1175" s="24">
        <v>46171</v>
      </c>
      <c r="D1175" s="3" t="s">
        <v>21</v>
      </c>
      <c r="E1175" s="3" t="s">
        <v>2118</v>
      </c>
      <c r="F1175" s="14" t="s">
        <v>129</v>
      </c>
      <c r="G1175" s="4" t="s">
        <v>16</v>
      </c>
      <c r="H1175" s="2" t="s">
        <v>17</v>
      </c>
      <c r="I1175" s="2" t="s">
        <v>18</v>
      </c>
      <c r="J1175" s="2" t="s">
        <v>171</v>
      </c>
      <c r="K1175" s="1" t="s">
        <v>1391</v>
      </c>
      <c r="L1175" s="1" t="s">
        <v>21</v>
      </c>
    </row>
    <row r="1176" spans="2:12" ht="42" hidden="1" x14ac:dyDescent="0.35">
      <c r="B1176" s="2">
        <v>12199</v>
      </c>
      <c r="C1176" s="24">
        <v>46171</v>
      </c>
      <c r="D1176" s="3" t="s">
        <v>21</v>
      </c>
      <c r="E1176" s="3" t="s">
        <v>2119</v>
      </c>
      <c r="F1176" s="14" t="s">
        <v>1495</v>
      </c>
      <c r="G1176" s="4" t="s">
        <v>16</v>
      </c>
      <c r="H1176" s="2" t="s">
        <v>17</v>
      </c>
      <c r="I1176" s="2" t="s">
        <v>18</v>
      </c>
      <c r="J1176" s="2" t="s">
        <v>171</v>
      </c>
      <c r="K1176" s="1" t="s">
        <v>1391</v>
      </c>
      <c r="L1176" s="1" t="s">
        <v>13</v>
      </c>
    </row>
    <row r="1177" spans="2:12" ht="42" hidden="1" x14ac:dyDescent="0.35">
      <c r="B1177" s="2">
        <v>12191</v>
      </c>
      <c r="C1177" s="24">
        <v>46170</v>
      </c>
      <c r="D1177" s="3" t="s">
        <v>26</v>
      </c>
      <c r="E1177" s="3" t="s">
        <v>2120</v>
      </c>
      <c r="F1177" s="14" t="s">
        <v>2121</v>
      </c>
      <c r="G1177" s="4" t="s">
        <v>16</v>
      </c>
      <c r="H1177" s="2" t="s">
        <v>17</v>
      </c>
      <c r="I1177" s="2" t="s">
        <v>24</v>
      </c>
      <c r="J1177" s="2" t="s">
        <v>44</v>
      </c>
      <c r="K1177" s="1" t="s">
        <v>1525</v>
      </c>
      <c r="L1177" s="1" t="s">
        <v>34</v>
      </c>
    </row>
    <row r="1178" spans="2:12" ht="42" hidden="1" x14ac:dyDescent="0.35">
      <c r="B1178" s="2">
        <v>12190</v>
      </c>
      <c r="C1178" s="24">
        <v>46170</v>
      </c>
      <c r="D1178" s="3" t="s">
        <v>34</v>
      </c>
      <c r="E1178" s="3" t="s">
        <v>2122</v>
      </c>
      <c r="F1178" s="14" t="s">
        <v>2123</v>
      </c>
      <c r="G1178" s="4" t="s">
        <v>51</v>
      </c>
      <c r="H1178" s="2" t="s">
        <v>17</v>
      </c>
      <c r="I1178" s="2" t="s">
        <v>18</v>
      </c>
      <c r="J1178" s="2" t="s">
        <v>19</v>
      </c>
      <c r="K1178" s="1" t="s">
        <v>1525</v>
      </c>
      <c r="L1178" s="1" t="s">
        <v>34</v>
      </c>
    </row>
    <row r="1179" spans="2:12" ht="42" hidden="1" x14ac:dyDescent="0.35">
      <c r="B1179" s="2">
        <v>12170</v>
      </c>
      <c r="C1179" s="24">
        <v>46169</v>
      </c>
      <c r="D1179" s="3" t="s">
        <v>227</v>
      </c>
      <c r="E1179" s="3" t="s">
        <v>2124</v>
      </c>
      <c r="F1179" s="14" t="s">
        <v>2125</v>
      </c>
      <c r="G1179" s="4" t="s">
        <v>51</v>
      </c>
      <c r="H1179" s="2" t="s">
        <v>17</v>
      </c>
      <c r="I1179" s="2" t="s">
        <v>24</v>
      </c>
      <c r="J1179" s="2" t="s">
        <v>261</v>
      </c>
      <c r="K1179" s="1" t="s">
        <v>1805</v>
      </c>
      <c r="L1179" s="1" t="s">
        <v>278</v>
      </c>
    </row>
    <row r="1180" spans="2:12" ht="28" hidden="1" x14ac:dyDescent="0.35">
      <c r="B1180" s="2">
        <v>12030</v>
      </c>
      <c r="C1180" s="24">
        <v>46156</v>
      </c>
      <c r="D1180" s="3" t="s">
        <v>227</v>
      </c>
      <c r="E1180" s="3" t="s">
        <v>2126</v>
      </c>
      <c r="F1180" s="14" t="s">
        <v>2127</v>
      </c>
      <c r="G1180" s="4" t="s">
        <v>51</v>
      </c>
      <c r="H1180" s="2" t="s">
        <v>17</v>
      </c>
      <c r="I1180" s="2" t="s">
        <v>37</v>
      </c>
      <c r="J1180" s="2" t="s">
        <v>112</v>
      </c>
      <c r="K1180" s="1" t="s">
        <v>413</v>
      </c>
      <c r="L1180" s="1" t="s">
        <v>190</v>
      </c>
    </row>
    <row r="1181" spans="2:12" ht="42" hidden="1" x14ac:dyDescent="0.35">
      <c r="B1181" s="2">
        <v>12229</v>
      </c>
      <c r="C1181" s="24">
        <v>46173</v>
      </c>
      <c r="D1181" s="3" t="s">
        <v>193</v>
      </c>
      <c r="E1181" s="3" t="s">
        <v>2128</v>
      </c>
      <c r="F1181" s="14" t="s">
        <v>2114</v>
      </c>
      <c r="G1181" s="4" t="s">
        <v>51</v>
      </c>
      <c r="H1181" s="2" t="s">
        <v>17</v>
      </c>
      <c r="I1181" s="2" t="s">
        <v>37</v>
      </c>
      <c r="J1181" s="2" t="s">
        <v>38</v>
      </c>
      <c r="K1181" s="1" t="s">
        <v>30</v>
      </c>
      <c r="L1181" s="1" t="s">
        <v>26</v>
      </c>
    </row>
    <row r="1182" spans="2:12" ht="56" hidden="1" x14ac:dyDescent="0.35">
      <c r="B1182" s="2">
        <v>12228</v>
      </c>
      <c r="C1182" s="24">
        <v>46173</v>
      </c>
      <c r="D1182" s="3" t="s">
        <v>34</v>
      </c>
      <c r="E1182" s="3" t="s">
        <v>2129</v>
      </c>
      <c r="F1182" s="14" t="s">
        <v>491</v>
      </c>
      <c r="G1182" s="4" t="s">
        <v>16</v>
      </c>
      <c r="H1182" s="2" t="s">
        <v>17</v>
      </c>
      <c r="I1182" s="2" t="s">
        <v>37</v>
      </c>
      <c r="J1182" s="2" t="s">
        <v>112</v>
      </c>
      <c r="K1182" s="1" t="s">
        <v>60</v>
      </c>
      <c r="L1182" s="1" t="s">
        <v>34</v>
      </c>
    </row>
    <row r="1183" spans="2:12" ht="42" hidden="1" x14ac:dyDescent="0.35">
      <c r="B1183" s="2">
        <v>12227</v>
      </c>
      <c r="C1183" s="24">
        <v>46173</v>
      </c>
      <c r="D1183" s="3" t="s">
        <v>34</v>
      </c>
      <c r="E1183" s="3" t="s">
        <v>2130</v>
      </c>
      <c r="F1183" s="14" t="s">
        <v>2131</v>
      </c>
      <c r="G1183" s="4" t="s">
        <v>51</v>
      </c>
      <c r="H1183" s="2" t="s">
        <v>17</v>
      </c>
      <c r="I1183" s="2" t="s">
        <v>24</v>
      </c>
      <c r="J1183" s="2" t="s">
        <v>44</v>
      </c>
      <c r="K1183" s="1" t="s">
        <v>30</v>
      </c>
      <c r="L1183" s="1" t="s">
        <v>34</v>
      </c>
    </row>
    <row r="1184" spans="2:12" ht="42" hidden="1" x14ac:dyDescent="0.35">
      <c r="B1184" s="2">
        <v>12226</v>
      </c>
      <c r="C1184" s="24">
        <v>46173</v>
      </c>
      <c r="D1184" s="3" t="s">
        <v>26</v>
      </c>
      <c r="E1184" s="3" t="s">
        <v>2132</v>
      </c>
      <c r="F1184" s="14" t="s">
        <v>2133</v>
      </c>
      <c r="G1184" s="4" t="s">
        <v>51</v>
      </c>
      <c r="H1184" s="2" t="s">
        <v>17</v>
      </c>
      <c r="I1184" s="2" t="s">
        <v>18</v>
      </c>
      <c r="J1184" s="2" t="s">
        <v>19</v>
      </c>
      <c r="K1184" s="1" t="s">
        <v>30</v>
      </c>
      <c r="L1184" s="1" t="s">
        <v>26</v>
      </c>
    </row>
    <row r="1185" spans="2:12" ht="56" hidden="1" x14ac:dyDescent="0.35">
      <c r="B1185" s="2">
        <v>12225</v>
      </c>
      <c r="C1185" s="24">
        <v>46173</v>
      </c>
      <c r="D1185" s="3" t="s">
        <v>26</v>
      </c>
      <c r="E1185" s="3" t="s">
        <v>2134</v>
      </c>
      <c r="F1185" s="14" t="s">
        <v>2135</v>
      </c>
      <c r="G1185" s="4" t="s">
        <v>16</v>
      </c>
      <c r="H1185" s="2" t="s">
        <v>17</v>
      </c>
      <c r="I1185" s="2" t="s">
        <v>18</v>
      </c>
      <c r="J1185" s="2" t="s">
        <v>291</v>
      </c>
      <c r="K1185" s="1" t="s">
        <v>36</v>
      </c>
      <c r="L1185" s="1" t="s">
        <v>26</v>
      </c>
    </row>
    <row r="1186" spans="2:12" ht="42" hidden="1" x14ac:dyDescent="0.35">
      <c r="B1186" s="2">
        <v>12475</v>
      </c>
      <c r="C1186" s="24">
        <v>46203</v>
      </c>
      <c r="D1186" s="3" t="s">
        <v>26</v>
      </c>
      <c r="E1186" s="3" t="s">
        <v>2136</v>
      </c>
      <c r="F1186" s="14" t="s">
        <v>2137</v>
      </c>
      <c r="G1186" s="4" t="s">
        <v>51</v>
      </c>
      <c r="H1186" s="2" t="s">
        <v>17</v>
      </c>
      <c r="I1186" s="2" t="s">
        <v>18</v>
      </c>
      <c r="J1186" s="2" t="s">
        <v>19</v>
      </c>
      <c r="K1186" s="1" t="s">
        <v>30</v>
      </c>
      <c r="L1186" s="1" t="s">
        <v>26</v>
      </c>
    </row>
    <row r="1187" spans="2:12" ht="42" hidden="1" x14ac:dyDescent="0.35">
      <c r="B1187" s="2">
        <v>12474</v>
      </c>
      <c r="C1187" s="24">
        <v>46203</v>
      </c>
      <c r="D1187" s="3" t="s">
        <v>26</v>
      </c>
      <c r="E1187" s="3" t="s">
        <v>2138</v>
      </c>
      <c r="F1187" s="14" t="s">
        <v>2139</v>
      </c>
      <c r="G1187" s="4" t="s">
        <v>51</v>
      </c>
      <c r="H1187" s="2" t="s">
        <v>17</v>
      </c>
      <c r="I1187" s="2" t="s">
        <v>24</v>
      </c>
      <c r="J1187" s="2" t="s">
        <v>54</v>
      </c>
      <c r="K1187" s="1" t="s">
        <v>30</v>
      </c>
      <c r="L1187" s="1" t="s">
        <v>26</v>
      </c>
    </row>
    <row r="1188" spans="2:12" ht="42" hidden="1" x14ac:dyDescent="0.35">
      <c r="B1188" s="2">
        <v>12477</v>
      </c>
      <c r="C1188" s="24">
        <v>46203</v>
      </c>
      <c r="D1188" s="3" t="s">
        <v>26</v>
      </c>
      <c r="E1188" s="3" t="s">
        <v>2140</v>
      </c>
      <c r="F1188" s="14" t="s">
        <v>2141</v>
      </c>
      <c r="G1188" s="4" t="s">
        <v>51</v>
      </c>
      <c r="H1188" s="2" t="s">
        <v>17</v>
      </c>
      <c r="I1188" s="2" t="s">
        <v>18</v>
      </c>
      <c r="J1188" s="2" t="s">
        <v>19</v>
      </c>
      <c r="K1188" s="1" t="s">
        <v>30</v>
      </c>
      <c r="L1188" s="1" t="s">
        <v>26</v>
      </c>
    </row>
    <row r="1189" spans="2:12" ht="42" hidden="1" x14ac:dyDescent="0.35">
      <c r="B1189" s="2">
        <v>12478</v>
      </c>
      <c r="C1189" s="24">
        <v>46203</v>
      </c>
      <c r="D1189" s="3" t="s">
        <v>26</v>
      </c>
      <c r="E1189" s="3" t="s">
        <v>2142</v>
      </c>
      <c r="F1189" s="14" t="s">
        <v>2143</v>
      </c>
      <c r="G1189" s="4" t="s">
        <v>51</v>
      </c>
      <c r="H1189" s="2" t="s">
        <v>17</v>
      </c>
      <c r="I1189" s="2" t="s">
        <v>24</v>
      </c>
      <c r="J1189" s="2" t="s">
        <v>44</v>
      </c>
      <c r="K1189" s="1" t="s">
        <v>30</v>
      </c>
      <c r="L1189" s="1" t="s">
        <v>26</v>
      </c>
    </row>
    <row r="1190" spans="2:12" ht="56" hidden="1" x14ac:dyDescent="0.35">
      <c r="B1190" s="2">
        <v>12294</v>
      </c>
      <c r="C1190" s="24">
        <v>46178</v>
      </c>
      <c r="D1190" s="3" t="s">
        <v>134</v>
      </c>
      <c r="E1190" s="3" t="s">
        <v>2144</v>
      </c>
      <c r="F1190" s="14" t="s">
        <v>2145</v>
      </c>
      <c r="G1190" s="4" t="s">
        <v>51</v>
      </c>
      <c r="H1190" s="2" t="s">
        <v>17</v>
      </c>
      <c r="I1190" s="2" t="s">
        <v>37</v>
      </c>
      <c r="J1190" s="2" t="s">
        <v>121</v>
      </c>
      <c r="K1190" s="1" t="s">
        <v>107</v>
      </c>
      <c r="L1190" s="1" t="s">
        <v>134</v>
      </c>
    </row>
    <row r="1191" spans="2:12" ht="42" hidden="1" x14ac:dyDescent="0.35">
      <c r="B1191" s="2">
        <v>12350</v>
      </c>
      <c r="C1191" s="24">
        <v>46184</v>
      </c>
      <c r="D1191" s="3" t="s">
        <v>134</v>
      </c>
      <c r="E1191" s="3" t="s">
        <v>2146</v>
      </c>
      <c r="F1191" s="14" t="s">
        <v>2147</v>
      </c>
      <c r="G1191" s="4" t="s">
        <v>16</v>
      </c>
      <c r="H1191" s="2" t="s">
        <v>17</v>
      </c>
      <c r="I1191" s="2" t="s">
        <v>37</v>
      </c>
      <c r="J1191" s="2" t="s">
        <v>81</v>
      </c>
      <c r="K1191" s="1" t="s">
        <v>107</v>
      </c>
      <c r="L1191" s="1" t="s">
        <v>134</v>
      </c>
    </row>
    <row r="1192" spans="2:12" ht="56" hidden="1" x14ac:dyDescent="0.35">
      <c r="B1192" s="2">
        <v>12407</v>
      </c>
      <c r="C1192" s="24">
        <v>46192</v>
      </c>
      <c r="D1192" s="3" t="s">
        <v>134</v>
      </c>
      <c r="E1192" s="3" t="s">
        <v>2148</v>
      </c>
      <c r="F1192" s="14" t="s">
        <v>455</v>
      </c>
      <c r="G1192" s="4" t="s">
        <v>16</v>
      </c>
      <c r="H1192" s="2" t="s">
        <v>17</v>
      </c>
      <c r="I1192" s="2" t="s">
        <v>24</v>
      </c>
      <c r="J1192" s="2" t="s">
        <v>33</v>
      </c>
      <c r="K1192" s="1" t="s">
        <v>107</v>
      </c>
      <c r="L1192" s="1" t="s">
        <v>134</v>
      </c>
    </row>
    <row r="1193" spans="2:12" ht="42" hidden="1" x14ac:dyDescent="0.35">
      <c r="B1193" s="2">
        <v>12499</v>
      </c>
      <c r="C1193" s="24">
        <v>46199</v>
      </c>
      <c r="D1193" s="3" t="s">
        <v>134</v>
      </c>
      <c r="E1193" s="3" t="s">
        <v>2149</v>
      </c>
      <c r="F1193" s="14" t="s">
        <v>2150</v>
      </c>
      <c r="G1193" s="4" t="s">
        <v>16</v>
      </c>
      <c r="H1193" s="2" t="s">
        <v>17</v>
      </c>
      <c r="I1193" s="2" t="s">
        <v>24</v>
      </c>
      <c r="J1193" s="2" t="s">
        <v>33</v>
      </c>
      <c r="K1193" s="1" t="s">
        <v>107</v>
      </c>
      <c r="L1193" s="1" t="s">
        <v>134</v>
      </c>
    </row>
    <row r="1194" spans="2:12" ht="28" hidden="1" x14ac:dyDescent="0.35">
      <c r="B1194" s="2">
        <v>12425</v>
      </c>
      <c r="C1194" s="24">
        <v>46199</v>
      </c>
      <c r="D1194" s="3" t="s">
        <v>21</v>
      </c>
      <c r="E1194" s="3" t="s">
        <v>2151</v>
      </c>
      <c r="F1194" s="14" t="s">
        <v>2152</v>
      </c>
      <c r="G1194" s="4" t="s">
        <v>16</v>
      </c>
      <c r="H1194" s="2" t="s">
        <v>17</v>
      </c>
      <c r="I1194" s="2" t="s">
        <v>24</v>
      </c>
      <c r="J1194" s="2" t="s">
        <v>29</v>
      </c>
      <c r="K1194" s="1" t="s">
        <v>183</v>
      </c>
      <c r="L1194" s="1" t="s">
        <v>13</v>
      </c>
    </row>
    <row r="1195" spans="2:12" ht="28" hidden="1" x14ac:dyDescent="0.35">
      <c r="B1195" s="2">
        <v>12400</v>
      </c>
      <c r="C1195" s="24">
        <v>46181</v>
      </c>
      <c r="D1195" s="3" t="s">
        <v>234</v>
      </c>
      <c r="E1195" s="3" t="s">
        <v>2153</v>
      </c>
      <c r="F1195" s="14" t="s">
        <v>2154</v>
      </c>
      <c r="G1195" s="4" t="s">
        <v>16</v>
      </c>
      <c r="H1195" s="2" t="s">
        <v>17</v>
      </c>
      <c r="I1195" s="2" t="s">
        <v>24</v>
      </c>
      <c r="J1195" s="2" t="s">
        <v>33</v>
      </c>
      <c r="K1195" s="1" t="s">
        <v>183</v>
      </c>
      <c r="L1195" s="1" t="s">
        <v>95</v>
      </c>
    </row>
    <row r="1196" spans="2:12" ht="28" hidden="1" x14ac:dyDescent="0.35">
      <c r="B1196" s="2">
        <v>12424</v>
      </c>
      <c r="C1196" s="24">
        <v>46198</v>
      </c>
      <c r="D1196" s="3" t="s">
        <v>104</v>
      </c>
      <c r="E1196" s="3" t="s">
        <v>2155</v>
      </c>
      <c r="F1196" s="14" t="s">
        <v>2156</v>
      </c>
      <c r="G1196" s="4" t="s">
        <v>51</v>
      </c>
      <c r="H1196" s="2" t="s">
        <v>17</v>
      </c>
      <c r="I1196" s="2" t="s">
        <v>37</v>
      </c>
      <c r="J1196" s="2" t="s">
        <v>112</v>
      </c>
      <c r="K1196" s="1" t="s">
        <v>1955</v>
      </c>
      <c r="L1196" s="1" t="s">
        <v>234</v>
      </c>
    </row>
    <row r="1197" spans="2:12" ht="28" hidden="1" x14ac:dyDescent="0.35">
      <c r="B1197" s="2">
        <v>12423</v>
      </c>
      <c r="C1197" s="24">
        <v>46198</v>
      </c>
      <c r="D1197" s="3" t="s">
        <v>234</v>
      </c>
      <c r="E1197" s="3" t="s">
        <v>2157</v>
      </c>
      <c r="F1197" s="14" t="s">
        <v>2158</v>
      </c>
      <c r="G1197" s="4" t="s">
        <v>16</v>
      </c>
      <c r="H1197" s="2" t="s">
        <v>17</v>
      </c>
      <c r="I1197" s="2" t="s">
        <v>37</v>
      </c>
      <c r="J1197" s="2" t="s">
        <v>38</v>
      </c>
      <c r="K1197" s="1" t="s">
        <v>1955</v>
      </c>
      <c r="L1197" s="1" t="s">
        <v>234</v>
      </c>
    </row>
    <row r="1198" spans="2:12" ht="51.65" hidden="1" customHeight="1" x14ac:dyDescent="0.35">
      <c r="B1198" s="2">
        <v>12409</v>
      </c>
      <c r="C1198" s="24">
        <v>46197</v>
      </c>
      <c r="D1198" s="3" t="s">
        <v>193</v>
      </c>
      <c r="E1198" s="3" t="s">
        <v>2159</v>
      </c>
      <c r="F1198" s="14" t="s">
        <v>2160</v>
      </c>
      <c r="G1198" s="4" t="s">
        <v>51</v>
      </c>
      <c r="H1198" s="2" t="s">
        <v>17</v>
      </c>
      <c r="I1198" s="2" t="s">
        <v>37</v>
      </c>
      <c r="J1198" s="2" t="s">
        <v>38</v>
      </c>
      <c r="K1198" s="1" t="s">
        <v>1955</v>
      </c>
      <c r="L1198" s="1" t="s">
        <v>234</v>
      </c>
    </row>
    <row r="1199" spans="2:12" ht="28" hidden="1" x14ac:dyDescent="0.35">
      <c r="B1199" s="2">
        <v>12503</v>
      </c>
      <c r="C1199" s="24">
        <v>46203</v>
      </c>
      <c r="D1199" s="3" t="s">
        <v>234</v>
      </c>
      <c r="E1199" s="3" t="s">
        <v>2161</v>
      </c>
      <c r="F1199" s="14" t="s">
        <v>743</v>
      </c>
      <c r="G1199" s="4" t="s">
        <v>16</v>
      </c>
      <c r="H1199" s="2" t="s">
        <v>17</v>
      </c>
      <c r="I1199" s="2" t="s">
        <v>24</v>
      </c>
      <c r="J1199" s="2" t="s">
        <v>33</v>
      </c>
      <c r="K1199" s="1" t="s">
        <v>1955</v>
      </c>
      <c r="L1199" s="1" t="s">
        <v>234</v>
      </c>
    </row>
    <row r="1200" spans="2:12" ht="42" hidden="1" x14ac:dyDescent="0.35">
      <c r="B1200" s="2">
        <v>12364</v>
      </c>
      <c r="C1200" s="24">
        <v>46191</v>
      </c>
      <c r="D1200" s="3" t="s">
        <v>196</v>
      </c>
      <c r="E1200" s="3" t="s">
        <v>2162</v>
      </c>
      <c r="F1200" s="14" t="s">
        <v>2163</v>
      </c>
      <c r="G1200" s="4" t="s">
        <v>51</v>
      </c>
      <c r="H1200" s="2" t="s">
        <v>17</v>
      </c>
      <c r="I1200" s="2" t="s">
        <v>37</v>
      </c>
      <c r="J1200" s="2" t="s">
        <v>81</v>
      </c>
      <c r="K1200" s="1" t="s">
        <v>300</v>
      </c>
      <c r="L1200" s="1" t="s">
        <v>278</v>
      </c>
    </row>
    <row r="1201" spans="2:12" hidden="1" x14ac:dyDescent="0.35">
      <c r="B1201" s="2">
        <v>12493</v>
      </c>
      <c r="C1201" s="24">
        <v>46203</v>
      </c>
      <c r="D1201" s="3" t="s">
        <v>95</v>
      </c>
      <c r="E1201" s="3" t="s">
        <v>2164</v>
      </c>
      <c r="F1201" s="14" t="s">
        <v>1964</v>
      </c>
      <c r="G1201" s="4" t="s">
        <v>51</v>
      </c>
      <c r="H1201" s="2" t="s">
        <v>17</v>
      </c>
      <c r="I1201" s="2" t="s">
        <v>37</v>
      </c>
      <c r="J1201" s="2" t="s">
        <v>38</v>
      </c>
      <c r="K1201" s="1" t="s">
        <v>1979</v>
      </c>
      <c r="L1201" s="1" t="s">
        <v>95</v>
      </c>
    </row>
    <row r="1202" spans="2:12" ht="42" hidden="1" x14ac:dyDescent="0.35">
      <c r="B1202" s="2">
        <v>12480</v>
      </c>
      <c r="C1202" s="24">
        <v>46203</v>
      </c>
      <c r="D1202" s="3" t="s">
        <v>34</v>
      </c>
      <c r="E1202" s="3" t="s">
        <v>2165</v>
      </c>
      <c r="F1202" s="14" t="s">
        <v>85</v>
      </c>
      <c r="G1202" s="4" t="s">
        <v>51</v>
      </c>
      <c r="H1202" s="2" t="s">
        <v>17</v>
      </c>
      <c r="I1202" s="2" t="s">
        <v>24</v>
      </c>
      <c r="J1202" s="2" t="s">
        <v>33</v>
      </c>
      <c r="K1202" s="1" t="s">
        <v>60</v>
      </c>
      <c r="L1202" s="1" t="s">
        <v>250</v>
      </c>
    </row>
    <row r="1203" spans="2:12" ht="42" hidden="1" x14ac:dyDescent="0.35">
      <c r="B1203" s="2">
        <v>12483</v>
      </c>
      <c r="C1203" s="24">
        <v>46203</v>
      </c>
      <c r="D1203" s="3" t="s">
        <v>34</v>
      </c>
      <c r="E1203" s="3" t="s">
        <v>2166</v>
      </c>
      <c r="F1203" s="14" t="s">
        <v>2167</v>
      </c>
      <c r="G1203" s="4" t="s">
        <v>51</v>
      </c>
      <c r="H1203" s="2" t="s">
        <v>17</v>
      </c>
      <c r="I1203" s="2" t="s">
        <v>37</v>
      </c>
      <c r="J1203" s="2" t="s">
        <v>38</v>
      </c>
      <c r="K1203" s="1" t="s">
        <v>60</v>
      </c>
      <c r="L1203" s="1" t="s">
        <v>34</v>
      </c>
    </row>
    <row r="1204" spans="2:12" ht="56" hidden="1" x14ac:dyDescent="0.35">
      <c r="B1204" s="2">
        <v>12363</v>
      </c>
      <c r="C1204" s="24">
        <v>46191</v>
      </c>
      <c r="D1204" s="3" t="s">
        <v>220</v>
      </c>
      <c r="E1204" s="3" t="s">
        <v>2168</v>
      </c>
      <c r="F1204" s="14" t="s">
        <v>2169</v>
      </c>
      <c r="G1204" s="4" t="s">
        <v>51</v>
      </c>
      <c r="H1204" s="2" t="s">
        <v>17</v>
      </c>
      <c r="I1204" s="2" t="s">
        <v>24</v>
      </c>
      <c r="J1204" s="2" t="s">
        <v>54</v>
      </c>
      <c r="K1204" s="1" t="s">
        <v>2078</v>
      </c>
      <c r="L1204" s="1" t="s">
        <v>250</v>
      </c>
    </row>
    <row r="1205" spans="2:12" ht="42" hidden="1" x14ac:dyDescent="0.35">
      <c r="B1205" s="2">
        <v>12396</v>
      </c>
      <c r="C1205" s="24">
        <v>46191</v>
      </c>
      <c r="D1205" s="3" t="s">
        <v>190</v>
      </c>
      <c r="E1205" s="3" t="s">
        <v>2170</v>
      </c>
      <c r="F1205" s="14" t="s">
        <v>410</v>
      </c>
      <c r="G1205" s="4" t="s">
        <v>16</v>
      </c>
      <c r="H1205" s="2" t="s">
        <v>17</v>
      </c>
      <c r="I1205" s="2" t="s">
        <v>24</v>
      </c>
      <c r="J1205" s="2" t="s">
        <v>33</v>
      </c>
      <c r="K1205" s="1" t="s">
        <v>2078</v>
      </c>
      <c r="L1205" s="1" t="s">
        <v>250</v>
      </c>
    </row>
    <row r="1206" spans="2:12" ht="28" hidden="1" x14ac:dyDescent="0.35">
      <c r="B1206" s="2">
        <v>12459</v>
      </c>
      <c r="C1206" s="24">
        <v>46199</v>
      </c>
      <c r="D1206" s="3" t="s">
        <v>234</v>
      </c>
      <c r="E1206" s="3" t="s">
        <v>2171</v>
      </c>
      <c r="F1206" s="14" t="s">
        <v>550</v>
      </c>
      <c r="G1206" s="4" t="s">
        <v>16</v>
      </c>
      <c r="H1206" s="2" t="s">
        <v>281</v>
      </c>
      <c r="I1206" s="2" t="s">
        <v>18</v>
      </c>
      <c r="J1206" s="2" t="s">
        <v>171</v>
      </c>
      <c r="K1206" s="1" t="s">
        <v>410</v>
      </c>
      <c r="L1206" s="1" t="s">
        <v>190</v>
      </c>
    </row>
    <row r="1207" spans="2:12" ht="56" hidden="1" x14ac:dyDescent="0.35">
      <c r="B1207" s="2">
        <v>12484</v>
      </c>
      <c r="C1207" s="24">
        <v>46203</v>
      </c>
      <c r="D1207" s="3" t="s">
        <v>227</v>
      </c>
      <c r="E1207" s="3" t="s">
        <v>2172</v>
      </c>
      <c r="F1207" s="14" t="s">
        <v>2173</v>
      </c>
      <c r="G1207" s="4" t="s">
        <v>51</v>
      </c>
      <c r="H1207" s="2" t="s">
        <v>17</v>
      </c>
      <c r="I1207" s="2" t="s">
        <v>37</v>
      </c>
      <c r="J1207" s="2" t="s">
        <v>112</v>
      </c>
      <c r="K1207" s="1" t="s">
        <v>483</v>
      </c>
      <c r="L1207" s="1" t="s">
        <v>278</v>
      </c>
    </row>
    <row r="1208" spans="2:12" ht="28" hidden="1" x14ac:dyDescent="0.35">
      <c r="B1208" s="2">
        <v>12360</v>
      </c>
      <c r="C1208" s="24">
        <v>46188</v>
      </c>
      <c r="D1208" s="3" t="s">
        <v>193</v>
      </c>
      <c r="E1208" s="3" t="s">
        <v>2174</v>
      </c>
      <c r="F1208" s="14" t="s">
        <v>2175</v>
      </c>
      <c r="G1208" s="4" t="s">
        <v>51</v>
      </c>
      <c r="H1208" s="2" t="s">
        <v>17</v>
      </c>
      <c r="I1208" s="2" t="s">
        <v>37</v>
      </c>
      <c r="J1208" s="2" t="s">
        <v>38</v>
      </c>
      <c r="K1208" s="1" t="s">
        <v>866</v>
      </c>
      <c r="L1208" s="1" t="s">
        <v>95</v>
      </c>
    </row>
    <row r="1209" spans="2:12" ht="28" hidden="1" x14ac:dyDescent="0.35">
      <c r="B1209" s="2">
        <v>12361</v>
      </c>
      <c r="C1209" s="24">
        <v>46188</v>
      </c>
      <c r="D1209" s="3" t="s">
        <v>104</v>
      </c>
      <c r="E1209" s="3" t="s">
        <v>2176</v>
      </c>
      <c r="F1209" s="14" t="s">
        <v>2177</v>
      </c>
      <c r="G1209" s="4" t="s">
        <v>51</v>
      </c>
      <c r="H1209" s="2" t="s">
        <v>17</v>
      </c>
      <c r="I1209" s="2" t="s">
        <v>18</v>
      </c>
      <c r="J1209" s="2" t="s">
        <v>171</v>
      </c>
      <c r="K1209" s="1" t="s">
        <v>866</v>
      </c>
      <c r="L1209" s="1" t="s">
        <v>95</v>
      </c>
    </row>
    <row r="1210" spans="2:12" ht="42" hidden="1" x14ac:dyDescent="0.35">
      <c r="B1210" s="2">
        <v>12243</v>
      </c>
      <c r="C1210" s="24">
        <v>46177</v>
      </c>
      <c r="D1210" s="3" t="s">
        <v>278</v>
      </c>
      <c r="E1210" s="3" t="s">
        <v>2178</v>
      </c>
      <c r="F1210" s="14" t="s">
        <v>2179</v>
      </c>
      <c r="G1210" s="4" t="s">
        <v>51</v>
      </c>
      <c r="H1210" s="2" t="s">
        <v>17</v>
      </c>
      <c r="I1210" s="2" t="s">
        <v>37</v>
      </c>
      <c r="J1210" s="2" t="s">
        <v>112</v>
      </c>
      <c r="K1210" s="1" t="s">
        <v>961</v>
      </c>
      <c r="L1210" s="1" t="s">
        <v>278</v>
      </c>
    </row>
    <row r="1211" spans="2:12" ht="42" hidden="1" x14ac:dyDescent="0.35">
      <c r="B1211" s="2">
        <v>12429</v>
      </c>
      <c r="C1211" s="24">
        <v>46200</v>
      </c>
      <c r="D1211" s="3" t="s">
        <v>278</v>
      </c>
      <c r="E1211" s="3" t="s">
        <v>2180</v>
      </c>
      <c r="F1211" s="14" t="s">
        <v>2181</v>
      </c>
      <c r="G1211" s="4" t="s">
        <v>51</v>
      </c>
      <c r="H1211" s="2" t="s">
        <v>17</v>
      </c>
      <c r="I1211" s="2" t="s">
        <v>37</v>
      </c>
      <c r="J1211" s="2" t="s">
        <v>112</v>
      </c>
      <c r="K1211" s="1" t="s">
        <v>961</v>
      </c>
      <c r="L1211" s="1" t="s">
        <v>278</v>
      </c>
    </row>
    <row r="1212" spans="2:12" ht="28" hidden="1" x14ac:dyDescent="0.35">
      <c r="B1212" s="2">
        <v>12359</v>
      </c>
      <c r="C1212" s="24">
        <v>46188</v>
      </c>
      <c r="D1212" s="3" t="s">
        <v>196</v>
      </c>
      <c r="E1212" s="3" t="s">
        <v>2182</v>
      </c>
      <c r="F1212" s="14" t="s">
        <v>915</v>
      </c>
      <c r="G1212" s="4" t="s">
        <v>51</v>
      </c>
      <c r="H1212" s="2" t="s">
        <v>17</v>
      </c>
      <c r="I1212" s="2" t="s">
        <v>18</v>
      </c>
      <c r="J1212" s="2" t="s">
        <v>19</v>
      </c>
      <c r="K1212" s="1" t="s">
        <v>1055</v>
      </c>
      <c r="L1212" s="1" t="s">
        <v>196</v>
      </c>
    </row>
    <row r="1213" spans="2:12" ht="56" hidden="1" x14ac:dyDescent="0.35">
      <c r="B1213" s="2">
        <v>12451</v>
      </c>
      <c r="C1213" s="24">
        <v>46203</v>
      </c>
      <c r="D1213" s="3" t="s">
        <v>34</v>
      </c>
      <c r="E1213" s="3" t="s">
        <v>2183</v>
      </c>
      <c r="F1213" s="14" t="s">
        <v>2022</v>
      </c>
      <c r="G1213" s="4" t="s">
        <v>51</v>
      </c>
      <c r="H1213" s="2" t="s">
        <v>17</v>
      </c>
      <c r="I1213" s="2" t="s">
        <v>24</v>
      </c>
      <c r="J1213" s="2" t="s">
        <v>33</v>
      </c>
      <c r="K1213" s="1" t="s">
        <v>1092</v>
      </c>
      <c r="L1213" s="1" t="s">
        <v>95</v>
      </c>
    </row>
    <row r="1214" spans="2:12" ht="28" hidden="1" x14ac:dyDescent="0.35">
      <c r="B1214" s="2">
        <v>12481</v>
      </c>
      <c r="C1214" s="24">
        <v>46203</v>
      </c>
      <c r="D1214" s="3" t="s">
        <v>234</v>
      </c>
      <c r="E1214" s="3" t="s">
        <v>2184</v>
      </c>
      <c r="F1214" s="14" t="s">
        <v>2185</v>
      </c>
      <c r="G1214" s="4" t="s">
        <v>51</v>
      </c>
      <c r="H1214" s="2" t="s">
        <v>17</v>
      </c>
      <c r="I1214" s="2" t="s">
        <v>24</v>
      </c>
      <c r="J1214" s="2" t="s">
        <v>33</v>
      </c>
      <c r="K1214" s="1" t="s">
        <v>1116</v>
      </c>
      <c r="L1214" s="1" t="s">
        <v>95</v>
      </c>
    </row>
    <row r="1215" spans="2:12" ht="42" hidden="1" x14ac:dyDescent="0.35">
      <c r="B1215" s="2">
        <v>12476</v>
      </c>
      <c r="C1215" s="24">
        <v>46192</v>
      </c>
      <c r="D1215" s="3" t="s">
        <v>193</v>
      </c>
      <c r="E1215" s="3" t="s">
        <v>2186</v>
      </c>
      <c r="F1215" s="14" t="s">
        <v>2187</v>
      </c>
      <c r="G1215" s="4" t="s">
        <v>51</v>
      </c>
      <c r="H1215" s="2" t="s">
        <v>17</v>
      </c>
      <c r="I1215" s="2" t="s">
        <v>24</v>
      </c>
      <c r="J1215" s="2" t="s">
        <v>44</v>
      </c>
      <c r="K1215" s="1" t="s">
        <v>1116</v>
      </c>
      <c r="L1215" s="1" t="s">
        <v>95</v>
      </c>
    </row>
    <row r="1216" spans="2:12" ht="56" hidden="1" x14ac:dyDescent="0.35">
      <c r="B1216" s="2">
        <v>12230</v>
      </c>
      <c r="C1216" s="24">
        <v>46174</v>
      </c>
      <c r="D1216" s="3" t="s">
        <v>196</v>
      </c>
      <c r="E1216" s="3" t="s">
        <v>2188</v>
      </c>
      <c r="F1216" s="14" t="s">
        <v>2189</v>
      </c>
      <c r="G1216" s="4" t="s">
        <v>51</v>
      </c>
      <c r="H1216" s="2" t="s">
        <v>17</v>
      </c>
      <c r="I1216" s="2" t="s">
        <v>37</v>
      </c>
      <c r="J1216" s="2" t="s">
        <v>112</v>
      </c>
      <c r="K1216" s="1" t="s">
        <v>1147</v>
      </c>
      <c r="L1216" s="1" t="s">
        <v>95</v>
      </c>
    </row>
    <row r="1217" spans="2:12" ht="42" hidden="1" x14ac:dyDescent="0.35">
      <c r="B1217" s="2">
        <v>12231</v>
      </c>
      <c r="C1217" s="24">
        <v>46174</v>
      </c>
      <c r="D1217" s="3" t="s">
        <v>234</v>
      </c>
      <c r="E1217" s="3" t="s">
        <v>2190</v>
      </c>
      <c r="F1217" s="14" t="s">
        <v>2191</v>
      </c>
      <c r="G1217" s="4" t="s">
        <v>16</v>
      </c>
      <c r="H1217" s="2" t="s">
        <v>17</v>
      </c>
      <c r="I1217" s="2" t="s">
        <v>18</v>
      </c>
      <c r="J1217" s="2" t="s">
        <v>19</v>
      </c>
      <c r="K1217" s="1" t="s">
        <v>1147</v>
      </c>
      <c r="L1217" s="1" t="s">
        <v>95</v>
      </c>
    </row>
    <row r="1218" spans="2:12" ht="42" hidden="1" x14ac:dyDescent="0.35">
      <c r="B1218" s="2">
        <v>12399</v>
      </c>
      <c r="C1218" s="24">
        <v>46193</v>
      </c>
      <c r="D1218" s="3" t="s">
        <v>227</v>
      </c>
      <c r="E1218" s="3" t="s">
        <v>2192</v>
      </c>
      <c r="F1218" s="14" t="s">
        <v>2193</v>
      </c>
      <c r="G1218" s="4" t="s">
        <v>51</v>
      </c>
      <c r="H1218" s="2" t="s">
        <v>17</v>
      </c>
      <c r="I1218" s="2" t="s">
        <v>18</v>
      </c>
      <c r="J1218" s="2" t="s">
        <v>171</v>
      </c>
      <c r="K1218" s="1" t="s">
        <v>1179</v>
      </c>
      <c r="L1218" s="1" t="s">
        <v>96</v>
      </c>
    </row>
    <row r="1219" spans="2:12" ht="28" hidden="1" x14ac:dyDescent="0.35">
      <c r="B1219" s="2">
        <v>12452</v>
      </c>
      <c r="C1219" s="24">
        <v>46181</v>
      </c>
      <c r="D1219" s="3" t="s">
        <v>227</v>
      </c>
      <c r="E1219" s="3" t="s">
        <v>2194</v>
      </c>
      <c r="F1219" s="14" t="s">
        <v>2011</v>
      </c>
      <c r="G1219" s="4" t="s">
        <v>51</v>
      </c>
      <c r="H1219" s="2" t="s">
        <v>17</v>
      </c>
      <c r="I1219" s="2" t="s">
        <v>37</v>
      </c>
      <c r="J1219" s="2" t="s">
        <v>112</v>
      </c>
      <c r="K1219" s="1" t="s">
        <v>1179</v>
      </c>
      <c r="L1219" s="1" t="s">
        <v>96</v>
      </c>
    </row>
    <row r="1220" spans="2:12" ht="42" hidden="1" x14ac:dyDescent="0.35">
      <c r="B1220" s="2">
        <v>12456</v>
      </c>
      <c r="C1220" s="24">
        <v>46183</v>
      </c>
      <c r="D1220" s="3" t="s">
        <v>227</v>
      </c>
      <c r="E1220" s="3" t="s">
        <v>2195</v>
      </c>
      <c r="F1220" s="14" t="s">
        <v>2196</v>
      </c>
      <c r="G1220" s="4" t="s">
        <v>51</v>
      </c>
      <c r="H1220" s="2" t="s">
        <v>17</v>
      </c>
      <c r="I1220" s="2" t="s">
        <v>24</v>
      </c>
      <c r="J1220" s="2" t="s">
        <v>261</v>
      </c>
      <c r="K1220" s="1" t="s">
        <v>1179</v>
      </c>
      <c r="L1220" s="1" t="s">
        <v>96</v>
      </c>
    </row>
    <row r="1221" spans="2:12" ht="42" hidden="1" x14ac:dyDescent="0.35">
      <c r="B1221" s="2">
        <v>12458</v>
      </c>
      <c r="C1221" s="24">
        <v>46183</v>
      </c>
      <c r="D1221" s="3" t="s">
        <v>96</v>
      </c>
      <c r="E1221" s="3" t="s">
        <v>2197</v>
      </c>
      <c r="F1221" s="14" t="s">
        <v>492</v>
      </c>
      <c r="G1221" s="4" t="s">
        <v>51</v>
      </c>
      <c r="H1221" s="2" t="s">
        <v>17</v>
      </c>
      <c r="I1221" s="2" t="s">
        <v>24</v>
      </c>
      <c r="J1221" s="2" t="s">
        <v>241</v>
      </c>
      <c r="K1221" s="1" t="s">
        <v>1179</v>
      </c>
      <c r="L1221" s="1" t="s">
        <v>96</v>
      </c>
    </row>
    <row r="1222" spans="2:12" ht="42" hidden="1" x14ac:dyDescent="0.35">
      <c r="B1222" s="2">
        <v>12457</v>
      </c>
      <c r="C1222" s="24">
        <v>46183</v>
      </c>
      <c r="D1222" s="3" t="s">
        <v>96</v>
      </c>
      <c r="E1222" s="3" t="s">
        <v>2198</v>
      </c>
      <c r="F1222" s="14" t="s">
        <v>2199</v>
      </c>
      <c r="G1222" s="4" t="s">
        <v>51</v>
      </c>
      <c r="H1222" s="2" t="s">
        <v>17</v>
      </c>
      <c r="I1222" s="2" t="s">
        <v>24</v>
      </c>
      <c r="J1222" s="2" t="s">
        <v>241</v>
      </c>
      <c r="K1222" s="1" t="s">
        <v>1179</v>
      </c>
      <c r="L1222" s="1" t="s">
        <v>96</v>
      </c>
    </row>
    <row r="1223" spans="2:12" ht="56" hidden="1" x14ac:dyDescent="0.35">
      <c r="B1223" s="2">
        <v>12491</v>
      </c>
      <c r="C1223" s="24">
        <v>46203</v>
      </c>
      <c r="D1223" s="3" t="s">
        <v>96</v>
      </c>
      <c r="E1223" s="3" t="s">
        <v>2200</v>
      </c>
      <c r="F1223" s="14" t="s">
        <v>2201</v>
      </c>
      <c r="G1223" s="4" t="s">
        <v>16</v>
      </c>
      <c r="H1223" s="2" t="s">
        <v>17</v>
      </c>
      <c r="I1223" s="2" t="s">
        <v>37</v>
      </c>
      <c r="J1223" s="2" t="s">
        <v>112</v>
      </c>
      <c r="K1223" s="1" t="s">
        <v>1179</v>
      </c>
      <c r="L1223" s="1" t="s">
        <v>96</v>
      </c>
    </row>
    <row r="1224" spans="2:12" ht="56" hidden="1" x14ac:dyDescent="0.35">
      <c r="B1224" s="2">
        <v>12355</v>
      </c>
      <c r="C1224" s="24">
        <v>46190</v>
      </c>
      <c r="D1224" s="3" t="s">
        <v>13</v>
      </c>
      <c r="E1224" s="3" t="s">
        <v>2202</v>
      </c>
      <c r="F1224" s="14" t="s">
        <v>2203</v>
      </c>
      <c r="G1224" s="4" t="s">
        <v>51</v>
      </c>
      <c r="H1224" s="2" t="s">
        <v>17</v>
      </c>
      <c r="I1224" s="2" t="s">
        <v>24</v>
      </c>
      <c r="J1224" s="2" t="s">
        <v>33</v>
      </c>
      <c r="K1224" s="1" t="s">
        <v>1316</v>
      </c>
      <c r="L1224" s="1" t="s">
        <v>95</v>
      </c>
    </row>
    <row r="1225" spans="2:12" ht="42" hidden="1" x14ac:dyDescent="0.35">
      <c r="B1225" s="2">
        <v>12379</v>
      </c>
      <c r="C1225" s="24">
        <v>46191</v>
      </c>
      <c r="D1225" s="3" t="s">
        <v>193</v>
      </c>
      <c r="E1225" s="3" t="s">
        <v>2204</v>
      </c>
      <c r="F1225" s="14" t="s">
        <v>2205</v>
      </c>
      <c r="G1225" s="4" t="s">
        <v>51</v>
      </c>
      <c r="H1225" s="2" t="s">
        <v>17</v>
      </c>
      <c r="I1225" s="2" t="s">
        <v>37</v>
      </c>
      <c r="J1225" s="2" t="s">
        <v>38</v>
      </c>
      <c r="K1225" s="1" t="s">
        <v>1316</v>
      </c>
      <c r="L1225" s="1" t="s">
        <v>95</v>
      </c>
    </row>
    <row r="1226" spans="2:12" ht="28" hidden="1" x14ac:dyDescent="0.35">
      <c r="B1226" s="2">
        <v>12321</v>
      </c>
      <c r="C1226" s="24">
        <v>46188</v>
      </c>
      <c r="D1226" s="3" t="s">
        <v>104</v>
      </c>
      <c r="E1226" s="3" t="s">
        <v>2206</v>
      </c>
      <c r="F1226" s="14" t="s">
        <v>2015</v>
      </c>
      <c r="G1226" s="4" t="s">
        <v>16</v>
      </c>
      <c r="H1226" s="2" t="s">
        <v>17</v>
      </c>
      <c r="I1226" s="2" t="s">
        <v>24</v>
      </c>
      <c r="J1226" s="2" t="s">
        <v>54</v>
      </c>
      <c r="K1226" s="1" t="s">
        <v>1381</v>
      </c>
      <c r="L1226" s="1" t="s">
        <v>104</v>
      </c>
    </row>
    <row r="1227" spans="2:12" ht="28" hidden="1" x14ac:dyDescent="0.35">
      <c r="B1227" s="2">
        <v>12405</v>
      </c>
      <c r="C1227" s="24">
        <v>46196</v>
      </c>
      <c r="D1227" s="3" t="s">
        <v>104</v>
      </c>
      <c r="E1227" s="3" t="s">
        <v>2207</v>
      </c>
      <c r="F1227" s="14" t="s">
        <v>2208</v>
      </c>
      <c r="G1227" s="4" t="s">
        <v>16</v>
      </c>
      <c r="H1227" s="2" t="s">
        <v>17</v>
      </c>
      <c r="I1227" s="2" t="s">
        <v>24</v>
      </c>
      <c r="J1227" s="2" t="s">
        <v>41</v>
      </c>
      <c r="K1227" s="1" t="s">
        <v>1381</v>
      </c>
      <c r="L1227" s="1" t="s">
        <v>104</v>
      </c>
    </row>
    <row r="1228" spans="2:12" ht="28" hidden="1" x14ac:dyDescent="0.35">
      <c r="B1228" s="2">
        <v>12496</v>
      </c>
      <c r="C1228" s="24">
        <v>46203</v>
      </c>
      <c r="D1228" s="3" t="s">
        <v>104</v>
      </c>
      <c r="E1228" s="3" t="s">
        <v>2209</v>
      </c>
      <c r="F1228" s="14" t="s">
        <v>2210</v>
      </c>
      <c r="G1228" s="4" t="s">
        <v>51</v>
      </c>
      <c r="H1228" s="2" t="s">
        <v>17</v>
      </c>
      <c r="I1228" s="2" t="s">
        <v>24</v>
      </c>
      <c r="J1228" s="2" t="s">
        <v>33</v>
      </c>
      <c r="K1228" s="1" t="s">
        <v>1381</v>
      </c>
      <c r="L1228" s="1" t="s">
        <v>104</v>
      </c>
    </row>
    <row r="1229" spans="2:12" hidden="1" x14ac:dyDescent="0.35">
      <c r="B1229" s="2">
        <v>12497</v>
      </c>
      <c r="C1229" s="24">
        <v>46203</v>
      </c>
      <c r="D1229" s="3" t="s">
        <v>104</v>
      </c>
      <c r="E1229" s="3" t="s">
        <v>2211</v>
      </c>
      <c r="F1229" s="14" t="s">
        <v>2212</v>
      </c>
      <c r="G1229" s="4" t="s">
        <v>16</v>
      </c>
      <c r="H1229" s="2" t="s">
        <v>17</v>
      </c>
      <c r="I1229" s="2" t="s">
        <v>24</v>
      </c>
      <c r="J1229" s="2" t="s">
        <v>33</v>
      </c>
      <c r="K1229" s="1" t="s">
        <v>1381</v>
      </c>
      <c r="L1229" s="1" t="s">
        <v>104</v>
      </c>
    </row>
    <row r="1230" spans="2:12" ht="28" hidden="1" x14ac:dyDescent="0.35">
      <c r="B1230" s="2">
        <v>12453</v>
      </c>
      <c r="C1230" s="24">
        <v>46183</v>
      </c>
      <c r="D1230" s="3" t="s">
        <v>13</v>
      </c>
      <c r="E1230" s="3" t="s">
        <v>2213</v>
      </c>
      <c r="F1230" s="14" t="s">
        <v>23</v>
      </c>
      <c r="G1230" s="4" t="s">
        <v>16</v>
      </c>
      <c r="H1230" s="2" t="s">
        <v>17</v>
      </c>
      <c r="I1230" s="2" t="s">
        <v>37</v>
      </c>
      <c r="J1230" s="2" t="s">
        <v>112</v>
      </c>
      <c r="K1230" s="1" t="s">
        <v>1391</v>
      </c>
      <c r="L1230" s="1" t="s">
        <v>21</v>
      </c>
    </row>
    <row r="1231" spans="2:12" ht="28" hidden="1" x14ac:dyDescent="0.35">
      <c r="B1231" s="2">
        <v>12454</v>
      </c>
      <c r="C1231" s="24">
        <v>46183</v>
      </c>
      <c r="D1231" s="3" t="s">
        <v>13</v>
      </c>
      <c r="E1231" s="3" t="s">
        <v>2214</v>
      </c>
      <c r="F1231" s="14" t="s">
        <v>816</v>
      </c>
      <c r="G1231" s="4" t="s">
        <v>16</v>
      </c>
      <c r="H1231" s="2" t="s">
        <v>17</v>
      </c>
      <c r="I1231" s="2" t="s">
        <v>37</v>
      </c>
      <c r="J1231" s="2" t="s">
        <v>112</v>
      </c>
      <c r="K1231" s="1" t="s">
        <v>1391</v>
      </c>
      <c r="L1231" s="1" t="s">
        <v>21</v>
      </c>
    </row>
    <row r="1232" spans="2:12" ht="81" hidden="1" customHeight="1" x14ac:dyDescent="0.35">
      <c r="B1232" s="2">
        <v>12455</v>
      </c>
      <c r="C1232" s="24">
        <v>46183</v>
      </c>
      <c r="D1232" s="3" t="s">
        <v>13</v>
      </c>
      <c r="E1232" s="3" t="s">
        <v>2215</v>
      </c>
      <c r="F1232" s="14" t="s">
        <v>2216</v>
      </c>
      <c r="G1232" s="4" t="s">
        <v>16</v>
      </c>
      <c r="H1232" s="2" t="s">
        <v>17</v>
      </c>
      <c r="I1232" s="2" t="s">
        <v>37</v>
      </c>
      <c r="J1232" s="2" t="s">
        <v>112</v>
      </c>
      <c r="K1232" s="1" t="s">
        <v>1391</v>
      </c>
      <c r="L1232" s="1" t="s">
        <v>21</v>
      </c>
    </row>
    <row r="1233" spans="2:12" ht="41.5" hidden="1" customHeight="1" x14ac:dyDescent="0.35">
      <c r="B1233" s="2">
        <v>12463</v>
      </c>
      <c r="C1233" s="24">
        <v>46198</v>
      </c>
      <c r="D1233" s="3" t="s">
        <v>104</v>
      </c>
      <c r="E1233" s="3" t="s">
        <v>2217</v>
      </c>
      <c r="F1233" s="14" t="s">
        <v>789</v>
      </c>
      <c r="G1233" s="4" t="s">
        <v>51</v>
      </c>
      <c r="H1233" s="2" t="s">
        <v>17</v>
      </c>
      <c r="I1233" s="2" t="s">
        <v>24</v>
      </c>
      <c r="J1233" s="2" t="s">
        <v>33</v>
      </c>
      <c r="K1233" s="1" t="s">
        <v>1391</v>
      </c>
      <c r="L1233" s="1" t="s">
        <v>13</v>
      </c>
    </row>
    <row r="1234" spans="2:12" ht="42" hidden="1" x14ac:dyDescent="0.35">
      <c r="B1234" s="2">
        <v>12462</v>
      </c>
      <c r="C1234" s="24">
        <v>46198</v>
      </c>
      <c r="D1234" s="3" t="s">
        <v>104</v>
      </c>
      <c r="E1234" s="3" t="s">
        <v>2218</v>
      </c>
      <c r="F1234" s="14" t="s">
        <v>129</v>
      </c>
      <c r="G1234" s="4" t="s">
        <v>51</v>
      </c>
      <c r="H1234" s="2" t="s">
        <v>17</v>
      </c>
      <c r="I1234" s="2" t="s">
        <v>24</v>
      </c>
      <c r="J1234" s="2" t="s">
        <v>33</v>
      </c>
      <c r="K1234" s="1" t="s">
        <v>1391</v>
      </c>
      <c r="L1234" s="1" t="s">
        <v>13</v>
      </c>
    </row>
    <row r="1235" spans="2:12" ht="42" hidden="1" x14ac:dyDescent="0.35">
      <c r="B1235" s="2">
        <v>12506</v>
      </c>
      <c r="C1235" s="24">
        <v>46203</v>
      </c>
      <c r="D1235" s="3" t="s">
        <v>21</v>
      </c>
      <c r="E1235" s="3" t="s">
        <v>2219</v>
      </c>
      <c r="F1235" s="14" t="s">
        <v>1463</v>
      </c>
      <c r="G1235" s="4" t="s">
        <v>51</v>
      </c>
      <c r="H1235" s="2" t="s">
        <v>17</v>
      </c>
      <c r="I1235" s="2" t="s">
        <v>24</v>
      </c>
      <c r="J1235" s="2" t="s">
        <v>29</v>
      </c>
      <c r="K1235" s="1" t="s">
        <v>1391</v>
      </c>
      <c r="L1235" s="1" t="s">
        <v>13</v>
      </c>
    </row>
    <row r="1236" spans="2:12" ht="28" hidden="1" x14ac:dyDescent="0.35">
      <c r="B1236" s="2">
        <v>12505</v>
      </c>
      <c r="C1236" s="24">
        <v>46184</v>
      </c>
      <c r="D1236" s="3" t="s">
        <v>96</v>
      </c>
      <c r="E1236" s="3" t="s">
        <v>2220</v>
      </c>
      <c r="F1236" s="14" t="s">
        <v>1179</v>
      </c>
      <c r="G1236" s="4" t="s">
        <v>16</v>
      </c>
      <c r="H1236" s="2" t="s">
        <v>17</v>
      </c>
      <c r="I1236" s="2" t="s">
        <v>18</v>
      </c>
      <c r="J1236" s="2" t="s">
        <v>171</v>
      </c>
      <c r="K1236" s="1" t="s">
        <v>1391</v>
      </c>
      <c r="L1236" s="1" t="s">
        <v>21</v>
      </c>
    </row>
    <row r="1237" spans="2:12" ht="42" hidden="1" x14ac:dyDescent="0.35">
      <c r="B1237" s="2">
        <v>12479</v>
      </c>
      <c r="C1237" s="24">
        <v>46203</v>
      </c>
      <c r="D1237" s="3" t="s">
        <v>34</v>
      </c>
      <c r="E1237" s="3" t="s">
        <v>2221</v>
      </c>
      <c r="F1237" s="14" t="s">
        <v>2222</v>
      </c>
      <c r="G1237" s="4" t="s">
        <v>16</v>
      </c>
      <c r="H1237" s="2" t="s">
        <v>17</v>
      </c>
      <c r="I1237" s="2" t="s">
        <v>24</v>
      </c>
      <c r="J1237" s="2" t="s">
        <v>29</v>
      </c>
      <c r="K1237" s="1" t="s">
        <v>1525</v>
      </c>
      <c r="L1237" s="1" t="s">
        <v>34</v>
      </c>
    </row>
    <row r="1238" spans="2:12" ht="56" hidden="1" x14ac:dyDescent="0.35">
      <c r="B1238" s="2">
        <v>12482</v>
      </c>
      <c r="C1238" s="24">
        <v>46203</v>
      </c>
      <c r="D1238" s="3" t="s">
        <v>220</v>
      </c>
      <c r="E1238" s="3" t="s">
        <v>2223</v>
      </c>
      <c r="F1238" s="14" t="s">
        <v>2224</v>
      </c>
      <c r="G1238" s="4" t="s">
        <v>51</v>
      </c>
      <c r="H1238" s="2" t="s">
        <v>17</v>
      </c>
      <c r="I1238" s="2" t="s">
        <v>37</v>
      </c>
      <c r="J1238" s="2" t="s">
        <v>121</v>
      </c>
      <c r="K1238" s="1" t="s">
        <v>1525</v>
      </c>
      <c r="L1238" s="1" t="s">
        <v>34</v>
      </c>
    </row>
    <row r="1239" spans="2:12" ht="42" hidden="1" x14ac:dyDescent="0.35">
      <c r="B1239" s="2">
        <v>12460</v>
      </c>
      <c r="C1239" s="24">
        <v>46194</v>
      </c>
      <c r="D1239" s="3" t="s">
        <v>2225</v>
      </c>
      <c r="E1239" s="3" t="s">
        <v>2226</v>
      </c>
      <c r="F1239" s="14" t="s">
        <v>2227</v>
      </c>
      <c r="G1239" s="4" t="s">
        <v>51</v>
      </c>
      <c r="H1239" s="2" t="s">
        <v>17</v>
      </c>
      <c r="I1239" s="2" t="s">
        <v>37</v>
      </c>
      <c r="J1239" s="2" t="s">
        <v>112</v>
      </c>
      <c r="K1239" s="1" t="s">
        <v>1674</v>
      </c>
      <c r="L1239" s="1" t="s">
        <v>371</v>
      </c>
    </row>
    <row r="1240" spans="2:12" ht="42" hidden="1" x14ac:dyDescent="0.35">
      <c r="B1240" s="2">
        <v>12507</v>
      </c>
      <c r="C1240" s="24">
        <v>46203</v>
      </c>
      <c r="D1240" s="3" t="s">
        <v>34</v>
      </c>
      <c r="E1240" s="3" t="s">
        <v>2228</v>
      </c>
      <c r="F1240" s="14" t="s">
        <v>85</v>
      </c>
      <c r="G1240" s="4" t="s">
        <v>51</v>
      </c>
      <c r="H1240" s="2" t="s">
        <v>17</v>
      </c>
      <c r="I1240" s="2" t="s">
        <v>24</v>
      </c>
      <c r="J1240" s="2" t="s">
        <v>33</v>
      </c>
      <c r="K1240" s="1" t="s">
        <v>1525</v>
      </c>
      <c r="L1240" s="1" t="s">
        <v>34</v>
      </c>
    </row>
    <row r="1241" spans="2:12" ht="42" hidden="1" x14ac:dyDescent="0.35">
      <c r="B1241" s="2">
        <v>12508</v>
      </c>
      <c r="C1241" s="24">
        <v>46202</v>
      </c>
      <c r="D1241" s="3" t="s">
        <v>21</v>
      </c>
      <c r="E1241" s="3" t="s">
        <v>2229</v>
      </c>
      <c r="F1241" s="14" t="s">
        <v>2230</v>
      </c>
      <c r="G1241" s="4" t="s">
        <v>51</v>
      </c>
      <c r="H1241" s="2" t="s">
        <v>17</v>
      </c>
      <c r="I1241" s="2" t="s">
        <v>24</v>
      </c>
      <c r="J1241" s="2" t="s">
        <v>29</v>
      </c>
      <c r="K1241" s="1" t="s">
        <v>1391</v>
      </c>
      <c r="L1241" s="1" t="s">
        <v>21</v>
      </c>
    </row>
    <row r="1242" spans="2:12" ht="28" hidden="1" x14ac:dyDescent="0.35">
      <c r="B1242" s="2">
        <v>12823</v>
      </c>
      <c r="C1242" s="24">
        <v>46234</v>
      </c>
      <c r="D1242" s="3" t="s">
        <v>34</v>
      </c>
      <c r="E1242" s="3" t="s">
        <v>2231</v>
      </c>
      <c r="F1242" s="14" t="s">
        <v>2232</v>
      </c>
      <c r="G1242" s="4" t="s">
        <v>51</v>
      </c>
      <c r="H1242" s="2" t="s">
        <v>17</v>
      </c>
      <c r="I1242" s="2" t="s">
        <v>18</v>
      </c>
      <c r="J1242" s="2" t="s">
        <v>19</v>
      </c>
      <c r="K1242" s="1" t="s">
        <v>30</v>
      </c>
      <c r="L1242" s="1" t="s">
        <v>26</v>
      </c>
    </row>
    <row r="1243" spans="2:12" ht="28" hidden="1" x14ac:dyDescent="0.35">
      <c r="B1243" s="2">
        <v>12822</v>
      </c>
      <c r="C1243" s="24">
        <v>46234</v>
      </c>
      <c r="D1243" s="3" t="s">
        <v>34</v>
      </c>
      <c r="E1243" s="3" t="s">
        <v>2233</v>
      </c>
      <c r="F1243" s="14" t="s">
        <v>2234</v>
      </c>
      <c r="G1243" s="4" t="s">
        <v>51</v>
      </c>
      <c r="H1243" s="2" t="s">
        <v>17</v>
      </c>
      <c r="I1243" s="2" t="s">
        <v>37</v>
      </c>
      <c r="J1243" s="2" t="s">
        <v>38</v>
      </c>
      <c r="K1243" s="1" t="s">
        <v>30</v>
      </c>
      <c r="L1243" s="1" t="s">
        <v>34</v>
      </c>
    </row>
    <row r="1244" spans="2:12" ht="28" hidden="1" x14ac:dyDescent="0.35">
      <c r="B1244" s="2">
        <v>12821</v>
      </c>
      <c r="C1244" s="24">
        <v>46234</v>
      </c>
      <c r="D1244" s="3" t="s">
        <v>34</v>
      </c>
      <c r="E1244" s="3" t="s">
        <v>2235</v>
      </c>
      <c r="F1244" s="14" t="s">
        <v>863</v>
      </c>
      <c r="G1244" s="4" t="s">
        <v>16</v>
      </c>
      <c r="H1244" s="2" t="s">
        <v>17</v>
      </c>
      <c r="I1244" s="2" t="s">
        <v>24</v>
      </c>
      <c r="J1244" s="2" t="s">
        <v>54</v>
      </c>
      <c r="K1244" s="1" t="s">
        <v>30</v>
      </c>
      <c r="L1244" s="1" t="s">
        <v>34</v>
      </c>
    </row>
    <row r="1245" spans="2:12" ht="28" hidden="1" x14ac:dyDescent="0.35">
      <c r="B1245" s="2">
        <v>12820</v>
      </c>
      <c r="C1245" s="24">
        <v>46234</v>
      </c>
      <c r="D1245" s="3" t="s">
        <v>34</v>
      </c>
      <c r="E1245" s="3" t="s">
        <v>2236</v>
      </c>
      <c r="F1245" s="14" t="s">
        <v>58</v>
      </c>
      <c r="G1245" s="4" t="s">
        <v>16</v>
      </c>
      <c r="H1245" s="2" t="s">
        <v>17</v>
      </c>
      <c r="I1245" s="2" t="s">
        <v>24</v>
      </c>
      <c r="J1245" s="2" t="s">
        <v>44</v>
      </c>
      <c r="K1245" s="1" t="s">
        <v>30</v>
      </c>
      <c r="L1245" s="1" t="s">
        <v>34</v>
      </c>
    </row>
    <row r="1246" spans="2:12" ht="42" hidden="1" x14ac:dyDescent="0.35">
      <c r="B1246" s="2">
        <v>12819</v>
      </c>
      <c r="C1246" s="24">
        <v>46234</v>
      </c>
      <c r="D1246" s="3" t="s">
        <v>26</v>
      </c>
      <c r="E1246" s="3" t="s">
        <v>2237</v>
      </c>
      <c r="F1246" s="14" t="s">
        <v>2238</v>
      </c>
      <c r="G1246" s="4" t="s">
        <v>51</v>
      </c>
      <c r="H1246" s="2" t="s">
        <v>17</v>
      </c>
      <c r="I1246" s="2" t="s">
        <v>18</v>
      </c>
      <c r="J1246" s="2" t="s">
        <v>19</v>
      </c>
      <c r="K1246" s="1" t="s">
        <v>30</v>
      </c>
      <c r="L1246" s="1" t="s">
        <v>34</v>
      </c>
    </row>
    <row r="1247" spans="2:12" ht="28" hidden="1" x14ac:dyDescent="0.35">
      <c r="B1247" s="2">
        <v>12818</v>
      </c>
      <c r="C1247" s="24">
        <v>46234</v>
      </c>
      <c r="D1247" s="3" t="s">
        <v>26</v>
      </c>
      <c r="E1247" s="3" t="s">
        <v>2239</v>
      </c>
      <c r="F1247" s="14" t="s">
        <v>2137</v>
      </c>
      <c r="G1247" s="4" t="s">
        <v>51</v>
      </c>
      <c r="H1247" s="2" t="s">
        <v>17</v>
      </c>
      <c r="I1247" s="2" t="s">
        <v>37</v>
      </c>
      <c r="J1247" s="2" t="s">
        <v>38</v>
      </c>
      <c r="K1247" s="1" t="s">
        <v>30</v>
      </c>
      <c r="L1247" s="1" t="s">
        <v>26</v>
      </c>
    </row>
    <row r="1248" spans="2:12" ht="42" hidden="1" x14ac:dyDescent="0.35">
      <c r="B1248" s="2">
        <v>12817</v>
      </c>
      <c r="C1248" s="24">
        <v>46234</v>
      </c>
      <c r="D1248" s="3" t="s">
        <v>26</v>
      </c>
      <c r="E1248" s="3" t="s">
        <v>2240</v>
      </c>
      <c r="F1248" s="14" t="s">
        <v>2241</v>
      </c>
      <c r="G1248" s="4" t="s">
        <v>16</v>
      </c>
      <c r="H1248" s="2" t="s">
        <v>17</v>
      </c>
      <c r="I1248" s="2" t="s">
        <v>24</v>
      </c>
      <c r="J1248" s="2" t="s">
        <v>54</v>
      </c>
      <c r="K1248" s="1" t="s">
        <v>30</v>
      </c>
      <c r="L1248" s="1" t="s">
        <v>26</v>
      </c>
    </row>
    <row r="1249" spans="2:12" ht="28" hidden="1" x14ac:dyDescent="0.35">
      <c r="B1249" s="2">
        <v>12816</v>
      </c>
      <c r="C1249" s="24">
        <v>46234</v>
      </c>
      <c r="D1249" s="3" t="s">
        <v>26</v>
      </c>
      <c r="E1249" s="3" t="s">
        <v>2242</v>
      </c>
      <c r="F1249" s="14" t="s">
        <v>85</v>
      </c>
      <c r="G1249" s="4" t="s">
        <v>16</v>
      </c>
      <c r="H1249" s="2" t="s">
        <v>17</v>
      </c>
      <c r="I1249" s="2" t="s">
        <v>24</v>
      </c>
      <c r="J1249" s="2" t="s">
        <v>44</v>
      </c>
      <c r="K1249" s="1" t="s">
        <v>30</v>
      </c>
      <c r="L1249" s="1" t="s">
        <v>26</v>
      </c>
    </row>
    <row r="1250" spans="2:12" ht="42" hidden="1" x14ac:dyDescent="0.35">
      <c r="B1250" s="2">
        <v>12588</v>
      </c>
      <c r="C1250" s="24">
        <v>46209</v>
      </c>
      <c r="D1250" s="3" t="s">
        <v>104</v>
      </c>
      <c r="E1250" s="3" t="s">
        <v>2243</v>
      </c>
      <c r="F1250" s="14" t="s">
        <v>109</v>
      </c>
      <c r="G1250" s="4" t="s">
        <v>16</v>
      </c>
      <c r="H1250" s="2" t="s">
        <v>17</v>
      </c>
      <c r="I1250" s="2" t="s">
        <v>24</v>
      </c>
      <c r="J1250" s="2" t="s">
        <v>44</v>
      </c>
      <c r="K1250" s="1" t="s">
        <v>107</v>
      </c>
      <c r="L1250" s="1" t="s">
        <v>134</v>
      </c>
    </row>
    <row r="1251" spans="2:12" ht="56" hidden="1" x14ac:dyDescent="0.35">
      <c r="B1251" s="2">
        <v>12610</v>
      </c>
      <c r="C1251" s="24">
        <v>46216</v>
      </c>
      <c r="D1251" s="3" t="s">
        <v>134</v>
      </c>
      <c r="E1251" s="3" t="s">
        <v>2244</v>
      </c>
      <c r="F1251" s="14" t="s">
        <v>393</v>
      </c>
      <c r="G1251" s="4" t="s">
        <v>16</v>
      </c>
      <c r="H1251" s="2" t="s">
        <v>17</v>
      </c>
      <c r="I1251" s="2" t="s">
        <v>24</v>
      </c>
      <c r="J1251" s="2" t="s">
        <v>33</v>
      </c>
      <c r="K1251" s="1" t="s">
        <v>107</v>
      </c>
      <c r="L1251" s="1" t="s">
        <v>134</v>
      </c>
    </row>
    <row r="1252" spans="2:12" ht="42" hidden="1" x14ac:dyDescent="0.35">
      <c r="B1252" s="2">
        <v>12742</v>
      </c>
      <c r="C1252" s="24">
        <v>46223</v>
      </c>
      <c r="D1252" s="3" t="s">
        <v>134</v>
      </c>
      <c r="E1252" s="3" t="s">
        <v>2245</v>
      </c>
      <c r="F1252" s="14" t="s">
        <v>136</v>
      </c>
      <c r="G1252" s="4" t="s">
        <v>51</v>
      </c>
      <c r="H1252" s="2" t="s">
        <v>17</v>
      </c>
      <c r="I1252" s="2" t="s">
        <v>37</v>
      </c>
      <c r="J1252" s="2" t="s">
        <v>81</v>
      </c>
      <c r="K1252" s="1" t="s">
        <v>107</v>
      </c>
      <c r="L1252" s="1" t="s">
        <v>134</v>
      </c>
    </row>
    <row r="1253" spans="2:12" ht="56" hidden="1" x14ac:dyDescent="0.35">
      <c r="B1253" s="2">
        <v>12743</v>
      </c>
      <c r="C1253" s="24">
        <v>46227</v>
      </c>
      <c r="D1253" s="3" t="s">
        <v>134</v>
      </c>
      <c r="E1253" s="3" t="s">
        <v>2246</v>
      </c>
      <c r="F1253" s="14" t="s">
        <v>1427</v>
      </c>
      <c r="G1253" s="4" t="s">
        <v>16</v>
      </c>
      <c r="H1253" s="2" t="s">
        <v>17</v>
      </c>
      <c r="I1253" s="2" t="s">
        <v>24</v>
      </c>
      <c r="J1253" s="2" t="s">
        <v>33</v>
      </c>
      <c r="K1253" s="1" t="s">
        <v>107</v>
      </c>
      <c r="L1253" s="1" t="s">
        <v>134</v>
      </c>
    </row>
    <row r="1254" spans="2:12" ht="28" hidden="1" x14ac:dyDescent="0.35">
      <c r="B1254" s="2">
        <v>12746</v>
      </c>
      <c r="C1254" s="24">
        <v>46231</v>
      </c>
      <c r="D1254" s="3" t="s">
        <v>134</v>
      </c>
      <c r="E1254" s="3" t="s">
        <v>2247</v>
      </c>
      <c r="F1254" s="14" t="s">
        <v>2248</v>
      </c>
      <c r="G1254" s="4" t="s">
        <v>51</v>
      </c>
      <c r="H1254" s="2" t="s">
        <v>17</v>
      </c>
      <c r="I1254" s="2" t="s">
        <v>24</v>
      </c>
      <c r="J1254" s="2" t="s">
        <v>33</v>
      </c>
      <c r="K1254" s="1" t="s">
        <v>183</v>
      </c>
      <c r="L1254" s="1" t="s">
        <v>95</v>
      </c>
    </row>
    <row r="1255" spans="2:12" ht="28" hidden="1" x14ac:dyDescent="0.35">
      <c r="B1255" s="2">
        <v>12526</v>
      </c>
      <c r="C1255" s="24">
        <v>46206</v>
      </c>
      <c r="D1255" s="3" t="s">
        <v>193</v>
      </c>
      <c r="E1255" s="3" t="s">
        <v>2249</v>
      </c>
      <c r="F1255" s="14" t="s">
        <v>2250</v>
      </c>
      <c r="G1255" s="4" t="s">
        <v>51</v>
      </c>
      <c r="H1255" s="2" t="s">
        <v>17</v>
      </c>
      <c r="I1255" s="2" t="s">
        <v>37</v>
      </c>
      <c r="J1255" s="2" t="s">
        <v>38</v>
      </c>
      <c r="K1255" s="1" t="s">
        <v>1955</v>
      </c>
      <c r="L1255" s="1" t="s">
        <v>234</v>
      </c>
    </row>
    <row r="1256" spans="2:12" ht="28" hidden="1" x14ac:dyDescent="0.35">
      <c r="B1256" s="2">
        <v>12529</v>
      </c>
      <c r="C1256" s="24">
        <v>46210</v>
      </c>
      <c r="D1256" s="3" t="s">
        <v>205</v>
      </c>
      <c r="E1256" s="3" t="s">
        <v>2251</v>
      </c>
      <c r="F1256" s="14" t="s">
        <v>2252</v>
      </c>
      <c r="G1256" s="4" t="s">
        <v>51</v>
      </c>
      <c r="H1256" s="2" t="s">
        <v>17</v>
      </c>
      <c r="I1256" s="2" t="s">
        <v>37</v>
      </c>
      <c r="J1256" s="2" t="s">
        <v>38</v>
      </c>
      <c r="K1256" s="1" t="s">
        <v>1955</v>
      </c>
      <c r="L1256" s="1" t="s">
        <v>234</v>
      </c>
    </row>
    <row r="1257" spans="2:12" ht="28" hidden="1" x14ac:dyDescent="0.35">
      <c r="B1257" s="2">
        <v>12606</v>
      </c>
      <c r="C1257" s="24">
        <v>46218</v>
      </c>
      <c r="D1257" s="3" t="s">
        <v>26</v>
      </c>
      <c r="E1257" s="3" t="s">
        <v>2253</v>
      </c>
      <c r="F1257" s="14" t="s">
        <v>2254</v>
      </c>
      <c r="G1257" s="4" t="s">
        <v>51</v>
      </c>
      <c r="H1257" s="2" t="s">
        <v>17</v>
      </c>
      <c r="I1257" s="2" t="s">
        <v>24</v>
      </c>
      <c r="J1257" s="2" t="s">
        <v>54</v>
      </c>
      <c r="K1257" s="1" t="s">
        <v>1955</v>
      </c>
      <c r="L1257" s="1" t="s">
        <v>234</v>
      </c>
    </row>
    <row r="1258" spans="2:12" ht="28" hidden="1" x14ac:dyDescent="0.35">
      <c r="B1258" s="2">
        <v>12607</v>
      </c>
      <c r="C1258" s="24">
        <v>46218</v>
      </c>
      <c r="D1258" s="3" t="s">
        <v>26</v>
      </c>
      <c r="E1258" s="3" t="s">
        <v>2255</v>
      </c>
      <c r="F1258" s="14" t="s">
        <v>2256</v>
      </c>
      <c r="G1258" s="4" t="s">
        <v>51</v>
      </c>
      <c r="H1258" s="2" t="s">
        <v>17</v>
      </c>
      <c r="I1258" s="2" t="s">
        <v>24</v>
      </c>
      <c r="J1258" s="2" t="s">
        <v>54</v>
      </c>
      <c r="K1258" s="1" t="s">
        <v>1955</v>
      </c>
      <c r="L1258" s="1" t="s">
        <v>234</v>
      </c>
    </row>
    <row r="1259" spans="2:12" ht="42" hidden="1" x14ac:dyDescent="0.35">
      <c r="B1259" s="2">
        <v>12647</v>
      </c>
      <c r="C1259" s="24">
        <v>46220</v>
      </c>
      <c r="D1259" s="3" t="s">
        <v>21</v>
      </c>
      <c r="E1259" s="3" t="s">
        <v>2257</v>
      </c>
      <c r="F1259" s="14" t="s">
        <v>2258</v>
      </c>
      <c r="G1259" s="4" t="s">
        <v>16</v>
      </c>
      <c r="H1259" s="2" t="s">
        <v>17</v>
      </c>
      <c r="I1259" s="2" t="s">
        <v>18</v>
      </c>
      <c r="J1259" s="2" t="s">
        <v>68</v>
      </c>
      <c r="K1259" s="1" t="s">
        <v>1955</v>
      </c>
      <c r="L1259" s="1" t="s">
        <v>234</v>
      </c>
    </row>
    <row r="1260" spans="2:12" ht="28" hidden="1" x14ac:dyDescent="0.35">
      <c r="B1260" s="2">
        <v>12668</v>
      </c>
      <c r="C1260" s="24">
        <v>46225</v>
      </c>
      <c r="D1260" s="3" t="s">
        <v>234</v>
      </c>
      <c r="E1260" s="3" t="s">
        <v>2259</v>
      </c>
      <c r="F1260" s="14" t="s">
        <v>271</v>
      </c>
      <c r="G1260" s="4" t="s">
        <v>16</v>
      </c>
      <c r="H1260" s="2" t="s">
        <v>17</v>
      </c>
      <c r="I1260" s="2" t="s">
        <v>24</v>
      </c>
      <c r="J1260" s="2" t="s">
        <v>54</v>
      </c>
      <c r="K1260" s="1" t="s">
        <v>1955</v>
      </c>
      <c r="L1260" s="1" t="s">
        <v>234</v>
      </c>
    </row>
    <row r="1261" spans="2:12" ht="28" hidden="1" x14ac:dyDescent="0.35">
      <c r="B1261" s="2">
        <v>12667</v>
      </c>
      <c r="C1261" s="24">
        <v>46225</v>
      </c>
      <c r="D1261" s="3" t="s">
        <v>190</v>
      </c>
      <c r="E1261" s="3" t="s">
        <v>2260</v>
      </c>
      <c r="F1261" s="14" t="s">
        <v>2261</v>
      </c>
      <c r="G1261" s="4" t="s">
        <v>16</v>
      </c>
      <c r="H1261" s="2" t="s">
        <v>17</v>
      </c>
      <c r="I1261" s="2" t="s">
        <v>37</v>
      </c>
      <c r="J1261" s="2" t="s">
        <v>38</v>
      </c>
      <c r="K1261" s="1" t="s">
        <v>1955</v>
      </c>
      <c r="L1261" s="1" t="s">
        <v>234</v>
      </c>
    </row>
    <row r="1262" spans="2:12" ht="28" hidden="1" x14ac:dyDescent="0.35">
      <c r="B1262" s="2">
        <v>12796</v>
      </c>
      <c r="C1262" s="24">
        <v>46233</v>
      </c>
      <c r="D1262" s="3" t="s">
        <v>95</v>
      </c>
      <c r="E1262" s="3" t="s">
        <v>2262</v>
      </c>
      <c r="F1262" s="14" t="s">
        <v>1147</v>
      </c>
      <c r="G1262" s="4" t="s">
        <v>16</v>
      </c>
      <c r="H1262" s="2" t="s">
        <v>281</v>
      </c>
      <c r="I1262" s="2" t="s">
        <v>24</v>
      </c>
      <c r="J1262" s="2" t="s">
        <v>33</v>
      </c>
      <c r="K1262" s="1" t="s">
        <v>1955</v>
      </c>
      <c r="L1262" s="1" t="s">
        <v>234</v>
      </c>
    </row>
    <row r="1263" spans="2:12" ht="42" hidden="1" x14ac:dyDescent="0.35">
      <c r="B1263" s="2">
        <v>12705</v>
      </c>
      <c r="C1263" s="24">
        <v>46226</v>
      </c>
      <c r="D1263" s="3" t="s">
        <v>96</v>
      </c>
      <c r="E1263" s="3" t="s">
        <v>2263</v>
      </c>
      <c r="F1263" s="14" t="s">
        <v>2264</v>
      </c>
      <c r="G1263" s="4" t="s">
        <v>51</v>
      </c>
      <c r="H1263" s="2" t="s">
        <v>281</v>
      </c>
      <c r="I1263" s="2" t="s">
        <v>24</v>
      </c>
      <c r="J1263" s="2" t="s">
        <v>241</v>
      </c>
      <c r="K1263" s="1" t="s">
        <v>394</v>
      </c>
      <c r="L1263" s="1" t="s">
        <v>395</v>
      </c>
    </row>
    <row r="1264" spans="2:12" ht="28" hidden="1" x14ac:dyDescent="0.35">
      <c r="B1264" s="2">
        <v>12786</v>
      </c>
      <c r="C1264" s="24">
        <v>46233</v>
      </c>
      <c r="D1264" s="3" t="s">
        <v>190</v>
      </c>
      <c r="E1264" s="3" t="s">
        <v>2265</v>
      </c>
      <c r="F1264" s="14" t="s">
        <v>2266</v>
      </c>
      <c r="G1264" s="4" t="s">
        <v>51</v>
      </c>
      <c r="H1264" s="2" t="s">
        <v>17</v>
      </c>
      <c r="I1264" s="2" t="s">
        <v>37</v>
      </c>
      <c r="J1264" s="2" t="s">
        <v>38</v>
      </c>
      <c r="K1264" s="1" t="s">
        <v>1975</v>
      </c>
      <c r="L1264" s="1" t="s">
        <v>190</v>
      </c>
    </row>
    <row r="1265" spans="2:12" ht="28" hidden="1" x14ac:dyDescent="0.35">
      <c r="B1265" s="2">
        <v>12748</v>
      </c>
      <c r="C1265" s="24">
        <v>46231</v>
      </c>
      <c r="D1265" s="3" t="s">
        <v>95</v>
      </c>
      <c r="E1265" s="3" t="s">
        <v>2267</v>
      </c>
      <c r="F1265" s="14" t="s">
        <v>2268</v>
      </c>
      <c r="G1265" s="4" t="s">
        <v>51</v>
      </c>
      <c r="H1265" s="2" t="s">
        <v>17</v>
      </c>
      <c r="I1265" s="2" t="s">
        <v>24</v>
      </c>
      <c r="J1265" s="2" t="s">
        <v>44</v>
      </c>
      <c r="K1265" s="1" t="s">
        <v>426</v>
      </c>
      <c r="L1265" s="1" t="s">
        <v>95</v>
      </c>
    </row>
    <row r="1266" spans="2:12" ht="42" hidden="1" x14ac:dyDescent="0.35">
      <c r="B1266" s="2">
        <v>12707</v>
      </c>
      <c r="C1266" s="24">
        <v>46223</v>
      </c>
      <c r="D1266" s="3" t="s">
        <v>21</v>
      </c>
      <c r="E1266" s="3" t="s">
        <v>2269</v>
      </c>
      <c r="F1266" s="14" t="s">
        <v>1439</v>
      </c>
      <c r="G1266" s="4" t="s">
        <v>51</v>
      </c>
      <c r="H1266" s="2" t="s">
        <v>17</v>
      </c>
      <c r="I1266" s="2" t="s">
        <v>24</v>
      </c>
      <c r="J1266" s="2" t="s">
        <v>29</v>
      </c>
      <c r="K1266" s="1" t="s">
        <v>2078</v>
      </c>
      <c r="L1266" s="1" t="s">
        <v>250</v>
      </c>
    </row>
    <row r="1267" spans="2:12" ht="42" hidden="1" x14ac:dyDescent="0.35">
      <c r="B1267" s="2">
        <v>12706</v>
      </c>
      <c r="C1267" s="24">
        <v>46223</v>
      </c>
      <c r="D1267" s="3" t="s">
        <v>13</v>
      </c>
      <c r="E1267" s="3" t="s">
        <v>2270</v>
      </c>
      <c r="F1267" s="14" t="s">
        <v>768</v>
      </c>
      <c r="G1267" s="4" t="s">
        <v>51</v>
      </c>
      <c r="H1267" s="2" t="s">
        <v>17</v>
      </c>
      <c r="I1267" s="2" t="s">
        <v>24</v>
      </c>
      <c r="J1267" s="2" t="s">
        <v>29</v>
      </c>
      <c r="K1267" s="1" t="s">
        <v>2078</v>
      </c>
      <c r="L1267" s="1" t="s">
        <v>250</v>
      </c>
    </row>
    <row r="1268" spans="2:12" ht="42" hidden="1" x14ac:dyDescent="0.35">
      <c r="B1268" s="2">
        <v>12788</v>
      </c>
      <c r="C1268" s="24">
        <v>46233</v>
      </c>
      <c r="D1268" s="3" t="s">
        <v>250</v>
      </c>
      <c r="E1268" s="3" t="s">
        <v>2271</v>
      </c>
      <c r="F1268" s="14" t="s">
        <v>870</v>
      </c>
      <c r="G1268" s="4" t="s">
        <v>51</v>
      </c>
      <c r="H1268" s="2" t="s">
        <v>17</v>
      </c>
      <c r="I1268" s="2" t="s">
        <v>18</v>
      </c>
      <c r="J1268" s="2" t="s">
        <v>19</v>
      </c>
      <c r="K1268" s="1" t="s">
        <v>2078</v>
      </c>
      <c r="L1268" s="1" t="s">
        <v>250</v>
      </c>
    </row>
    <row r="1269" spans="2:12" ht="70" hidden="1" x14ac:dyDescent="0.35">
      <c r="B1269" s="2">
        <v>12750</v>
      </c>
      <c r="C1269" s="24">
        <v>46233</v>
      </c>
      <c r="D1269" s="3" t="s">
        <v>134</v>
      </c>
      <c r="E1269" s="3" t="s">
        <v>2272</v>
      </c>
      <c r="F1269" s="14" t="s">
        <v>2273</v>
      </c>
      <c r="G1269" s="4" t="s">
        <v>51</v>
      </c>
      <c r="H1269" s="2" t="s">
        <v>17</v>
      </c>
      <c r="I1269" s="2" t="s">
        <v>37</v>
      </c>
      <c r="J1269" s="2" t="s">
        <v>112</v>
      </c>
      <c r="K1269" s="1" t="s">
        <v>2274</v>
      </c>
      <c r="L1269" s="1" t="s">
        <v>250</v>
      </c>
    </row>
    <row r="1270" spans="2:12" ht="42" hidden="1" x14ac:dyDescent="0.35">
      <c r="B1270" s="2">
        <v>12656</v>
      </c>
      <c r="C1270" s="24">
        <v>46223</v>
      </c>
      <c r="D1270" s="3" t="s">
        <v>196</v>
      </c>
      <c r="E1270" s="3" t="s">
        <v>2275</v>
      </c>
      <c r="F1270" s="14" t="s">
        <v>2276</v>
      </c>
      <c r="G1270" s="4" t="s">
        <v>51</v>
      </c>
      <c r="H1270" s="2" t="s">
        <v>17</v>
      </c>
      <c r="I1270" s="2" t="s">
        <v>18</v>
      </c>
      <c r="J1270" s="2" t="s">
        <v>19</v>
      </c>
      <c r="K1270" s="1" t="s">
        <v>593</v>
      </c>
      <c r="L1270" s="1" t="s">
        <v>196</v>
      </c>
    </row>
    <row r="1271" spans="2:12" ht="42" hidden="1" x14ac:dyDescent="0.35">
      <c r="B1271" s="2">
        <v>12792</v>
      </c>
      <c r="C1271" s="24">
        <v>46234</v>
      </c>
      <c r="D1271" s="3" t="s">
        <v>278</v>
      </c>
      <c r="E1271" s="3" t="s">
        <v>2277</v>
      </c>
      <c r="F1271" s="14" t="s">
        <v>516</v>
      </c>
      <c r="G1271" s="4" t="s">
        <v>51</v>
      </c>
      <c r="H1271" s="2" t="s">
        <v>281</v>
      </c>
      <c r="I1271" s="2" t="s">
        <v>18</v>
      </c>
      <c r="J1271" s="2" t="s">
        <v>19</v>
      </c>
      <c r="K1271" s="1" t="s">
        <v>483</v>
      </c>
      <c r="L1271" s="1" t="s">
        <v>278</v>
      </c>
    </row>
    <row r="1272" spans="2:12" ht="28" hidden="1" x14ac:dyDescent="0.35">
      <c r="B1272" s="2">
        <v>12791</v>
      </c>
      <c r="C1272" s="24">
        <v>46234</v>
      </c>
      <c r="D1272" s="3" t="s">
        <v>278</v>
      </c>
      <c r="E1272" s="3" t="s">
        <v>2278</v>
      </c>
      <c r="F1272" s="14" t="s">
        <v>2279</v>
      </c>
      <c r="G1272" s="4" t="s">
        <v>51</v>
      </c>
      <c r="H1272" s="2" t="s">
        <v>281</v>
      </c>
      <c r="I1272" s="2" t="s">
        <v>37</v>
      </c>
      <c r="J1272" s="2" t="s">
        <v>112</v>
      </c>
      <c r="K1272" s="1" t="s">
        <v>483</v>
      </c>
      <c r="L1272" s="1" t="s">
        <v>278</v>
      </c>
    </row>
    <row r="1273" spans="2:12" ht="42" hidden="1" x14ac:dyDescent="0.35">
      <c r="B1273" s="2">
        <v>12797</v>
      </c>
      <c r="C1273" s="24">
        <v>46234</v>
      </c>
      <c r="D1273" s="3" t="s">
        <v>278</v>
      </c>
      <c r="E1273" s="3" t="s">
        <v>2280</v>
      </c>
      <c r="F1273" s="14" t="s">
        <v>2281</v>
      </c>
      <c r="G1273" s="4" t="s">
        <v>51</v>
      </c>
      <c r="H1273" s="2" t="s">
        <v>17</v>
      </c>
      <c r="I1273" s="2" t="s">
        <v>37</v>
      </c>
      <c r="J1273" s="2" t="s">
        <v>112</v>
      </c>
      <c r="K1273" s="1" t="s">
        <v>483</v>
      </c>
      <c r="L1273" s="1" t="s">
        <v>278</v>
      </c>
    </row>
    <row r="1274" spans="2:12" ht="28" hidden="1" x14ac:dyDescent="0.35">
      <c r="B1274" s="2">
        <v>12798</v>
      </c>
      <c r="C1274" s="24">
        <v>46234</v>
      </c>
      <c r="D1274" s="3" t="s">
        <v>278</v>
      </c>
      <c r="E1274" s="3" t="s">
        <v>2282</v>
      </c>
      <c r="F1274" s="14" t="s">
        <v>2283</v>
      </c>
      <c r="G1274" s="4" t="s">
        <v>51</v>
      </c>
      <c r="H1274" s="2" t="s">
        <v>17</v>
      </c>
      <c r="I1274" s="2" t="s">
        <v>18</v>
      </c>
      <c r="J1274" s="2" t="s">
        <v>19</v>
      </c>
      <c r="K1274" s="1" t="s">
        <v>483</v>
      </c>
      <c r="L1274" s="1" t="s">
        <v>278</v>
      </c>
    </row>
    <row r="1275" spans="2:12" ht="42" hidden="1" x14ac:dyDescent="0.35">
      <c r="B1275" s="2">
        <v>12563</v>
      </c>
      <c r="C1275" s="24">
        <v>46211</v>
      </c>
      <c r="D1275" s="3" t="s">
        <v>234</v>
      </c>
      <c r="E1275" s="3" t="s">
        <v>2284</v>
      </c>
      <c r="F1275" s="14" t="s">
        <v>2285</v>
      </c>
      <c r="G1275" s="4" t="s">
        <v>51</v>
      </c>
      <c r="H1275" s="2" t="s">
        <v>17</v>
      </c>
      <c r="I1275" s="2" t="s">
        <v>24</v>
      </c>
      <c r="J1275" s="2" t="s">
        <v>54</v>
      </c>
      <c r="K1275" s="1" t="s">
        <v>2286</v>
      </c>
      <c r="L1275" s="1" t="s">
        <v>395</v>
      </c>
    </row>
    <row r="1276" spans="2:12" ht="42" hidden="1" x14ac:dyDescent="0.35">
      <c r="B1276" s="2">
        <v>12564</v>
      </c>
      <c r="C1276" s="24">
        <v>46211</v>
      </c>
      <c r="D1276" s="3" t="s">
        <v>234</v>
      </c>
      <c r="E1276" s="3" t="s">
        <v>2287</v>
      </c>
      <c r="F1276" s="14" t="s">
        <v>2288</v>
      </c>
      <c r="G1276" s="4" t="s">
        <v>51</v>
      </c>
      <c r="H1276" s="2" t="s">
        <v>17</v>
      </c>
      <c r="I1276" s="2" t="s">
        <v>24</v>
      </c>
      <c r="J1276" s="2" t="s">
        <v>54</v>
      </c>
      <c r="K1276" s="1" t="s">
        <v>2286</v>
      </c>
      <c r="L1276" s="1" t="s">
        <v>395</v>
      </c>
    </row>
    <row r="1277" spans="2:12" ht="42" hidden="1" x14ac:dyDescent="0.35">
      <c r="B1277" s="2">
        <v>12793</v>
      </c>
      <c r="C1277" s="24">
        <v>46234</v>
      </c>
      <c r="D1277" s="3" t="s">
        <v>234</v>
      </c>
      <c r="E1277" s="3" t="s">
        <v>2289</v>
      </c>
      <c r="F1277" s="14" t="s">
        <v>2288</v>
      </c>
      <c r="G1277" s="4" t="s">
        <v>51</v>
      </c>
      <c r="H1277" s="2" t="s">
        <v>17</v>
      </c>
      <c r="I1277" s="2" t="s">
        <v>24</v>
      </c>
      <c r="J1277" s="2" t="s">
        <v>33</v>
      </c>
      <c r="K1277" s="1" t="s">
        <v>657</v>
      </c>
      <c r="L1277" s="1" t="s">
        <v>95</v>
      </c>
    </row>
    <row r="1278" spans="2:12" ht="42" hidden="1" x14ac:dyDescent="0.35">
      <c r="B1278" s="2">
        <v>12581</v>
      </c>
      <c r="C1278" s="24">
        <v>46212</v>
      </c>
      <c r="D1278" s="3" t="s">
        <v>196</v>
      </c>
      <c r="E1278" s="3" t="s">
        <v>2290</v>
      </c>
      <c r="F1278" s="14" t="s">
        <v>2099</v>
      </c>
      <c r="G1278" s="4" t="s">
        <v>16</v>
      </c>
      <c r="H1278" s="2" t="s">
        <v>17</v>
      </c>
      <c r="I1278" s="2" t="s">
        <v>24</v>
      </c>
      <c r="J1278" s="2" t="s">
        <v>44</v>
      </c>
      <c r="K1278" s="1" t="s">
        <v>762</v>
      </c>
      <c r="L1278" s="1" t="s">
        <v>21</v>
      </c>
    </row>
    <row r="1279" spans="2:12" ht="42" hidden="1" x14ac:dyDescent="0.35">
      <c r="B1279" s="2">
        <v>12580</v>
      </c>
      <c r="C1279" s="24">
        <v>46210</v>
      </c>
      <c r="D1279" s="3" t="s">
        <v>13</v>
      </c>
      <c r="E1279" s="3" t="s">
        <v>2291</v>
      </c>
      <c r="F1279" s="14" t="s">
        <v>2292</v>
      </c>
      <c r="G1279" s="4" t="s">
        <v>51</v>
      </c>
      <c r="H1279" s="2" t="s">
        <v>17</v>
      </c>
      <c r="I1279" s="2" t="s">
        <v>24</v>
      </c>
      <c r="J1279" s="2" t="s">
        <v>33</v>
      </c>
      <c r="K1279" s="1" t="s">
        <v>866</v>
      </c>
      <c r="L1279" s="1" t="s">
        <v>95</v>
      </c>
    </row>
    <row r="1280" spans="2:12" ht="28" hidden="1" x14ac:dyDescent="0.35">
      <c r="B1280" s="2">
        <v>12747</v>
      </c>
      <c r="C1280" s="24">
        <v>46220</v>
      </c>
      <c r="D1280" s="3" t="s">
        <v>193</v>
      </c>
      <c r="E1280" s="3" t="s">
        <v>2293</v>
      </c>
      <c r="F1280" s="14" t="s">
        <v>2294</v>
      </c>
      <c r="G1280" s="4" t="s">
        <v>51</v>
      </c>
      <c r="H1280" s="2" t="s">
        <v>17</v>
      </c>
      <c r="I1280" s="2" t="s">
        <v>18</v>
      </c>
      <c r="J1280" s="2" t="s">
        <v>19</v>
      </c>
      <c r="K1280" s="1" t="s">
        <v>866</v>
      </c>
      <c r="L1280" s="1" t="s">
        <v>95</v>
      </c>
    </row>
    <row r="1281" spans="2:12" ht="77.150000000000006" hidden="1" customHeight="1" x14ac:dyDescent="0.35">
      <c r="B1281" s="2">
        <v>12658</v>
      </c>
      <c r="C1281" s="24">
        <v>46224</v>
      </c>
      <c r="D1281" s="3" t="s">
        <v>227</v>
      </c>
      <c r="E1281" s="3" t="s">
        <v>2295</v>
      </c>
      <c r="F1281" s="14" t="s">
        <v>2296</v>
      </c>
      <c r="G1281" s="4" t="s">
        <v>51</v>
      </c>
      <c r="H1281" s="2" t="s">
        <v>17</v>
      </c>
      <c r="I1281" s="2" t="s">
        <v>24</v>
      </c>
      <c r="J1281" s="2" t="s">
        <v>261</v>
      </c>
      <c r="K1281" s="1" t="s">
        <v>890</v>
      </c>
      <c r="L1281" s="1" t="s">
        <v>96</v>
      </c>
    </row>
    <row r="1282" spans="2:12" ht="56" hidden="1" x14ac:dyDescent="0.35">
      <c r="B1282" s="2">
        <v>12709</v>
      </c>
      <c r="C1282" s="24">
        <v>46224</v>
      </c>
      <c r="D1282" s="3" t="s">
        <v>26</v>
      </c>
      <c r="E1282" s="3" t="s">
        <v>2297</v>
      </c>
      <c r="F1282" s="14" t="s">
        <v>2143</v>
      </c>
      <c r="G1282" s="4" t="s">
        <v>51</v>
      </c>
      <c r="H1282" s="2" t="s">
        <v>17</v>
      </c>
      <c r="I1282" s="2" t="s">
        <v>24</v>
      </c>
      <c r="J1282" s="2" t="s">
        <v>54</v>
      </c>
      <c r="K1282" s="1" t="s">
        <v>595</v>
      </c>
      <c r="L1282" s="1" t="s">
        <v>196</v>
      </c>
    </row>
    <row r="1283" spans="2:12" ht="56" hidden="1" x14ac:dyDescent="0.35">
      <c r="B1283" s="2">
        <v>12708</v>
      </c>
      <c r="C1283" s="24">
        <v>46224</v>
      </c>
      <c r="D1283" s="3" t="s">
        <v>26</v>
      </c>
      <c r="E1283" s="3" t="s">
        <v>2298</v>
      </c>
      <c r="F1283" s="14" t="s">
        <v>2143</v>
      </c>
      <c r="G1283" s="4" t="s">
        <v>51</v>
      </c>
      <c r="H1283" s="2" t="s">
        <v>17</v>
      </c>
      <c r="I1283" s="2" t="s">
        <v>18</v>
      </c>
      <c r="J1283" s="2" t="s">
        <v>171</v>
      </c>
      <c r="K1283" s="1" t="s">
        <v>595</v>
      </c>
      <c r="L1283" s="1" t="s">
        <v>196</v>
      </c>
    </row>
    <row r="1284" spans="2:12" ht="47.15" hidden="1" customHeight="1" x14ac:dyDescent="0.35">
      <c r="B1284" s="2">
        <v>12602</v>
      </c>
      <c r="C1284" s="24">
        <v>46216</v>
      </c>
      <c r="D1284" s="3" t="s">
        <v>190</v>
      </c>
      <c r="E1284" s="3" t="s">
        <v>2299</v>
      </c>
      <c r="F1284" s="14" t="s">
        <v>379</v>
      </c>
      <c r="G1284" s="4" t="s">
        <v>16</v>
      </c>
      <c r="H1284" s="2" t="s">
        <v>281</v>
      </c>
      <c r="I1284" s="2" t="s">
        <v>24</v>
      </c>
      <c r="J1284" s="2" t="s">
        <v>41</v>
      </c>
      <c r="K1284" s="1" t="s">
        <v>1037</v>
      </c>
      <c r="L1284" s="1" t="s">
        <v>395</v>
      </c>
    </row>
    <row r="1285" spans="2:12" ht="42" hidden="1" x14ac:dyDescent="0.35">
      <c r="B1285" s="2">
        <v>12789</v>
      </c>
      <c r="C1285" s="24">
        <v>46233</v>
      </c>
      <c r="D1285" s="3" t="s">
        <v>196</v>
      </c>
      <c r="E1285" s="3" t="s">
        <v>2300</v>
      </c>
      <c r="F1285" s="14" t="s">
        <v>198</v>
      </c>
      <c r="G1285" s="4" t="s">
        <v>51</v>
      </c>
      <c r="H1285" s="2" t="s">
        <v>17</v>
      </c>
      <c r="I1285" s="2" t="s">
        <v>18</v>
      </c>
      <c r="J1285" s="2" t="s">
        <v>19</v>
      </c>
      <c r="K1285" s="1" t="s">
        <v>1055</v>
      </c>
      <c r="L1285" s="1" t="s">
        <v>196</v>
      </c>
    </row>
    <row r="1286" spans="2:12" ht="42" hidden="1" x14ac:dyDescent="0.35">
      <c r="B1286" s="2">
        <v>12732</v>
      </c>
      <c r="C1286" s="24">
        <v>46215</v>
      </c>
      <c r="D1286" s="3" t="s">
        <v>234</v>
      </c>
      <c r="E1286" s="3" t="s">
        <v>2301</v>
      </c>
      <c r="F1286" s="14" t="s">
        <v>2302</v>
      </c>
      <c r="G1286" s="4" t="s">
        <v>51</v>
      </c>
      <c r="H1286" s="2" t="s">
        <v>281</v>
      </c>
      <c r="I1286" s="2" t="s">
        <v>24</v>
      </c>
      <c r="J1286" s="2" t="s">
        <v>33</v>
      </c>
      <c r="K1286" s="1" t="s">
        <v>1092</v>
      </c>
      <c r="L1286" s="1" t="s">
        <v>95</v>
      </c>
    </row>
    <row r="1287" spans="2:12" ht="42" hidden="1" x14ac:dyDescent="0.35">
      <c r="B1287" s="2">
        <v>12731</v>
      </c>
      <c r="C1287" s="24">
        <v>46215</v>
      </c>
      <c r="D1287" s="3" t="s">
        <v>234</v>
      </c>
      <c r="E1287" s="3" t="s">
        <v>2303</v>
      </c>
      <c r="F1287" s="14" t="s">
        <v>2304</v>
      </c>
      <c r="G1287" s="4" t="s">
        <v>51</v>
      </c>
      <c r="H1287" s="2" t="s">
        <v>281</v>
      </c>
      <c r="I1287" s="2" t="s">
        <v>24</v>
      </c>
      <c r="J1287" s="2" t="s">
        <v>33</v>
      </c>
      <c r="K1287" s="1" t="s">
        <v>1092</v>
      </c>
      <c r="L1287" s="1" t="s">
        <v>95</v>
      </c>
    </row>
    <row r="1288" spans="2:12" ht="42" hidden="1" x14ac:dyDescent="0.35">
      <c r="B1288" s="2">
        <v>12719</v>
      </c>
      <c r="C1288" s="24">
        <v>46227</v>
      </c>
      <c r="D1288" s="3" t="s">
        <v>193</v>
      </c>
      <c r="E1288" s="3" t="s">
        <v>2305</v>
      </c>
      <c r="F1288" s="14" t="s">
        <v>2306</v>
      </c>
      <c r="G1288" s="4" t="s">
        <v>51</v>
      </c>
      <c r="H1288" s="2" t="s">
        <v>17</v>
      </c>
      <c r="I1288" s="2" t="s">
        <v>18</v>
      </c>
      <c r="J1288" s="2" t="s">
        <v>19</v>
      </c>
      <c r="K1288" s="1" t="s">
        <v>1116</v>
      </c>
      <c r="L1288" s="1" t="s">
        <v>95</v>
      </c>
    </row>
    <row r="1289" spans="2:12" ht="42" hidden="1" x14ac:dyDescent="0.35">
      <c r="B1289" s="2">
        <v>12718</v>
      </c>
      <c r="C1289" s="24">
        <v>46219</v>
      </c>
      <c r="D1289" s="3" t="s">
        <v>250</v>
      </c>
      <c r="E1289" s="3" t="s">
        <v>2307</v>
      </c>
      <c r="F1289" s="14" t="s">
        <v>2308</v>
      </c>
      <c r="G1289" s="4" t="s">
        <v>51</v>
      </c>
      <c r="H1289" s="2" t="s">
        <v>17</v>
      </c>
      <c r="I1289" s="2" t="s">
        <v>24</v>
      </c>
      <c r="J1289" s="2" t="s">
        <v>33</v>
      </c>
      <c r="K1289" s="1" t="s">
        <v>1116</v>
      </c>
      <c r="L1289" s="1" t="s">
        <v>95</v>
      </c>
    </row>
    <row r="1290" spans="2:12" ht="28" hidden="1" x14ac:dyDescent="0.35">
      <c r="B1290" s="2">
        <v>12799</v>
      </c>
      <c r="C1290" s="24">
        <v>46233</v>
      </c>
      <c r="D1290" s="3" t="s">
        <v>104</v>
      </c>
      <c r="E1290" s="3" t="s">
        <v>2309</v>
      </c>
      <c r="F1290" s="14" t="s">
        <v>127</v>
      </c>
      <c r="G1290" s="4" t="s">
        <v>16</v>
      </c>
      <c r="H1290" s="2" t="s">
        <v>17</v>
      </c>
      <c r="I1290" s="2" t="s">
        <v>24</v>
      </c>
      <c r="J1290" s="2" t="s">
        <v>33</v>
      </c>
      <c r="K1290" s="1" t="s">
        <v>1147</v>
      </c>
      <c r="L1290" s="1" t="s">
        <v>95</v>
      </c>
    </row>
    <row r="1291" spans="2:12" ht="42" hidden="1" x14ac:dyDescent="0.35">
      <c r="B1291" s="2">
        <v>12801</v>
      </c>
      <c r="C1291" s="24">
        <v>46231</v>
      </c>
      <c r="D1291" s="3" t="s">
        <v>21</v>
      </c>
      <c r="E1291" s="3" t="s">
        <v>2310</v>
      </c>
      <c r="F1291" s="14" t="s">
        <v>1512</v>
      </c>
      <c r="G1291" s="4" t="s">
        <v>16</v>
      </c>
      <c r="H1291" s="2" t="s">
        <v>17</v>
      </c>
      <c r="I1291" s="2" t="s">
        <v>18</v>
      </c>
      <c r="J1291" s="2" t="s">
        <v>19</v>
      </c>
      <c r="K1291" s="1" t="s">
        <v>1147</v>
      </c>
      <c r="L1291" s="1" t="s">
        <v>95</v>
      </c>
    </row>
    <row r="1292" spans="2:12" ht="28" hidden="1" x14ac:dyDescent="0.35">
      <c r="B1292" s="2">
        <v>12531</v>
      </c>
      <c r="C1292" s="24">
        <v>46210</v>
      </c>
      <c r="D1292" s="3" t="s">
        <v>96</v>
      </c>
      <c r="E1292" s="3" t="s">
        <v>2311</v>
      </c>
      <c r="F1292" s="14" t="s">
        <v>2312</v>
      </c>
      <c r="G1292" s="4" t="s">
        <v>16</v>
      </c>
      <c r="H1292" s="2" t="s">
        <v>17</v>
      </c>
      <c r="I1292" s="2" t="s">
        <v>37</v>
      </c>
      <c r="J1292" s="2" t="s">
        <v>112</v>
      </c>
      <c r="K1292" s="1" t="s">
        <v>1179</v>
      </c>
      <c r="L1292" s="1" t="s">
        <v>96</v>
      </c>
    </row>
    <row r="1293" spans="2:12" ht="42" hidden="1" x14ac:dyDescent="0.35">
      <c r="B1293" s="2">
        <v>12714</v>
      </c>
      <c r="C1293" s="24">
        <v>46225</v>
      </c>
      <c r="D1293" s="3" t="s">
        <v>95</v>
      </c>
      <c r="E1293" s="3" t="s">
        <v>2313</v>
      </c>
      <c r="F1293" s="14" t="s">
        <v>866</v>
      </c>
      <c r="G1293" s="4" t="s">
        <v>16</v>
      </c>
      <c r="H1293" s="2" t="s">
        <v>17</v>
      </c>
      <c r="I1293" s="2" t="s">
        <v>37</v>
      </c>
      <c r="J1293" s="2" t="s">
        <v>112</v>
      </c>
      <c r="K1293" s="1" t="s">
        <v>1179</v>
      </c>
      <c r="L1293" s="1" t="s">
        <v>96</v>
      </c>
    </row>
    <row r="1294" spans="2:12" ht="28" hidden="1" x14ac:dyDescent="0.35">
      <c r="B1294" s="2">
        <v>12751</v>
      </c>
      <c r="C1294" s="24">
        <v>46233</v>
      </c>
      <c r="D1294" s="3" t="s">
        <v>227</v>
      </c>
      <c r="E1294" s="3" t="s">
        <v>2314</v>
      </c>
      <c r="F1294" s="14" t="s">
        <v>2315</v>
      </c>
      <c r="G1294" s="4" t="s">
        <v>51</v>
      </c>
      <c r="H1294" s="2" t="s">
        <v>17</v>
      </c>
      <c r="I1294" s="2" t="s">
        <v>37</v>
      </c>
      <c r="J1294" s="2" t="s">
        <v>112</v>
      </c>
      <c r="K1294" s="1" t="s">
        <v>1179</v>
      </c>
      <c r="L1294" s="1" t="s">
        <v>227</v>
      </c>
    </row>
    <row r="1295" spans="2:12" ht="56" hidden="1" x14ac:dyDescent="0.35">
      <c r="B1295" s="2">
        <v>12715</v>
      </c>
      <c r="C1295" s="24">
        <v>46227</v>
      </c>
      <c r="D1295" s="3" t="s">
        <v>234</v>
      </c>
      <c r="E1295" s="3" t="s">
        <v>2316</v>
      </c>
      <c r="F1295" s="14" t="s">
        <v>2317</v>
      </c>
      <c r="G1295" s="4" t="s">
        <v>51</v>
      </c>
      <c r="H1295" s="2" t="s">
        <v>17</v>
      </c>
      <c r="I1295" s="2" t="s">
        <v>37</v>
      </c>
      <c r="J1295" s="2" t="s">
        <v>81</v>
      </c>
      <c r="K1295" s="1" t="s">
        <v>1316</v>
      </c>
      <c r="L1295" s="1" t="s">
        <v>95</v>
      </c>
    </row>
    <row r="1296" spans="2:12" ht="56" hidden="1" x14ac:dyDescent="0.35">
      <c r="B1296" s="2">
        <v>12612</v>
      </c>
      <c r="C1296" s="24">
        <v>46219</v>
      </c>
      <c r="D1296" s="3" t="s">
        <v>13</v>
      </c>
      <c r="E1296" s="3" t="s">
        <v>2318</v>
      </c>
      <c r="F1296" s="14" t="s">
        <v>2319</v>
      </c>
      <c r="G1296" s="4" t="s">
        <v>16</v>
      </c>
      <c r="H1296" s="2" t="s">
        <v>17</v>
      </c>
      <c r="I1296" s="2" t="s">
        <v>24</v>
      </c>
      <c r="J1296" s="2" t="s">
        <v>33</v>
      </c>
      <c r="K1296" s="1" t="s">
        <v>1391</v>
      </c>
      <c r="L1296" s="1" t="s">
        <v>21</v>
      </c>
    </row>
    <row r="1297" spans="2:12" ht="56" hidden="1" x14ac:dyDescent="0.35">
      <c r="B1297" s="2">
        <v>12611</v>
      </c>
      <c r="C1297" s="24">
        <v>46219</v>
      </c>
      <c r="D1297" s="3" t="s">
        <v>13</v>
      </c>
      <c r="E1297" s="3" t="s">
        <v>2320</v>
      </c>
      <c r="F1297" s="14" t="s">
        <v>2321</v>
      </c>
      <c r="G1297" s="4" t="s">
        <v>16</v>
      </c>
      <c r="H1297" s="2" t="s">
        <v>17</v>
      </c>
      <c r="I1297" s="2" t="s">
        <v>24</v>
      </c>
      <c r="J1297" s="2" t="s">
        <v>33</v>
      </c>
      <c r="K1297" s="1" t="s">
        <v>1391</v>
      </c>
      <c r="L1297" s="1" t="s">
        <v>13</v>
      </c>
    </row>
    <row r="1298" spans="2:12" ht="42" hidden="1" x14ac:dyDescent="0.35">
      <c r="B1298" s="2">
        <v>12713</v>
      </c>
      <c r="C1298" s="24">
        <v>46225</v>
      </c>
      <c r="D1298" s="3" t="s">
        <v>21</v>
      </c>
      <c r="E1298" s="3" t="s">
        <v>2322</v>
      </c>
      <c r="F1298" s="14" t="s">
        <v>2323</v>
      </c>
      <c r="G1298" s="4" t="s">
        <v>16</v>
      </c>
      <c r="H1298" s="2" t="s">
        <v>17</v>
      </c>
      <c r="I1298" s="2" t="s">
        <v>24</v>
      </c>
      <c r="J1298" s="2" t="s">
        <v>33</v>
      </c>
      <c r="K1298" s="1" t="s">
        <v>1391</v>
      </c>
      <c r="L1298" s="1" t="s">
        <v>21</v>
      </c>
    </row>
    <row r="1299" spans="2:12" ht="42" hidden="1" x14ac:dyDescent="0.35">
      <c r="B1299" s="2">
        <v>12712</v>
      </c>
      <c r="C1299" s="24">
        <v>46225</v>
      </c>
      <c r="D1299" s="3" t="s">
        <v>13</v>
      </c>
      <c r="E1299" s="3" t="s">
        <v>2324</v>
      </c>
      <c r="F1299" s="14" t="s">
        <v>2027</v>
      </c>
      <c r="G1299" s="4" t="s">
        <v>16</v>
      </c>
      <c r="H1299" s="2" t="s">
        <v>17</v>
      </c>
      <c r="I1299" s="2" t="s">
        <v>24</v>
      </c>
      <c r="J1299" s="2" t="s">
        <v>33</v>
      </c>
      <c r="K1299" s="1" t="s">
        <v>1391</v>
      </c>
      <c r="L1299" s="1" t="s">
        <v>13</v>
      </c>
    </row>
    <row r="1300" spans="2:12" ht="28" hidden="1" x14ac:dyDescent="0.35">
      <c r="B1300" s="2">
        <v>12711</v>
      </c>
      <c r="C1300" s="24">
        <v>46224</v>
      </c>
      <c r="D1300" s="3" t="s">
        <v>21</v>
      </c>
      <c r="E1300" s="3" t="s">
        <v>2325</v>
      </c>
      <c r="F1300" s="14" t="s">
        <v>2326</v>
      </c>
      <c r="G1300" s="4" t="s">
        <v>16</v>
      </c>
      <c r="H1300" s="2" t="s">
        <v>17</v>
      </c>
      <c r="I1300" s="2" t="s">
        <v>24</v>
      </c>
      <c r="J1300" s="2" t="s">
        <v>33</v>
      </c>
      <c r="K1300" s="1" t="s">
        <v>1391</v>
      </c>
      <c r="L1300" s="1" t="s">
        <v>21</v>
      </c>
    </row>
    <row r="1301" spans="2:12" ht="56" hidden="1" x14ac:dyDescent="0.35">
      <c r="B1301" s="2">
        <v>12815</v>
      </c>
      <c r="C1301" s="24">
        <v>46234</v>
      </c>
      <c r="D1301" s="3" t="s">
        <v>21</v>
      </c>
      <c r="E1301" s="3" t="s">
        <v>2327</v>
      </c>
      <c r="F1301" s="14" t="s">
        <v>186</v>
      </c>
      <c r="G1301" s="4" t="s">
        <v>16</v>
      </c>
      <c r="H1301" s="2" t="s">
        <v>17</v>
      </c>
      <c r="I1301" s="2" t="s">
        <v>24</v>
      </c>
      <c r="J1301" s="2" t="s">
        <v>29</v>
      </c>
      <c r="K1301" s="1" t="s">
        <v>1391</v>
      </c>
      <c r="L1301" s="1" t="s">
        <v>21</v>
      </c>
    </row>
    <row r="1302" spans="2:12" ht="56" hidden="1" x14ac:dyDescent="0.35">
      <c r="B1302" s="2">
        <v>12814</v>
      </c>
      <c r="C1302" s="24">
        <v>46234</v>
      </c>
      <c r="D1302" s="3" t="s">
        <v>21</v>
      </c>
      <c r="E1302" s="3" t="s">
        <v>2328</v>
      </c>
      <c r="F1302" s="14" t="s">
        <v>1448</v>
      </c>
      <c r="G1302" s="4" t="s">
        <v>16</v>
      </c>
      <c r="H1302" s="2" t="s">
        <v>17</v>
      </c>
      <c r="I1302" s="2" t="s">
        <v>24</v>
      </c>
      <c r="J1302" s="2" t="s">
        <v>29</v>
      </c>
      <c r="K1302" s="1" t="s">
        <v>1391</v>
      </c>
      <c r="L1302" s="1" t="s">
        <v>13</v>
      </c>
    </row>
    <row r="1303" spans="2:12" ht="56" hidden="1" x14ac:dyDescent="0.35">
      <c r="B1303" s="2">
        <v>12813</v>
      </c>
      <c r="C1303" s="24">
        <v>46234</v>
      </c>
      <c r="D1303" s="3" t="s">
        <v>21</v>
      </c>
      <c r="E1303" s="3" t="s">
        <v>2329</v>
      </c>
      <c r="F1303" s="14" t="s">
        <v>2330</v>
      </c>
      <c r="G1303" s="4" t="s">
        <v>16</v>
      </c>
      <c r="H1303" s="2" t="s">
        <v>17</v>
      </c>
      <c r="I1303" s="2" t="s">
        <v>24</v>
      </c>
      <c r="J1303" s="2" t="s">
        <v>29</v>
      </c>
      <c r="K1303" s="1" t="s">
        <v>1391</v>
      </c>
      <c r="L1303" s="1" t="s">
        <v>13</v>
      </c>
    </row>
    <row r="1304" spans="2:12" ht="56" hidden="1" x14ac:dyDescent="0.35">
      <c r="B1304" s="2">
        <v>12812</v>
      </c>
      <c r="C1304" s="24">
        <v>46234</v>
      </c>
      <c r="D1304" s="3" t="s">
        <v>21</v>
      </c>
      <c r="E1304" s="3" t="s">
        <v>2331</v>
      </c>
      <c r="F1304" s="14" t="s">
        <v>182</v>
      </c>
      <c r="G1304" s="4" t="s">
        <v>16</v>
      </c>
      <c r="H1304" s="2" t="s">
        <v>17</v>
      </c>
      <c r="I1304" s="2" t="s">
        <v>24</v>
      </c>
      <c r="J1304" s="2" t="s">
        <v>29</v>
      </c>
      <c r="K1304" s="1" t="s">
        <v>1391</v>
      </c>
      <c r="L1304" s="1" t="s">
        <v>13</v>
      </c>
    </row>
    <row r="1305" spans="2:12" ht="42" hidden="1" x14ac:dyDescent="0.35">
      <c r="B1305" s="2">
        <v>12749</v>
      </c>
      <c r="C1305" s="24">
        <v>46218</v>
      </c>
      <c r="D1305" s="3" t="s">
        <v>196</v>
      </c>
      <c r="E1305" s="3" t="s">
        <v>2332</v>
      </c>
      <c r="F1305" s="14" t="s">
        <v>593</v>
      </c>
      <c r="G1305" s="4" t="s">
        <v>16</v>
      </c>
      <c r="H1305" s="2" t="s">
        <v>17</v>
      </c>
      <c r="I1305" s="2" t="s">
        <v>24</v>
      </c>
      <c r="J1305" s="2" t="s">
        <v>33</v>
      </c>
      <c r="K1305" s="1" t="s">
        <v>422</v>
      </c>
      <c r="L1305" s="1" t="s">
        <v>190</v>
      </c>
    </row>
    <row r="1306" spans="2:12" ht="42" hidden="1" x14ac:dyDescent="0.35">
      <c r="B1306" s="2">
        <v>12787</v>
      </c>
      <c r="C1306" s="24">
        <v>46233</v>
      </c>
      <c r="D1306" s="3" t="s">
        <v>190</v>
      </c>
      <c r="E1306" s="3" t="s">
        <v>2333</v>
      </c>
      <c r="F1306" s="14" t="s">
        <v>1901</v>
      </c>
      <c r="G1306" s="4" t="s">
        <v>16</v>
      </c>
      <c r="H1306" s="2" t="s">
        <v>281</v>
      </c>
      <c r="I1306" s="2" t="s">
        <v>18</v>
      </c>
      <c r="J1306" s="2" t="s">
        <v>171</v>
      </c>
      <c r="K1306" s="1" t="s">
        <v>422</v>
      </c>
      <c r="L1306" s="1" t="s">
        <v>190</v>
      </c>
    </row>
    <row r="1307" spans="2:12" ht="28" hidden="1" x14ac:dyDescent="0.35">
      <c r="B1307" s="2">
        <v>12762</v>
      </c>
      <c r="C1307" s="24">
        <v>46233</v>
      </c>
      <c r="D1307" s="3" t="s">
        <v>190</v>
      </c>
      <c r="E1307" s="3" t="s">
        <v>2334</v>
      </c>
      <c r="F1307" s="14" t="s">
        <v>1753</v>
      </c>
      <c r="G1307" s="4" t="s">
        <v>16</v>
      </c>
      <c r="H1307" s="2" t="s">
        <v>17</v>
      </c>
      <c r="I1307" s="2" t="s">
        <v>37</v>
      </c>
      <c r="J1307" s="2" t="s">
        <v>112</v>
      </c>
      <c r="K1307" s="1" t="s">
        <v>422</v>
      </c>
      <c r="L1307" s="1" t="s">
        <v>190</v>
      </c>
    </row>
    <row r="1308" spans="2:12" ht="28" hidden="1" x14ac:dyDescent="0.35">
      <c r="B1308" s="2">
        <v>12769</v>
      </c>
      <c r="C1308" s="24">
        <v>46233</v>
      </c>
      <c r="D1308" s="3" t="s">
        <v>234</v>
      </c>
      <c r="E1308" s="3" t="s">
        <v>2335</v>
      </c>
      <c r="F1308" s="14" t="s">
        <v>743</v>
      </c>
      <c r="G1308" s="4" t="s">
        <v>16</v>
      </c>
      <c r="H1308" s="2" t="s">
        <v>17</v>
      </c>
      <c r="I1308" s="2" t="s">
        <v>24</v>
      </c>
      <c r="J1308" s="2" t="s">
        <v>33</v>
      </c>
      <c r="K1308" s="1" t="s">
        <v>2336</v>
      </c>
      <c r="L1308" s="1" t="s">
        <v>234</v>
      </c>
    </row>
    <row r="1309" spans="2:12" ht="42" hidden="1" x14ac:dyDescent="0.35">
      <c r="B1309" s="2">
        <v>12835</v>
      </c>
      <c r="C1309" s="24">
        <v>46240</v>
      </c>
      <c r="D1309" s="3" t="s">
        <v>104</v>
      </c>
      <c r="E1309" s="3" t="s">
        <v>2337</v>
      </c>
      <c r="F1309" s="14" t="s">
        <v>2338</v>
      </c>
      <c r="G1309" s="4" t="s">
        <v>16</v>
      </c>
      <c r="H1309" s="2" t="s">
        <v>17</v>
      </c>
      <c r="I1309" s="2" t="s">
        <v>24</v>
      </c>
      <c r="J1309" s="2" t="s">
        <v>54</v>
      </c>
      <c r="K1309" s="1" t="s">
        <v>1381</v>
      </c>
      <c r="L1309" s="1" t="s">
        <v>104</v>
      </c>
    </row>
    <row r="1310" spans="2:12" ht="28" hidden="1" x14ac:dyDescent="0.35">
      <c r="B1310" s="2">
        <v>12836</v>
      </c>
      <c r="C1310" s="24">
        <v>46240</v>
      </c>
      <c r="D1310" s="3" t="s">
        <v>104</v>
      </c>
      <c r="E1310" s="3" t="s">
        <v>2339</v>
      </c>
      <c r="F1310" s="14" t="s">
        <v>2340</v>
      </c>
      <c r="G1310" s="4" t="s">
        <v>16</v>
      </c>
      <c r="H1310" s="2" t="s">
        <v>17</v>
      </c>
      <c r="I1310" s="2" t="s">
        <v>24</v>
      </c>
      <c r="J1310" s="2" t="s">
        <v>54</v>
      </c>
      <c r="K1310" s="1" t="s">
        <v>1381</v>
      </c>
      <c r="L1310" s="1" t="s">
        <v>104</v>
      </c>
    </row>
    <row r="1311" spans="2:12" ht="42" hidden="1" x14ac:dyDescent="0.35">
      <c r="B1311" s="2">
        <v>12838</v>
      </c>
      <c r="C1311" s="24">
        <v>46240</v>
      </c>
      <c r="D1311" s="3" t="s">
        <v>234</v>
      </c>
      <c r="E1311" s="3" t="s">
        <v>2341</v>
      </c>
      <c r="F1311" s="14" t="s">
        <v>2342</v>
      </c>
      <c r="G1311" s="4" t="s">
        <v>51</v>
      </c>
      <c r="H1311" s="2" t="s">
        <v>17</v>
      </c>
      <c r="I1311" s="2" t="s">
        <v>24</v>
      </c>
      <c r="J1311" s="2" t="s">
        <v>33</v>
      </c>
      <c r="K1311" s="1" t="s">
        <v>657</v>
      </c>
      <c r="L1311" s="1" t="s">
        <v>95</v>
      </c>
    </row>
    <row r="1312" spans="2:12" ht="42" hidden="1" x14ac:dyDescent="0.35">
      <c r="B1312" s="2">
        <v>12839</v>
      </c>
      <c r="C1312" s="24">
        <v>46240</v>
      </c>
      <c r="D1312" s="3" t="s">
        <v>190</v>
      </c>
      <c r="E1312" s="3" t="s">
        <v>2343</v>
      </c>
      <c r="F1312" s="14" t="s">
        <v>2344</v>
      </c>
      <c r="G1312" s="4" t="s">
        <v>51</v>
      </c>
      <c r="H1312" s="2" t="s">
        <v>17</v>
      </c>
      <c r="I1312" s="2" t="s">
        <v>24</v>
      </c>
      <c r="J1312" s="2" t="s">
        <v>41</v>
      </c>
      <c r="K1312" s="1" t="s">
        <v>422</v>
      </c>
      <c r="L1312" s="1" t="s">
        <v>190</v>
      </c>
    </row>
    <row r="1313" spans="2:12" ht="56" hidden="1" x14ac:dyDescent="0.35">
      <c r="B1313" s="2">
        <v>12855</v>
      </c>
      <c r="C1313" s="24">
        <v>46241</v>
      </c>
      <c r="D1313" s="3" t="s">
        <v>104</v>
      </c>
      <c r="E1313" s="3" t="s">
        <v>2345</v>
      </c>
      <c r="F1313" s="14" t="s">
        <v>129</v>
      </c>
      <c r="G1313" s="4" t="s">
        <v>51</v>
      </c>
      <c r="H1313" s="2" t="s">
        <v>17</v>
      </c>
      <c r="I1313" s="2" t="s">
        <v>37</v>
      </c>
      <c r="J1313" s="2" t="s">
        <v>81</v>
      </c>
      <c r="K1313" s="1" t="s">
        <v>107</v>
      </c>
      <c r="L1313" s="1" t="s">
        <v>134</v>
      </c>
    </row>
    <row r="1314" spans="2:12" ht="42" hidden="1" x14ac:dyDescent="0.35">
      <c r="B1314" s="2">
        <v>12842</v>
      </c>
      <c r="C1314" s="24">
        <v>46240</v>
      </c>
      <c r="D1314" s="3" t="s">
        <v>96</v>
      </c>
      <c r="E1314" s="3" t="s">
        <v>2346</v>
      </c>
      <c r="F1314" s="14" t="s">
        <v>2347</v>
      </c>
      <c r="G1314" s="4" t="s">
        <v>51</v>
      </c>
      <c r="H1314" s="2" t="s">
        <v>17</v>
      </c>
      <c r="I1314" s="2" t="s">
        <v>37</v>
      </c>
      <c r="J1314" s="2" t="s">
        <v>81</v>
      </c>
      <c r="K1314" s="1" t="s">
        <v>1179</v>
      </c>
      <c r="L1314" s="1" t="s">
        <v>96</v>
      </c>
    </row>
    <row r="1315" spans="2:12" ht="42" hidden="1" x14ac:dyDescent="0.35">
      <c r="B1315" s="2">
        <v>12889</v>
      </c>
      <c r="C1315" s="24">
        <v>46246</v>
      </c>
      <c r="D1315" s="3" t="s">
        <v>193</v>
      </c>
      <c r="E1315" s="3" t="s">
        <v>2348</v>
      </c>
      <c r="F1315" s="14" t="s">
        <v>2349</v>
      </c>
      <c r="G1315" s="4" t="s">
        <v>51</v>
      </c>
      <c r="H1315" s="2" t="s">
        <v>17</v>
      </c>
      <c r="I1315" s="2" t="s">
        <v>24</v>
      </c>
      <c r="J1315" s="2" t="s">
        <v>241</v>
      </c>
      <c r="K1315" s="1" t="s">
        <v>1955</v>
      </c>
      <c r="L1315" s="1" t="s">
        <v>234</v>
      </c>
    </row>
    <row r="1316" spans="2:12" ht="56" hidden="1" x14ac:dyDescent="0.35">
      <c r="B1316" s="2">
        <v>12916</v>
      </c>
      <c r="C1316" s="24">
        <v>46247</v>
      </c>
      <c r="D1316" s="3" t="s">
        <v>104</v>
      </c>
      <c r="E1316" s="3" t="s">
        <v>2350</v>
      </c>
      <c r="F1316" s="14" t="s">
        <v>1381</v>
      </c>
      <c r="G1316" s="4" t="s">
        <v>16</v>
      </c>
      <c r="H1316" s="2" t="s">
        <v>17</v>
      </c>
      <c r="I1316" s="2" t="s">
        <v>18</v>
      </c>
      <c r="J1316" s="2" t="s">
        <v>68</v>
      </c>
      <c r="K1316" s="1" t="s">
        <v>593</v>
      </c>
      <c r="L1316" s="1" t="s">
        <v>196</v>
      </c>
    </row>
    <row r="1317" spans="2:12" ht="28" hidden="1" x14ac:dyDescent="0.35">
      <c r="B1317" s="2">
        <v>12915</v>
      </c>
      <c r="C1317" s="24">
        <v>46247</v>
      </c>
      <c r="D1317" s="3" t="s">
        <v>250</v>
      </c>
      <c r="E1317" s="3" t="s">
        <v>2351</v>
      </c>
      <c r="F1317" s="14" t="s">
        <v>2352</v>
      </c>
      <c r="G1317" s="4" t="s">
        <v>51</v>
      </c>
      <c r="H1317" s="2" t="s">
        <v>17</v>
      </c>
      <c r="I1317" s="2" t="s">
        <v>24</v>
      </c>
      <c r="J1317" s="2" t="s">
        <v>33</v>
      </c>
      <c r="K1317" s="1" t="s">
        <v>183</v>
      </c>
      <c r="L1317" s="1" t="s">
        <v>95</v>
      </c>
    </row>
    <row r="1318" spans="2:12" ht="42" hidden="1" x14ac:dyDescent="0.35">
      <c r="B1318" s="2">
        <v>12962</v>
      </c>
      <c r="C1318" s="24">
        <v>46248</v>
      </c>
      <c r="D1318" s="3" t="s">
        <v>95</v>
      </c>
      <c r="E1318" s="3" t="s">
        <v>2353</v>
      </c>
      <c r="F1318" s="14" t="s">
        <v>2354</v>
      </c>
      <c r="G1318" s="4" t="s">
        <v>51</v>
      </c>
      <c r="H1318" s="2" t="s">
        <v>17</v>
      </c>
      <c r="I1318" s="2" t="s">
        <v>37</v>
      </c>
      <c r="J1318" s="2" t="s">
        <v>112</v>
      </c>
      <c r="K1318" s="1" t="s">
        <v>2078</v>
      </c>
      <c r="L1318" s="1" t="s">
        <v>250</v>
      </c>
    </row>
    <row r="1319" spans="2:12" ht="42" hidden="1" x14ac:dyDescent="0.35">
      <c r="B1319" s="2">
        <v>12961</v>
      </c>
      <c r="C1319" s="24">
        <v>46245</v>
      </c>
      <c r="D1319" s="3" t="s">
        <v>190</v>
      </c>
      <c r="E1319" s="3" t="s">
        <v>2355</v>
      </c>
      <c r="F1319" s="14" t="s">
        <v>2356</v>
      </c>
      <c r="G1319" s="4" t="s">
        <v>51</v>
      </c>
      <c r="H1319" s="2" t="s">
        <v>17</v>
      </c>
      <c r="I1319" s="2" t="s">
        <v>24</v>
      </c>
      <c r="J1319" s="2" t="s">
        <v>54</v>
      </c>
      <c r="K1319" s="1" t="s">
        <v>2078</v>
      </c>
      <c r="L1319" s="1" t="s">
        <v>250</v>
      </c>
    </row>
    <row r="1320" spans="2:12" ht="28" hidden="1" x14ac:dyDescent="0.35">
      <c r="B1320" s="2">
        <v>12953</v>
      </c>
      <c r="C1320" s="24">
        <v>46247</v>
      </c>
      <c r="D1320" s="3" t="s">
        <v>104</v>
      </c>
      <c r="E1320" s="3" t="s">
        <v>2357</v>
      </c>
      <c r="F1320" s="14" t="s">
        <v>2358</v>
      </c>
      <c r="G1320" s="4" t="s">
        <v>16</v>
      </c>
      <c r="H1320" s="2" t="s">
        <v>17</v>
      </c>
      <c r="I1320" s="2" t="s">
        <v>24</v>
      </c>
      <c r="J1320" s="2" t="s">
        <v>54</v>
      </c>
      <c r="K1320" s="1" t="s">
        <v>1381</v>
      </c>
      <c r="L1320" s="1" t="s">
        <v>104</v>
      </c>
    </row>
    <row r="1321" spans="2:12" ht="28" hidden="1" x14ac:dyDescent="0.35">
      <c r="B1321" s="2">
        <v>12950</v>
      </c>
      <c r="C1321" s="24">
        <v>46247</v>
      </c>
      <c r="D1321" s="3" t="s">
        <v>227</v>
      </c>
      <c r="E1321" s="3" t="s">
        <v>2359</v>
      </c>
      <c r="F1321" s="14" t="s">
        <v>2360</v>
      </c>
      <c r="G1321" s="4" t="s">
        <v>51</v>
      </c>
      <c r="H1321" s="2" t="s">
        <v>17</v>
      </c>
      <c r="I1321" s="2" t="s">
        <v>24</v>
      </c>
      <c r="J1321" s="2" t="s">
        <v>261</v>
      </c>
      <c r="K1321" s="1" t="s">
        <v>1179</v>
      </c>
      <c r="L1321" s="1" t="s">
        <v>96</v>
      </c>
    </row>
    <row r="1322" spans="2:12" ht="42" hidden="1" x14ac:dyDescent="0.35">
      <c r="B1322" s="2">
        <v>12949</v>
      </c>
      <c r="C1322" s="24">
        <v>46246</v>
      </c>
      <c r="D1322" s="3" t="s">
        <v>937</v>
      </c>
      <c r="E1322" s="3" t="s">
        <v>2361</v>
      </c>
      <c r="F1322" s="14" t="s">
        <v>2362</v>
      </c>
      <c r="G1322" s="4" t="s">
        <v>51</v>
      </c>
      <c r="H1322" s="2" t="s">
        <v>17</v>
      </c>
      <c r="I1322" s="2" t="s">
        <v>24</v>
      </c>
      <c r="J1322" s="2" t="s">
        <v>44</v>
      </c>
      <c r="K1322" s="1" t="s">
        <v>1674</v>
      </c>
      <c r="L1322" s="1" t="s">
        <v>371</v>
      </c>
    </row>
    <row r="1323" spans="2:12" ht="42" hidden="1" x14ac:dyDescent="0.35">
      <c r="B1323" s="2">
        <v>12977</v>
      </c>
      <c r="C1323" s="24">
        <v>46244</v>
      </c>
      <c r="D1323" s="3" t="s">
        <v>134</v>
      </c>
      <c r="E1323" s="3" t="s">
        <v>2363</v>
      </c>
      <c r="F1323" s="14" t="s">
        <v>2364</v>
      </c>
      <c r="G1323" s="4" t="s">
        <v>16</v>
      </c>
      <c r="H1323" s="2" t="s">
        <v>17</v>
      </c>
      <c r="I1323" s="2" t="s">
        <v>24</v>
      </c>
      <c r="J1323" s="2" t="s">
        <v>44</v>
      </c>
      <c r="K1323" s="1" t="s">
        <v>107</v>
      </c>
      <c r="L1323" s="1" t="s">
        <v>134</v>
      </c>
    </row>
    <row r="1324" spans="2:12" ht="56" hidden="1" x14ac:dyDescent="0.35">
      <c r="B1324" s="2">
        <v>12985</v>
      </c>
      <c r="C1324" s="24">
        <v>46254</v>
      </c>
      <c r="D1324" s="3" t="s">
        <v>278</v>
      </c>
      <c r="E1324" s="3" t="s">
        <v>2365</v>
      </c>
      <c r="F1324" s="14" t="s">
        <v>2366</v>
      </c>
      <c r="G1324" s="4" t="s">
        <v>51</v>
      </c>
      <c r="H1324" s="2" t="s">
        <v>17</v>
      </c>
      <c r="I1324" s="2" t="s">
        <v>37</v>
      </c>
      <c r="J1324" s="2" t="s">
        <v>112</v>
      </c>
      <c r="K1324" s="1" t="s">
        <v>961</v>
      </c>
      <c r="L1324" s="1" t="s">
        <v>278</v>
      </c>
    </row>
    <row r="1325" spans="2:12" ht="28" hidden="1" x14ac:dyDescent="0.35">
      <c r="B1325" s="2">
        <v>12984</v>
      </c>
      <c r="C1325" s="24">
        <v>46253</v>
      </c>
      <c r="D1325" s="3" t="s">
        <v>104</v>
      </c>
      <c r="E1325" s="3" t="s">
        <v>2367</v>
      </c>
      <c r="F1325" s="14" t="s">
        <v>2368</v>
      </c>
      <c r="G1325" s="4" t="s">
        <v>16</v>
      </c>
      <c r="H1325" s="2" t="s">
        <v>17</v>
      </c>
      <c r="I1325" s="2" t="s">
        <v>18</v>
      </c>
      <c r="J1325" s="2" t="s">
        <v>19</v>
      </c>
      <c r="K1325" s="1" t="s">
        <v>1381</v>
      </c>
      <c r="L1325" s="1" t="s">
        <v>104</v>
      </c>
    </row>
    <row r="1326" spans="2:12" ht="42" hidden="1" x14ac:dyDescent="0.35">
      <c r="B1326" s="2">
        <v>12982</v>
      </c>
      <c r="C1326" s="24">
        <v>46253</v>
      </c>
      <c r="D1326" s="3" t="s">
        <v>96</v>
      </c>
      <c r="E1326" s="3" t="s">
        <v>2369</v>
      </c>
      <c r="F1326" s="14" t="s">
        <v>2370</v>
      </c>
      <c r="G1326" s="4" t="s">
        <v>51</v>
      </c>
      <c r="H1326" s="2" t="s">
        <v>17</v>
      </c>
      <c r="I1326" s="2" t="s">
        <v>24</v>
      </c>
      <c r="J1326" s="2" t="s">
        <v>44</v>
      </c>
      <c r="K1326" s="1" t="s">
        <v>1179</v>
      </c>
      <c r="L1326" s="1" t="s">
        <v>96</v>
      </c>
    </row>
    <row r="1327" spans="2:12" ht="28" hidden="1" x14ac:dyDescent="0.35">
      <c r="B1327" s="2">
        <v>12978</v>
      </c>
      <c r="C1327" s="24">
        <v>46252</v>
      </c>
      <c r="D1327" s="3" t="s">
        <v>104</v>
      </c>
      <c r="E1327" s="3" t="s">
        <v>2371</v>
      </c>
      <c r="F1327" s="14" t="s">
        <v>2372</v>
      </c>
      <c r="G1327" s="4" t="s">
        <v>16</v>
      </c>
      <c r="H1327" s="2" t="s">
        <v>17</v>
      </c>
      <c r="I1327" s="2" t="s">
        <v>24</v>
      </c>
      <c r="J1327" s="2" t="s">
        <v>33</v>
      </c>
      <c r="K1327" s="1" t="s">
        <v>1381</v>
      </c>
      <c r="L1327" s="1" t="s">
        <v>104</v>
      </c>
    </row>
    <row r="1328" spans="2:12" ht="42" hidden="1" x14ac:dyDescent="0.35">
      <c r="B1328" s="2">
        <v>13023</v>
      </c>
      <c r="C1328" s="24">
        <v>46255</v>
      </c>
      <c r="D1328" s="3" t="s">
        <v>196</v>
      </c>
      <c r="E1328" s="3" t="s">
        <v>2373</v>
      </c>
      <c r="F1328" s="14" t="s">
        <v>2374</v>
      </c>
      <c r="G1328" s="4" t="s">
        <v>51</v>
      </c>
      <c r="H1328" s="2" t="s">
        <v>17</v>
      </c>
      <c r="I1328" s="2" t="s">
        <v>24</v>
      </c>
      <c r="J1328" s="2" t="s">
        <v>54</v>
      </c>
      <c r="K1328" s="1" t="s">
        <v>1055</v>
      </c>
      <c r="L1328" s="1" t="s">
        <v>196</v>
      </c>
    </row>
    <row r="1329" spans="2:12" ht="28" hidden="1" x14ac:dyDescent="0.35">
      <c r="B1329" s="2">
        <v>13021</v>
      </c>
      <c r="C1329" s="24">
        <v>46252</v>
      </c>
      <c r="D1329" s="3" t="s">
        <v>21</v>
      </c>
      <c r="E1329" s="3" t="s">
        <v>2375</v>
      </c>
      <c r="F1329" s="14" t="s">
        <v>174</v>
      </c>
      <c r="G1329" s="4" t="s">
        <v>16</v>
      </c>
      <c r="H1329" s="2" t="s">
        <v>17</v>
      </c>
      <c r="I1329" s="2" t="s">
        <v>37</v>
      </c>
      <c r="J1329" s="2" t="s">
        <v>112</v>
      </c>
      <c r="K1329" s="1" t="s">
        <v>1484</v>
      </c>
      <c r="L1329" s="1" t="s">
        <v>13</v>
      </c>
    </row>
    <row r="1330" spans="2:12" ht="28" hidden="1" x14ac:dyDescent="0.35">
      <c r="B1330" s="2">
        <v>13022</v>
      </c>
      <c r="C1330" s="24">
        <v>46252</v>
      </c>
      <c r="D1330" s="3" t="s">
        <v>21</v>
      </c>
      <c r="E1330" s="3" t="s">
        <v>2376</v>
      </c>
      <c r="F1330" s="14" t="s">
        <v>519</v>
      </c>
      <c r="G1330" s="4" t="s">
        <v>16</v>
      </c>
      <c r="H1330" s="2" t="s">
        <v>17</v>
      </c>
      <c r="I1330" s="2" t="s">
        <v>37</v>
      </c>
      <c r="J1330" s="2" t="s">
        <v>112</v>
      </c>
      <c r="K1330" s="1" t="s">
        <v>1484</v>
      </c>
      <c r="L1330" s="1" t="s">
        <v>13</v>
      </c>
    </row>
    <row r="1331" spans="2:12" ht="42" hidden="1" x14ac:dyDescent="0.35">
      <c r="B1331" s="2">
        <v>13028</v>
      </c>
      <c r="C1331" s="24">
        <v>46260</v>
      </c>
      <c r="D1331" s="3" t="s">
        <v>96</v>
      </c>
      <c r="E1331" s="3" t="s">
        <v>2377</v>
      </c>
      <c r="F1331" s="14" t="s">
        <v>2378</v>
      </c>
      <c r="G1331" s="4" t="s">
        <v>51</v>
      </c>
      <c r="H1331" s="2" t="s">
        <v>17</v>
      </c>
      <c r="I1331" s="2" t="s">
        <v>24</v>
      </c>
      <c r="J1331" s="2" t="s">
        <v>54</v>
      </c>
      <c r="K1331" s="1" t="s">
        <v>2379</v>
      </c>
      <c r="L1331" s="1" t="s">
        <v>196</v>
      </c>
    </row>
    <row r="1332" spans="2:12" ht="42" hidden="1" x14ac:dyDescent="0.35">
      <c r="B1332" s="2">
        <v>13026</v>
      </c>
      <c r="C1332" s="24">
        <v>46259</v>
      </c>
      <c r="D1332" s="3" t="s">
        <v>96</v>
      </c>
      <c r="E1332" s="3" t="s">
        <v>2380</v>
      </c>
      <c r="F1332" s="14" t="s">
        <v>2378</v>
      </c>
      <c r="G1332" s="4" t="s">
        <v>51</v>
      </c>
      <c r="H1332" s="2" t="s">
        <v>17</v>
      </c>
      <c r="I1332" s="2" t="s">
        <v>18</v>
      </c>
      <c r="J1332" s="2" t="s">
        <v>19</v>
      </c>
      <c r="K1332" s="1" t="s">
        <v>1179</v>
      </c>
      <c r="L1332" s="1" t="s">
        <v>96</v>
      </c>
    </row>
    <row r="1333" spans="2:12" ht="56" hidden="1" x14ac:dyDescent="0.35">
      <c r="B1333" s="2">
        <v>13024</v>
      </c>
      <c r="C1333" s="24">
        <v>46254</v>
      </c>
      <c r="D1333" s="3" t="s">
        <v>134</v>
      </c>
      <c r="E1333" s="3" t="s">
        <v>2381</v>
      </c>
      <c r="F1333" s="14" t="s">
        <v>1510</v>
      </c>
      <c r="G1333" s="4" t="s">
        <v>16</v>
      </c>
      <c r="H1333" s="2" t="s">
        <v>17</v>
      </c>
      <c r="I1333" s="2" t="s">
        <v>24</v>
      </c>
      <c r="J1333" s="2" t="s">
        <v>33</v>
      </c>
      <c r="K1333" s="1" t="s">
        <v>107</v>
      </c>
      <c r="L1333" s="1" t="s">
        <v>134</v>
      </c>
    </row>
    <row r="1334" spans="2:12" ht="28" hidden="1" x14ac:dyDescent="0.35">
      <c r="B1334" s="2">
        <v>13020</v>
      </c>
      <c r="C1334" s="24">
        <v>46259</v>
      </c>
      <c r="D1334" s="3" t="s">
        <v>190</v>
      </c>
      <c r="E1334" s="3" t="s">
        <v>2382</v>
      </c>
      <c r="F1334" s="14" t="s">
        <v>2383</v>
      </c>
      <c r="G1334" s="4" t="s">
        <v>16</v>
      </c>
      <c r="H1334" s="2" t="s">
        <v>17</v>
      </c>
      <c r="I1334" s="2" t="s">
        <v>24</v>
      </c>
      <c r="J1334" s="2" t="s">
        <v>72</v>
      </c>
      <c r="K1334" s="1" t="s">
        <v>422</v>
      </c>
      <c r="L1334" s="1" t="s">
        <v>190</v>
      </c>
    </row>
    <row r="1335" spans="2:12" ht="28" hidden="1" x14ac:dyDescent="0.35">
      <c r="B1335" s="2">
        <v>13018</v>
      </c>
      <c r="C1335" s="24">
        <v>46258</v>
      </c>
      <c r="D1335" s="3" t="s">
        <v>104</v>
      </c>
      <c r="E1335" s="3" t="s">
        <v>2384</v>
      </c>
      <c r="F1335" s="14" t="s">
        <v>2358</v>
      </c>
      <c r="G1335" s="4" t="s">
        <v>16</v>
      </c>
      <c r="H1335" s="2" t="s">
        <v>17</v>
      </c>
      <c r="I1335" s="2" t="s">
        <v>24</v>
      </c>
      <c r="J1335" s="2" t="s">
        <v>54</v>
      </c>
      <c r="K1335" s="1" t="s">
        <v>1381</v>
      </c>
      <c r="L1335" s="1" t="s">
        <v>104</v>
      </c>
    </row>
    <row r="1336" spans="2:12" ht="28" hidden="1" x14ac:dyDescent="0.35">
      <c r="B1336" s="2">
        <v>13016</v>
      </c>
      <c r="C1336" s="24">
        <v>46256</v>
      </c>
      <c r="D1336" s="3" t="s">
        <v>96</v>
      </c>
      <c r="E1336" s="3" t="s">
        <v>2385</v>
      </c>
      <c r="F1336" s="14" t="s">
        <v>2386</v>
      </c>
      <c r="G1336" s="4" t="s">
        <v>51</v>
      </c>
      <c r="H1336" s="2" t="s">
        <v>17</v>
      </c>
      <c r="I1336" s="2" t="s">
        <v>18</v>
      </c>
      <c r="J1336" s="2" t="s">
        <v>171</v>
      </c>
      <c r="K1336" s="1" t="s">
        <v>1179</v>
      </c>
      <c r="L1336" s="1" t="s">
        <v>96</v>
      </c>
    </row>
    <row r="1337" spans="2:12" ht="42" hidden="1" x14ac:dyDescent="0.35">
      <c r="B1337" s="2">
        <v>13067</v>
      </c>
      <c r="C1337" s="24">
        <v>46257</v>
      </c>
      <c r="D1337" s="3" t="s">
        <v>34</v>
      </c>
      <c r="E1337" s="3" t="s">
        <v>2387</v>
      </c>
      <c r="F1337" s="14" t="s">
        <v>863</v>
      </c>
      <c r="G1337" s="4" t="s">
        <v>51</v>
      </c>
      <c r="H1337" s="2" t="s">
        <v>17</v>
      </c>
      <c r="I1337" s="2" t="s">
        <v>18</v>
      </c>
      <c r="J1337" s="2" t="s">
        <v>19</v>
      </c>
      <c r="K1337" s="1" t="s">
        <v>1147</v>
      </c>
      <c r="L1337" s="1" t="s">
        <v>95</v>
      </c>
    </row>
    <row r="1338" spans="2:12" ht="42" hidden="1" x14ac:dyDescent="0.35">
      <c r="B1338" s="2">
        <v>13068</v>
      </c>
      <c r="C1338" s="24">
        <v>46259</v>
      </c>
      <c r="D1338" s="3" t="s">
        <v>21</v>
      </c>
      <c r="E1338" s="3" t="s">
        <v>2388</v>
      </c>
      <c r="F1338" s="14" t="s">
        <v>1399</v>
      </c>
      <c r="G1338" s="4" t="s">
        <v>16</v>
      </c>
      <c r="H1338" s="2" t="s">
        <v>17</v>
      </c>
      <c r="I1338" s="2" t="s">
        <v>24</v>
      </c>
      <c r="J1338" s="2" t="s">
        <v>29</v>
      </c>
      <c r="K1338" s="1" t="s">
        <v>1484</v>
      </c>
      <c r="L1338" s="1" t="s">
        <v>13</v>
      </c>
    </row>
    <row r="1339" spans="2:12" ht="42" hidden="1" x14ac:dyDescent="0.35">
      <c r="B1339" s="2">
        <v>13069</v>
      </c>
      <c r="C1339" s="24">
        <v>46259</v>
      </c>
      <c r="D1339" s="3" t="s">
        <v>21</v>
      </c>
      <c r="E1339" s="3" t="s">
        <v>2389</v>
      </c>
      <c r="F1339" s="14" t="s">
        <v>1463</v>
      </c>
      <c r="G1339" s="4" t="s">
        <v>16</v>
      </c>
      <c r="H1339" s="2" t="s">
        <v>17</v>
      </c>
      <c r="I1339" s="2" t="s">
        <v>24</v>
      </c>
      <c r="J1339" s="2" t="s">
        <v>29</v>
      </c>
      <c r="K1339" s="1" t="s">
        <v>1484</v>
      </c>
      <c r="L1339" s="1" t="s">
        <v>21</v>
      </c>
    </row>
    <row r="1340" spans="2:12" ht="42" hidden="1" x14ac:dyDescent="0.35">
      <c r="B1340" s="2">
        <v>13070</v>
      </c>
      <c r="C1340" s="24">
        <v>46259</v>
      </c>
      <c r="D1340" s="3" t="s">
        <v>21</v>
      </c>
      <c r="E1340" s="3" t="s">
        <v>2390</v>
      </c>
      <c r="F1340" s="14" t="s">
        <v>2152</v>
      </c>
      <c r="G1340" s="4" t="s">
        <v>16</v>
      </c>
      <c r="H1340" s="2" t="s">
        <v>17</v>
      </c>
      <c r="I1340" s="2" t="s">
        <v>24</v>
      </c>
      <c r="J1340" s="2" t="s">
        <v>29</v>
      </c>
      <c r="K1340" s="1" t="s">
        <v>1484</v>
      </c>
      <c r="L1340" s="1" t="s">
        <v>21</v>
      </c>
    </row>
    <row r="1341" spans="2:12" ht="42" hidden="1" x14ac:dyDescent="0.35">
      <c r="B1341" s="2">
        <v>13071</v>
      </c>
      <c r="C1341" s="24">
        <v>46259</v>
      </c>
      <c r="D1341" s="3" t="s">
        <v>21</v>
      </c>
      <c r="E1341" s="3" t="s">
        <v>2391</v>
      </c>
      <c r="F1341" s="14" t="s">
        <v>204</v>
      </c>
      <c r="G1341" s="4" t="s">
        <v>16</v>
      </c>
      <c r="H1341" s="2" t="s">
        <v>17</v>
      </c>
      <c r="I1341" s="2" t="s">
        <v>24</v>
      </c>
      <c r="J1341" s="2" t="s">
        <v>29</v>
      </c>
      <c r="K1341" s="1" t="s">
        <v>1484</v>
      </c>
      <c r="L1341" s="1" t="s">
        <v>21</v>
      </c>
    </row>
    <row r="1342" spans="2:12" ht="42" hidden="1" x14ac:dyDescent="0.35">
      <c r="B1342" s="2">
        <v>13072</v>
      </c>
      <c r="C1342" s="24">
        <v>46260</v>
      </c>
      <c r="D1342" s="3" t="s">
        <v>196</v>
      </c>
      <c r="E1342" s="3" t="s">
        <v>2392</v>
      </c>
      <c r="F1342" s="14" t="s">
        <v>2393</v>
      </c>
      <c r="G1342" s="4" t="s">
        <v>51</v>
      </c>
      <c r="H1342" s="2" t="s">
        <v>17</v>
      </c>
      <c r="I1342" s="2" t="s">
        <v>24</v>
      </c>
      <c r="J1342" s="2" t="s">
        <v>54</v>
      </c>
      <c r="K1342" s="1" t="s">
        <v>595</v>
      </c>
      <c r="L1342" s="1" t="s">
        <v>96</v>
      </c>
    </row>
    <row r="1343" spans="2:12" ht="42" hidden="1" x14ac:dyDescent="0.35">
      <c r="B1343" s="2">
        <v>13085</v>
      </c>
      <c r="C1343" s="24">
        <v>46240</v>
      </c>
      <c r="D1343" s="3" t="s">
        <v>96</v>
      </c>
      <c r="E1343" s="3" t="s">
        <v>2394</v>
      </c>
      <c r="F1343" s="14" t="s">
        <v>2395</v>
      </c>
      <c r="G1343" s="4" t="s">
        <v>51</v>
      </c>
      <c r="H1343" s="2" t="s">
        <v>17</v>
      </c>
      <c r="I1343" s="2" t="s">
        <v>37</v>
      </c>
      <c r="J1343" s="2" t="s">
        <v>81</v>
      </c>
      <c r="K1343" s="1" t="s">
        <v>1179</v>
      </c>
      <c r="L1343" s="1" t="s">
        <v>96</v>
      </c>
    </row>
    <row r="1344" spans="2:12" ht="28" hidden="1" x14ac:dyDescent="0.35">
      <c r="B1344" s="2">
        <v>13086</v>
      </c>
      <c r="C1344" s="24">
        <v>46240</v>
      </c>
      <c r="D1344" s="3" t="s">
        <v>104</v>
      </c>
      <c r="E1344" s="3" t="s">
        <v>2339</v>
      </c>
      <c r="F1344" s="14" t="s">
        <v>1974</v>
      </c>
      <c r="G1344" s="4" t="s">
        <v>16</v>
      </c>
      <c r="H1344" s="2" t="s">
        <v>17</v>
      </c>
      <c r="I1344" s="2" t="s">
        <v>24</v>
      </c>
      <c r="J1344" s="2" t="s">
        <v>54</v>
      </c>
      <c r="K1344" s="1" t="s">
        <v>1381</v>
      </c>
      <c r="L1344" s="1" t="s">
        <v>104</v>
      </c>
    </row>
    <row r="1345" spans="2:12" ht="42" hidden="1" x14ac:dyDescent="0.35">
      <c r="B1345" s="2">
        <v>13087</v>
      </c>
      <c r="C1345" s="24">
        <v>46258</v>
      </c>
      <c r="D1345" s="3" t="s">
        <v>96</v>
      </c>
      <c r="E1345" s="3" t="s">
        <v>2396</v>
      </c>
      <c r="F1345" s="14" t="s">
        <v>2347</v>
      </c>
      <c r="G1345" s="4" t="s">
        <v>51</v>
      </c>
      <c r="H1345" s="2" t="s">
        <v>17</v>
      </c>
      <c r="I1345" s="2" t="s">
        <v>37</v>
      </c>
      <c r="J1345" s="2" t="s">
        <v>112</v>
      </c>
      <c r="K1345" s="1" t="s">
        <v>2286</v>
      </c>
      <c r="L1345" s="1" t="s">
        <v>395</v>
      </c>
    </row>
    <row r="1346" spans="2:12" hidden="1" x14ac:dyDescent="0.35">
      <c r="B1346" s="2">
        <v>13096</v>
      </c>
      <c r="C1346" s="24">
        <v>46265</v>
      </c>
      <c r="D1346" s="3" t="s">
        <v>190</v>
      </c>
      <c r="E1346" s="3" t="s">
        <v>2397</v>
      </c>
      <c r="F1346" s="14" t="s">
        <v>2398</v>
      </c>
      <c r="G1346" s="4" t="s">
        <v>51</v>
      </c>
      <c r="H1346" s="2" t="s">
        <v>281</v>
      </c>
      <c r="I1346" s="2" t="s">
        <v>37</v>
      </c>
      <c r="J1346" s="2" t="s">
        <v>38</v>
      </c>
      <c r="K1346" s="1" t="s">
        <v>1979</v>
      </c>
      <c r="L1346" s="1" t="s">
        <v>95</v>
      </c>
    </row>
    <row r="1347" spans="2:12" ht="42" hidden="1" x14ac:dyDescent="0.35">
      <c r="B1347" s="2">
        <v>13093</v>
      </c>
      <c r="C1347" s="24">
        <v>46265</v>
      </c>
      <c r="D1347" s="3" t="s">
        <v>234</v>
      </c>
      <c r="E1347" s="3" t="s">
        <v>2399</v>
      </c>
      <c r="F1347" s="14" t="s">
        <v>2400</v>
      </c>
      <c r="G1347" s="4" t="s">
        <v>16</v>
      </c>
      <c r="H1347" s="2" t="s">
        <v>17</v>
      </c>
      <c r="I1347" s="2" t="s">
        <v>37</v>
      </c>
      <c r="J1347" s="2" t="s">
        <v>81</v>
      </c>
      <c r="K1347" s="1" t="s">
        <v>1116</v>
      </c>
      <c r="L1347" s="1" t="s">
        <v>95</v>
      </c>
    </row>
    <row r="1348" spans="2:12" ht="42" hidden="1" x14ac:dyDescent="0.35">
      <c r="B1348" s="2">
        <v>13092</v>
      </c>
      <c r="C1348" s="24">
        <v>46262</v>
      </c>
      <c r="D1348" s="3" t="s">
        <v>193</v>
      </c>
      <c r="E1348" s="3" t="s">
        <v>2401</v>
      </c>
      <c r="F1348" s="14" t="s">
        <v>2402</v>
      </c>
      <c r="G1348" s="4" t="s">
        <v>51</v>
      </c>
      <c r="H1348" s="2" t="s">
        <v>17</v>
      </c>
      <c r="I1348" s="2" t="s">
        <v>37</v>
      </c>
      <c r="J1348" s="2" t="s">
        <v>38</v>
      </c>
      <c r="K1348" s="1" t="s">
        <v>1116</v>
      </c>
      <c r="L1348" s="1" t="s">
        <v>95</v>
      </c>
    </row>
    <row r="1349" spans="2:12" ht="42" hidden="1" x14ac:dyDescent="0.35">
      <c r="B1349" s="2">
        <v>13090</v>
      </c>
      <c r="C1349" s="24">
        <v>46263</v>
      </c>
      <c r="D1349" s="3" t="s">
        <v>13</v>
      </c>
      <c r="E1349" s="3" t="s">
        <v>2403</v>
      </c>
      <c r="F1349" s="14" t="s">
        <v>2404</v>
      </c>
      <c r="G1349" s="4" t="s">
        <v>51</v>
      </c>
      <c r="H1349" s="2" t="s">
        <v>17</v>
      </c>
      <c r="I1349" s="2" t="s">
        <v>24</v>
      </c>
      <c r="J1349" s="2" t="s">
        <v>54</v>
      </c>
      <c r="K1349" s="1" t="s">
        <v>1092</v>
      </c>
      <c r="L1349" s="1" t="s">
        <v>95</v>
      </c>
    </row>
    <row r="1350" spans="2:12" ht="42" hidden="1" x14ac:dyDescent="0.35">
      <c r="B1350" s="2">
        <v>13124</v>
      </c>
      <c r="C1350" s="24">
        <v>46265</v>
      </c>
      <c r="D1350" s="3" t="s">
        <v>21</v>
      </c>
      <c r="E1350" s="3" t="s">
        <v>2405</v>
      </c>
      <c r="F1350" s="14" t="s">
        <v>23</v>
      </c>
      <c r="G1350" s="4" t="s">
        <v>16</v>
      </c>
      <c r="H1350" s="2" t="s">
        <v>17</v>
      </c>
      <c r="I1350" s="2" t="s">
        <v>24</v>
      </c>
      <c r="J1350" s="2" t="s">
        <v>33</v>
      </c>
      <c r="K1350" s="1" t="s">
        <v>1391</v>
      </c>
      <c r="L1350" s="1" t="s">
        <v>13</v>
      </c>
    </row>
    <row r="1351" spans="2:12" ht="42" hidden="1" x14ac:dyDescent="0.35">
      <c r="B1351" s="2">
        <v>13123</v>
      </c>
      <c r="C1351" s="24">
        <v>46265</v>
      </c>
      <c r="D1351" s="3" t="s">
        <v>21</v>
      </c>
      <c r="E1351" s="3" t="s">
        <v>2406</v>
      </c>
      <c r="F1351" s="14" t="s">
        <v>174</v>
      </c>
      <c r="G1351" s="4" t="s">
        <v>16</v>
      </c>
      <c r="H1351" s="2" t="s">
        <v>17</v>
      </c>
      <c r="I1351" s="2" t="s">
        <v>24</v>
      </c>
      <c r="J1351" s="2" t="s">
        <v>33</v>
      </c>
      <c r="K1351" s="1" t="s">
        <v>1484</v>
      </c>
      <c r="L1351" s="1" t="s">
        <v>21</v>
      </c>
    </row>
    <row r="1352" spans="2:12" ht="28" hidden="1" x14ac:dyDescent="0.35">
      <c r="B1352" s="2">
        <v>13125</v>
      </c>
      <c r="C1352" s="24">
        <v>46265</v>
      </c>
      <c r="D1352" s="3" t="s">
        <v>26</v>
      </c>
      <c r="E1352" s="3" t="s">
        <v>2407</v>
      </c>
      <c r="F1352" s="14" t="s">
        <v>2408</v>
      </c>
      <c r="G1352" s="4" t="s">
        <v>16</v>
      </c>
      <c r="H1352" s="2" t="s">
        <v>17</v>
      </c>
      <c r="I1352" s="2" t="s">
        <v>24</v>
      </c>
      <c r="J1352" s="2" t="s">
        <v>54</v>
      </c>
      <c r="K1352" s="1" t="s">
        <v>30</v>
      </c>
      <c r="L1352" s="1" t="s">
        <v>26</v>
      </c>
    </row>
    <row r="1353" spans="2:12" ht="42" hidden="1" x14ac:dyDescent="0.35">
      <c r="B1353" s="2">
        <v>13126</v>
      </c>
      <c r="C1353" s="24">
        <v>46265</v>
      </c>
      <c r="D1353" s="3" t="s">
        <v>26</v>
      </c>
      <c r="E1353" s="3" t="s">
        <v>2409</v>
      </c>
      <c r="F1353" s="14" t="s">
        <v>2410</v>
      </c>
      <c r="G1353" s="4" t="s">
        <v>51</v>
      </c>
      <c r="H1353" s="2" t="s">
        <v>17</v>
      </c>
      <c r="I1353" s="2" t="s">
        <v>24</v>
      </c>
      <c r="J1353" s="2" t="s">
        <v>44</v>
      </c>
      <c r="K1353" s="1" t="s">
        <v>30</v>
      </c>
      <c r="L1353" s="1" t="s">
        <v>26</v>
      </c>
    </row>
    <row r="1354" spans="2:12" ht="42" hidden="1" x14ac:dyDescent="0.35">
      <c r="B1354" s="2">
        <v>13127</v>
      </c>
      <c r="C1354" s="24">
        <v>46265</v>
      </c>
      <c r="D1354" s="3" t="s">
        <v>34</v>
      </c>
      <c r="E1354" s="3" t="s">
        <v>2411</v>
      </c>
      <c r="F1354" s="14" t="s">
        <v>2412</v>
      </c>
      <c r="G1354" s="4" t="s">
        <v>51</v>
      </c>
      <c r="H1354" s="2" t="s">
        <v>17</v>
      </c>
      <c r="I1354" s="2" t="s">
        <v>18</v>
      </c>
      <c r="J1354" s="2" t="s">
        <v>19</v>
      </c>
      <c r="K1354" s="1" t="s">
        <v>1525</v>
      </c>
      <c r="L1354" s="1" t="s">
        <v>34</v>
      </c>
    </row>
    <row r="1355" spans="2:12" ht="42" hidden="1" x14ac:dyDescent="0.35">
      <c r="B1355" s="2">
        <v>13129</v>
      </c>
      <c r="C1355" s="24">
        <v>46265</v>
      </c>
      <c r="D1355" s="3" t="s">
        <v>34</v>
      </c>
      <c r="E1355" s="3" t="s">
        <v>2413</v>
      </c>
      <c r="F1355" s="14" t="s">
        <v>2414</v>
      </c>
      <c r="G1355" s="4" t="s">
        <v>51</v>
      </c>
      <c r="H1355" s="2" t="s">
        <v>17</v>
      </c>
      <c r="I1355" s="2" t="s">
        <v>24</v>
      </c>
      <c r="J1355" s="2" t="s">
        <v>29</v>
      </c>
      <c r="K1355" s="1" t="s">
        <v>60</v>
      </c>
      <c r="L1355" s="1" t="s">
        <v>34</v>
      </c>
    </row>
    <row r="1356" spans="2:12" ht="42" hidden="1" x14ac:dyDescent="0.35">
      <c r="B1356" s="2">
        <v>13128</v>
      </c>
      <c r="C1356" s="24">
        <v>46265</v>
      </c>
      <c r="D1356" s="3" t="s">
        <v>26</v>
      </c>
      <c r="E1356" s="3" t="s">
        <v>2415</v>
      </c>
      <c r="F1356" s="14" t="s">
        <v>2416</v>
      </c>
      <c r="G1356" s="4" t="s">
        <v>51</v>
      </c>
      <c r="H1356" s="2" t="s">
        <v>17</v>
      </c>
      <c r="I1356" s="2" t="s">
        <v>18</v>
      </c>
      <c r="J1356" s="2" t="s">
        <v>19</v>
      </c>
      <c r="K1356" s="1" t="s">
        <v>30</v>
      </c>
      <c r="L1356" s="1" t="s">
        <v>26</v>
      </c>
    </row>
    <row r="1357" spans="2:12" ht="42" hidden="1" x14ac:dyDescent="0.35">
      <c r="B1357" s="2">
        <v>13130</v>
      </c>
      <c r="C1357" s="24">
        <v>46265</v>
      </c>
      <c r="D1357" s="3" t="s">
        <v>34</v>
      </c>
      <c r="E1357" s="3" t="s">
        <v>2417</v>
      </c>
      <c r="F1357" s="14" t="s">
        <v>2143</v>
      </c>
      <c r="G1357" s="4" t="s">
        <v>51</v>
      </c>
      <c r="H1357" s="2" t="s">
        <v>17</v>
      </c>
      <c r="I1357" s="2" t="s">
        <v>24</v>
      </c>
      <c r="J1357" s="2" t="s">
        <v>44</v>
      </c>
      <c r="K1357" s="1" t="s">
        <v>60</v>
      </c>
      <c r="L1357" s="1" t="s">
        <v>34</v>
      </c>
    </row>
    <row r="1358" spans="2:12" ht="56" hidden="1" x14ac:dyDescent="0.35">
      <c r="B1358" s="2">
        <v>13131</v>
      </c>
      <c r="C1358" s="24">
        <v>46265</v>
      </c>
      <c r="D1358" s="3" t="s">
        <v>26</v>
      </c>
      <c r="E1358" s="3" t="s">
        <v>2418</v>
      </c>
      <c r="F1358" s="14" t="s">
        <v>2419</v>
      </c>
      <c r="G1358" s="4" t="s">
        <v>51</v>
      </c>
      <c r="H1358" s="2" t="s">
        <v>17</v>
      </c>
      <c r="I1358" s="2" t="s">
        <v>37</v>
      </c>
      <c r="J1358" s="2" t="s">
        <v>112</v>
      </c>
      <c r="K1358" s="1" t="s">
        <v>30</v>
      </c>
      <c r="L1358" s="1" t="s">
        <v>26</v>
      </c>
    </row>
    <row r="1359" spans="2:12" ht="56" hidden="1" x14ac:dyDescent="0.35">
      <c r="B1359" s="2">
        <v>13132</v>
      </c>
      <c r="C1359" s="24">
        <v>46265</v>
      </c>
      <c r="D1359" s="3" t="s">
        <v>34</v>
      </c>
      <c r="E1359" s="3" t="s">
        <v>2420</v>
      </c>
      <c r="F1359" s="14" t="s">
        <v>1031</v>
      </c>
      <c r="G1359" s="4" t="s">
        <v>51</v>
      </c>
      <c r="H1359" s="2" t="s">
        <v>17</v>
      </c>
      <c r="I1359" s="2" t="s">
        <v>24</v>
      </c>
      <c r="J1359" s="2" t="s">
        <v>33</v>
      </c>
      <c r="K1359" s="1" t="s">
        <v>1525</v>
      </c>
      <c r="L1359" s="1" t="s">
        <v>34</v>
      </c>
    </row>
    <row r="1360" spans="2:12" ht="28" hidden="1" x14ac:dyDescent="0.35">
      <c r="B1360" s="2">
        <v>13133</v>
      </c>
      <c r="C1360" s="24">
        <v>46265</v>
      </c>
      <c r="D1360" s="3" t="s">
        <v>134</v>
      </c>
      <c r="E1360" s="3" t="s">
        <v>2421</v>
      </c>
      <c r="F1360" s="14" t="s">
        <v>1510</v>
      </c>
      <c r="G1360" s="4" t="s">
        <v>16</v>
      </c>
      <c r="H1360" s="2" t="s">
        <v>17</v>
      </c>
      <c r="I1360" s="2" t="s">
        <v>24</v>
      </c>
      <c r="J1360" s="2" t="s">
        <v>33</v>
      </c>
      <c r="K1360" s="1" t="s">
        <v>1147</v>
      </c>
      <c r="L1360" s="1" t="s">
        <v>95</v>
      </c>
    </row>
    <row r="1361" spans="2:12" ht="42" x14ac:dyDescent="0.35">
      <c r="B1361" s="2">
        <v>13251</v>
      </c>
      <c r="C1361" s="24">
        <v>46279</v>
      </c>
      <c r="D1361" s="3" t="s">
        <v>26</v>
      </c>
      <c r="E1361" s="3" t="s">
        <v>2422</v>
      </c>
      <c r="F1361" s="14" t="s">
        <v>2423</v>
      </c>
      <c r="G1361" s="4" t="s">
        <v>51</v>
      </c>
      <c r="H1361" s="2" t="s">
        <v>17</v>
      </c>
      <c r="I1361" s="2" t="s">
        <v>24</v>
      </c>
      <c r="J1361" s="2" t="s">
        <v>54</v>
      </c>
      <c r="K1361" s="1" t="s">
        <v>78</v>
      </c>
      <c r="L1361" s="1" t="s">
        <v>26</v>
      </c>
    </row>
    <row r="1362" spans="2:12" ht="42" x14ac:dyDescent="0.35">
      <c r="B1362" s="2">
        <v>13250</v>
      </c>
      <c r="C1362" s="24">
        <v>46279</v>
      </c>
      <c r="D1362" s="3" t="s">
        <v>26</v>
      </c>
      <c r="E1362" s="3" t="s">
        <v>2424</v>
      </c>
      <c r="F1362" s="14" t="s">
        <v>2425</v>
      </c>
      <c r="G1362" s="4" t="s">
        <v>16</v>
      </c>
      <c r="H1362" s="2" t="s">
        <v>17</v>
      </c>
      <c r="I1362" s="2" t="s">
        <v>18</v>
      </c>
      <c r="J1362" s="2" t="s">
        <v>19</v>
      </c>
      <c r="K1362" s="1" t="s">
        <v>78</v>
      </c>
      <c r="L1362" s="1" t="s">
        <v>26</v>
      </c>
    </row>
    <row r="1363" spans="2:12" ht="42" x14ac:dyDescent="0.35">
      <c r="B1363" s="2">
        <v>13393</v>
      </c>
      <c r="C1363" s="24">
        <v>46289</v>
      </c>
      <c r="D1363" s="3" t="s">
        <v>34</v>
      </c>
      <c r="E1363" s="3" t="s">
        <v>2426</v>
      </c>
      <c r="F1363" s="14" t="s">
        <v>2427</v>
      </c>
      <c r="G1363" s="4" t="s">
        <v>51</v>
      </c>
      <c r="H1363" s="2" t="s">
        <v>17</v>
      </c>
      <c r="I1363" s="2" t="s">
        <v>18</v>
      </c>
      <c r="J1363" s="2" t="s">
        <v>19</v>
      </c>
      <c r="K1363" s="1" t="s">
        <v>78</v>
      </c>
      <c r="L1363" s="1" t="s">
        <v>26</v>
      </c>
    </row>
    <row r="1364" spans="2:12" ht="42" x14ac:dyDescent="0.35">
      <c r="B1364" s="2">
        <v>13392</v>
      </c>
      <c r="C1364" s="24">
        <v>46289</v>
      </c>
      <c r="D1364" s="3" t="s">
        <v>34</v>
      </c>
      <c r="E1364" s="3" t="s">
        <v>2428</v>
      </c>
      <c r="F1364" s="14" t="s">
        <v>85</v>
      </c>
      <c r="G1364" s="4" t="s">
        <v>16</v>
      </c>
      <c r="H1364" s="2" t="s">
        <v>17</v>
      </c>
      <c r="I1364" s="2" t="s">
        <v>24</v>
      </c>
      <c r="J1364" s="2" t="s">
        <v>54</v>
      </c>
      <c r="K1364" s="1" t="s">
        <v>78</v>
      </c>
      <c r="L1364" s="1" t="s">
        <v>26</v>
      </c>
    </row>
    <row r="1365" spans="2:12" ht="42" x14ac:dyDescent="0.35">
      <c r="B1365" s="2">
        <v>13385</v>
      </c>
      <c r="C1365" s="24">
        <v>46288</v>
      </c>
      <c r="D1365" s="3" t="s">
        <v>26</v>
      </c>
      <c r="E1365" s="3" t="s">
        <v>2429</v>
      </c>
      <c r="F1365" s="14" t="s">
        <v>2430</v>
      </c>
      <c r="G1365" s="4" t="s">
        <v>16</v>
      </c>
      <c r="H1365" s="2" t="s">
        <v>17</v>
      </c>
      <c r="I1365" s="2" t="s">
        <v>24</v>
      </c>
      <c r="J1365" s="2" t="s">
        <v>44</v>
      </c>
      <c r="K1365" s="1" t="s">
        <v>78</v>
      </c>
      <c r="L1365" s="1" t="s">
        <v>26</v>
      </c>
    </row>
    <row r="1366" spans="2:12" ht="42" x14ac:dyDescent="0.35">
      <c r="B1366" s="2">
        <v>13386</v>
      </c>
      <c r="C1366" s="24">
        <v>46288</v>
      </c>
      <c r="D1366" s="3" t="s">
        <v>26</v>
      </c>
      <c r="E1366" s="3" t="s">
        <v>2431</v>
      </c>
      <c r="F1366" s="14" t="s">
        <v>2423</v>
      </c>
      <c r="G1366" s="4" t="s">
        <v>16</v>
      </c>
      <c r="H1366" s="2" t="s">
        <v>17</v>
      </c>
      <c r="I1366" s="2" t="s">
        <v>37</v>
      </c>
      <c r="J1366" s="2" t="s">
        <v>112</v>
      </c>
      <c r="K1366" s="1" t="s">
        <v>78</v>
      </c>
      <c r="L1366" s="1" t="s">
        <v>26</v>
      </c>
    </row>
    <row r="1367" spans="2:12" ht="28" x14ac:dyDescent="0.35">
      <c r="B1367" s="2">
        <v>13439</v>
      </c>
      <c r="C1367" s="24">
        <v>46294</v>
      </c>
      <c r="D1367" s="3" t="s">
        <v>26</v>
      </c>
      <c r="E1367" s="3" t="s">
        <v>2432</v>
      </c>
      <c r="F1367" s="14" t="s">
        <v>2433</v>
      </c>
      <c r="G1367" s="4" t="s">
        <v>51</v>
      </c>
      <c r="H1367" s="2" t="s">
        <v>17</v>
      </c>
      <c r="I1367" s="2" t="s">
        <v>24</v>
      </c>
      <c r="J1367" s="2" t="s">
        <v>54</v>
      </c>
      <c r="K1367" s="1" t="s">
        <v>78</v>
      </c>
      <c r="L1367" s="1" t="s">
        <v>26</v>
      </c>
    </row>
    <row r="1368" spans="2:12" ht="68.150000000000006" customHeight="1" x14ac:dyDescent="0.35">
      <c r="B1368" s="2">
        <v>13438</v>
      </c>
      <c r="C1368" s="24">
        <v>46294</v>
      </c>
      <c r="D1368" s="3" t="s">
        <v>26</v>
      </c>
      <c r="E1368" s="3" t="s">
        <v>2434</v>
      </c>
      <c r="F1368" s="14" t="s">
        <v>2435</v>
      </c>
      <c r="G1368" s="4" t="s">
        <v>51</v>
      </c>
      <c r="H1368" s="2" t="s">
        <v>17</v>
      </c>
      <c r="I1368" s="2" t="s">
        <v>37</v>
      </c>
      <c r="J1368" s="2" t="s">
        <v>38</v>
      </c>
      <c r="K1368" s="1" t="s">
        <v>78</v>
      </c>
      <c r="L1368" s="1" t="s">
        <v>26</v>
      </c>
    </row>
    <row r="1369" spans="2:12" ht="28" x14ac:dyDescent="0.35">
      <c r="B1369" s="2">
        <v>13362</v>
      </c>
      <c r="C1369" s="24">
        <v>46289</v>
      </c>
      <c r="D1369" s="3" t="s">
        <v>21</v>
      </c>
      <c r="E1369" s="3" t="s">
        <v>2436</v>
      </c>
      <c r="F1369" s="14" t="s">
        <v>2437</v>
      </c>
      <c r="G1369" s="4" t="s">
        <v>16</v>
      </c>
      <c r="H1369" s="2" t="s">
        <v>17</v>
      </c>
      <c r="I1369" s="2" t="s">
        <v>24</v>
      </c>
      <c r="J1369" s="2" t="s">
        <v>33</v>
      </c>
      <c r="K1369" s="1" t="s">
        <v>183</v>
      </c>
      <c r="L1369" s="1" t="s">
        <v>95</v>
      </c>
    </row>
    <row r="1370" spans="2:12" ht="56" x14ac:dyDescent="0.35">
      <c r="B1370" s="2">
        <v>13218</v>
      </c>
      <c r="C1370" s="24">
        <v>46272</v>
      </c>
      <c r="D1370" s="3" t="s">
        <v>96</v>
      </c>
      <c r="E1370" s="3" t="s">
        <v>2438</v>
      </c>
      <c r="F1370" s="14" t="s">
        <v>2439</v>
      </c>
      <c r="G1370" s="4" t="s">
        <v>51</v>
      </c>
      <c r="H1370" s="2" t="s">
        <v>17</v>
      </c>
      <c r="I1370" s="2" t="s">
        <v>37</v>
      </c>
      <c r="J1370" s="2" t="s">
        <v>112</v>
      </c>
      <c r="K1370" s="1" t="s">
        <v>2440</v>
      </c>
      <c r="L1370" s="1" t="s">
        <v>395</v>
      </c>
    </row>
    <row r="1371" spans="2:12" ht="56" x14ac:dyDescent="0.35">
      <c r="B1371" s="2">
        <v>13217</v>
      </c>
      <c r="C1371" s="24">
        <v>46272</v>
      </c>
      <c r="D1371" s="3" t="s">
        <v>96</v>
      </c>
      <c r="E1371" s="3" t="s">
        <v>2441</v>
      </c>
      <c r="F1371" s="14" t="s">
        <v>2442</v>
      </c>
      <c r="G1371" s="4" t="s">
        <v>51</v>
      </c>
      <c r="H1371" s="2" t="s">
        <v>17</v>
      </c>
      <c r="I1371" s="2" t="s">
        <v>37</v>
      </c>
      <c r="J1371" s="2" t="s">
        <v>112</v>
      </c>
      <c r="K1371" s="1" t="s">
        <v>2440</v>
      </c>
      <c r="L1371" s="1" t="s">
        <v>395</v>
      </c>
    </row>
    <row r="1372" spans="2:12" ht="42" x14ac:dyDescent="0.35">
      <c r="B1372" s="2">
        <v>13291</v>
      </c>
      <c r="C1372" s="24">
        <v>46281</v>
      </c>
      <c r="D1372" s="3" t="s">
        <v>134</v>
      </c>
      <c r="E1372" s="3" t="s">
        <v>2443</v>
      </c>
      <c r="F1372" s="14" t="s">
        <v>2444</v>
      </c>
      <c r="G1372" s="4" t="s">
        <v>51</v>
      </c>
      <c r="H1372" s="2" t="s">
        <v>17</v>
      </c>
      <c r="I1372" s="2" t="s">
        <v>37</v>
      </c>
      <c r="J1372" s="2" t="s">
        <v>112</v>
      </c>
      <c r="K1372" s="1" t="s">
        <v>2440</v>
      </c>
      <c r="L1372" s="1" t="s">
        <v>395</v>
      </c>
    </row>
    <row r="1373" spans="2:12" ht="42" x14ac:dyDescent="0.35">
      <c r="B1373" s="2">
        <v>13292</v>
      </c>
      <c r="C1373" s="24">
        <v>46281</v>
      </c>
      <c r="D1373" s="3" t="s">
        <v>134</v>
      </c>
      <c r="E1373" s="3" t="s">
        <v>2443</v>
      </c>
      <c r="F1373" s="14" t="s">
        <v>2445</v>
      </c>
      <c r="G1373" s="4" t="s">
        <v>51</v>
      </c>
      <c r="H1373" s="2" t="s">
        <v>17</v>
      </c>
      <c r="I1373" s="2" t="s">
        <v>37</v>
      </c>
      <c r="J1373" s="2" t="s">
        <v>112</v>
      </c>
      <c r="K1373" s="1" t="s">
        <v>2440</v>
      </c>
      <c r="L1373" s="1" t="s">
        <v>395</v>
      </c>
    </row>
    <row r="1374" spans="2:12" ht="42" x14ac:dyDescent="0.35">
      <c r="B1374" s="2">
        <v>13440</v>
      </c>
      <c r="C1374" s="24">
        <v>46295</v>
      </c>
      <c r="D1374" s="3" t="s">
        <v>26</v>
      </c>
      <c r="E1374" s="3" t="s">
        <v>2446</v>
      </c>
      <c r="F1374" s="14" t="s">
        <v>1611</v>
      </c>
      <c r="G1374" s="4" t="s">
        <v>51</v>
      </c>
      <c r="H1374" s="2" t="s">
        <v>17</v>
      </c>
      <c r="I1374" s="2" t="s">
        <v>18</v>
      </c>
      <c r="J1374" s="2" t="s">
        <v>19</v>
      </c>
      <c r="K1374" s="1" t="s">
        <v>2447</v>
      </c>
      <c r="L1374" s="1" t="s">
        <v>26</v>
      </c>
    </row>
    <row r="1375" spans="2:12" ht="28" x14ac:dyDescent="0.35">
      <c r="B1375" s="2">
        <v>13398</v>
      </c>
      <c r="C1375" s="24">
        <v>46294</v>
      </c>
      <c r="D1375" s="3" t="s">
        <v>13</v>
      </c>
      <c r="E1375" s="3" t="s">
        <v>2448</v>
      </c>
      <c r="F1375" s="14" t="s">
        <v>811</v>
      </c>
      <c r="G1375" s="4" t="s">
        <v>16</v>
      </c>
      <c r="H1375" s="2" t="s">
        <v>17</v>
      </c>
      <c r="I1375" s="2" t="s">
        <v>18</v>
      </c>
      <c r="J1375" s="2" t="s">
        <v>19</v>
      </c>
      <c r="K1375" s="1" t="s">
        <v>426</v>
      </c>
      <c r="L1375" s="1" t="s">
        <v>95</v>
      </c>
    </row>
    <row r="1376" spans="2:12" ht="28" x14ac:dyDescent="0.35">
      <c r="B1376" s="2">
        <v>13160</v>
      </c>
      <c r="C1376" s="24">
        <v>46268</v>
      </c>
      <c r="D1376" s="3" t="s">
        <v>196</v>
      </c>
      <c r="E1376" s="3" t="s">
        <v>2449</v>
      </c>
      <c r="F1376" s="14" t="s">
        <v>2450</v>
      </c>
      <c r="G1376" s="4" t="s">
        <v>51</v>
      </c>
      <c r="H1376" s="2" t="s">
        <v>17</v>
      </c>
      <c r="I1376" s="2" t="s">
        <v>37</v>
      </c>
      <c r="J1376" s="2" t="s">
        <v>112</v>
      </c>
      <c r="K1376" s="1" t="s">
        <v>2379</v>
      </c>
      <c r="L1376" s="1" t="s">
        <v>196</v>
      </c>
    </row>
    <row r="1377" spans="2:12" ht="56" x14ac:dyDescent="0.35">
      <c r="B1377" s="2">
        <v>13220</v>
      </c>
      <c r="C1377" s="24">
        <v>46275</v>
      </c>
      <c r="D1377" s="3" t="s">
        <v>196</v>
      </c>
      <c r="E1377" s="3" t="s">
        <v>2451</v>
      </c>
      <c r="F1377" s="14" t="s">
        <v>2452</v>
      </c>
      <c r="G1377" s="4" t="s">
        <v>51</v>
      </c>
      <c r="H1377" s="2" t="s">
        <v>17</v>
      </c>
      <c r="I1377" s="2" t="s">
        <v>37</v>
      </c>
      <c r="J1377" s="2" t="s">
        <v>121</v>
      </c>
      <c r="K1377" s="1" t="s">
        <v>593</v>
      </c>
      <c r="L1377" s="1" t="s">
        <v>196</v>
      </c>
    </row>
    <row r="1378" spans="2:12" x14ac:dyDescent="0.35">
      <c r="B1378" s="2">
        <v>13134</v>
      </c>
      <c r="C1378" s="24">
        <v>46266</v>
      </c>
      <c r="D1378" s="3" t="s">
        <v>104</v>
      </c>
      <c r="E1378" s="3" t="s">
        <v>2453</v>
      </c>
      <c r="F1378" s="14" t="s">
        <v>2452</v>
      </c>
      <c r="G1378" s="4" t="s">
        <v>51</v>
      </c>
      <c r="H1378" s="2" t="s">
        <v>17</v>
      </c>
      <c r="I1378" s="2" t="s">
        <v>24</v>
      </c>
      <c r="J1378" s="2" t="s">
        <v>33</v>
      </c>
      <c r="K1378" s="1" t="s">
        <v>866</v>
      </c>
      <c r="L1378" s="1" t="s">
        <v>95</v>
      </c>
    </row>
    <row r="1379" spans="2:12" ht="56" x14ac:dyDescent="0.35">
      <c r="B1379" s="2">
        <v>13196</v>
      </c>
      <c r="C1379" s="24">
        <v>46266</v>
      </c>
      <c r="D1379" s="3" t="s">
        <v>104</v>
      </c>
      <c r="E1379" s="3" t="s">
        <v>2454</v>
      </c>
      <c r="F1379" s="14" t="s">
        <v>2455</v>
      </c>
      <c r="G1379" s="4" t="s">
        <v>51</v>
      </c>
      <c r="H1379" s="2" t="s">
        <v>17</v>
      </c>
      <c r="I1379" s="2" t="s">
        <v>24</v>
      </c>
      <c r="J1379" s="2" t="s">
        <v>33</v>
      </c>
      <c r="K1379" s="1" t="s">
        <v>866</v>
      </c>
      <c r="L1379" s="1" t="s">
        <v>95</v>
      </c>
    </row>
    <row r="1380" spans="2:12" ht="51.65" customHeight="1" x14ac:dyDescent="0.35">
      <c r="B1380" s="2">
        <v>13197</v>
      </c>
      <c r="C1380" s="24">
        <v>46266</v>
      </c>
      <c r="D1380" s="3" t="s">
        <v>196</v>
      </c>
      <c r="E1380" s="3" t="s">
        <v>2456</v>
      </c>
      <c r="F1380" s="14" t="s">
        <v>966</v>
      </c>
      <c r="G1380" s="4" t="s">
        <v>16</v>
      </c>
      <c r="H1380" s="2" t="s">
        <v>17</v>
      </c>
      <c r="I1380" s="2" t="s">
        <v>37</v>
      </c>
      <c r="J1380" s="2" t="s">
        <v>112</v>
      </c>
      <c r="K1380" s="1" t="s">
        <v>595</v>
      </c>
      <c r="L1380" s="1" t="s">
        <v>196</v>
      </c>
    </row>
    <row r="1381" spans="2:12" ht="42" x14ac:dyDescent="0.35">
      <c r="B1381" s="2">
        <v>13384</v>
      </c>
      <c r="C1381" s="24">
        <v>46288</v>
      </c>
      <c r="D1381" s="3" t="s">
        <v>13</v>
      </c>
      <c r="E1381" s="3" t="s">
        <v>2457</v>
      </c>
      <c r="F1381" s="14" t="s">
        <v>2458</v>
      </c>
      <c r="G1381" s="4" t="s">
        <v>16</v>
      </c>
      <c r="H1381" s="2" t="s">
        <v>281</v>
      </c>
      <c r="I1381" s="2" t="s">
        <v>24</v>
      </c>
      <c r="J1381" s="2" t="s">
        <v>33</v>
      </c>
      <c r="K1381" s="1" t="s">
        <v>595</v>
      </c>
      <c r="L1381" s="1" t="s">
        <v>196</v>
      </c>
    </row>
    <row r="1382" spans="2:12" ht="42" x14ac:dyDescent="0.35">
      <c r="B1382" s="2">
        <v>13249</v>
      </c>
      <c r="C1382" s="24">
        <v>46276</v>
      </c>
      <c r="D1382" s="3" t="s">
        <v>196</v>
      </c>
      <c r="E1382" s="3" t="s">
        <v>2459</v>
      </c>
      <c r="F1382" s="14" t="s">
        <v>2460</v>
      </c>
      <c r="G1382" s="4" t="s">
        <v>51</v>
      </c>
      <c r="H1382" s="2" t="s">
        <v>17</v>
      </c>
      <c r="I1382" s="2" t="s">
        <v>18</v>
      </c>
      <c r="J1382" s="2" t="s">
        <v>19</v>
      </c>
      <c r="K1382" s="1" t="s">
        <v>1055</v>
      </c>
      <c r="L1382" s="1" t="s">
        <v>196</v>
      </c>
    </row>
    <row r="1383" spans="2:12" ht="42" x14ac:dyDescent="0.35">
      <c r="B1383" s="2">
        <v>13186</v>
      </c>
      <c r="C1383" s="24">
        <v>46269</v>
      </c>
      <c r="D1383" s="3" t="s">
        <v>190</v>
      </c>
      <c r="E1383" s="3" t="s">
        <v>2461</v>
      </c>
      <c r="F1383" s="14" t="s">
        <v>2462</v>
      </c>
      <c r="G1383" s="4" t="s">
        <v>51</v>
      </c>
      <c r="H1383" s="2" t="s">
        <v>281</v>
      </c>
      <c r="I1383" s="2" t="s">
        <v>24</v>
      </c>
      <c r="J1383" s="2" t="s">
        <v>33</v>
      </c>
      <c r="K1383" s="1" t="s">
        <v>1092</v>
      </c>
      <c r="L1383" s="1" t="s">
        <v>95</v>
      </c>
    </row>
    <row r="1384" spans="2:12" ht="42" x14ac:dyDescent="0.35">
      <c r="B1384" s="2">
        <v>13402</v>
      </c>
      <c r="C1384" s="24">
        <v>46294</v>
      </c>
      <c r="D1384" s="3" t="s">
        <v>193</v>
      </c>
      <c r="E1384" s="3" t="s">
        <v>2463</v>
      </c>
      <c r="F1384" s="14" t="s">
        <v>2464</v>
      </c>
      <c r="G1384" s="4" t="s">
        <v>51</v>
      </c>
      <c r="H1384" s="2" t="s">
        <v>17</v>
      </c>
      <c r="I1384" s="2" t="s">
        <v>37</v>
      </c>
      <c r="J1384" s="2" t="s">
        <v>81</v>
      </c>
      <c r="K1384" s="1" t="s">
        <v>1147</v>
      </c>
      <c r="L1384" s="1" t="s">
        <v>95</v>
      </c>
    </row>
    <row r="1385" spans="2:12" ht="28" x14ac:dyDescent="0.35">
      <c r="B1385" s="2">
        <v>13446</v>
      </c>
      <c r="C1385" s="24">
        <v>46295</v>
      </c>
      <c r="D1385" s="3" t="s">
        <v>190</v>
      </c>
      <c r="E1385" s="3" t="s">
        <v>2465</v>
      </c>
      <c r="F1385" s="14" t="s">
        <v>656</v>
      </c>
      <c r="G1385" s="4" t="s">
        <v>51</v>
      </c>
      <c r="H1385" s="2" t="s">
        <v>17</v>
      </c>
      <c r="I1385" s="2" t="s">
        <v>37</v>
      </c>
      <c r="J1385" s="2" t="s">
        <v>112</v>
      </c>
      <c r="K1385" s="1" t="s">
        <v>1147</v>
      </c>
      <c r="L1385" s="1" t="s">
        <v>95</v>
      </c>
    </row>
    <row r="1386" spans="2:12" ht="42" x14ac:dyDescent="0.35">
      <c r="B1386" s="2">
        <v>13164</v>
      </c>
      <c r="C1386" s="24">
        <v>46268</v>
      </c>
      <c r="D1386" s="3" t="s">
        <v>193</v>
      </c>
      <c r="E1386" s="3" t="s">
        <v>2466</v>
      </c>
      <c r="F1386" s="14" t="s">
        <v>2467</v>
      </c>
      <c r="G1386" s="4" t="s">
        <v>51</v>
      </c>
      <c r="H1386" s="2" t="s">
        <v>17</v>
      </c>
      <c r="I1386" s="2" t="s">
        <v>37</v>
      </c>
      <c r="J1386" s="2" t="s">
        <v>81</v>
      </c>
      <c r="K1386" s="1" t="s">
        <v>1179</v>
      </c>
      <c r="L1386" s="1" t="s">
        <v>96</v>
      </c>
    </row>
    <row r="1387" spans="2:12" ht="42" x14ac:dyDescent="0.35">
      <c r="B1387" s="2">
        <v>13165</v>
      </c>
      <c r="C1387" s="24">
        <v>46269</v>
      </c>
      <c r="D1387" s="3" t="s">
        <v>193</v>
      </c>
      <c r="E1387" s="3" t="s">
        <v>2468</v>
      </c>
      <c r="F1387" s="14" t="s">
        <v>2469</v>
      </c>
      <c r="G1387" s="4" t="s">
        <v>51</v>
      </c>
      <c r="H1387" s="2" t="s">
        <v>17</v>
      </c>
      <c r="I1387" s="2" t="s">
        <v>37</v>
      </c>
      <c r="J1387" s="2" t="s">
        <v>112</v>
      </c>
      <c r="K1387" s="1" t="s">
        <v>1179</v>
      </c>
      <c r="L1387" s="1" t="s">
        <v>96</v>
      </c>
    </row>
    <row r="1388" spans="2:12" ht="28" x14ac:dyDescent="0.35">
      <c r="B1388" s="2">
        <v>13206</v>
      </c>
      <c r="C1388" s="24">
        <v>46274</v>
      </c>
      <c r="D1388" s="3" t="s">
        <v>227</v>
      </c>
      <c r="E1388" s="3" t="s">
        <v>2470</v>
      </c>
      <c r="F1388" s="14" t="s">
        <v>2471</v>
      </c>
      <c r="G1388" s="4" t="s">
        <v>51</v>
      </c>
      <c r="H1388" s="2" t="s">
        <v>17</v>
      </c>
      <c r="I1388" s="2" t="s">
        <v>24</v>
      </c>
      <c r="J1388" s="2" t="s">
        <v>261</v>
      </c>
      <c r="K1388" s="1" t="s">
        <v>1179</v>
      </c>
      <c r="L1388" s="1" t="s">
        <v>96</v>
      </c>
    </row>
    <row r="1389" spans="2:12" ht="42" x14ac:dyDescent="0.35">
      <c r="B1389" s="2">
        <v>13306</v>
      </c>
      <c r="C1389" s="24">
        <v>46286</v>
      </c>
      <c r="D1389" s="3" t="s">
        <v>227</v>
      </c>
      <c r="E1389" s="3" t="s">
        <v>2472</v>
      </c>
      <c r="F1389" s="14" t="s">
        <v>2473</v>
      </c>
      <c r="G1389" s="4" t="s">
        <v>51</v>
      </c>
      <c r="H1389" s="2" t="s">
        <v>17</v>
      </c>
      <c r="I1389" s="2" t="s">
        <v>24</v>
      </c>
      <c r="J1389" s="2" t="s">
        <v>261</v>
      </c>
      <c r="K1389" s="1" t="s">
        <v>1179</v>
      </c>
      <c r="L1389" s="1" t="s">
        <v>96</v>
      </c>
    </row>
    <row r="1390" spans="2:12" ht="42" x14ac:dyDescent="0.35">
      <c r="B1390" s="2">
        <v>13358</v>
      </c>
      <c r="C1390" s="24">
        <v>46289</v>
      </c>
      <c r="D1390" s="3" t="s">
        <v>227</v>
      </c>
      <c r="E1390" s="3" t="s">
        <v>2474</v>
      </c>
      <c r="F1390" s="14" t="s">
        <v>2473</v>
      </c>
      <c r="G1390" s="4" t="s">
        <v>51</v>
      </c>
      <c r="H1390" s="2" t="s">
        <v>17</v>
      </c>
      <c r="I1390" s="2" t="s">
        <v>24</v>
      </c>
      <c r="J1390" s="2" t="s">
        <v>261</v>
      </c>
      <c r="K1390" s="1" t="s">
        <v>1179</v>
      </c>
      <c r="L1390" s="1" t="s">
        <v>96</v>
      </c>
    </row>
    <row r="1391" spans="2:12" ht="28" x14ac:dyDescent="0.35">
      <c r="B1391" s="2">
        <v>13357</v>
      </c>
      <c r="C1391" s="24">
        <v>46289</v>
      </c>
      <c r="D1391" s="3" t="s">
        <v>227</v>
      </c>
      <c r="E1391" s="3" t="s">
        <v>2475</v>
      </c>
      <c r="F1391" s="14" t="s">
        <v>2476</v>
      </c>
      <c r="G1391" s="4" t="s">
        <v>51</v>
      </c>
      <c r="H1391" s="2" t="s">
        <v>17</v>
      </c>
      <c r="I1391" s="2" t="s">
        <v>24</v>
      </c>
      <c r="J1391" s="2" t="s">
        <v>261</v>
      </c>
      <c r="K1391" s="1" t="s">
        <v>1179</v>
      </c>
      <c r="L1391" s="1" t="s">
        <v>96</v>
      </c>
    </row>
    <row r="1392" spans="2:12" ht="42" x14ac:dyDescent="0.35">
      <c r="B1392" s="2">
        <v>13356</v>
      </c>
      <c r="C1392" s="24">
        <v>46288</v>
      </c>
      <c r="D1392" s="3" t="s">
        <v>227</v>
      </c>
      <c r="E1392" s="3" t="s">
        <v>2477</v>
      </c>
      <c r="F1392" s="14" t="s">
        <v>2478</v>
      </c>
      <c r="G1392" s="4" t="s">
        <v>51</v>
      </c>
      <c r="H1392" s="2" t="s">
        <v>17</v>
      </c>
      <c r="I1392" s="2" t="s">
        <v>24</v>
      </c>
      <c r="J1392" s="2" t="s">
        <v>261</v>
      </c>
      <c r="K1392" s="1" t="s">
        <v>1179</v>
      </c>
      <c r="L1392" s="1" t="s">
        <v>96</v>
      </c>
    </row>
    <row r="1393" spans="2:12" ht="42" x14ac:dyDescent="0.35">
      <c r="B1393" s="2">
        <v>13322</v>
      </c>
      <c r="C1393" s="24">
        <v>46287</v>
      </c>
      <c r="D1393" s="3" t="s">
        <v>227</v>
      </c>
      <c r="E1393" s="3" t="s">
        <v>2479</v>
      </c>
      <c r="F1393" s="14" t="s">
        <v>2480</v>
      </c>
      <c r="G1393" s="4" t="s">
        <v>51</v>
      </c>
      <c r="H1393" s="2" t="s">
        <v>17</v>
      </c>
      <c r="I1393" s="2" t="s">
        <v>37</v>
      </c>
      <c r="J1393" s="2" t="s">
        <v>112</v>
      </c>
      <c r="K1393" s="1" t="s">
        <v>1316</v>
      </c>
      <c r="L1393" s="1" t="s">
        <v>95</v>
      </c>
    </row>
    <row r="1394" spans="2:12" ht="28" x14ac:dyDescent="0.35">
      <c r="B1394" s="2">
        <v>13210</v>
      </c>
      <c r="C1394" s="24">
        <v>46275</v>
      </c>
      <c r="D1394" s="3" t="s">
        <v>104</v>
      </c>
      <c r="E1394" s="3" t="s">
        <v>2481</v>
      </c>
      <c r="F1394" s="14" t="s">
        <v>1974</v>
      </c>
      <c r="G1394" s="4" t="s">
        <v>16</v>
      </c>
      <c r="H1394" s="2" t="s">
        <v>17</v>
      </c>
      <c r="I1394" s="2" t="s">
        <v>24</v>
      </c>
      <c r="J1394" s="2" t="s">
        <v>54</v>
      </c>
      <c r="K1394" s="1" t="s">
        <v>1381</v>
      </c>
      <c r="L1394" s="1" t="s">
        <v>104</v>
      </c>
    </row>
    <row r="1395" spans="2:12" x14ac:dyDescent="0.35">
      <c r="B1395" s="2">
        <v>13211</v>
      </c>
      <c r="C1395" s="24">
        <v>46276</v>
      </c>
      <c r="D1395" s="3" t="s">
        <v>104</v>
      </c>
      <c r="E1395" s="3" t="s">
        <v>2482</v>
      </c>
      <c r="F1395" s="14" t="s">
        <v>2358</v>
      </c>
      <c r="G1395" s="4" t="s">
        <v>16</v>
      </c>
      <c r="H1395" s="2" t="s">
        <v>17</v>
      </c>
      <c r="I1395" s="2" t="s">
        <v>24</v>
      </c>
      <c r="J1395" s="2" t="s">
        <v>54</v>
      </c>
      <c r="K1395" s="1" t="s">
        <v>1381</v>
      </c>
      <c r="L1395" s="1" t="s">
        <v>104</v>
      </c>
    </row>
    <row r="1396" spans="2:12" ht="56" x14ac:dyDescent="0.35">
      <c r="B1396" s="2">
        <v>13391</v>
      </c>
      <c r="C1396" s="24">
        <v>46289</v>
      </c>
      <c r="D1396" s="3" t="s">
        <v>104</v>
      </c>
      <c r="E1396" s="3" t="s">
        <v>2483</v>
      </c>
      <c r="F1396" s="14" t="s">
        <v>2484</v>
      </c>
      <c r="G1396" s="4" t="s">
        <v>16</v>
      </c>
      <c r="H1396" s="2" t="s">
        <v>17</v>
      </c>
      <c r="I1396" s="2" t="s">
        <v>24</v>
      </c>
      <c r="J1396" s="2" t="s">
        <v>33</v>
      </c>
      <c r="K1396" s="1" t="s">
        <v>1484</v>
      </c>
      <c r="L1396" s="1" t="s">
        <v>13</v>
      </c>
    </row>
    <row r="1397" spans="2:12" ht="56" x14ac:dyDescent="0.35">
      <c r="B1397" s="2">
        <v>13390</v>
      </c>
      <c r="C1397" s="24">
        <v>46289</v>
      </c>
      <c r="D1397" s="3" t="s">
        <v>13</v>
      </c>
      <c r="E1397" s="3" t="s">
        <v>2483</v>
      </c>
      <c r="F1397" s="14" t="s">
        <v>2485</v>
      </c>
      <c r="G1397" s="4" t="s">
        <v>16</v>
      </c>
      <c r="H1397" s="2" t="s">
        <v>17</v>
      </c>
      <c r="I1397" s="2" t="s">
        <v>24</v>
      </c>
      <c r="J1397" s="2" t="s">
        <v>33</v>
      </c>
      <c r="K1397" s="1" t="s">
        <v>1484</v>
      </c>
      <c r="L1397" s="1" t="s">
        <v>13</v>
      </c>
    </row>
    <row r="1398" spans="2:12" ht="56" x14ac:dyDescent="0.35">
      <c r="B1398" s="2">
        <v>13389</v>
      </c>
      <c r="C1398" s="24">
        <v>46289</v>
      </c>
      <c r="D1398" s="3" t="s">
        <v>13</v>
      </c>
      <c r="E1398" s="3" t="s">
        <v>2483</v>
      </c>
      <c r="F1398" s="14" t="s">
        <v>1417</v>
      </c>
      <c r="G1398" s="4" t="s">
        <v>16</v>
      </c>
      <c r="H1398" s="2" t="s">
        <v>17</v>
      </c>
      <c r="I1398" s="2" t="s">
        <v>24</v>
      </c>
      <c r="J1398" s="2" t="s">
        <v>33</v>
      </c>
      <c r="K1398" s="1" t="s">
        <v>1484</v>
      </c>
      <c r="L1398" s="1" t="s">
        <v>13</v>
      </c>
    </row>
    <row r="1399" spans="2:12" ht="42" x14ac:dyDescent="0.35">
      <c r="B1399" s="2">
        <v>13396</v>
      </c>
      <c r="C1399" s="24">
        <v>46289</v>
      </c>
      <c r="D1399" s="3" t="s">
        <v>21</v>
      </c>
      <c r="E1399" s="3" t="s">
        <v>2486</v>
      </c>
      <c r="F1399" s="14" t="s">
        <v>1952</v>
      </c>
      <c r="G1399" s="4" t="s">
        <v>16</v>
      </c>
      <c r="H1399" s="2" t="s">
        <v>17</v>
      </c>
      <c r="I1399" s="2" t="s">
        <v>37</v>
      </c>
      <c r="J1399" s="2" t="s">
        <v>121</v>
      </c>
      <c r="K1399" s="1" t="s">
        <v>1484</v>
      </c>
      <c r="L1399" s="1" t="s">
        <v>21</v>
      </c>
    </row>
    <row r="1400" spans="2:12" ht="28" x14ac:dyDescent="0.35">
      <c r="B1400" s="2">
        <v>13395</v>
      </c>
      <c r="C1400" s="24">
        <v>46289</v>
      </c>
      <c r="D1400" s="3" t="s">
        <v>21</v>
      </c>
      <c r="E1400" s="3" t="s">
        <v>2487</v>
      </c>
      <c r="F1400" s="14" t="s">
        <v>750</v>
      </c>
      <c r="G1400" s="4" t="s">
        <v>16</v>
      </c>
      <c r="H1400" s="2" t="s">
        <v>17</v>
      </c>
      <c r="I1400" s="2" t="s">
        <v>37</v>
      </c>
      <c r="J1400" s="2" t="s">
        <v>112</v>
      </c>
      <c r="K1400" s="1" t="s">
        <v>1484</v>
      </c>
      <c r="L1400" s="1" t="s">
        <v>21</v>
      </c>
    </row>
    <row r="1401" spans="2:12" ht="42" x14ac:dyDescent="0.35">
      <c r="B1401" s="2">
        <v>13445</v>
      </c>
      <c r="C1401" s="24">
        <v>46295</v>
      </c>
      <c r="D1401" s="3" t="s">
        <v>21</v>
      </c>
      <c r="E1401" s="3" t="s">
        <v>2488</v>
      </c>
      <c r="F1401" s="14" t="s">
        <v>806</v>
      </c>
      <c r="G1401" s="4" t="s">
        <v>16</v>
      </c>
      <c r="H1401" s="2" t="s">
        <v>17</v>
      </c>
      <c r="I1401" s="2" t="s">
        <v>24</v>
      </c>
      <c r="J1401" s="2" t="s">
        <v>33</v>
      </c>
      <c r="K1401" s="1" t="s">
        <v>1484</v>
      </c>
      <c r="L1401" s="1" t="s">
        <v>21</v>
      </c>
    </row>
    <row r="1402" spans="2:12" ht="28" x14ac:dyDescent="0.35">
      <c r="B1402" s="2">
        <v>13444</v>
      </c>
      <c r="C1402" s="24">
        <v>46295</v>
      </c>
      <c r="D1402" s="3" t="s">
        <v>21</v>
      </c>
      <c r="E1402" s="3" t="s">
        <v>2489</v>
      </c>
      <c r="F1402" s="14" t="s">
        <v>2490</v>
      </c>
      <c r="G1402" s="4" t="s">
        <v>16</v>
      </c>
      <c r="H1402" s="2" t="s">
        <v>17</v>
      </c>
      <c r="I1402" s="2" t="s">
        <v>18</v>
      </c>
      <c r="J1402" s="2" t="s">
        <v>171</v>
      </c>
      <c r="K1402" s="1" t="s">
        <v>1484</v>
      </c>
      <c r="L1402" s="1" t="s">
        <v>21</v>
      </c>
    </row>
    <row r="1403" spans="2:12" ht="42" x14ac:dyDescent="0.35">
      <c r="B1403" s="2">
        <v>13437</v>
      </c>
      <c r="C1403" s="24">
        <v>46293</v>
      </c>
      <c r="D1403" s="3" t="s">
        <v>13</v>
      </c>
      <c r="E1403" s="3" t="s">
        <v>2491</v>
      </c>
      <c r="F1403" s="14" t="s">
        <v>2492</v>
      </c>
      <c r="G1403" s="4" t="s">
        <v>16</v>
      </c>
      <c r="H1403" s="2" t="s">
        <v>17</v>
      </c>
      <c r="I1403" s="2" t="s">
        <v>18</v>
      </c>
      <c r="J1403" s="2" t="s">
        <v>171</v>
      </c>
      <c r="K1403" s="1" t="s">
        <v>1484</v>
      </c>
      <c r="L1403" s="1" t="s">
        <v>13</v>
      </c>
    </row>
    <row r="1404" spans="2:12" ht="42" x14ac:dyDescent="0.35">
      <c r="B1404" s="2">
        <v>13198</v>
      </c>
      <c r="C1404" s="24">
        <v>46269</v>
      </c>
      <c r="D1404" s="3" t="s">
        <v>26</v>
      </c>
      <c r="E1404" s="3" t="s">
        <v>2493</v>
      </c>
      <c r="F1404" s="14" t="s">
        <v>2022</v>
      </c>
      <c r="G1404" s="4" t="s">
        <v>16</v>
      </c>
      <c r="H1404" s="2" t="s">
        <v>17</v>
      </c>
      <c r="I1404" s="2" t="s">
        <v>24</v>
      </c>
      <c r="J1404" s="2" t="s">
        <v>25</v>
      </c>
      <c r="K1404" s="1" t="s">
        <v>1525</v>
      </c>
      <c r="L1404" s="1" t="s">
        <v>34</v>
      </c>
    </row>
    <row r="1405" spans="2:12" ht="42" x14ac:dyDescent="0.35">
      <c r="B1405" s="2">
        <v>13199</v>
      </c>
      <c r="C1405" s="24">
        <v>46269</v>
      </c>
      <c r="D1405" s="3" t="s">
        <v>26</v>
      </c>
      <c r="E1405" s="3" t="s">
        <v>2494</v>
      </c>
      <c r="F1405" s="14" t="s">
        <v>1611</v>
      </c>
      <c r="G1405" s="4" t="s">
        <v>51</v>
      </c>
      <c r="H1405" s="2" t="s">
        <v>17</v>
      </c>
      <c r="I1405" s="2" t="s">
        <v>18</v>
      </c>
      <c r="J1405" s="2" t="s">
        <v>19</v>
      </c>
      <c r="K1405" s="1" t="s">
        <v>1525</v>
      </c>
      <c r="L1405" s="1" t="s">
        <v>34</v>
      </c>
    </row>
    <row r="1406" spans="2:12" ht="42" x14ac:dyDescent="0.35">
      <c r="B1406" s="2">
        <v>13394</v>
      </c>
      <c r="C1406" s="24">
        <v>46289</v>
      </c>
      <c r="D1406" s="3" t="s">
        <v>26</v>
      </c>
      <c r="E1406" s="3" t="s">
        <v>2495</v>
      </c>
      <c r="F1406" s="14" t="s">
        <v>2408</v>
      </c>
      <c r="G1406" s="4" t="s">
        <v>16</v>
      </c>
      <c r="H1406" s="2" t="s">
        <v>17</v>
      </c>
      <c r="I1406" s="2" t="s">
        <v>24</v>
      </c>
      <c r="J1406" s="2" t="s">
        <v>44</v>
      </c>
      <c r="K1406" s="1" t="s">
        <v>1525</v>
      </c>
      <c r="L1406" s="1" t="s">
        <v>34</v>
      </c>
    </row>
    <row r="1407" spans="2:12" ht="42" x14ac:dyDescent="0.35">
      <c r="B1407" s="2">
        <v>13443</v>
      </c>
      <c r="C1407" s="24">
        <v>46295</v>
      </c>
      <c r="D1407" s="3" t="s">
        <v>34</v>
      </c>
      <c r="E1407" s="3" t="s">
        <v>2496</v>
      </c>
      <c r="F1407" s="14" t="s">
        <v>2423</v>
      </c>
      <c r="G1407" s="4" t="s">
        <v>16</v>
      </c>
      <c r="H1407" s="2" t="s">
        <v>17</v>
      </c>
      <c r="I1407" s="2" t="s">
        <v>37</v>
      </c>
      <c r="J1407" s="2" t="s">
        <v>38</v>
      </c>
      <c r="K1407" s="1" t="s">
        <v>1525</v>
      </c>
      <c r="L1407" s="1" t="s">
        <v>34</v>
      </c>
    </row>
    <row r="1408" spans="2:12" ht="42" x14ac:dyDescent="0.35">
      <c r="B1408" s="2">
        <v>13442</v>
      </c>
      <c r="C1408" s="24">
        <v>46295</v>
      </c>
      <c r="D1408" s="3" t="s">
        <v>26</v>
      </c>
      <c r="E1408" s="3" t="s">
        <v>2497</v>
      </c>
      <c r="F1408" s="14" t="s">
        <v>2241</v>
      </c>
      <c r="G1408" s="4" t="s">
        <v>16</v>
      </c>
      <c r="H1408" s="2" t="s">
        <v>17</v>
      </c>
      <c r="I1408" s="2" t="s">
        <v>24</v>
      </c>
      <c r="J1408" s="2" t="s">
        <v>44</v>
      </c>
      <c r="K1408" s="1" t="s">
        <v>1525</v>
      </c>
      <c r="L1408" s="1" t="s">
        <v>34</v>
      </c>
    </row>
    <row r="1409" spans="2:12" ht="56" x14ac:dyDescent="0.35">
      <c r="B1409" s="2">
        <v>13158</v>
      </c>
      <c r="C1409" s="24">
        <v>46268</v>
      </c>
      <c r="D1409" s="3" t="s">
        <v>190</v>
      </c>
      <c r="E1409" s="3" t="s">
        <v>2498</v>
      </c>
      <c r="F1409" s="14" t="s">
        <v>2499</v>
      </c>
      <c r="G1409" s="4" t="s">
        <v>51</v>
      </c>
      <c r="H1409" s="2" t="s">
        <v>17</v>
      </c>
      <c r="I1409" s="2" t="s">
        <v>24</v>
      </c>
      <c r="J1409" s="2" t="s">
        <v>241</v>
      </c>
      <c r="K1409" s="1" t="s">
        <v>422</v>
      </c>
      <c r="L1409" s="1" t="s">
        <v>190</v>
      </c>
    </row>
    <row r="1410" spans="2:12" ht="28" x14ac:dyDescent="0.35">
      <c r="B1410" s="2">
        <v>13161</v>
      </c>
      <c r="C1410" s="24">
        <v>46269</v>
      </c>
      <c r="D1410" s="3" t="s">
        <v>21</v>
      </c>
      <c r="E1410" s="3" t="s">
        <v>2500</v>
      </c>
      <c r="F1410" s="14" t="s">
        <v>2501</v>
      </c>
      <c r="G1410" s="4" t="s">
        <v>51</v>
      </c>
      <c r="H1410" s="2" t="s">
        <v>17</v>
      </c>
      <c r="I1410" s="2" t="s">
        <v>24</v>
      </c>
      <c r="J1410" s="2" t="s">
        <v>54</v>
      </c>
      <c r="K1410" s="1" t="s">
        <v>422</v>
      </c>
      <c r="L1410" s="1" t="s">
        <v>190</v>
      </c>
    </row>
    <row r="1411" spans="2:12" ht="56" x14ac:dyDescent="0.35">
      <c r="B1411" s="2">
        <v>13454</v>
      </c>
      <c r="C1411" s="24">
        <v>46294</v>
      </c>
      <c r="D1411" s="3" t="s">
        <v>96</v>
      </c>
      <c r="E1411" s="3" t="s">
        <v>2502</v>
      </c>
      <c r="F1411" s="14" t="s">
        <v>2503</v>
      </c>
      <c r="G1411" s="4" t="s">
        <v>51</v>
      </c>
      <c r="H1411" s="2" t="s">
        <v>17</v>
      </c>
      <c r="I1411" s="2" t="s">
        <v>298</v>
      </c>
      <c r="J1411" s="2" t="s">
        <v>299</v>
      </c>
      <c r="K1411" s="1" t="s">
        <v>1179</v>
      </c>
      <c r="L1411" s="1" t="s">
        <v>96</v>
      </c>
    </row>
    <row r="1412" spans="2:12" ht="42" x14ac:dyDescent="0.35">
      <c r="B1412" s="2">
        <v>13453</v>
      </c>
      <c r="C1412" s="24">
        <v>46295</v>
      </c>
      <c r="D1412" s="3" t="s">
        <v>193</v>
      </c>
      <c r="E1412" s="3" t="s">
        <v>2504</v>
      </c>
      <c r="F1412" s="14" t="s">
        <v>2505</v>
      </c>
      <c r="G1412" s="4" t="s">
        <v>51</v>
      </c>
      <c r="H1412" s="2" t="s">
        <v>17</v>
      </c>
      <c r="I1412" s="2" t="s">
        <v>37</v>
      </c>
      <c r="J1412" s="2" t="s">
        <v>112</v>
      </c>
      <c r="K1412" s="1" t="s">
        <v>1316</v>
      </c>
      <c r="L1412" s="1" t="s">
        <v>95</v>
      </c>
    </row>
    <row r="1413" spans="2:12" ht="42" x14ac:dyDescent="0.35">
      <c r="B1413" s="2">
        <v>13475</v>
      </c>
      <c r="C1413" s="24">
        <v>46302</v>
      </c>
      <c r="D1413" s="3" t="s">
        <v>278</v>
      </c>
      <c r="E1413" s="3" t="s">
        <v>2506</v>
      </c>
      <c r="F1413" s="14" t="s">
        <v>1581</v>
      </c>
      <c r="G1413" s="4" t="s">
        <v>51</v>
      </c>
      <c r="H1413" s="2" t="s">
        <v>17</v>
      </c>
      <c r="I1413" s="2" t="s">
        <v>37</v>
      </c>
      <c r="J1413" s="2" t="s">
        <v>112</v>
      </c>
      <c r="K1413" s="1" t="s">
        <v>483</v>
      </c>
      <c r="L1413" s="1" t="s">
        <v>278</v>
      </c>
    </row>
    <row r="1414" spans="2:12" x14ac:dyDescent="0.35">
      <c r="K1414" s="1" t="s">
        <v>2507</v>
      </c>
    </row>
  </sheetData>
  <mergeCells count="2">
    <mergeCell ref="A1:G1"/>
    <mergeCell ref="A2:J2"/>
  </mergeCells>
  <phoneticPr fontId="4" type="noConversion"/>
  <dataValidations disablePrompts="1" count="2">
    <dataValidation type="list" allowBlank="1" showInputMessage="1" showErrorMessage="1" sqref="IH64152:IH64375 SD64152:SD64375 ABZ64152:ABZ64375 ALV64152:ALV64375 AVR64152:AVR64375 BFN64152:BFN64375 BPJ64152:BPJ64375 BZF64152:BZF64375 CJB64152:CJB64375 CSX64152:CSX64375 DCT64152:DCT64375 DMP64152:DMP64375 DWL64152:DWL64375 EGH64152:EGH64375 EQD64152:EQD64375 EZZ64152:EZZ64375 FJV64152:FJV64375 FTR64152:FTR64375 GDN64152:GDN64375 GNJ64152:GNJ64375 GXF64152:GXF64375 HHB64152:HHB64375 HQX64152:HQX64375 IAT64152:IAT64375 IKP64152:IKP64375 IUL64152:IUL64375 JEH64152:JEH64375 JOD64152:JOD64375 JXZ64152:JXZ64375 KHV64152:KHV64375 KRR64152:KRR64375 LBN64152:LBN64375 LLJ64152:LLJ64375 LVF64152:LVF64375 MFB64152:MFB64375 MOX64152:MOX64375 MYT64152:MYT64375 NIP64152:NIP64375 NSL64152:NSL64375 OCH64152:OCH64375 OMD64152:OMD64375 OVZ64152:OVZ64375 PFV64152:PFV64375 PPR64152:PPR64375 PZN64152:PZN64375 QJJ64152:QJJ64375 QTF64152:QTF64375 RDB64152:RDB64375 RMX64152:RMX64375 RWT64152:RWT64375 SGP64152:SGP64375 SQL64152:SQL64375 TAH64152:TAH64375 TKD64152:TKD64375 TTZ64152:TTZ64375 UDV64152:UDV64375 UNR64152:UNR64375 UXN64152:UXN64375 VHJ64152:VHJ64375 VRF64152:VRF64375 WBB64152:WBB64375 WKX64152:WKX64375 WUT64152:WUT64375 IH129688:IH129911 SD129688:SD129911 ABZ129688:ABZ129911 ALV129688:ALV129911 AVR129688:AVR129911 BFN129688:BFN129911 BPJ129688:BPJ129911 BZF129688:BZF129911 CJB129688:CJB129911 CSX129688:CSX129911 DCT129688:DCT129911 DMP129688:DMP129911 DWL129688:DWL129911 EGH129688:EGH129911 EQD129688:EQD129911 EZZ129688:EZZ129911 FJV129688:FJV129911 FTR129688:FTR129911 GDN129688:GDN129911 GNJ129688:GNJ129911 GXF129688:GXF129911 HHB129688:HHB129911 HQX129688:HQX129911 IAT129688:IAT129911 IKP129688:IKP129911 IUL129688:IUL129911 JEH129688:JEH129911 JOD129688:JOD129911 JXZ129688:JXZ129911 KHV129688:KHV129911 KRR129688:KRR129911 LBN129688:LBN129911 LLJ129688:LLJ129911 LVF129688:LVF129911 MFB129688:MFB129911 MOX129688:MOX129911 MYT129688:MYT129911 NIP129688:NIP129911 NSL129688:NSL129911 OCH129688:OCH129911 OMD129688:OMD129911 OVZ129688:OVZ129911 PFV129688:PFV129911 PPR129688:PPR129911 PZN129688:PZN129911 QJJ129688:QJJ129911 QTF129688:QTF129911 RDB129688:RDB129911 RMX129688:RMX129911 RWT129688:RWT129911 SGP129688:SGP129911 SQL129688:SQL129911 TAH129688:TAH129911 TKD129688:TKD129911 TTZ129688:TTZ129911 UDV129688:UDV129911 UNR129688:UNR129911 UXN129688:UXN129911 VHJ129688:VHJ129911 VRF129688:VRF129911 WBB129688:WBB129911 WKX129688:WKX129911 WUT129688:WUT129911 IH195224:IH195447 SD195224:SD195447 ABZ195224:ABZ195447 ALV195224:ALV195447 AVR195224:AVR195447 BFN195224:BFN195447 BPJ195224:BPJ195447 BZF195224:BZF195447 CJB195224:CJB195447 CSX195224:CSX195447 DCT195224:DCT195447 DMP195224:DMP195447 DWL195224:DWL195447 EGH195224:EGH195447 EQD195224:EQD195447 EZZ195224:EZZ195447 FJV195224:FJV195447 FTR195224:FTR195447 GDN195224:GDN195447 GNJ195224:GNJ195447 GXF195224:GXF195447 HHB195224:HHB195447 HQX195224:HQX195447 IAT195224:IAT195447 IKP195224:IKP195447 IUL195224:IUL195447 JEH195224:JEH195447 JOD195224:JOD195447 JXZ195224:JXZ195447 KHV195224:KHV195447 KRR195224:KRR195447 LBN195224:LBN195447 LLJ195224:LLJ195447 LVF195224:LVF195447 MFB195224:MFB195447 MOX195224:MOX195447 MYT195224:MYT195447 NIP195224:NIP195447 NSL195224:NSL195447 OCH195224:OCH195447 OMD195224:OMD195447 OVZ195224:OVZ195447 PFV195224:PFV195447 PPR195224:PPR195447 PZN195224:PZN195447 QJJ195224:QJJ195447 QTF195224:QTF195447 RDB195224:RDB195447 RMX195224:RMX195447 RWT195224:RWT195447 SGP195224:SGP195447 SQL195224:SQL195447 TAH195224:TAH195447 TKD195224:TKD195447 TTZ195224:TTZ195447 UDV195224:UDV195447 UNR195224:UNR195447 UXN195224:UXN195447 VHJ195224:VHJ195447 VRF195224:VRF195447 WBB195224:WBB195447 WKX195224:WKX195447 WUT195224:WUT195447 IH260760:IH260983 SD260760:SD260983 ABZ260760:ABZ260983 ALV260760:ALV260983 AVR260760:AVR260983 BFN260760:BFN260983 BPJ260760:BPJ260983 BZF260760:BZF260983 CJB260760:CJB260983 CSX260760:CSX260983 DCT260760:DCT260983 DMP260760:DMP260983 DWL260760:DWL260983 EGH260760:EGH260983 EQD260760:EQD260983 EZZ260760:EZZ260983 FJV260760:FJV260983 FTR260760:FTR260983 GDN260760:GDN260983 GNJ260760:GNJ260983 GXF260760:GXF260983 HHB260760:HHB260983 HQX260760:HQX260983 IAT260760:IAT260983 IKP260760:IKP260983 IUL260760:IUL260983 JEH260760:JEH260983 JOD260760:JOD260983 JXZ260760:JXZ260983 KHV260760:KHV260983 KRR260760:KRR260983 LBN260760:LBN260983 LLJ260760:LLJ260983 LVF260760:LVF260983 MFB260760:MFB260983 MOX260760:MOX260983 MYT260760:MYT260983 NIP260760:NIP260983 NSL260760:NSL260983 OCH260760:OCH260983 OMD260760:OMD260983 OVZ260760:OVZ260983 PFV260760:PFV260983 PPR260760:PPR260983 PZN260760:PZN260983 QJJ260760:QJJ260983 QTF260760:QTF260983 RDB260760:RDB260983 RMX260760:RMX260983 RWT260760:RWT260983 SGP260760:SGP260983 SQL260760:SQL260983 TAH260760:TAH260983 TKD260760:TKD260983 TTZ260760:TTZ260983 UDV260760:UDV260983 UNR260760:UNR260983 UXN260760:UXN260983 VHJ260760:VHJ260983 VRF260760:VRF260983 WBB260760:WBB260983 WKX260760:WKX260983 WUT260760:WUT260983 IH326296:IH326519 SD326296:SD326519 ABZ326296:ABZ326519 ALV326296:ALV326519 AVR326296:AVR326519 BFN326296:BFN326519 BPJ326296:BPJ326519 BZF326296:BZF326519 CJB326296:CJB326519 CSX326296:CSX326519 DCT326296:DCT326519 DMP326296:DMP326519 DWL326296:DWL326519 EGH326296:EGH326519 EQD326296:EQD326519 EZZ326296:EZZ326519 FJV326296:FJV326519 FTR326296:FTR326519 GDN326296:GDN326519 GNJ326296:GNJ326519 GXF326296:GXF326519 HHB326296:HHB326519 HQX326296:HQX326519 IAT326296:IAT326519 IKP326296:IKP326519 IUL326296:IUL326519 JEH326296:JEH326519 JOD326296:JOD326519 JXZ326296:JXZ326519 KHV326296:KHV326519 KRR326296:KRR326519 LBN326296:LBN326519 LLJ326296:LLJ326519 LVF326296:LVF326519 MFB326296:MFB326519 MOX326296:MOX326519 MYT326296:MYT326519 NIP326296:NIP326519 NSL326296:NSL326519 OCH326296:OCH326519 OMD326296:OMD326519 OVZ326296:OVZ326519 PFV326296:PFV326519 PPR326296:PPR326519 PZN326296:PZN326519 QJJ326296:QJJ326519 QTF326296:QTF326519 RDB326296:RDB326519 RMX326296:RMX326519 RWT326296:RWT326519 SGP326296:SGP326519 SQL326296:SQL326519 TAH326296:TAH326519 TKD326296:TKD326519 TTZ326296:TTZ326519 UDV326296:UDV326519 UNR326296:UNR326519 UXN326296:UXN326519 VHJ326296:VHJ326519 VRF326296:VRF326519 WBB326296:WBB326519 WKX326296:WKX326519 WUT326296:WUT326519 IH391832:IH392055 SD391832:SD392055 ABZ391832:ABZ392055 ALV391832:ALV392055 AVR391832:AVR392055 BFN391832:BFN392055 BPJ391832:BPJ392055 BZF391832:BZF392055 CJB391832:CJB392055 CSX391832:CSX392055 DCT391832:DCT392055 DMP391832:DMP392055 DWL391832:DWL392055 EGH391832:EGH392055 EQD391832:EQD392055 EZZ391832:EZZ392055 FJV391832:FJV392055 FTR391832:FTR392055 GDN391832:GDN392055 GNJ391832:GNJ392055 GXF391832:GXF392055 HHB391832:HHB392055 HQX391832:HQX392055 IAT391832:IAT392055 IKP391832:IKP392055 IUL391832:IUL392055 JEH391832:JEH392055 JOD391832:JOD392055 JXZ391832:JXZ392055 KHV391832:KHV392055 KRR391832:KRR392055 LBN391832:LBN392055 LLJ391832:LLJ392055 LVF391832:LVF392055 MFB391832:MFB392055 MOX391832:MOX392055 MYT391832:MYT392055 NIP391832:NIP392055 NSL391832:NSL392055 OCH391832:OCH392055 OMD391832:OMD392055 OVZ391832:OVZ392055 PFV391832:PFV392055 PPR391832:PPR392055 PZN391832:PZN392055 QJJ391832:QJJ392055 QTF391832:QTF392055 RDB391832:RDB392055 RMX391832:RMX392055 RWT391832:RWT392055 SGP391832:SGP392055 SQL391832:SQL392055 TAH391832:TAH392055 TKD391832:TKD392055 TTZ391832:TTZ392055 UDV391832:UDV392055 UNR391832:UNR392055 UXN391832:UXN392055 VHJ391832:VHJ392055 VRF391832:VRF392055 WBB391832:WBB392055 WKX391832:WKX392055 WUT391832:WUT392055 IH457368:IH457591 SD457368:SD457591 ABZ457368:ABZ457591 ALV457368:ALV457591 AVR457368:AVR457591 BFN457368:BFN457591 BPJ457368:BPJ457591 BZF457368:BZF457591 CJB457368:CJB457591 CSX457368:CSX457591 DCT457368:DCT457591 DMP457368:DMP457591 DWL457368:DWL457591 EGH457368:EGH457591 EQD457368:EQD457591 EZZ457368:EZZ457591 FJV457368:FJV457591 FTR457368:FTR457591 GDN457368:GDN457591 GNJ457368:GNJ457591 GXF457368:GXF457591 HHB457368:HHB457591 HQX457368:HQX457591 IAT457368:IAT457591 IKP457368:IKP457591 IUL457368:IUL457591 JEH457368:JEH457591 JOD457368:JOD457591 JXZ457368:JXZ457591 KHV457368:KHV457591 KRR457368:KRR457591 LBN457368:LBN457591 LLJ457368:LLJ457591 LVF457368:LVF457591 MFB457368:MFB457591 MOX457368:MOX457591 MYT457368:MYT457591 NIP457368:NIP457591 NSL457368:NSL457591 OCH457368:OCH457591 OMD457368:OMD457591 OVZ457368:OVZ457591 PFV457368:PFV457591 PPR457368:PPR457591 PZN457368:PZN457591 QJJ457368:QJJ457591 QTF457368:QTF457591 RDB457368:RDB457591 RMX457368:RMX457591 RWT457368:RWT457591 SGP457368:SGP457591 SQL457368:SQL457591 TAH457368:TAH457591 TKD457368:TKD457591 TTZ457368:TTZ457591 UDV457368:UDV457591 UNR457368:UNR457591 UXN457368:UXN457591 VHJ457368:VHJ457591 VRF457368:VRF457591 WBB457368:WBB457591 WKX457368:WKX457591 WUT457368:WUT457591 IH522904:IH523127 SD522904:SD523127 ABZ522904:ABZ523127 ALV522904:ALV523127 AVR522904:AVR523127 BFN522904:BFN523127 BPJ522904:BPJ523127 BZF522904:BZF523127 CJB522904:CJB523127 CSX522904:CSX523127 DCT522904:DCT523127 DMP522904:DMP523127 DWL522904:DWL523127 EGH522904:EGH523127 EQD522904:EQD523127 EZZ522904:EZZ523127 FJV522904:FJV523127 FTR522904:FTR523127 GDN522904:GDN523127 GNJ522904:GNJ523127 GXF522904:GXF523127 HHB522904:HHB523127 HQX522904:HQX523127 IAT522904:IAT523127 IKP522904:IKP523127 IUL522904:IUL523127 JEH522904:JEH523127 JOD522904:JOD523127 JXZ522904:JXZ523127 KHV522904:KHV523127 KRR522904:KRR523127 LBN522904:LBN523127 LLJ522904:LLJ523127 LVF522904:LVF523127 MFB522904:MFB523127 MOX522904:MOX523127 MYT522904:MYT523127 NIP522904:NIP523127 NSL522904:NSL523127 OCH522904:OCH523127 OMD522904:OMD523127 OVZ522904:OVZ523127 PFV522904:PFV523127 PPR522904:PPR523127 PZN522904:PZN523127 QJJ522904:QJJ523127 QTF522904:QTF523127 RDB522904:RDB523127 RMX522904:RMX523127 RWT522904:RWT523127 SGP522904:SGP523127 SQL522904:SQL523127 TAH522904:TAH523127 TKD522904:TKD523127 TTZ522904:TTZ523127 UDV522904:UDV523127 UNR522904:UNR523127 UXN522904:UXN523127 VHJ522904:VHJ523127 VRF522904:VRF523127 WBB522904:WBB523127 WKX522904:WKX523127 WUT522904:WUT523127 IH588440:IH588663 SD588440:SD588663 ABZ588440:ABZ588663 ALV588440:ALV588663 AVR588440:AVR588663 BFN588440:BFN588663 BPJ588440:BPJ588663 BZF588440:BZF588663 CJB588440:CJB588663 CSX588440:CSX588663 DCT588440:DCT588663 DMP588440:DMP588663 DWL588440:DWL588663 EGH588440:EGH588663 EQD588440:EQD588663 EZZ588440:EZZ588663 FJV588440:FJV588663 FTR588440:FTR588663 GDN588440:GDN588663 GNJ588440:GNJ588663 GXF588440:GXF588663 HHB588440:HHB588663 HQX588440:HQX588663 IAT588440:IAT588663 IKP588440:IKP588663 IUL588440:IUL588663 JEH588440:JEH588663 JOD588440:JOD588663 JXZ588440:JXZ588663 KHV588440:KHV588663 KRR588440:KRR588663 LBN588440:LBN588663 LLJ588440:LLJ588663 LVF588440:LVF588663 MFB588440:MFB588663 MOX588440:MOX588663 MYT588440:MYT588663 NIP588440:NIP588663 NSL588440:NSL588663 OCH588440:OCH588663 OMD588440:OMD588663 OVZ588440:OVZ588663 PFV588440:PFV588663 PPR588440:PPR588663 PZN588440:PZN588663 QJJ588440:QJJ588663 QTF588440:QTF588663 RDB588440:RDB588663 RMX588440:RMX588663 RWT588440:RWT588663 SGP588440:SGP588663 SQL588440:SQL588663 TAH588440:TAH588663 TKD588440:TKD588663 TTZ588440:TTZ588663 UDV588440:UDV588663 UNR588440:UNR588663 UXN588440:UXN588663 VHJ588440:VHJ588663 VRF588440:VRF588663 WBB588440:WBB588663 WKX588440:WKX588663 WUT588440:WUT588663 IH653976:IH654199 SD653976:SD654199 ABZ653976:ABZ654199 ALV653976:ALV654199 AVR653976:AVR654199 BFN653976:BFN654199 BPJ653976:BPJ654199 BZF653976:BZF654199 CJB653976:CJB654199 CSX653976:CSX654199 DCT653976:DCT654199 DMP653976:DMP654199 DWL653976:DWL654199 EGH653976:EGH654199 EQD653976:EQD654199 EZZ653976:EZZ654199 FJV653976:FJV654199 FTR653976:FTR654199 GDN653976:GDN654199 GNJ653976:GNJ654199 GXF653976:GXF654199 HHB653976:HHB654199 HQX653976:HQX654199 IAT653976:IAT654199 IKP653976:IKP654199 IUL653976:IUL654199 JEH653976:JEH654199 JOD653976:JOD654199 JXZ653976:JXZ654199 KHV653976:KHV654199 KRR653976:KRR654199 LBN653976:LBN654199 LLJ653976:LLJ654199 LVF653976:LVF654199 MFB653976:MFB654199 MOX653976:MOX654199 MYT653976:MYT654199 NIP653976:NIP654199 NSL653976:NSL654199 OCH653976:OCH654199 OMD653976:OMD654199 OVZ653976:OVZ654199 PFV653976:PFV654199 PPR653976:PPR654199 PZN653976:PZN654199 QJJ653976:QJJ654199 QTF653976:QTF654199 RDB653976:RDB654199 RMX653976:RMX654199 RWT653976:RWT654199 SGP653976:SGP654199 SQL653976:SQL654199 TAH653976:TAH654199 TKD653976:TKD654199 TTZ653976:TTZ654199 UDV653976:UDV654199 UNR653976:UNR654199 UXN653976:UXN654199 VHJ653976:VHJ654199 VRF653976:VRF654199 WBB653976:WBB654199 WKX653976:WKX654199 WUT653976:WUT654199 IH719512:IH719735 SD719512:SD719735 ABZ719512:ABZ719735 ALV719512:ALV719735 AVR719512:AVR719735 BFN719512:BFN719735 BPJ719512:BPJ719735 BZF719512:BZF719735 CJB719512:CJB719735 CSX719512:CSX719735 DCT719512:DCT719735 DMP719512:DMP719735 DWL719512:DWL719735 EGH719512:EGH719735 EQD719512:EQD719735 EZZ719512:EZZ719735 FJV719512:FJV719735 FTR719512:FTR719735 GDN719512:GDN719735 GNJ719512:GNJ719735 GXF719512:GXF719735 HHB719512:HHB719735 HQX719512:HQX719735 IAT719512:IAT719735 IKP719512:IKP719735 IUL719512:IUL719735 JEH719512:JEH719735 JOD719512:JOD719735 JXZ719512:JXZ719735 KHV719512:KHV719735 KRR719512:KRR719735 LBN719512:LBN719735 LLJ719512:LLJ719735 LVF719512:LVF719735 MFB719512:MFB719735 MOX719512:MOX719735 MYT719512:MYT719735 NIP719512:NIP719735 NSL719512:NSL719735 OCH719512:OCH719735 OMD719512:OMD719735 OVZ719512:OVZ719735 PFV719512:PFV719735 PPR719512:PPR719735 PZN719512:PZN719735 QJJ719512:QJJ719735 QTF719512:QTF719735 RDB719512:RDB719735 RMX719512:RMX719735 RWT719512:RWT719735 SGP719512:SGP719735 SQL719512:SQL719735 TAH719512:TAH719735 TKD719512:TKD719735 TTZ719512:TTZ719735 UDV719512:UDV719735 UNR719512:UNR719735 UXN719512:UXN719735 VHJ719512:VHJ719735 VRF719512:VRF719735 WBB719512:WBB719735 WKX719512:WKX719735 WUT719512:WUT719735 IH785048:IH785271 SD785048:SD785271 ABZ785048:ABZ785271 ALV785048:ALV785271 AVR785048:AVR785271 BFN785048:BFN785271 BPJ785048:BPJ785271 BZF785048:BZF785271 CJB785048:CJB785271 CSX785048:CSX785271 DCT785048:DCT785271 DMP785048:DMP785271 DWL785048:DWL785271 EGH785048:EGH785271 EQD785048:EQD785271 EZZ785048:EZZ785271 FJV785048:FJV785271 FTR785048:FTR785271 GDN785048:GDN785271 GNJ785048:GNJ785271 GXF785048:GXF785271 HHB785048:HHB785271 HQX785048:HQX785271 IAT785048:IAT785271 IKP785048:IKP785271 IUL785048:IUL785271 JEH785048:JEH785271 JOD785048:JOD785271 JXZ785048:JXZ785271 KHV785048:KHV785271 KRR785048:KRR785271 LBN785048:LBN785271 LLJ785048:LLJ785271 LVF785048:LVF785271 MFB785048:MFB785271 MOX785048:MOX785271 MYT785048:MYT785271 NIP785048:NIP785271 NSL785048:NSL785271 OCH785048:OCH785271 OMD785048:OMD785271 OVZ785048:OVZ785271 PFV785048:PFV785271 PPR785048:PPR785271 PZN785048:PZN785271 QJJ785048:QJJ785271 QTF785048:QTF785271 RDB785048:RDB785271 RMX785048:RMX785271 RWT785048:RWT785271 SGP785048:SGP785271 SQL785048:SQL785271 TAH785048:TAH785271 TKD785048:TKD785271 TTZ785048:TTZ785271 UDV785048:UDV785271 UNR785048:UNR785271 UXN785048:UXN785271 VHJ785048:VHJ785271 VRF785048:VRF785271 WBB785048:WBB785271 WKX785048:WKX785271 WUT785048:WUT785271 IH850584:IH850807 SD850584:SD850807 ABZ850584:ABZ850807 ALV850584:ALV850807 AVR850584:AVR850807 BFN850584:BFN850807 BPJ850584:BPJ850807 BZF850584:BZF850807 CJB850584:CJB850807 CSX850584:CSX850807 DCT850584:DCT850807 DMP850584:DMP850807 DWL850584:DWL850807 EGH850584:EGH850807 EQD850584:EQD850807 EZZ850584:EZZ850807 FJV850584:FJV850807 FTR850584:FTR850807 GDN850584:GDN850807 GNJ850584:GNJ850807 GXF850584:GXF850807 HHB850584:HHB850807 HQX850584:HQX850807 IAT850584:IAT850807 IKP850584:IKP850807 IUL850584:IUL850807 JEH850584:JEH850807 JOD850584:JOD850807 JXZ850584:JXZ850807 KHV850584:KHV850807 KRR850584:KRR850807 LBN850584:LBN850807 LLJ850584:LLJ850807 LVF850584:LVF850807 MFB850584:MFB850807 MOX850584:MOX850807 MYT850584:MYT850807 NIP850584:NIP850807 NSL850584:NSL850807 OCH850584:OCH850807 OMD850584:OMD850807 OVZ850584:OVZ850807 PFV850584:PFV850807 PPR850584:PPR850807 PZN850584:PZN850807 QJJ850584:QJJ850807 QTF850584:QTF850807 RDB850584:RDB850807 RMX850584:RMX850807 RWT850584:RWT850807 SGP850584:SGP850807 SQL850584:SQL850807 TAH850584:TAH850807 TKD850584:TKD850807 TTZ850584:TTZ850807 UDV850584:UDV850807 UNR850584:UNR850807 UXN850584:UXN850807 VHJ850584:VHJ850807 VRF850584:VRF850807 WBB850584:WBB850807 WKX850584:WKX850807 WUT850584:WUT850807 IH916120:IH916343 SD916120:SD916343 ABZ916120:ABZ916343 ALV916120:ALV916343 AVR916120:AVR916343 BFN916120:BFN916343 BPJ916120:BPJ916343 BZF916120:BZF916343 CJB916120:CJB916343 CSX916120:CSX916343 DCT916120:DCT916343 DMP916120:DMP916343 DWL916120:DWL916343 EGH916120:EGH916343 EQD916120:EQD916343 EZZ916120:EZZ916343 FJV916120:FJV916343 FTR916120:FTR916343 GDN916120:GDN916343 GNJ916120:GNJ916343 GXF916120:GXF916343 HHB916120:HHB916343 HQX916120:HQX916343 IAT916120:IAT916343 IKP916120:IKP916343 IUL916120:IUL916343 JEH916120:JEH916343 JOD916120:JOD916343 JXZ916120:JXZ916343 KHV916120:KHV916343 KRR916120:KRR916343 LBN916120:LBN916343 LLJ916120:LLJ916343 LVF916120:LVF916343 MFB916120:MFB916343 MOX916120:MOX916343 MYT916120:MYT916343 NIP916120:NIP916343 NSL916120:NSL916343 OCH916120:OCH916343 OMD916120:OMD916343 OVZ916120:OVZ916343 PFV916120:PFV916343 PPR916120:PPR916343 PZN916120:PZN916343 QJJ916120:QJJ916343 QTF916120:QTF916343 RDB916120:RDB916343 RMX916120:RMX916343 RWT916120:RWT916343 SGP916120:SGP916343 SQL916120:SQL916343 TAH916120:TAH916343 TKD916120:TKD916343 TTZ916120:TTZ916343 UDV916120:UDV916343 UNR916120:UNR916343 UXN916120:UXN916343 VHJ916120:VHJ916343 VRF916120:VRF916343 WBB916120:WBB916343 WKX916120:WKX916343 WUT916120:WUT916343 IH981656:IH981879 SD981656:SD981879 ABZ981656:ABZ981879 ALV981656:ALV981879 AVR981656:AVR981879 BFN981656:BFN981879 BPJ981656:BPJ981879 BZF981656:BZF981879 CJB981656:CJB981879 CSX981656:CSX981879 DCT981656:DCT981879 DMP981656:DMP981879 DWL981656:DWL981879 EGH981656:EGH981879 EQD981656:EQD981879 EZZ981656:EZZ981879 FJV981656:FJV981879 FTR981656:FTR981879 GDN981656:GDN981879 GNJ981656:GNJ981879 GXF981656:GXF981879 HHB981656:HHB981879 HQX981656:HQX981879 IAT981656:IAT981879 IKP981656:IKP981879 IUL981656:IUL981879 JEH981656:JEH981879 JOD981656:JOD981879 JXZ981656:JXZ981879 KHV981656:KHV981879 KRR981656:KRR981879 LBN981656:LBN981879 LLJ981656:LLJ981879 LVF981656:LVF981879 MFB981656:MFB981879 MOX981656:MOX981879 MYT981656:MYT981879 NIP981656:NIP981879 NSL981656:NSL981879 OCH981656:OCH981879 OMD981656:OMD981879 OVZ981656:OVZ981879 PFV981656:PFV981879 PPR981656:PPR981879 PZN981656:PZN981879 QJJ981656:QJJ981879 QTF981656:QTF981879 RDB981656:RDB981879 RMX981656:RMX981879 RWT981656:RWT981879 SGP981656:SGP981879 SQL981656:SQL981879 TAH981656:TAH981879 TKD981656:TKD981879 TTZ981656:TTZ981879 UDV981656:UDV981879 UNR981656:UNR981879 UXN981656:UXN981879 VHJ981656:VHJ981879 VRF981656:VRF981879 WBB981656:WBB981879 WKX981656:WKX981879 WUT981656:WUT981879 II30:II37 SE30:SE37 ACA30:ACA37 ALW30:ALW37 AVS30:AVS37 BFO30:BFO37 BPK30:BPK37 BZG30:BZG37 CJC30:CJC37 CSY30:CSY37 DCU30:DCU37 DMQ30:DMQ37 DWM30:DWM37 EGI30:EGI37 EQE30:EQE37 FAA30:FAA37 FJW30:FJW37 FTS30:FTS37 GDO30:GDO37 GNK30:GNK37 GXG30:GXG37 HHC30:HHC37 HQY30:HQY37 IAU30:IAU37 IKQ30:IKQ37 IUM30:IUM37 JEI30:JEI37 JOE30:JOE37 JYA30:JYA37 KHW30:KHW37 KRS30:KRS37 LBO30:LBO37 LLK30:LLK37 LVG30:LVG37 MFC30:MFC37 MOY30:MOY37 MYU30:MYU37 NIQ30:NIQ37 NSM30:NSM37 OCI30:OCI37 OME30:OME37 OWA30:OWA37 PFW30:PFW37 PPS30:PPS37 PZO30:PZO37 QJK30:QJK37 QTG30:QTG37 RDC30:RDC37 RMY30:RMY37 RWU30:RWU37 SGQ30:SGQ37 SQM30:SQM37 TAI30:TAI37 TKE30:TKE37 TUA30:TUA37 UDW30:UDW37 UNS30:UNS37 UXO30:UXO37 VHK30:VHK37 VRG30:VRG37 WBC30:WBC37 WKY30:WKY37 WUU30:WUU37 WUR981634:WUR981908 ABY18:ABY37 ABV5:ABV17 ALU18:ALU37 ALR5:ALR17 AVQ18:AVQ37 AVN5:AVN17 BFM18:BFM37 BFJ5:BFJ17 BPI18:BPI37 BPF5:BPF17 BZE18:BZE37 BZB5:BZB17 CJA18:CJA37 CIX5:CIX17 CSW18:CSW37 CST5:CST17 DCS18:DCS37 DCP5:DCP17 DMO18:DMO37 DML5:DML17 DWK18:DWK37 DWH5:DWH17 EGG18:EGG37 EGD5:EGD17 EQC18:EQC37 EPZ5:EPZ17 EZY18:EZY37 EZV5:EZV17 FJU18:FJU37 FJR5:FJR17 FTQ18:FTQ37 FTN5:FTN17 GDM18:GDM37 GDJ5:GDJ17 GNI18:GNI37 GNF5:GNF17 GXE18:GXE37 GXB5:GXB17 HHA18:HHA37 HGX5:HGX17 HQW18:HQW37 HQT5:HQT17 IAS18:IAS37 IAP5:IAP17 IKO18:IKO37 IKL5:IKL17 IUK18:IUK37 IUH5:IUH17 JEG18:JEG37 JED5:JED17 JOC18:JOC37 JNZ5:JNZ17 JXY18:JXY37 JXV5:JXV17 KHU18:KHU37 KHR5:KHR17 KRQ18:KRQ37 KRN5:KRN17 LBM18:LBM37 LBJ5:LBJ17 LLI18:LLI37 LLF5:LLF17 LVE18:LVE37 LVB5:LVB17 MFA18:MFA37 MEX5:MEX17 MOW18:MOW37 MOT5:MOT17 MYS18:MYS37 MYP5:MYP17 NIO18:NIO37 NIL5:NIL17 NSK18:NSK37 NSH5:NSH17 OCG18:OCG37 OCD5:OCD17 OMC18:OMC37 OLZ5:OLZ17 OVY18:OVY37 OVV5:OVV17 PFU18:PFU37 PFR5:PFR17 PPQ18:PPQ37 PPN5:PPN17 PZM18:PZM37 PZJ5:PZJ17 QJI18:QJI37 QJF5:QJF17 QTE18:QTE37 QTB5:QTB17 RDA18:RDA37 RCX5:RCX17 RMW18:RMW37 RMT5:RMT17 RWS18:RWS37 RWP5:RWP17 SGO18:SGO37 SGL5:SGL17 SQK18:SQK37 SQH5:SQH17 TAG18:TAG37 TAD5:TAD17 TKC18:TKC37 TJZ5:TJZ17 TTY18:TTY37 TTV5:TTV17 UDU18:UDU37 UDR5:UDR17 UNQ18:UNQ37 UNN5:UNN17 UXM18:UXM37 UXJ5:UXJ17 VHI18:VHI37 VHF5:VHF17 VRE18:VRE37 VRB5:VRB17 WBA18:WBA37 WAX5:WAX17 WKW18:WKW37 WKT5:WKT17 WUS18:WUS37 WUP5:WUP17 IG18:IG37 ID5:ID17 SC18:SC37 RZ5:RZ17 WKV981634:WKV981908 C65675:C65949 IF64130:IF64404 SB64130:SB64404 ABX64130:ABX64404 ALT64130:ALT64404 AVP64130:AVP64404 BFL64130:BFL64404 BPH64130:BPH64404 BZD64130:BZD64404 CIZ64130:CIZ64404 CSV64130:CSV64404 DCR64130:DCR64404 DMN64130:DMN64404 DWJ64130:DWJ64404 EGF64130:EGF64404 EQB64130:EQB64404 EZX64130:EZX64404 FJT64130:FJT64404 FTP64130:FTP64404 GDL64130:GDL64404 GNH64130:GNH64404 GXD64130:GXD64404 HGZ64130:HGZ64404 HQV64130:HQV64404 IAR64130:IAR64404 IKN64130:IKN64404 IUJ64130:IUJ64404 JEF64130:JEF64404 JOB64130:JOB64404 JXX64130:JXX64404 KHT64130:KHT64404 KRP64130:KRP64404 LBL64130:LBL64404 LLH64130:LLH64404 LVD64130:LVD64404 MEZ64130:MEZ64404 MOV64130:MOV64404 MYR64130:MYR64404 NIN64130:NIN64404 NSJ64130:NSJ64404 OCF64130:OCF64404 OMB64130:OMB64404 OVX64130:OVX64404 PFT64130:PFT64404 PPP64130:PPP64404 PZL64130:PZL64404 QJH64130:QJH64404 QTD64130:QTD64404 RCZ64130:RCZ64404 RMV64130:RMV64404 RWR64130:RWR64404 SGN64130:SGN64404 SQJ64130:SQJ64404 TAF64130:TAF64404 TKB64130:TKB64404 TTX64130:TTX64404 UDT64130:UDT64404 UNP64130:UNP64404 UXL64130:UXL64404 VHH64130:VHH64404 VRD64130:VRD64404 WAZ64130:WAZ64404 WKV64130:WKV64404 WUR64130:WUR64404 C131211:C131485 IF129666:IF129940 SB129666:SB129940 ABX129666:ABX129940 ALT129666:ALT129940 AVP129666:AVP129940 BFL129666:BFL129940 BPH129666:BPH129940 BZD129666:BZD129940 CIZ129666:CIZ129940 CSV129666:CSV129940 DCR129666:DCR129940 DMN129666:DMN129940 DWJ129666:DWJ129940 EGF129666:EGF129940 EQB129666:EQB129940 EZX129666:EZX129940 FJT129666:FJT129940 FTP129666:FTP129940 GDL129666:GDL129940 GNH129666:GNH129940 GXD129666:GXD129940 HGZ129666:HGZ129940 HQV129666:HQV129940 IAR129666:IAR129940 IKN129666:IKN129940 IUJ129666:IUJ129940 JEF129666:JEF129940 JOB129666:JOB129940 JXX129666:JXX129940 KHT129666:KHT129940 KRP129666:KRP129940 LBL129666:LBL129940 LLH129666:LLH129940 LVD129666:LVD129940 MEZ129666:MEZ129940 MOV129666:MOV129940 MYR129666:MYR129940 NIN129666:NIN129940 NSJ129666:NSJ129940 OCF129666:OCF129940 OMB129666:OMB129940 OVX129666:OVX129940 PFT129666:PFT129940 PPP129666:PPP129940 PZL129666:PZL129940 QJH129666:QJH129940 QTD129666:QTD129940 RCZ129666:RCZ129940 RMV129666:RMV129940 RWR129666:RWR129940 SGN129666:SGN129940 SQJ129666:SQJ129940 TAF129666:TAF129940 TKB129666:TKB129940 TTX129666:TTX129940 UDT129666:UDT129940 UNP129666:UNP129940 UXL129666:UXL129940 VHH129666:VHH129940 VRD129666:VRD129940 WAZ129666:WAZ129940 WKV129666:WKV129940 WUR129666:WUR129940 C196747:C197021 IF195202:IF195476 SB195202:SB195476 ABX195202:ABX195476 ALT195202:ALT195476 AVP195202:AVP195476 BFL195202:BFL195476 BPH195202:BPH195476 BZD195202:BZD195476 CIZ195202:CIZ195476 CSV195202:CSV195476 DCR195202:DCR195476 DMN195202:DMN195476 DWJ195202:DWJ195476 EGF195202:EGF195476 EQB195202:EQB195476 EZX195202:EZX195476 FJT195202:FJT195476 FTP195202:FTP195476 GDL195202:GDL195476 GNH195202:GNH195476 GXD195202:GXD195476 HGZ195202:HGZ195476 HQV195202:HQV195476 IAR195202:IAR195476 IKN195202:IKN195476 IUJ195202:IUJ195476 JEF195202:JEF195476 JOB195202:JOB195476 JXX195202:JXX195476 KHT195202:KHT195476 KRP195202:KRP195476 LBL195202:LBL195476 LLH195202:LLH195476 LVD195202:LVD195476 MEZ195202:MEZ195476 MOV195202:MOV195476 MYR195202:MYR195476 NIN195202:NIN195476 NSJ195202:NSJ195476 OCF195202:OCF195476 OMB195202:OMB195476 OVX195202:OVX195476 PFT195202:PFT195476 PPP195202:PPP195476 PZL195202:PZL195476 QJH195202:QJH195476 QTD195202:QTD195476 RCZ195202:RCZ195476 RMV195202:RMV195476 RWR195202:RWR195476 SGN195202:SGN195476 SQJ195202:SQJ195476 TAF195202:TAF195476 TKB195202:TKB195476 TTX195202:TTX195476 UDT195202:UDT195476 UNP195202:UNP195476 UXL195202:UXL195476 VHH195202:VHH195476 VRD195202:VRD195476 WAZ195202:WAZ195476 WKV195202:WKV195476 WUR195202:WUR195476 C262283:C262557 IF260738:IF261012 SB260738:SB261012 ABX260738:ABX261012 ALT260738:ALT261012 AVP260738:AVP261012 BFL260738:BFL261012 BPH260738:BPH261012 BZD260738:BZD261012 CIZ260738:CIZ261012 CSV260738:CSV261012 DCR260738:DCR261012 DMN260738:DMN261012 DWJ260738:DWJ261012 EGF260738:EGF261012 EQB260738:EQB261012 EZX260738:EZX261012 FJT260738:FJT261012 FTP260738:FTP261012 GDL260738:GDL261012 GNH260738:GNH261012 GXD260738:GXD261012 HGZ260738:HGZ261012 HQV260738:HQV261012 IAR260738:IAR261012 IKN260738:IKN261012 IUJ260738:IUJ261012 JEF260738:JEF261012 JOB260738:JOB261012 JXX260738:JXX261012 KHT260738:KHT261012 KRP260738:KRP261012 LBL260738:LBL261012 LLH260738:LLH261012 LVD260738:LVD261012 MEZ260738:MEZ261012 MOV260738:MOV261012 MYR260738:MYR261012 NIN260738:NIN261012 NSJ260738:NSJ261012 OCF260738:OCF261012 OMB260738:OMB261012 OVX260738:OVX261012 PFT260738:PFT261012 PPP260738:PPP261012 PZL260738:PZL261012 QJH260738:QJH261012 QTD260738:QTD261012 RCZ260738:RCZ261012 RMV260738:RMV261012 RWR260738:RWR261012 SGN260738:SGN261012 SQJ260738:SQJ261012 TAF260738:TAF261012 TKB260738:TKB261012 TTX260738:TTX261012 UDT260738:UDT261012 UNP260738:UNP261012 UXL260738:UXL261012 VHH260738:VHH261012 VRD260738:VRD261012 WAZ260738:WAZ261012 WKV260738:WKV261012 WUR260738:WUR261012 C327819:C328093 IF326274:IF326548 SB326274:SB326548 ABX326274:ABX326548 ALT326274:ALT326548 AVP326274:AVP326548 BFL326274:BFL326548 BPH326274:BPH326548 BZD326274:BZD326548 CIZ326274:CIZ326548 CSV326274:CSV326548 DCR326274:DCR326548 DMN326274:DMN326548 DWJ326274:DWJ326548 EGF326274:EGF326548 EQB326274:EQB326548 EZX326274:EZX326548 FJT326274:FJT326548 FTP326274:FTP326548 GDL326274:GDL326548 GNH326274:GNH326548 GXD326274:GXD326548 HGZ326274:HGZ326548 HQV326274:HQV326548 IAR326274:IAR326548 IKN326274:IKN326548 IUJ326274:IUJ326548 JEF326274:JEF326548 JOB326274:JOB326548 JXX326274:JXX326548 KHT326274:KHT326548 KRP326274:KRP326548 LBL326274:LBL326548 LLH326274:LLH326548 LVD326274:LVD326548 MEZ326274:MEZ326548 MOV326274:MOV326548 MYR326274:MYR326548 NIN326274:NIN326548 NSJ326274:NSJ326548 OCF326274:OCF326548 OMB326274:OMB326548 OVX326274:OVX326548 PFT326274:PFT326548 PPP326274:PPP326548 PZL326274:PZL326548 QJH326274:QJH326548 QTD326274:QTD326548 RCZ326274:RCZ326548 RMV326274:RMV326548 RWR326274:RWR326548 SGN326274:SGN326548 SQJ326274:SQJ326548 TAF326274:TAF326548 TKB326274:TKB326548 TTX326274:TTX326548 UDT326274:UDT326548 UNP326274:UNP326548 UXL326274:UXL326548 VHH326274:VHH326548 VRD326274:VRD326548 WAZ326274:WAZ326548 WKV326274:WKV326548 WUR326274:WUR326548 C393355:C393629 IF391810:IF392084 SB391810:SB392084 ABX391810:ABX392084 ALT391810:ALT392084 AVP391810:AVP392084 BFL391810:BFL392084 BPH391810:BPH392084 BZD391810:BZD392084 CIZ391810:CIZ392084 CSV391810:CSV392084 DCR391810:DCR392084 DMN391810:DMN392084 DWJ391810:DWJ392084 EGF391810:EGF392084 EQB391810:EQB392084 EZX391810:EZX392084 FJT391810:FJT392084 FTP391810:FTP392084 GDL391810:GDL392084 GNH391810:GNH392084 GXD391810:GXD392084 HGZ391810:HGZ392084 HQV391810:HQV392084 IAR391810:IAR392084 IKN391810:IKN392084 IUJ391810:IUJ392084 JEF391810:JEF392084 JOB391810:JOB392084 JXX391810:JXX392084 KHT391810:KHT392084 KRP391810:KRP392084 LBL391810:LBL392084 LLH391810:LLH392084 LVD391810:LVD392084 MEZ391810:MEZ392084 MOV391810:MOV392084 MYR391810:MYR392084 NIN391810:NIN392084 NSJ391810:NSJ392084 OCF391810:OCF392084 OMB391810:OMB392084 OVX391810:OVX392084 PFT391810:PFT392084 PPP391810:PPP392084 PZL391810:PZL392084 QJH391810:QJH392084 QTD391810:QTD392084 RCZ391810:RCZ392084 RMV391810:RMV392084 RWR391810:RWR392084 SGN391810:SGN392084 SQJ391810:SQJ392084 TAF391810:TAF392084 TKB391810:TKB392084 TTX391810:TTX392084 UDT391810:UDT392084 UNP391810:UNP392084 UXL391810:UXL392084 VHH391810:VHH392084 VRD391810:VRD392084 WAZ391810:WAZ392084 WKV391810:WKV392084 WUR391810:WUR392084 C458891:C459165 IF457346:IF457620 SB457346:SB457620 ABX457346:ABX457620 ALT457346:ALT457620 AVP457346:AVP457620 BFL457346:BFL457620 BPH457346:BPH457620 BZD457346:BZD457620 CIZ457346:CIZ457620 CSV457346:CSV457620 DCR457346:DCR457620 DMN457346:DMN457620 DWJ457346:DWJ457620 EGF457346:EGF457620 EQB457346:EQB457620 EZX457346:EZX457620 FJT457346:FJT457620 FTP457346:FTP457620 GDL457346:GDL457620 GNH457346:GNH457620 GXD457346:GXD457620 HGZ457346:HGZ457620 HQV457346:HQV457620 IAR457346:IAR457620 IKN457346:IKN457620 IUJ457346:IUJ457620 JEF457346:JEF457620 JOB457346:JOB457620 JXX457346:JXX457620 KHT457346:KHT457620 KRP457346:KRP457620 LBL457346:LBL457620 LLH457346:LLH457620 LVD457346:LVD457620 MEZ457346:MEZ457620 MOV457346:MOV457620 MYR457346:MYR457620 NIN457346:NIN457620 NSJ457346:NSJ457620 OCF457346:OCF457620 OMB457346:OMB457620 OVX457346:OVX457620 PFT457346:PFT457620 PPP457346:PPP457620 PZL457346:PZL457620 QJH457346:QJH457620 QTD457346:QTD457620 RCZ457346:RCZ457620 RMV457346:RMV457620 RWR457346:RWR457620 SGN457346:SGN457620 SQJ457346:SQJ457620 TAF457346:TAF457620 TKB457346:TKB457620 TTX457346:TTX457620 UDT457346:UDT457620 UNP457346:UNP457620 UXL457346:UXL457620 VHH457346:VHH457620 VRD457346:VRD457620 WAZ457346:WAZ457620 WKV457346:WKV457620 WUR457346:WUR457620 C524427:C524701 IF522882:IF523156 SB522882:SB523156 ABX522882:ABX523156 ALT522882:ALT523156 AVP522882:AVP523156 BFL522882:BFL523156 BPH522882:BPH523156 BZD522882:BZD523156 CIZ522882:CIZ523156 CSV522882:CSV523156 DCR522882:DCR523156 DMN522882:DMN523156 DWJ522882:DWJ523156 EGF522882:EGF523156 EQB522882:EQB523156 EZX522882:EZX523156 FJT522882:FJT523156 FTP522882:FTP523156 GDL522882:GDL523156 GNH522882:GNH523156 GXD522882:GXD523156 HGZ522882:HGZ523156 HQV522882:HQV523156 IAR522882:IAR523156 IKN522882:IKN523156 IUJ522882:IUJ523156 JEF522882:JEF523156 JOB522882:JOB523156 JXX522882:JXX523156 KHT522882:KHT523156 KRP522882:KRP523156 LBL522882:LBL523156 LLH522882:LLH523156 LVD522882:LVD523156 MEZ522882:MEZ523156 MOV522882:MOV523156 MYR522882:MYR523156 NIN522882:NIN523156 NSJ522882:NSJ523156 OCF522882:OCF523156 OMB522882:OMB523156 OVX522882:OVX523156 PFT522882:PFT523156 PPP522882:PPP523156 PZL522882:PZL523156 QJH522882:QJH523156 QTD522882:QTD523156 RCZ522882:RCZ523156 RMV522882:RMV523156 RWR522882:RWR523156 SGN522882:SGN523156 SQJ522882:SQJ523156 TAF522882:TAF523156 TKB522882:TKB523156 TTX522882:TTX523156 UDT522882:UDT523156 UNP522882:UNP523156 UXL522882:UXL523156 VHH522882:VHH523156 VRD522882:VRD523156 WAZ522882:WAZ523156 WKV522882:WKV523156 WUR522882:WUR523156 C589963:C590237 IF588418:IF588692 SB588418:SB588692 ABX588418:ABX588692 ALT588418:ALT588692 AVP588418:AVP588692 BFL588418:BFL588692 BPH588418:BPH588692 BZD588418:BZD588692 CIZ588418:CIZ588692 CSV588418:CSV588692 DCR588418:DCR588692 DMN588418:DMN588692 DWJ588418:DWJ588692 EGF588418:EGF588692 EQB588418:EQB588692 EZX588418:EZX588692 FJT588418:FJT588692 FTP588418:FTP588692 GDL588418:GDL588692 GNH588418:GNH588692 GXD588418:GXD588692 HGZ588418:HGZ588692 HQV588418:HQV588692 IAR588418:IAR588692 IKN588418:IKN588692 IUJ588418:IUJ588692 JEF588418:JEF588692 JOB588418:JOB588692 JXX588418:JXX588692 KHT588418:KHT588692 KRP588418:KRP588692 LBL588418:LBL588692 LLH588418:LLH588692 LVD588418:LVD588692 MEZ588418:MEZ588692 MOV588418:MOV588692 MYR588418:MYR588692 NIN588418:NIN588692 NSJ588418:NSJ588692 OCF588418:OCF588692 OMB588418:OMB588692 OVX588418:OVX588692 PFT588418:PFT588692 PPP588418:PPP588692 PZL588418:PZL588692 QJH588418:QJH588692 QTD588418:QTD588692 RCZ588418:RCZ588692 RMV588418:RMV588692 RWR588418:RWR588692 SGN588418:SGN588692 SQJ588418:SQJ588692 TAF588418:TAF588692 TKB588418:TKB588692 TTX588418:TTX588692 UDT588418:UDT588692 UNP588418:UNP588692 UXL588418:UXL588692 VHH588418:VHH588692 VRD588418:VRD588692 WAZ588418:WAZ588692 WKV588418:WKV588692 WUR588418:WUR588692 C655499:C655773 IF653954:IF654228 SB653954:SB654228 ABX653954:ABX654228 ALT653954:ALT654228 AVP653954:AVP654228 BFL653954:BFL654228 BPH653954:BPH654228 BZD653954:BZD654228 CIZ653954:CIZ654228 CSV653954:CSV654228 DCR653954:DCR654228 DMN653954:DMN654228 DWJ653954:DWJ654228 EGF653954:EGF654228 EQB653954:EQB654228 EZX653954:EZX654228 FJT653954:FJT654228 FTP653954:FTP654228 GDL653954:GDL654228 GNH653954:GNH654228 GXD653954:GXD654228 HGZ653954:HGZ654228 HQV653954:HQV654228 IAR653954:IAR654228 IKN653954:IKN654228 IUJ653954:IUJ654228 JEF653954:JEF654228 JOB653954:JOB654228 JXX653954:JXX654228 KHT653954:KHT654228 KRP653954:KRP654228 LBL653954:LBL654228 LLH653954:LLH654228 LVD653954:LVD654228 MEZ653954:MEZ654228 MOV653954:MOV654228 MYR653954:MYR654228 NIN653954:NIN654228 NSJ653954:NSJ654228 OCF653954:OCF654228 OMB653954:OMB654228 OVX653954:OVX654228 PFT653954:PFT654228 PPP653954:PPP654228 PZL653954:PZL654228 QJH653954:QJH654228 QTD653954:QTD654228 RCZ653954:RCZ654228 RMV653954:RMV654228 RWR653954:RWR654228 SGN653954:SGN654228 SQJ653954:SQJ654228 TAF653954:TAF654228 TKB653954:TKB654228 TTX653954:TTX654228 UDT653954:UDT654228 UNP653954:UNP654228 UXL653954:UXL654228 VHH653954:VHH654228 VRD653954:VRD654228 WAZ653954:WAZ654228 WKV653954:WKV654228 WUR653954:WUR654228 C721035:C721309 IF719490:IF719764 SB719490:SB719764 ABX719490:ABX719764 ALT719490:ALT719764 AVP719490:AVP719764 BFL719490:BFL719764 BPH719490:BPH719764 BZD719490:BZD719764 CIZ719490:CIZ719764 CSV719490:CSV719764 DCR719490:DCR719764 DMN719490:DMN719764 DWJ719490:DWJ719764 EGF719490:EGF719764 EQB719490:EQB719764 EZX719490:EZX719764 FJT719490:FJT719764 FTP719490:FTP719764 GDL719490:GDL719764 GNH719490:GNH719764 GXD719490:GXD719764 HGZ719490:HGZ719764 HQV719490:HQV719764 IAR719490:IAR719764 IKN719490:IKN719764 IUJ719490:IUJ719764 JEF719490:JEF719764 JOB719490:JOB719764 JXX719490:JXX719764 KHT719490:KHT719764 KRP719490:KRP719764 LBL719490:LBL719764 LLH719490:LLH719764 LVD719490:LVD719764 MEZ719490:MEZ719764 MOV719490:MOV719764 MYR719490:MYR719764 NIN719490:NIN719764 NSJ719490:NSJ719764 OCF719490:OCF719764 OMB719490:OMB719764 OVX719490:OVX719764 PFT719490:PFT719764 PPP719490:PPP719764 PZL719490:PZL719764 QJH719490:QJH719764 QTD719490:QTD719764 RCZ719490:RCZ719764 RMV719490:RMV719764 RWR719490:RWR719764 SGN719490:SGN719764 SQJ719490:SQJ719764 TAF719490:TAF719764 TKB719490:TKB719764 TTX719490:TTX719764 UDT719490:UDT719764 UNP719490:UNP719764 UXL719490:UXL719764 VHH719490:VHH719764 VRD719490:VRD719764 WAZ719490:WAZ719764 WKV719490:WKV719764 WUR719490:WUR719764 C786571:C786845 IF785026:IF785300 SB785026:SB785300 ABX785026:ABX785300 ALT785026:ALT785300 AVP785026:AVP785300 BFL785026:BFL785300 BPH785026:BPH785300 BZD785026:BZD785300 CIZ785026:CIZ785300 CSV785026:CSV785300 DCR785026:DCR785300 DMN785026:DMN785300 DWJ785026:DWJ785300 EGF785026:EGF785300 EQB785026:EQB785300 EZX785026:EZX785300 FJT785026:FJT785300 FTP785026:FTP785300 GDL785026:GDL785300 GNH785026:GNH785300 GXD785026:GXD785300 HGZ785026:HGZ785300 HQV785026:HQV785300 IAR785026:IAR785300 IKN785026:IKN785300 IUJ785026:IUJ785300 JEF785026:JEF785300 JOB785026:JOB785300 JXX785026:JXX785300 KHT785026:KHT785300 KRP785026:KRP785300 LBL785026:LBL785300 LLH785026:LLH785300 LVD785026:LVD785300 MEZ785026:MEZ785300 MOV785026:MOV785300 MYR785026:MYR785300 NIN785026:NIN785300 NSJ785026:NSJ785300 OCF785026:OCF785300 OMB785026:OMB785300 OVX785026:OVX785300 PFT785026:PFT785300 PPP785026:PPP785300 PZL785026:PZL785300 QJH785026:QJH785300 QTD785026:QTD785300 RCZ785026:RCZ785300 RMV785026:RMV785300 RWR785026:RWR785300 SGN785026:SGN785300 SQJ785026:SQJ785300 TAF785026:TAF785300 TKB785026:TKB785300 TTX785026:TTX785300 UDT785026:UDT785300 UNP785026:UNP785300 UXL785026:UXL785300 VHH785026:VHH785300 VRD785026:VRD785300 WAZ785026:WAZ785300 WKV785026:WKV785300 WUR785026:WUR785300 C852107:C852381 IF850562:IF850836 SB850562:SB850836 ABX850562:ABX850836 ALT850562:ALT850836 AVP850562:AVP850836 BFL850562:BFL850836 BPH850562:BPH850836 BZD850562:BZD850836 CIZ850562:CIZ850836 CSV850562:CSV850836 DCR850562:DCR850836 DMN850562:DMN850836 DWJ850562:DWJ850836 EGF850562:EGF850836 EQB850562:EQB850836 EZX850562:EZX850836 FJT850562:FJT850836 FTP850562:FTP850836 GDL850562:GDL850836 GNH850562:GNH850836 GXD850562:GXD850836 HGZ850562:HGZ850836 HQV850562:HQV850836 IAR850562:IAR850836 IKN850562:IKN850836 IUJ850562:IUJ850836 JEF850562:JEF850836 JOB850562:JOB850836 JXX850562:JXX850836 KHT850562:KHT850836 KRP850562:KRP850836 LBL850562:LBL850836 LLH850562:LLH850836 LVD850562:LVD850836 MEZ850562:MEZ850836 MOV850562:MOV850836 MYR850562:MYR850836 NIN850562:NIN850836 NSJ850562:NSJ850836 OCF850562:OCF850836 OMB850562:OMB850836 OVX850562:OVX850836 PFT850562:PFT850836 PPP850562:PPP850836 PZL850562:PZL850836 QJH850562:QJH850836 QTD850562:QTD850836 RCZ850562:RCZ850836 RMV850562:RMV850836 RWR850562:RWR850836 SGN850562:SGN850836 SQJ850562:SQJ850836 TAF850562:TAF850836 TKB850562:TKB850836 TTX850562:TTX850836 UDT850562:UDT850836 UNP850562:UNP850836 UXL850562:UXL850836 VHH850562:VHH850836 VRD850562:VRD850836 WAZ850562:WAZ850836 WKV850562:WKV850836 WUR850562:WUR850836 C917643:C917917 IF916098:IF916372 SB916098:SB916372 ABX916098:ABX916372 ALT916098:ALT916372 AVP916098:AVP916372 BFL916098:BFL916372 BPH916098:BPH916372 BZD916098:BZD916372 CIZ916098:CIZ916372 CSV916098:CSV916372 DCR916098:DCR916372 DMN916098:DMN916372 DWJ916098:DWJ916372 EGF916098:EGF916372 EQB916098:EQB916372 EZX916098:EZX916372 FJT916098:FJT916372 FTP916098:FTP916372 GDL916098:GDL916372 GNH916098:GNH916372 GXD916098:GXD916372 HGZ916098:HGZ916372 HQV916098:HQV916372 IAR916098:IAR916372 IKN916098:IKN916372 IUJ916098:IUJ916372 JEF916098:JEF916372 JOB916098:JOB916372 JXX916098:JXX916372 KHT916098:KHT916372 KRP916098:KRP916372 LBL916098:LBL916372 LLH916098:LLH916372 LVD916098:LVD916372 MEZ916098:MEZ916372 MOV916098:MOV916372 MYR916098:MYR916372 NIN916098:NIN916372 NSJ916098:NSJ916372 OCF916098:OCF916372 OMB916098:OMB916372 OVX916098:OVX916372 PFT916098:PFT916372 PPP916098:PPP916372 PZL916098:PZL916372 QJH916098:QJH916372 QTD916098:QTD916372 RCZ916098:RCZ916372 RMV916098:RMV916372 RWR916098:RWR916372 SGN916098:SGN916372 SQJ916098:SQJ916372 TAF916098:TAF916372 TKB916098:TKB916372 TTX916098:TTX916372 UDT916098:UDT916372 UNP916098:UNP916372 UXL916098:UXL916372 VHH916098:VHH916372 VRD916098:VRD916372 WAZ916098:WAZ916372 WKV916098:WKV916372 WUR916098:WUR916372 C983179:C983453 IF981634:IF981908 SB981634:SB981908 ABX981634:ABX981908 ALT981634:ALT981908 AVP981634:AVP981908 BFL981634:BFL981908 BPH981634:BPH981908 BZD981634:BZD981908 CIZ981634:CIZ981908 CSV981634:CSV981908 DCR981634:DCR981908 DMN981634:DMN981908 DWJ981634:DWJ981908 EGF981634:EGF981908 EQB981634:EQB981908 EZX981634:EZX981908 FJT981634:FJT981908 FTP981634:FTP981908 GDL981634:GDL981908 GNH981634:GNH981908 GXD981634:GXD981908 HGZ981634:HGZ981908 HQV981634:HQV981908 IAR981634:IAR981908 IKN981634:IKN981908 IUJ981634:IUJ981908 JEF981634:JEF981908 JOB981634:JOB981908 JXX981634:JXX981908 KHT981634:KHT981908 KRP981634:KRP981908 LBL981634:LBL981908 LLH981634:LLH981908 LVD981634:LVD981908 MEZ981634:MEZ981908 MOV981634:MOV981908 MYR981634:MYR981908 NIN981634:NIN981908 NSJ981634:NSJ981908 OCF981634:OCF981908 OMB981634:OMB981908 OVX981634:OVX981908 PFT981634:PFT981908 PPP981634:PPP981908 PZL981634:PZL981908 QJH981634:QJH981908 QTD981634:QTD981908 RCZ981634:RCZ981908 RMV981634:RMV981908 RWR981634:RWR981908 SGN981634:SGN981908 SQJ981634:SQJ981908 TAF981634:TAF981908 TKB981634:TKB981908 TTX981634:TTX981908 UDT981634:UDT981908 UNP981634:UNP981908 UXL981634:UXL981908 VHH981634:VHH981908 VRD981634:VRD981908 WAZ981634:WAZ981908" xr:uid="{38C0D9AF-FA15-49A7-BB12-472B2DB7CDD1}">
      <formula1>#REF!</formula1>
    </dataValidation>
    <dataValidation type="list" allowBlank="1" showInputMessage="1" showErrorMessage="1" sqref="F65675:F65696 IK64130:IK64151 SG64130:SG64151 ACC64130:ACC64151 ALY64130:ALY64151 AVU64130:AVU64151 BFQ64130:BFQ64151 BPM64130:BPM64151 BZI64130:BZI64151 CJE64130:CJE64151 CTA64130:CTA64151 DCW64130:DCW64151 DMS64130:DMS64151 DWO64130:DWO64151 EGK64130:EGK64151 EQG64130:EQG64151 FAC64130:FAC64151 FJY64130:FJY64151 FTU64130:FTU64151 GDQ64130:GDQ64151 GNM64130:GNM64151 GXI64130:GXI64151 HHE64130:HHE64151 HRA64130:HRA64151 IAW64130:IAW64151 IKS64130:IKS64151 IUO64130:IUO64151 JEK64130:JEK64151 JOG64130:JOG64151 JYC64130:JYC64151 KHY64130:KHY64151 KRU64130:KRU64151 LBQ64130:LBQ64151 LLM64130:LLM64151 LVI64130:LVI64151 MFE64130:MFE64151 MPA64130:MPA64151 MYW64130:MYW64151 NIS64130:NIS64151 NSO64130:NSO64151 OCK64130:OCK64151 OMG64130:OMG64151 OWC64130:OWC64151 PFY64130:PFY64151 PPU64130:PPU64151 PZQ64130:PZQ64151 QJM64130:QJM64151 QTI64130:QTI64151 RDE64130:RDE64151 RNA64130:RNA64151 RWW64130:RWW64151 SGS64130:SGS64151 SQO64130:SQO64151 TAK64130:TAK64151 TKG64130:TKG64151 TUC64130:TUC64151 UDY64130:UDY64151 UNU64130:UNU64151 UXQ64130:UXQ64151 VHM64130:VHM64151 VRI64130:VRI64151 WBE64130:WBE64151 WLA64130:WLA64151 WUW64130:WUW64151 F131211:F131232 IK129666:IK129687 SG129666:SG129687 ACC129666:ACC129687 ALY129666:ALY129687 AVU129666:AVU129687 BFQ129666:BFQ129687 BPM129666:BPM129687 BZI129666:BZI129687 CJE129666:CJE129687 CTA129666:CTA129687 DCW129666:DCW129687 DMS129666:DMS129687 DWO129666:DWO129687 EGK129666:EGK129687 EQG129666:EQG129687 FAC129666:FAC129687 FJY129666:FJY129687 FTU129666:FTU129687 GDQ129666:GDQ129687 GNM129666:GNM129687 GXI129666:GXI129687 HHE129666:HHE129687 HRA129666:HRA129687 IAW129666:IAW129687 IKS129666:IKS129687 IUO129666:IUO129687 JEK129666:JEK129687 JOG129666:JOG129687 JYC129666:JYC129687 KHY129666:KHY129687 KRU129666:KRU129687 LBQ129666:LBQ129687 LLM129666:LLM129687 LVI129666:LVI129687 MFE129666:MFE129687 MPA129666:MPA129687 MYW129666:MYW129687 NIS129666:NIS129687 NSO129666:NSO129687 OCK129666:OCK129687 OMG129666:OMG129687 OWC129666:OWC129687 PFY129666:PFY129687 PPU129666:PPU129687 PZQ129666:PZQ129687 QJM129666:QJM129687 QTI129666:QTI129687 RDE129666:RDE129687 RNA129666:RNA129687 RWW129666:RWW129687 SGS129666:SGS129687 SQO129666:SQO129687 TAK129666:TAK129687 TKG129666:TKG129687 TUC129666:TUC129687 UDY129666:UDY129687 UNU129666:UNU129687 UXQ129666:UXQ129687 VHM129666:VHM129687 VRI129666:VRI129687 WBE129666:WBE129687 WLA129666:WLA129687 WUW129666:WUW129687 F196747:F196768 IK195202:IK195223 SG195202:SG195223 ACC195202:ACC195223 ALY195202:ALY195223 AVU195202:AVU195223 BFQ195202:BFQ195223 BPM195202:BPM195223 BZI195202:BZI195223 CJE195202:CJE195223 CTA195202:CTA195223 DCW195202:DCW195223 DMS195202:DMS195223 DWO195202:DWO195223 EGK195202:EGK195223 EQG195202:EQG195223 FAC195202:FAC195223 FJY195202:FJY195223 FTU195202:FTU195223 GDQ195202:GDQ195223 GNM195202:GNM195223 GXI195202:GXI195223 HHE195202:HHE195223 HRA195202:HRA195223 IAW195202:IAW195223 IKS195202:IKS195223 IUO195202:IUO195223 JEK195202:JEK195223 JOG195202:JOG195223 JYC195202:JYC195223 KHY195202:KHY195223 KRU195202:KRU195223 LBQ195202:LBQ195223 LLM195202:LLM195223 LVI195202:LVI195223 MFE195202:MFE195223 MPA195202:MPA195223 MYW195202:MYW195223 NIS195202:NIS195223 NSO195202:NSO195223 OCK195202:OCK195223 OMG195202:OMG195223 OWC195202:OWC195223 PFY195202:PFY195223 PPU195202:PPU195223 PZQ195202:PZQ195223 QJM195202:QJM195223 QTI195202:QTI195223 RDE195202:RDE195223 RNA195202:RNA195223 RWW195202:RWW195223 SGS195202:SGS195223 SQO195202:SQO195223 TAK195202:TAK195223 TKG195202:TKG195223 TUC195202:TUC195223 UDY195202:UDY195223 UNU195202:UNU195223 UXQ195202:UXQ195223 VHM195202:VHM195223 VRI195202:VRI195223 WBE195202:WBE195223 WLA195202:WLA195223 WUW195202:WUW195223 F262283:F262304 IK260738:IK260759 SG260738:SG260759 ACC260738:ACC260759 ALY260738:ALY260759 AVU260738:AVU260759 BFQ260738:BFQ260759 BPM260738:BPM260759 BZI260738:BZI260759 CJE260738:CJE260759 CTA260738:CTA260759 DCW260738:DCW260759 DMS260738:DMS260759 DWO260738:DWO260759 EGK260738:EGK260759 EQG260738:EQG260759 FAC260738:FAC260759 FJY260738:FJY260759 FTU260738:FTU260759 GDQ260738:GDQ260759 GNM260738:GNM260759 GXI260738:GXI260759 HHE260738:HHE260759 HRA260738:HRA260759 IAW260738:IAW260759 IKS260738:IKS260759 IUO260738:IUO260759 JEK260738:JEK260759 JOG260738:JOG260759 JYC260738:JYC260759 KHY260738:KHY260759 KRU260738:KRU260759 LBQ260738:LBQ260759 LLM260738:LLM260759 LVI260738:LVI260759 MFE260738:MFE260759 MPA260738:MPA260759 MYW260738:MYW260759 NIS260738:NIS260759 NSO260738:NSO260759 OCK260738:OCK260759 OMG260738:OMG260759 OWC260738:OWC260759 PFY260738:PFY260759 PPU260738:PPU260759 PZQ260738:PZQ260759 QJM260738:QJM260759 QTI260738:QTI260759 RDE260738:RDE260759 RNA260738:RNA260759 RWW260738:RWW260759 SGS260738:SGS260759 SQO260738:SQO260759 TAK260738:TAK260759 TKG260738:TKG260759 TUC260738:TUC260759 UDY260738:UDY260759 UNU260738:UNU260759 UXQ260738:UXQ260759 VHM260738:VHM260759 VRI260738:VRI260759 WBE260738:WBE260759 WLA260738:WLA260759 WUW260738:WUW260759 F327819:F327840 IK326274:IK326295 SG326274:SG326295 ACC326274:ACC326295 ALY326274:ALY326295 AVU326274:AVU326295 BFQ326274:BFQ326295 BPM326274:BPM326295 BZI326274:BZI326295 CJE326274:CJE326295 CTA326274:CTA326295 DCW326274:DCW326295 DMS326274:DMS326295 DWO326274:DWO326295 EGK326274:EGK326295 EQG326274:EQG326295 FAC326274:FAC326295 FJY326274:FJY326295 FTU326274:FTU326295 GDQ326274:GDQ326295 GNM326274:GNM326295 GXI326274:GXI326295 HHE326274:HHE326295 HRA326274:HRA326295 IAW326274:IAW326295 IKS326274:IKS326295 IUO326274:IUO326295 JEK326274:JEK326295 JOG326274:JOG326295 JYC326274:JYC326295 KHY326274:KHY326295 KRU326274:KRU326295 LBQ326274:LBQ326295 LLM326274:LLM326295 LVI326274:LVI326295 MFE326274:MFE326295 MPA326274:MPA326295 MYW326274:MYW326295 NIS326274:NIS326295 NSO326274:NSO326295 OCK326274:OCK326295 OMG326274:OMG326295 OWC326274:OWC326295 PFY326274:PFY326295 PPU326274:PPU326295 PZQ326274:PZQ326295 QJM326274:QJM326295 QTI326274:QTI326295 RDE326274:RDE326295 RNA326274:RNA326295 RWW326274:RWW326295 SGS326274:SGS326295 SQO326274:SQO326295 TAK326274:TAK326295 TKG326274:TKG326295 TUC326274:TUC326295 UDY326274:UDY326295 UNU326274:UNU326295 UXQ326274:UXQ326295 VHM326274:VHM326295 VRI326274:VRI326295 WBE326274:WBE326295 WLA326274:WLA326295 WUW326274:WUW326295 F393355:F393376 IK391810:IK391831 SG391810:SG391831 ACC391810:ACC391831 ALY391810:ALY391831 AVU391810:AVU391831 BFQ391810:BFQ391831 BPM391810:BPM391831 BZI391810:BZI391831 CJE391810:CJE391831 CTA391810:CTA391831 DCW391810:DCW391831 DMS391810:DMS391831 DWO391810:DWO391831 EGK391810:EGK391831 EQG391810:EQG391831 FAC391810:FAC391831 FJY391810:FJY391831 FTU391810:FTU391831 GDQ391810:GDQ391831 GNM391810:GNM391831 GXI391810:GXI391831 HHE391810:HHE391831 HRA391810:HRA391831 IAW391810:IAW391831 IKS391810:IKS391831 IUO391810:IUO391831 JEK391810:JEK391831 JOG391810:JOG391831 JYC391810:JYC391831 KHY391810:KHY391831 KRU391810:KRU391831 LBQ391810:LBQ391831 LLM391810:LLM391831 LVI391810:LVI391831 MFE391810:MFE391831 MPA391810:MPA391831 MYW391810:MYW391831 NIS391810:NIS391831 NSO391810:NSO391831 OCK391810:OCK391831 OMG391810:OMG391831 OWC391810:OWC391831 PFY391810:PFY391831 PPU391810:PPU391831 PZQ391810:PZQ391831 QJM391810:QJM391831 QTI391810:QTI391831 RDE391810:RDE391831 RNA391810:RNA391831 RWW391810:RWW391831 SGS391810:SGS391831 SQO391810:SQO391831 TAK391810:TAK391831 TKG391810:TKG391831 TUC391810:TUC391831 UDY391810:UDY391831 UNU391810:UNU391831 UXQ391810:UXQ391831 VHM391810:VHM391831 VRI391810:VRI391831 WBE391810:WBE391831 WLA391810:WLA391831 WUW391810:WUW391831 F458891:F458912 IK457346:IK457367 SG457346:SG457367 ACC457346:ACC457367 ALY457346:ALY457367 AVU457346:AVU457367 BFQ457346:BFQ457367 BPM457346:BPM457367 BZI457346:BZI457367 CJE457346:CJE457367 CTA457346:CTA457367 DCW457346:DCW457367 DMS457346:DMS457367 DWO457346:DWO457367 EGK457346:EGK457367 EQG457346:EQG457367 FAC457346:FAC457367 FJY457346:FJY457367 FTU457346:FTU457367 GDQ457346:GDQ457367 GNM457346:GNM457367 GXI457346:GXI457367 HHE457346:HHE457367 HRA457346:HRA457367 IAW457346:IAW457367 IKS457346:IKS457367 IUO457346:IUO457367 JEK457346:JEK457367 JOG457346:JOG457367 JYC457346:JYC457367 KHY457346:KHY457367 KRU457346:KRU457367 LBQ457346:LBQ457367 LLM457346:LLM457367 LVI457346:LVI457367 MFE457346:MFE457367 MPA457346:MPA457367 MYW457346:MYW457367 NIS457346:NIS457367 NSO457346:NSO457367 OCK457346:OCK457367 OMG457346:OMG457367 OWC457346:OWC457367 PFY457346:PFY457367 PPU457346:PPU457367 PZQ457346:PZQ457367 QJM457346:QJM457367 QTI457346:QTI457367 RDE457346:RDE457367 RNA457346:RNA457367 RWW457346:RWW457367 SGS457346:SGS457367 SQO457346:SQO457367 TAK457346:TAK457367 TKG457346:TKG457367 TUC457346:TUC457367 UDY457346:UDY457367 UNU457346:UNU457367 UXQ457346:UXQ457367 VHM457346:VHM457367 VRI457346:VRI457367 WBE457346:WBE457367 WLA457346:WLA457367 WUW457346:WUW457367 F524427:F524448 IK522882:IK522903 SG522882:SG522903 ACC522882:ACC522903 ALY522882:ALY522903 AVU522882:AVU522903 BFQ522882:BFQ522903 BPM522882:BPM522903 BZI522882:BZI522903 CJE522882:CJE522903 CTA522882:CTA522903 DCW522882:DCW522903 DMS522882:DMS522903 DWO522882:DWO522903 EGK522882:EGK522903 EQG522882:EQG522903 FAC522882:FAC522903 FJY522882:FJY522903 FTU522882:FTU522903 GDQ522882:GDQ522903 GNM522882:GNM522903 GXI522882:GXI522903 HHE522882:HHE522903 HRA522882:HRA522903 IAW522882:IAW522903 IKS522882:IKS522903 IUO522882:IUO522903 JEK522882:JEK522903 JOG522882:JOG522903 JYC522882:JYC522903 KHY522882:KHY522903 KRU522882:KRU522903 LBQ522882:LBQ522903 LLM522882:LLM522903 LVI522882:LVI522903 MFE522882:MFE522903 MPA522882:MPA522903 MYW522882:MYW522903 NIS522882:NIS522903 NSO522882:NSO522903 OCK522882:OCK522903 OMG522882:OMG522903 OWC522882:OWC522903 PFY522882:PFY522903 PPU522882:PPU522903 PZQ522882:PZQ522903 QJM522882:QJM522903 QTI522882:QTI522903 RDE522882:RDE522903 RNA522882:RNA522903 RWW522882:RWW522903 SGS522882:SGS522903 SQO522882:SQO522903 TAK522882:TAK522903 TKG522882:TKG522903 TUC522882:TUC522903 UDY522882:UDY522903 UNU522882:UNU522903 UXQ522882:UXQ522903 VHM522882:VHM522903 VRI522882:VRI522903 WBE522882:WBE522903 WLA522882:WLA522903 WUW522882:WUW522903 F589963:F589984 IK588418:IK588439 SG588418:SG588439 ACC588418:ACC588439 ALY588418:ALY588439 AVU588418:AVU588439 BFQ588418:BFQ588439 BPM588418:BPM588439 BZI588418:BZI588439 CJE588418:CJE588439 CTA588418:CTA588439 DCW588418:DCW588439 DMS588418:DMS588439 DWO588418:DWO588439 EGK588418:EGK588439 EQG588418:EQG588439 FAC588418:FAC588439 FJY588418:FJY588439 FTU588418:FTU588439 GDQ588418:GDQ588439 GNM588418:GNM588439 GXI588418:GXI588439 HHE588418:HHE588439 HRA588418:HRA588439 IAW588418:IAW588439 IKS588418:IKS588439 IUO588418:IUO588439 JEK588418:JEK588439 JOG588418:JOG588439 JYC588418:JYC588439 KHY588418:KHY588439 KRU588418:KRU588439 LBQ588418:LBQ588439 LLM588418:LLM588439 LVI588418:LVI588439 MFE588418:MFE588439 MPA588418:MPA588439 MYW588418:MYW588439 NIS588418:NIS588439 NSO588418:NSO588439 OCK588418:OCK588439 OMG588418:OMG588439 OWC588418:OWC588439 PFY588418:PFY588439 PPU588418:PPU588439 PZQ588418:PZQ588439 QJM588418:QJM588439 QTI588418:QTI588439 RDE588418:RDE588439 RNA588418:RNA588439 RWW588418:RWW588439 SGS588418:SGS588439 SQO588418:SQO588439 TAK588418:TAK588439 TKG588418:TKG588439 TUC588418:TUC588439 UDY588418:UDY588439 UNU588418:UNU588439 UXQ588418:UXQ588439 VHM588418:VHM588439 VRI588418:VRI588439 WBE588418:WBE588439 WLA588418:WLA588439 WUW588418:WUW588439 F655499:F655520 IK653954:IK653975 SG653954:SG653975 ACC653954:ACC653975 ALY653954:ALY653975 AVU653954:AVU653975 BFQ653954:BFQ653975 BPM653954:BPM653975 BZI653954:BZI653975 CJE653954:CJE653975 CTA653954:CTA653975 DCW653954:DCW653975 DMS653954:DMS653975 DWO653954:DWO653975 EGK653954:EGK653975 EQG653954:EQG653975 FAC653954:FAC653975 FJY653954:FJY653975 FTU653954:FTU653975 GDQ653954:GDQ653975 GNM653954:GNM653975 GXI653954:GXI653975 HHE653954:HHE653975 HRA653954:HRA653975 IAW653954:IAW653975 IKS653954:IKS653975 IUO653954:IUO653975 JEK653954:JEK653975 JOG653954:JOG653975 JYC653954:JYC653975 KHY653954:KHY653975 KRU653954:KRU653975 LBQ653954:LBQ653975 LLM653954:LLM653975 LVI653954:LVI653975 MFE653954:MFE653975 MPA653954:MPA653975 MYW653954:MYW653975 NIS653954:NIS653975 NSO653954:NSO653975 OCK653954:OCK653975 OMG653954:OMG653975 OWC653954:OWC653975 PFY653954:PFY653975 PPU653954:PPU653975 PZQ653954:PZQ653975 QJM653954:QJM653975 QTI653954:QTI653975 RDE653954:RDE653975 RNA653954:RNA653975 RWW653954:RWW653975 SGS653954:SGS653975 SQO653954:SQO653975 TAK653954:TAK653975 TKG653954:TKG653975 TUC653954:TUC653975 UDY653954:UDY653975 UNU653954:UNU653975 UXQ653954:UXQ653975 VHM653954:VHM653975 VRI653954:VRI653975 WBE653954:WBE653975 WLA653954:WLA653975 WUW653954:WUW653975 F721035:F721056 IK719490:IK719511 SG719490:SG719511 ACC719490:ACC719511 ALY719490:ALY719511 AVU719490:AVU719511 BFQ719490:BFQ719511 BPM719490:BPM719511 BZI719490:BZI719511 CJE719490:CJE719511 CTA719490:CTA719511 DCW719490:DCW719511 DMS719490:DMS719511 DWO719490:DWO719511 EGK719490:EGK719511 EQG719490:EQG719511 FAC719490:FAC719511 FJY719490:FJY719511 FTU719490:FTU719511 GDQ719490:GDQ719511 GNM719490:GNM719511 GXI719490:GXI719511 HHE719490:HHE719511 HRA719490:HRA719511 IAW719490:IAW719511 IKS719490:IKS719511 IUO719490:IUO719511 JEK719490:JEK719511 JOG719490:JOG719511 JYC719490:JYC719511 KHY719490:KHY719511 KRU719490:KRU719511 LBQ719490:LBQ719511 LLM719490:LLM719511 LVI719490:LVI719511 MFE719490:MFE719511 MPA719490:MPA719511 MYW719490:MYW719511 NIS719490:NIS719511 NSO719490:NSO719511 OCK719490:OCK719511 OMG719490:OMG719511 OWC719490:OWC719511 PFY719490:PFY719511 PPU719490:PPU719511 PZQ719490:PZQ719511 QJM719490:QJM719511 QTI719490:QTI719511 RDE719490:RDE719511 RNA719490:RNA719511 RWW719490:RWW719511 SGS719490:SGS719511 SQO719490:SQO719511 TAK719490:TAK719511 TKG719490:TKG719511 TUC719490:TUC719511 UDY719490:UDY719511 UNU719490:UNU719511 UXQ719490:UXQ719511 VHM719490:VHM719511 VRI719490:VRI719511 WBE719490:WBE719511 WLA719490:WLA719511 WUW719490:WUW719511 F786571:F786592 IK785026:IK785047 SG785026:SG785047 ACC785026:ACC785047 ALY785026:ALY785047 AVU785026:AVU785047 BFQ785026:BFQ785047 BPM785026:BPM785047 BZI785026:BZI785047 CJE785026:CJE785047 CTA785026:CTA785047 DCW785026:DCW785047 DMS785026:DMS785047 DWO785026:DWO785047 EGK785026:EGK785047 EQG785026:EQG785047 FAC785026:FAC785047 FJY785026:FJY785047 FTU785026:FTU785047 GDQ785026:GDQ785047 GNM785026:GNM785047 GXI785026:GXI785047 HHE785026:HHE785047 HRA785026:HRA785047 IAW785026:IAW785047 IKS785026:IKS785047 IUO785026:IUO785047 JEK785026:JEK785047 JOG785026:JOG785047 JYC785026:JYC785047 KHY785026:KHY785047 KRU785026:KRU785047 LBQ785026:LBQ785047 LLM785026:LLM785047 LVI785026:LVI785047 MFE785026:MFE785047 MPA785026:MPA785047 MYW785026:MYW785047 NIS785026:NIS785047 NSO785026:NSO785047 OCK785026:OCK785047 OMG785026:OMG785047 OWC785026:OWC785047 PFY785026:PFY785047 PPU785026:PPU785047 PZQ785026:PZQ785047 QJM785026:QJM785047 QTI785026:QTI785047 RDE785026:RDE785047 RNA785026:RNA785047 RWW785026:RWW785047 SGS785026:SGS785047 SQO785026:SQO785047 TAK785026:TAK785047 TKG785026:TKG785047 TUC785026:TUC785047 UDY785026:UDY785047 UNU785026:UNU785047 UXQ785026:UXQ785047 VHM785026:VHM785047 VRI785026:VRI785047 WBE785026:WBE785047 WLA785026:WLA785047 WUW785026:WUW785047 F852107:F852128 IK850562:IK850583 SG850562:SG850583 ACC850562:ACC850583 ALY850562:ALY850583 AVU850562:AVU850583 BFQ850562:BFQ850583 BPM850562:BPM850583 BZI850562:BZI850583 CJE850562:CJE850583 CTA850562:CTA850583 DCW850562:DCW850583 DMS850562:DMS850583 DWO850562:DWO850583 EGK850562:EGK850583 EQG850562:EQG850583 FAC850562:FAC850583 FJY850562:FJY850583 FTU850562:FTU850583 GDQ850562:GDQ850583 GNM850562:GNM850583 GXI850562:GXI850583 HHE850562:HHE850583 HRA850562:HRA850583 IAW850562:IAW850583 IKS850562:IKS850583 IUO850562:IUO850583 JEK850562:JEK850583 JOG850562:JOG850583 JYC850562:JYC850583 KHY850562:KHY850583 KRU850562:KRU850583 LBQ850562:LBQ850583 LLM850562:LLM850583 LVI850562:LVI850583 MFE850562:MFE850583 MPA850562:MPA850583 MYW850562:MYW850583 NIS850562:NIS850583 NSO850562:NSO850583 OCK850562:OCK850583 OMG850562:OMG850583 OWC850562:OWC850583 PFY850562:PFY850583 PPU850562:PPU850583 PZQ850562:PZQ850583 QJM850562:QJM850583 QTI850562:QTI850583 RDE850562:RDE850583 RNA850562:RNA850583 RWW850562:RWW850583 SGS850562:SGS850583 SQO850562:SQO850583 TAK850562:TAK850583 TKG850562:TKG850583 TUC850562:TUC850583 UDY850562:UDY850583 UNU850562:UNU850583 UXQ850562:UXQ850583 VHM850562:VHM850583 VRI850562:VRI850583 WBE850562:WBE850583 WLA850562:WLA850583 WUW850562:WUW850583 F917643:F917664 IK916098:IK916119 SG916098:SG916119 ACC916098:ACC916119 ALY916098:ALY916119 AVU916098:AVU916119 BFQ916098:BFQ916119 BPM916098:BPM916119 BZI916098:BZI916119 CJE916098:CJE916119 CTA916098:CTA916119 DCW916098:DCW916119 DMS916098:DMS916119 DWO916098:DWO916119 EGK916098:EGK916119 EQG916098:EQG916119 FAC916098:FAC916119 FJY916098:FJY916119 FTU916098:FTU916119 GDQ916098:GDQ916119 GNM916098:GNM916119 GXI916098:GXI916119 HHE916098:HHE916119 HRA916098:HRA916119 IAW916098:IAW916119 IKS916098:IKS916119 IUO916098:IUO916119 JEK916098:JEK916119 JOG916098:JOG916119 JYC916098:JYC916119 KHY916098:KHY916119 KRU916098:KRU916119 LBQ916098:LBQ916119 LLM916098:LLM916119 LVI916098:LVI916119 MFE916098:MFE916119 MPA916098:MPA916119 MYW916098:MYW916119 NIS916098:NIS916119 NSO916098:NSO916119 OCK916098:OCK916119 OMG916098:OMG916119 OWC916098:OWC916119 PFY916098:PFY916119 PPU916098:PPU916119 PZQ916098:PZQ916119 QJM916098:QJM916119 QTI916098:QTI916119 RDE916098:RDE916119 RNA916098:RNA916119 RWW916098:RWW916119 SGS916098:SGS916119 SQO916098:SQO916119 TAK916098:TAK916119 TKG916098:TKG916119 TUC916098:TUC916119 UDY916098:UDY916119 UNU916098:UNU916119 UXQ916098:UXQ916119 VHM916098:VHM916119 VRI916098:VRI916119 WBE916098:WBE916119 WLA916098:WLA916119 WUW916098:WUW916119 F983179:F983200 IK981634:IK981655 SG981634:SG981655 ACC981634:ACC981655 ALY981634:ALY981655 AVU981634:AVU981655 BFQ981634:BFQ981655 BPM981634:BPM981655 BZI981634:BZI981655 CJE981634:CJE981655 CTA981634:CTA981655 DCW981634:DCW981655 DMS981634:DMS981655 DWO981634:DWO981655 EGK981634:EGK981655 EQG981634:EQG981655 FAC981634:FAC981655 FJY981634:FJY981655 FTU981634:FTU981655 GDQ981634:GDQ981655 GNM981634:GNM981655 GXI981634:GXI981655 HHE981634:HHE981655 HRA981634:HRA981655 IAW981634:IAW981655 IKS981634:IKS981655 IUO981634:IUO981655 JEK981634:JEK981655 JOG981634:JOG981655 JYC981634:JYC981655 KHY981634:KHY981655 KRU981634:KRU981655 LBQ981634:LBQ981655 LLM981634:LLM981655 LVI981634:LVI981655 MFE981634:MFE981655 MPA981634:MPA981655 MYW981634:MYW981655 NIS981634:NIS981655 NSO981634:NSO981655 OCK981634:OCK981655 OMG981634:OMG981655 OWC981634:OWC981655 PFY981634:PFY981655 PPU981634:PPU981655 PZQ981634:PZQ981655 QJM981634:QJM981655 QTI981634:QTI981655 RDE981634:RDE981655 RNA981634:RNA981655 RWW981634:RWW981655 SGS981634:SGS981655 SQO981634:SQO981655 TAK981634:TAK981655 TKG981634:TKG981655 TUC981634:TUC981655 UDY981634:UDY981655 UNU981634:UNU981655 UXQ981634:UXQ981655 VHM981634:VHM981655 VRI981634:VRI981655 WBE981634:WBE981655 WLA981634:WLA981655 WUW981634:WUW981655 WUU5:WUU17 WUX18:WUX29 WKY5:WKY17 WLB18:WLB29 WBC5:WBC17 WBF18:WBF29 VRG5:VRG17 VRJ18:VRJ29 VHK5:VHK17 VHN18:VHN29 UXO5:UXO17 UXR18:UXR29 UNS5:UNS17 UNV18:UNV29 UDW5:UDW17 UDZ18:UDZ29 TUA5:TUA17 TUD18:TUD29 TKE5:TKE17 TKH18:TKH29 TAI5:TAI17 TAL18:TAL29 SQM5:SQM17 SQP18:SQP29 SGQ5:SGQ17 SGT18:SGT29 RWU5:RWU17 RWX18:RWX29 RMY5:RMY17 RNB18:RNB29 RDC5:RDC17 RDF18:RDF29 QTG5:QTG17 QTJ18:QTJ29 QJK5:QJK17 QJN18:QJN29 PZO5:PZO17 PZR18:PZR29 PPS5:PPS17 PPV18:PPV29 PFW5:PFW17 PFZ18:PFZ29 OWA5:OWA17 OWD18:OWD29 OME5:OME17 OMH18:OMH29 OCI5:OCI17 OCL18:OCL29 NSM5:NSM17 NSP18:NSP29 NIQ5:NIQ17 NIT18:NIT29 MYU5:MYU17 MYX18:MYX29 MOY5:MOY17 MPB18:MPB29 MFC5:MFC17 MFF18:MFF29 LVG5:LVG17 LVJ18:LVJ29 LLK5:LLK17 LLN18:LLN29 LBO5:LBO17 LBR18:LBR29 KRS5:KRS17 KRV18:KRV29 KHW5:KHW17 KHZ18:KHZ29 JYA5:JYA17 JYD18:JYD29 JOE5:JOE17 JOH18:JOH29 JEI5:JEI17 JEL18:JEL29 IUM5:IUM17 IUP18:IUP29 IKQ5:IKQ17 IKT18:IKT29 IAU5:IAU17 IAX18:IAX29 HQY5:HQY17 HRB18:HRB29 HHC5:HHC17 HHF18:HHF29 GXG5:GXG17 GXJ18:GXJ29 GNK5:GNK17 GNN18:GNN29 GDO5:GDO17 GDR18:GDR29 FTS5:FTS17 FTV18:FTV29 FJW5:FJW17 FJZ18:FJZ29 FAA5:FAA17 FAD18:FAD29 EQE5:EQE17 EQH18:EQH29 EGI5:EGI17 EGL18:EGL29 DWM5:DWM17 DWP18:DWP29 DMQ5:DMQ17 DMT18:DMT29 DCU5:DCU17 DCX18:DCX29 CSY5:CSY17 CTB18:CTB29 CJC5:CJC17 CJF18:CJF29 BZG5:BZG17 BZJ18:BZJ29 BPK5:BPK17 BPN18:BPN29 BFO5:BFO17 BFR18:BFR29 AVS5:AVS17 AVV18:AVV29 ALW5:ALW17 ALZ18:ALZ29 ACA5:ACA17 ACD18:ACD29 SE5:SE17 SH18:SH29 II5:II17 IL18:IL29" xr:uid="{43E7541A-10C5-437B-8C13-0B457DFBF0FE}">
      <formula1>"cbc,Tercerizado"</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FC2A-0898-4F9D-8110-178985A84A9F}">
  <dimension ref="A2:G4778"/>
  <sheetViews>
    <sheetView tabSelected="1" topLeftCell="A4713" zoomScale="85" zoomScaleNormal="85" workbookViewId="0">
      <selection activeCell="E4723" sqref="E4723:E4778"/>
    </sheetView>
  </sheetViews>
  <sheetFormatPr baseColWidth="10" defaultColWidth="11.453125" defaultRowHeight="14.5" x14ac:dyDescent="0.35"/>
  <cols>
    <col min="1" max="1" width="17.54296875" customWidth="1"/>
    <col min="2" max="2" width="40.81640625" customWidth="1"/>
    <col min="3" max="3" width="19" customWidth="1"/>
    <col min="4" max="4" width="20.54296875" customWidth="1"/>
    <col min="5" max="5" width="13.26953125" customWidth="1"/>
  </cols>
  <sheetData>
    <row r="2" spans="1:7" ht="23" x14ac:dyDescent="0.35">
      <c r="A2" s="25" t="s">
        <v>2508</v>
      </c>
      <c r="B2" s="25"/>
      <c r="C2" s="25"/>
      <c r="D2" s="25"/>
      <c r="E2" s="25"/>
      <c r="F2" s="25"/>
      <c r="G2" s="25"/>
    </row>
    <row r="3" spans="1:7" s="13" customFormat="1" ht="23" x14ac:dyDescent="0.35">
      <c r="A3" s="12"/>
      <c r="B3" s="12"/>
      <c r="C3" s="12"/>
      <c r="D3" s="12"/>
      <c r="E3" s="12"/>
      <c r="F3" s="12"/>
      <c r="G3" s="12"/>
    </row>
    <row r="4" spans="1:7" x14ac:dyDescent="0.35">
      <c r="A4" s="8" t="s">
        <v>2509</v>
      </c>
      <c r="B4" s="9" t="s">
        <v>2510</v>
      </c>
      <c r="C4" s="9" t="s">
        <v>2511</v>
      </c>
      <c r="D4" s="9" t="s">
        <v>2512</v>
      </c>
      <c r="E4" s="9" t="s">
        <v>2513</v>
      </c>
      <c r="F4" s="10" t="s">
        <v>9</v>
      </c>
      <c r="G4" s="9" t="s">
        <v>2514</v>
      </c>
    </row>
    <row r="5" spans="1:7" ht="36.5" hidden="1" x14ac:dyDescent="0.35">
      <c r="A5" s="8">
        <v>6973</v>
      </c>
      <c r="B5" s="10" t="s">
        <v>2515</v>
      </c>
      <c r="C5" s="10" t="s">
        <v>95</v>
      </c>
      <c r="D5" s="9" t="s">
        <v>95</v>
      </c>
      <c r="E5" s="9" t="s">
        <v>1037</v>
      </c>
      <c r="F5" s="10" t="s">
        <v>2516</v>
      </c>
      <c r="G5" s="11">
        <v>45658</v>
      </c>
    </row>
    <row r="6" spans="1:7" ht="48.5" hidden="1" x14ac:dyDescent="0.35">
      <c r="A6" s="8">
        <v>6974</v>
      </c>
      <c r="B6" s="10" t="s">
        <v>2517</v>
      </c>
      <c r="C6" s="10" t="s">
        <v>220</v>
      </c>
      <c r="D6" s="9" t="s">
        <v>34</v>
      </c>
      <c r="E6" s="9" t="s">
        <v>1674</v>
      </c>
      <c r="F6" s="10" t="s">
        <v>2516</v>
      </c>
      <c r="G6" s="11">
        <v>45658</v>
      </c>
    </row>
    <row r="7" spans="1:7" ht="36.5" hidden="1" x14ac:dyDescent="0.35">
      <c r="A7" s="8">
        <v>6977</v>
      </c>
      <c r="B7" s="10" t="s">
        <v>2518</v>
      </c>
      <c r="C7" s="10" t="s">
        <v>104</v>
      </c>
      <c r="D7" s="9" t="s">
        <v>104</v>
      </c>
      <c r="E7" s="9" t="s">
        <v>1381</v>
      </c>
      <c r="F7" s="10" t="s">
        <v>2516</v>
      </c>
      <c r="G7" s="11">
        <v>45658</v>
      </c>
    </row>
    <row r="8" spans="1:7" ht="36.5" hidden="1" x14ac:dyDescent="0.35">
      <c r="A8" s="8">
        <v>6978</v>
      </c>
      <c r="B8" s="10" t="s">
        <v>2519</v>
      </c>
      <c r="C8" s="10" t="s">
        <v>13</v>
      </c>
      <c r="D8" s="9" t="s">
        <v>13</v>
      </c>
      <c r="E8" s="9" t="s">
        <v>896</v>
      </c>
      <c r="F8" s="10" t="s">
        <v>2516</v>
      </c>
      <c r="G8" s="11">
        <v>45658</v>
      </c>
    </row>
    <row r="9" spans="1:7" ht="36.5" hidden="1" x14ac:dyDescent="0.35">
      <c r="A9" s="8">
        <v>6979</v>
      </c>
      <c r="B9" s="10" t="s">
        <v>2520</v>
      </c>
      <c r="C9" s="10" t="s">
        <v>21</v>
      </c>
      <c r="D9" s="9" t="s">
        <v>21</v>
      </c>
      <c r="E9" s="9" t="s">
        <v>896</v>
      </c>
      <c r="F9" s="10" t="s">
        <v>2516</v>
      </c>
      <c r="G9" s="11">
        <v>45658</v>
      </c>
    </row>
    <row r="10" spans="1:7" ht="24.5" hidden="1" x14ac:dyDescent="0.35">
      <c r="A10" s="8">
        <v>6980</v>
      </c>
      <c r="B10" s="10" t="s">
        <v>2521</v>
      </c>
      <c r="C10" s="10" t="s">
        <v>21</v>
      </c>
      <c r="D10" s="9" t="s">
        <v>21</v>
      </c>
      <c r="E10" s="9" t="s">
        <v>896</v>
      </c>
      <c r="F10" s="10" t="s">
        <v>2522</v>
      </c>
      <c r="G10" s="11">
        <v>45658</v>
      </c>
    </row>
    <row r="11" spans="1:7" ht="36.5" hidden="1" x14ac:dyDescent="0.35">
      <c r="A11" s="8">
        <v>6984</v>
      </c>
      <c r="B11" s="10" t="s">
        <v>2523</v>
      </c>
      <c r="C11" s="10" t="s">
        <v>220</v>
      </c>
      <c r="D11" s="9" t="s">
        <v>220</v>
      </c>
      <c r="E11" s="9" t="s">
        <v>305</v>
      </c>
      <c r="F11" s="10" t="s">
        <v>2516</v>
      </c>
      <c r="G11" s="11">
        <v>45658</v>
      </c>
    </row>
    <row r="12" spans="1:7" ht="36.5" hidden="1" x14ac:dyDescent="0.35">
      <c r="A12" s="8">
        <v>6985</v>
      </c>
      <c r="B12" s="10" t="s">
        <v>2524</v>
      </c>
      <c r="C12" s="10" t="s">
        <v>220</v>
      </c>
      <c r="D12" s="9" t="s">
        <v>220</v>
      </c>
      <c r="E12" s="9" t="s">
        <v>305</v>
      </c>
      <c r="F12" s="10" t="s">
        <v>2525</v>
      </c>
      <c r="G12" s="11">
        <v>45658</v>
      </c>
    </row>
    <row r="13" spans="1:7" ht="24.5" hidden="1" x14ac:dyDescent="0.35">
      <c r="A13" s="8">
        <v>6986</v>
      </c>
      <c r="B13" s="10" t="s">
        <v>2526</v>
      </c>
      <c r="C13" s="10" t="s">
        <v>220</v>
      </c>
      <c r="D13" s="9" t="s">
        <v>220</v>
      </c>
      <c r="E13" s="9" t="s">
        <v>305</v>
      </c>
      <c r="F13" s="10" t="s">
        <v>2522</v>
      </c>
      <c r="G13" s="11">
        <v>45658</v>
      </c>
    </row>
    <row r="14" spans="1:7" ht="36.5" hidden="1" x14ac:dyDescent="0.35">
      <c r="A14" s="8">
        <v>6987</v>
      </c>
      <c r="B14" s="10" t="s">
        <v>2527</v>
      </c>
      <c r="C14" s="10" t="s">
        <v>21</v>
      </c>
      <c r="D14" s="9" t="s">
        <v>21</v>
      </c>
      <c r="E14" s="9" t="s">
        <v>1484</v>
      </c>
      <c r="F14" s="10" t="s">
        <v>2516</v>
      </c>
      <c r="G14" s="11">
        <v>45658</v>
      </c>
    </row>
    <row r="15" spans="1:7" ht="24.5" hidden="1" x14ac:dyDescent="0.35">
      <c r="A15" s="8">
        <v>6988</v>
      </c>
      <c r="B15" s="10" t="s">
        <v>2528</v>
      </c>
      <c r="C15" s="10" t="s">
        <v>13</v>
      </c>
      <c r="D15" s="9" t="s">
        <v>13</v>
      </c>
      <c r="E15" s="9" t="s">
        <v>1484</v>
      </c>
      <c r="F15" s="10" t="s">
        <v>2522</v>
      </c>
      <c r="G15" s="11">
        <v>45658</v>
      </c>
    </row>
    <row r="16" spans="1:7" ht="36.5" hidden="1" x14ac:dyDescent="0.35">
      <c r="A16" s="8">
        <v>6989</v>
      </c>
      <c r="B16" s="10" t="s">
        <v>2529</v>
      </c>
      <c r="C16" s="10" t="s">
        <v>190</v>
      </c>
      <c r="D16" s="9" t="s">
        <v>190</v>
      </c>
      <c r="E16" s="9" t="s">
        <v>410</v>
      </c>
      <c r="F16" s="10" t="s">
        <v>2530</v>
      </c>
      <c r="G16" s="11">
        <v>45658</v>
      </c>
    </row>
    <row r="17" spans="1:7" ht="24.5" hidden="1" x14ac:dyDescent="0.35">
      <c r="A17" s="8">
        <v>6990</v>
      </c>
      <c r="B17" s="10" t="s">
        <v>2531</v>
      </c>
      <c r="C17" s="10" t="s">
        <v>371</v>
      </c>
      <c r="D17" s="9" t="s">
        <v>371</v>
      </c>
      <c r="E17" s="9" t="s">
        <v>1674</v>
      </c>
      <c r="F17" s="10" t="s">
        <v>2522</v>
      </c>
      <c r="G17" s="11">
        <v>45658</v>
      </c>
    </row>
    <row r="18" spans="1:7" ht="36.5" hidden="1" x14ac:dyDescent="0.35">
      <c r="A18" s="8">
        <v>6991</v>
      </c>
      <c r="B18" s="10" t="s">
        <v>2532</v>
      </c>
      <c r="C18" s="10" t="s">
        <v>220</v>
      </c>
      <c r="D18" s="9" t="s">
        <v>95</v>
      </c>
      <c r="E18" s="9" t="s">
        <v>1914</v>
      </c>
      <c r="F18" s="10" t="s">
        <v>2522</v>
      </c>
      <c r="G18" s="11">
        <v>45658</v>
      </c>
    </row>
    <row r="19" spans="1:7" ht="36.5" hidden="1" x14ac:dyDescent="0.35">
      <c r="A19" s="8">
        <v>6992</v>
      </c>
      <c r="B19" s="10" t="s">
        <v>2533</v>
      </c>
      <c r="C19" s="10" t="s">
        <v>250</v>
      </c>
      <c r="D19" s="9" t="s">
        <v>95</v>
      </c>
      <c r="E19" s="9" t="s">
        <v>1914</v>
      </c>
      <c r="F19" s="10" t="s">
        <v>2525</v>
      </c>
      <c r="G19" s="11">
        <v>45659</v>
      </c>
    </row>
    <row r="20" spans="1:7" ht="36.5" hidden="1" x14ac:dyDescent="0.35">
      <c r="A20" s="8">
        <v>6993</v>
      </c>
      <c r="B20" s="10" t="s">
        <v>2534</v>
      </c>
      <c r="C20" s="10" t="s">
        <v>371</v>
      </c>
      <c r="D20" s="9" t="s">
        <v>371</v>
      </c>
      <c r="E20" s="9" t="s">
        <v>1674</v>
      </c>
      <c r="F20" s="10" t="s">
        <v>2525</v>
      </c>
      <c r="G20" s="11">
        <v>45659</v>
      </c>
    </row>
    <row r="21" spans="1:7" ht="36.5" hidden="1" x14ac:dyDescent="0.35">
      <c r="A21" s="8">
        <v>6994</v>
      </c>
      <c r="B21" s="10" t="s">
        <v>2535</v>
      </c>
      <c r="C21" s="10" t="s">
        <v>21</v>
      </c>
      <c r="D21" s="9" t="s">
        <v>21</v>
      </c>
      <c r="E21" s="9" t="s">
        <v>819</v>
      </c>
      <c r="F21" s="10" t="s">
        <v>2516</v>
      </c>
      <c r="G21" s="11">
        <v>45659</v>
      </c>
    </row>
    <row r="22" spans="1:7" ht="24.5" hidden="1" x14ac:dyDescent="0.35">
      <c r="A22" s="8">
        <v>6995</v>
      </c>
      <c r="B22" s="10" t="s">
        <v>2536</v>
      </c>
      <c r="C22" s="10" t="s">
        <v>96</v>
      </c>
      <c r="D22" s="9" t="s">
        <v>96</v>
      </c>
      <c r="E22" s="9" t="s">
        <v>368</v>
      </c>
      <c r="F22" s="10" t="s">
        <v>2537</v>
      </c>
      <c r="G22" s="11">
        <v>45659</v>
      </c>
    </row>
    <row r="23" spans="1:7" ht="36.5" hidden="1" x14ac:dyDescent="0.35">
      <c r="A23" s="8">
        <v>6996</v>
      </c>
      <c r="B23" s="10" t="s">
        <v>2538</v>
      </c>
      <c r="C23" s="10" t="s">
        <v>220</v>
      </c>
      <c r="D23" s="9" t="s">
        <v>26</v>
      </c>
      <c r="E23" s="9" t="s">
        <v>1525</v>
      </c>
      <c r="F23" s="10" t="s">
        <v>2516</v>
      </c>
      <c r="G23" s="11">
        <v>45659</v>
      </c>
    </row>
    <row r="24" spans="1:7" ht="24.5" hidden="1" x14ac:dyDescent="0.35">
      <c r="A24" s="8">
        <v>6997</v>
      </c>
      <c r="B24" s="10" t="s">
        <v>2539</v>
      </c>
      <c r="C24" s="10" t="s">
        <v>21</v>
      </c>
      <c r="D24" s="9" t="s">
        <v>21</v>
      </c>
      <c r="E24" s="9" t="s">
        <v>819</v>
      </c>
      <c r="F24" s="10" t="s">
        <v>2540</v>
      </c>
      <c r="G24" s="11">
        <v>45659</v>
      </c>
    </row>
    <row r="25" spans="1:7" ht="36.5" hidden="1" x14ac:dyDescent="0.35">
      <c r="A25" s="8">
        <v>6998</v>
      </c>
      <c r="B25" s="10" t="s">
        <v>2541</v>
      </c>
      <c r="C25" s="10" t="s">
        <v>21</v>
      </c>
      <c r="D25" s="9" t="s">
        <v>21</v>
      </c>
      <c r="E25" s="9" t="s">
        <v>819</v>
      </c>
      <c r="F25" s="10" t="s">
        <v>2516</v>
      </c>
      <c r="G25" s="11">
        <v>45659</v>
      </c>
    </row>
    <row r="26" spans="1:7" ht="36.5" hidden="1" x14ac:dyDescent="0.35">
      <c r="A26" s="8">
        <v>6999</v>
      </c>
      <c r="B26" s="10" t="s">
        <v>2542</v>
      </c>
      <c r="C26" s="10" t="s">
        <v>21</v>
      </c>
      <c r="D26" s="9" t="s">
        <v>21</v>
      </c>
      <c r="E26" s="9" t="s">
        <v>819</v>
      </c>
      <c r="F26" s="10" t="s">
        <v>2516</v>
      </c>
      <c r="G26" s="11">
        <v>45659</v>
      </c>
    </row>
    <row r="27" spans="1:7" ht="36.5" hidden="1" x14ac:dyDescent="0.35">
      <c r="A27" s="8">
        <v>7000</v>
      </c>
      <c r="B27" s="10" t="s">
        <v>2543</v>
      </c>
      <c r="C27" s="10" t="s">
        <v>134</v>
      </c>
      <c r="D27" s="9" t="s">
        <v>134</v>
      </c>
      <c r="E27" s="9" t="s">
        <v>1692</v>
      </c>
      <c r="F27" s="10" t="s">
        <v>2516</v>
      </c>
      <c r="G27" s="11">
        <v>45659</v>
      </c>
    </row>
    <row r="28" spans="1:7" ht="36.5" hidden="1" x14ac:dyDescent="0.35">
      <c r="A28" s="8">
        <v>7001</v>
      </c>
      <c r="B28" s="10" t="s">
        <v>2544</v>
      </c>
      <c r="C28" s="10" t="s">
        <v>134</v>
      </c>
      <c r="D28" s="9" t="s">
        <v>134</v>
      </c>
      <c r="E28" s="9" t="s">
        <v>819</v>
      </c>
      <c r="F28" s="10" t="s">
        <v>2516</v>
      </c>
      <c r="G28" s="11">
        <v>45659</v>
      </c>
    </row>
    <row r="29" spans="1:7" ht="36.5" hidden="1" x14ac:dyDescent="0.35">
      <c r="A29" s="8">
        <v>7002</v>
      </c>
      <c r="B29" s="10" t="s">
        <v>2545</v>
      </c>
      <c r="C29" s="10" t="s">
        <v>196</v>
      </c>
      <c r="D29" s="9" t="s">
        <v>196</v>
      </c>
      <c r="E29" s="9" t="s">
        <v>1653</v>
      </c>
      <c r="F29" s="10" t="s">
        <v>2537</v>
      </c>
      <c r="G29" s="11">
        <v>45659</v>
      </c>
    </row>
    <row r="30" spans="1:7" ht="36.5" hidden="1" x14ac:dyDescent="0.35">
      <c r="A30" s="8">
        <v>7003</v>
      </c>
      <c r="B30" s="10" t="s">
        <v>2546</v>
      </c>
      <c r="C30" s="10" t="s">
        <v>190</v>
      </c>
      <c r="D30" s="9" t="s">
        <v>190</v>
      </c>
      <c r="E30" s="9" t="s">
        <v>413</v>
      </c>
      <c r="F30" s="10" t="s">
        <v>2516</v>
      </c>
      <c r="G30" s="11">
        <v>45659</v>
      </c>
    </row>
    <row r="31" spans="1:7" ht="36.5" hidden="1" x14ac:dyDescent="0.35">
      <c r="A31" s="8">
        <v>7004</v>
      </c>
      <c r="B31" s="10" t="s">
        <v>2547</v>
      </c>
      <c r="C31" s="10" t="s">
        <v>21</v>
      </c>
      <c r="D31" s="9" t="s">
        <v>21</v>
      </c>
      <c r="E31" s="9" t="s">
        <v>896</v>
      </c>
      <c r="F31" s="10" t="s">
        <v>2522</v>
      </c>
      <c r="G31" s="11">
        <v>45659</v>
      </c>
    </row>
    <row r="32" spans="1:7" ht="24.5" hidden="1" x14ac:dyDescent="0.35">
      <c r="A32" s="8">
        <v>7005</v>
      </c>
      <c r="B32" s="10" t="s">
        <v>2548</v>
      </c>
      <c r="C32" s="10" t="s">
        <v>21</v>
      </c>
      <c r="D32" s="9" t="s">
        <v>21</v>
      </c>
      <c r="E32" s="9" t="s">
        <v>896</v>
      </c>
      <c r="F32" s="10" t="s">
        <v>2522</v>
      </c>
      <c r="G32" s="11">
        <v>45660</v>
      </c>
    </row>
    <row r="33" spans="1:7" ht="36.5" hidden="1" x14ac:dyDescent="0.35">
      <c r="A33" s="8">
        <v>7006</v>
      </c>
      <c r="B33" s="10" t="s">
        <v>2549</v>
      </c>
      <c r="C33" s="10" t="s">
        <v>21</v>
      </c>
      <c r="D33" s="9" t="s">
        <v>21</v>
      </c>
      <c r="E33" s="9" t="s">
        <v>896</v>
      </c>
      <c r="F33" s="10" t="s">
        <v>2522</v>
      </c>
      <c r="G33" s="11">
        <v>45660</v>
      </c>
    </row>
    <row r="34" spans="1:7" ht="36.5" hidden="1" x14ac:dyDescent="0.35">
      <c r="A34" s="8">
        <v>7007</v>
      </c>
      <c r="B34" s="10" t="s">
        <v>2550</v>
      </c>
      <c r="C34" s="10" t="s">
        <v>21</v>
      </c>
      <c r="D34" s="9" t="s">
        <v>21</v>
      </c>
      <c r="E34" s="9" t="s">
        <v>896</v>
      </c>
      <c r="F34" s="10" t="s">
        <v>2525</v>
      </c>
      <c r="G34" s="11">
        <v>45660</v>
      </c>
    </row>
    <row r="35" spans="1:7" ht="36.5" hidden="1" x14ac:dyDescent="0.35">
      <c r="A35" s="8">
        <v>7010</v>
      </c>
      <c r="B35" s="10" t="s">
        <v>2551</v>
      </c>
      <c r="C35" s="10" t="s">
        <v>95</v>
      </c>
      <c r="D35" s="9" t="s">
        <v>95</v>
      </c>
      <c r="E35" s="9" t="s">
        <v>2552</v>
      </c>
      <c r="F35" s="10" t="s">
        <v>2525</v>
      </c>
      <c r="G35" s="11">
        <v>45660</v>
      </c>
    </row>
    <row r="36" spans="1:7" ht="36.5" hidden="1" x14ac:dyDescent="0.35">
      <c r="A36" s="8">
        <v>7011</v>
      </c>
      <c r="B36" s="10" t="s">
        <v>2553</v>
      </c>
      <c r="C36" s="10" t="s">
        <v>95</v>
      </c>
      <c r="D36" s="9" t="s">
        <v>95</v>
      </c>
      <c r="E36" s="9" t="s">
        <v>2552</v>
      </c>
      <c r="F36" s="10" t="s">
        <v>2525</v>
      </c>
      <c r="G36" s="11">
        <v>45660</v>
      </c>
    </row>
    <row r="37" spans="1:7" ht="36.5" hidden="1" x14ac:dyDescent="0.35">
      <c r="A37" s="8">
        <v>7012</v>
      </c>
      <c r="B37" s="10" t="s">
        <v>2554</v>
      </c>
      <c r="C37" s="10" t="s">
        <v>95</v>
      </c>
      <c r="D37" s="9" t="s">
        <v>95</v>
      </c>
      <c r="E37" s="9" t="s">
        <v>822</v>
      </c>
      <c r="F37" s="10" t="s">
        <v>2516</v>
      </c>
      <c r="G37" s="11">
        <v>45660</v>
      </c>
    </row>
    <row r="38" spans="1:7" ht="36.5" hidden="1" x14ac:dyDescent="0.35">
      <c r="A38" s="8">
        <v>7013</v>
      </c>
      <c r="B38" s="10" t="s">
        <v>2555</v>
      </c>
      <c r="C38" s="10" t="s">
        <v>220</v>
      </c>
      <c r="D38" s="9" t="s">
        <v>95</v>
      </c>
      <c r="E38" s="9" t="s">
        <v>822</v>
      </c>
      <c r="F38" s="10" t="s">
        <v>2516</v>
      </c>
      <c r="G38" s="11">
        <v>45660</v>
      </c>
    </row>
    <row r="39" spans="1:7" ht="24.5" hidden="1" x14ac:dyDescent="0.35">
      <c r="A39" s="8">
        <v>7015</v>
      </c>
      <c r="B39" s="10" t="s">
        <v>2556</v>
      </c>
      <c r="C39" s="10" t="s">
        <v>134</v>
      </c>
      <c r="D39" s="9" t="s">
        <v>95</v>
      </c>
      <c r="E39" s="9" t="s">
        <v>479</v>
      </c>
      <c r="F39" s="10" t="s">
        <v>2522</v>
      </c>
      <c r="G39" s="11">
        <v>45660</v>
      </c>
    </row>
    <row r="40" spans="1:7" ht="36.5" hidden="1" x14ac:dyDescent="0.35">
      <c r="A40" s="8">
        <v>7016</v>
      </c>
      <c r="B40" s="10" t="s">
        <v>2557</v>
      </c>
      <c r="C40" s="10" t="s">
        <v>134</v>
      </c>
      <c r="D40" s="9" t="s">
        <v>190</v>
      </c>
      <c r="E40" s="9" t="s">
        <v>410</v>
      </c>
      <c r="F40" s="10" t="s">
        <v>2530</v>
      </c>
      <c r="G40" s="11">
        <v>45660</v>
      </c>
    </row>
    <row r="41" spans="1:7" ht="48.5" hidden="1" x14ac:dyDescent="0.35">
      <c r="A41" s="8">
        <v>7017</v>
      </c>
      <c r="B41" s="10" t="s">
        <v>2558</v>
      </c>
      <c r="C41" s="10" t="s">
        <v>96</v>
      </c>
      <c r="D41" s="9" t="s">
        <v>96</v>
      </c>
      <c r="E41" s="9" t="s">
        <v>368</v>
      </c>
      <c r="F41" s="10" t="s">
        <v>2559</v>
      </c>
      <c r="G41" s="11">
        <v>45660</v>
      </c>
    </row>
    <row r="42" spans="1:7" ht="36.5" hidden="1" x14ac:dyDescent="0.35">
      <c r="A42" s="8">
        <v>7019</v>
      </c>
      <c r="B42" s="10" t="s">
        <v>2560</v>
      </c>
      <c r="C42" s="10" t="s">
        <v>21</v>
      </c>
      <c r="D42" s="9" t="s">
        <v>21</v>
      </c>
      <c r="E42" s="9" t="s">
        <v>819</v>
      </c>
      <c r="F42" s="10" t="s">
        <v>2530</v>
      </c>
      <c r="G42" s="11">
        <v>45660</v>
      </c>
    </row>
    <row r="43" spans="1:7" ht="36.5" hidden="1" x14ac:dyDescent="0.35">
      <c r="A43" s="8">
        <v>7018</v>
      </c>
      <c r="B43" s="10" t="s">
        <v>2561</v>
      </c>
      <c r="C43" s="10" t="s">
        <v>21</v>
      </c>
      <c r="D43" s="9" t="s">
        <v>21</v>
      </c>
      <c r="E43" s="9" t="s">
        <v>819</v>
      </c>
      <c r="F43" s="10" t="s">
        <v>2516</v>
      </c>
      <c r="G43" s="11">
        <v>45660</v>
      </c>
    </row>
    <row r="44" spans="1:7" ht="36.5" hidden="1" x14ac:dyDescent="0.35">
      <c r="A44" s="8">
        <v>7020</v>
      </c>
      <c r="B44" s="10" t="s">
        <v>2562</v>
      </c>
      <c r="C44" s="10" t="s">
        <v>13</v>
      </c>
      <c r="D44" s="9" t="s">
        <v>13</v>
      </c>
      <c r="E44" s="9" t="s">
        <v>896</v>
      </c>
      <c r="F44" s="10" t="s">
        <v>2516</v>
      </c>
      <c r="G44" s="11">
        <v>45660</v>
      </c>
    </row>
    <row r="45" spans="1:7" ht="36.5" hidden="1" x14ac:dyDescent="0.35">
      <c r="A45" s="8">
        <v>7021</v>
      </c>
      <c r="B45" s="10" t="s">
        <v>2563</v>
      </c>
      <c r="C45" s="10" t="s">
        <v>21</v>
      </c>
      <c r="D45" s="9" t="s">
        <v>21</v>
      </c>
      <c r="E45" s="9" t="s">
        <v>896</v>
      </c>
      <c r="F45" s="10" t="s">
        <v>2516</v>
      </c>
      <c r="G45" s="11">
        <v>45660</v>
      </c>
    </row>
    <row r="46" spans="1:7" ht="24.5" hidden="1" x14ac:dyDescent="0.35">
      <c r="A46" s="8">
        <v>7022</v>
      </c>
      <c r="B46" s="10" t="s">
        <v>2564</v>
      </c>
      <c r="C46" s="10" t="s">
        <v>134</v>
      </c>
      <c r="D46" s="9" t="s">
        <v>134</v>
      </c>
      <c r="E46" s="9" t="s">
        <v>633</v>
      </c>
      <c r="F46" s="10" t="s">
        <v>2522</v>
      </c>
      <c r="G46" s="11">
        <v>45660</v>
      </c>
    </row>
    <row r="47" spans="1:7" ht="36.5" hidden="1" x14ac:dyDescent="0.35">
      <c r="A47" s="8">
        <v>7023</v>
      </c>
      <c r="B47" s="10" t="s">
        <v>2565</v>
      </c>
      <c r="C47" s="10" t="s">
        <v>134</v>
      </c>
      <c r="D47" s="9" t="s">
        <v>134</v>
      </c>
      <c r="E47" s="9" t="s">
        <v>633</v>
      </c>
      <c r="F47" s="10" t="s">
        <v>2540</v>
      </c>
      <c r="G47" s="11">
        <v>45660</v>
      </c>
    </row>
    <row r="48" spans="1:7" ht="24.5" hidden="1" x14ac:dyDescent="0.35">
      <c r="A48" s="8">
        <v>7024</v>
      </c>
      <c r="B48" s="10" t="s">
        <v>2566</v>
      </c>
      <c r="C48" s="10" t="s">
        <v>21</v>
      </c>
      <c r="D48" s="9" t="s">
        <v>21</v>
      </c>
      <c r="E48" s="9" t="s">
        <v>819</v>
      </c>
      <c r="F48" s="10" t="s">
        <v>2522</v>
      </c>
      <c r="G48" s="11">
        <v>45660</v>
      </c>
    </row>
    <row r="49" spans="1:7" ht="36.5" hidden="1" x14ac:dyDescent="0.35">
      <c r="A49" s="8">
        <v>7025</v>
      </c>
      <c r="B49" s="10" t="s">
        <v>2567</v>
      </c>
      <c r="C49" s="10" t="s">
        <v>104</v>
      </c>
      <c r="D49" s="9" t="s">
        <v>104</v>
      </c>
      <c r="E49" s="9" t="s">
        <v>819</v>
      </c>
      <c r="F49" s="10" t="s">
        <v>2516</v>
      </c>
      <c r="G49" s="11">
        <v>45661</v>
      </c>
    </row>
    <row r="50" spans="1:7" ht="36.5" hidden="1" x14ac:dyDescent="0.35">
      <c r="A50" s="8">
        <v>7026</v>
      </c>
      <c r="B50" s="10" t="s">
        <v>2568</v>
      </c>
      <c r="C50" s="10" t="s">
        <v>21</v>
      </c>
      <c r="D50" s="9" t="s">
        <v>21</v>
      </c>
      <c r="E50" s="9" t="s">
        <v>633</v>
      </c>
      <c r="F50" s="10" t="s">
        <v>2516</v>
      </c>
      <c r="G50" s="11">
        <v>45661</v>
      </c>
    </row>
    <row r="51" spans="1:7" ht="36.5" hidden="1" x14ac:dyDescent="0.35">
      <c r="A51" s="8">
        <v>7027</v>
      </c>
      <c r="B51" s="10" t="s">
        <v>2569</v>
      </c>
      <c r="C51" s="10" t="s">
        <v>34</v>
      </c>
      <c r="D51" s="9" t="s">
        <v>34</v>
      </c>
      <c r="E51" s="9" t="s">
        <v>78</v>
      </c>
      <c r="F51" s="10" t="s">
        <v>2516</v>
      </c>
      <c r="G51" s="11">
        <v>45661</v>
      </c>
    </row>
    <row r="52" spans="1:7" ht="36.5" hidden="1" x14ac:dyDescent="0.35">
      <c r="A52" s="8">
        <v>7028</v>
      </c>
      <c r="B52" s="10" t="s">
        <v>2570</v>
      </c>
      <c r="C52" s="10" t="s">
        <v>34</v>
      </c>
      <c r="D52" s="9" t="s">
        <v>34</v>
      </c>
      <c r="E52" s="9" t="s">
        <v>78</v>
      </c>
      <c r="F52" s="10" t="s">
        <v>2525</v>
      </c>
      <c r="G52" s="11">
        <v>45661</v>
      </c>
    </row>
    <row r="53" spans="1:7" ht="36.5" hidden="1" x14ac:dyDescent="0.35">
      <c r="A53" s="8">
        <v>7029</v>
      </c>
      <c r="B53" s="10" t="s">
        <v>2571</v>
      </c>
      <c r="C53" s="10" t="s">
        <v>26</v>
      </c>
      <c r="D53" s="9" t="s">
        <v>95</v>
      </c>
      <c r="E53" s="9" t="s">
        <v>2552</v>
      </c>
      <c r="F53" s="10" t="s">
        <v>2572</v>
      </c>
      <c r="G53" s="11">
        <v>45661</v>
      </c>
    </row>
    <row r="54" spans="1:7" ht="48.5" hidden="1" x14ac:dyDescent="0.35">
      <c r="A54" s="8">
        <v>7030</v>
      </c>
      <c r="B54" s="10" t="s">
        <v>2573</v>
      </c>
      <c r="C54" s="10" t="s">
        <v>196</v>
      </c>
      <c r="D54" s="9" t="s">
        <v>196</v>
      </c>
      <c r="E54" s="9" t="s">
        <v>2574</v>
      </c>
      <c r="F54" s="10" t="s">
        <v>2559</v>
      </c>
      <c r="G54" s="11">
        <v>45661</v>
      </c>
    </row>
    <row r="55" spans="1:7" ht="48.5" hidden="1" x14ac:dyDescent="0.35">
      <c r="A55" s="8">
        <v>7032</v>
      </c>
      <c r="B55" s="10" t="s">
        <v>2575</v>
      </c>
      <c r="C55" s="10" t="s">
        <v>278</v>
      </c>
      <c r="D55" s="9" t="s">
        <v>196</v>
      </c>
      <c r="E55" s="9" t="s">
        <v>2574</v>
      </c>
      <c r="F55" s="10" t="s">
        <v>2559</v>
      </c>
      <c r="G55" s="11">
        <v>45661</v>
      </c>
    </row>
    <row r="56" spans="1:7" ht="24.5" hidden="1" x14ac:dyDescent="0.35">
      <c r="A56" s="8">
        <v>7031</v>
      </c>
      <c r="B56" s="10" t="s">
        <v>2576</v>
      </c>
      <c r="C56" s="10" t="s">
        <v>196</v>
      </c>
      <c r="D56" s="9" t="s">
        <v>196</v>
      </c>
      <c r="E56" s="9" t="s">
        <v>595</v>
      </c>
      <c r="F56" s="10" t="s">
        <v>2537</v>
      </c>
      <c r="G56" s="11">
        <v>45661</v>
      </c>
    </row>
    <row r="57" spans="1:7" ht="24.5" hidden="1" x14ac:dyDescent="0.35">
      <c r="A57" s="8">
        <v>7039</v>
      </c>
      <c r="B57" s="10" t="s">
        <v>2577</v>
      </c>
      <c r="C57" s="10" t="s">
        <v>196</v>
      </c>
      <c r="D57" s="9" t="s">
        <v>196</v>
      </c>
      <c r="E57" s="9" t="s">
        <v>2578</v>
      </c>
      <c r="F57" s="10" t="s">
        <v>2522</v>
      </c>
      <c r="G57" s="11">
        <v>45661</v>
      </c>
    </row>
    <row r="58" spans="1:7" ht="36.5" hidden="1" x14ac:dyDescent="0.35">
      <c r="A58" s="8">
        <v>7038</v>
      </c>
      <c r="B58" s="10" t="s">
        <v>2579</v>
      </c>
      <c r="C58" s="10" t="s">
        <v>95</v>
      </c>
      <c r="D58" s="9" t="s">
        <v>95</v>
      </c>
      <c r="E58" s="9" t="s">
        <v>2552</v>
      </c>
      <c r="F58" s="10" t="s">
        <v>2525</v>
      </c>
      <c r="G58" s="11">
        <v>45661</v>
      </c>
    </row>
    <row r="59" spans="1:7" ht="36.5" hidden="1" x14ac:dyDescent="0.35">
      <c r="A59" s="8">
        <v>7034</v>
      </c>
      <c r="B59" s="10" t="s">
        <v>2580</v>
      </c>
      <c r="C59" s="10" t="s">
        <v>26</v>
      </c>
      <c r="D59" s="9" t="s">
        <v>95</v>
      </c>
      <c r="E59" s="9" t="s">
        <v>479</v>
      </c>
      <c r="F59" s="10" t="s">
        <v>2525</v>
      </c>
      <c r="G59" s="11">
        <v>45661</v>
      </c>
    </row>
    <row r="60" spans="1:7" ht="48.5" hidden="1" x14ac:dyDescent="0.35">
      <c r="A60" s="8">
        <v>7035</v>
      </c>
      <c r="B60" s="10" t="s">
        <v>2581</v>
      </c>
      <c r="C60" s="10" t="s">
        <v>26</v>
      </c>
      <c r="D60" s="9" t="s">
        <v>95</v>
      </c>
      <c r="E60" s="9" t="s">
        <v>1914</v>
      </c>
      <c r="F60" s="10" t="s">
        <v>2559</v>
      </c>
      <c r="G60" s="11">
        <v>45661</v>
      </c>
    </row>
    <row r="61" spans="1:7" ht="36.5" hidden="1" x14ac:dyDescent="0.35">
      <c r="A61" s="8">
        <v>7036</v>
      </c>
      <c r="B61" s="10" t="s">
        <v>2582</v>
      </c>
      <c r="C61" s="10" t="s">
        <v>134</v>
      </c>
      <c r="D61" s="9" t="s">
        <v>95</v>
      </c>
      <c r="E61" s="9" t="s">
        <v>1914</v>
      </c>
      <c r="F61" s="10" t="s">
        <v>2525</v>
      </c>
      <c r="G61" s="11">
        <v>45661</v>
      </c>
    </row>
    <row r="62" spans="1:7" ht="36.5" hidden="1" x14ac:dyDescent="0.35">
      <c r="A62" s="8">
        <v>7037</v>
      </c>
      <c r="B62" s="10" t="s">
        <v>2583</v>
      </c>
      <c r="C62" s="10" t="s">
        <v>220</v>
      </c>
      <c r="D62" s="9" t="s">
        <v>95</v>
      </c>
      <c r="E62" s="9" t="s">
        <v>1914</v>
      </c>
      <c r="F62" s="10" t="s">
        <v>2525</v>
      </c>
      <c r="G62" s="11">
        <v>45661</v>
      </c>
    </row>
    <row r="63" spans="1:7" ht="36.5" hidden="1" x14ac:dyDescent="0.35">
      <c r="A63" s="8">
        <v>7040</v>
      </c>
      <c r="B63" s="10" t="s">
        <v>2584</v>
      </c>
      <c r="C63" s="10" t="s">
        <v>95</v>
      </c>
      <c r="D63" s="9" t="s">
        <v>95</v>
      </c>
      <c r="E63" s="9" t="s">
        <v>1914</v>
      </c>
      <c r="F63" s="10" t="s">
        <v>2525</v>
      </c>
      <c r="G63" s="11">
        <v>45661</v>
      </c>
    </row>
    <row r="64" spans="1:7" ht="36.5" hidden="1" x14ac:dyDescent="0.35">
      <c r="A64" s="8">
        <v>7042</v>
      </c>
      <c r="B64" s="10" t="s">
        <v>2585</v>
      </c>
      <c r="C64" s="10" t="s">
        <v>95</v>
      </c>
      <c r="D64" s="9" t="s">
        <v>95</v>
      </c>
      <c r="E64" s="9" t="s">
        <v>1914</v>
      </c>
      <c r="F64" s="10" t="s">
        <v>2525</v>
      </c>
      <c r="G64" s="11">
        <v>45662</v>
      </c>
    </row>
    <row r="65" spans="1:7" ht="36.5" hidden="1" x14ac:dyDescent="0.35">
      <c r="A65" s="8">
        <v>7050</v>
      </c>
      <c r="B65" s="10" t="s">
        <v>2586</v>
      </c>
      <c r="C65" s="10" t="s">
        <v>21</v>
      </c>
      <c r="D65" s="9" t="s">
        <v>21</v>
      </c>
      <c r="E65" s="9" t="s">
        <v>819</v>
      </c>
      <c r="F65" s="10" t="s">
        <v>2525</v>
      </c>
      <c r="G65" s="11">
        <v>45662</v>
      </c>
    </row>
    <row r="66" spans="1:7" ht="24.5" hidden="1" x14ac:dyDescent="0.35">
      <c r="A66" s="8">
        <v>7048</v>
      </c>
      <c r="B66" s="10" t="s">
        <v>2587</v>
      </c>
      <c r="C66" s="10" t="s">
        <v>134</v>
      </c>
      <c r="D66" s="9" t="s">
        <v>134</v>
      </c>
      <c r="E66" s="9" t="s">
        <v>819</v>
      </c>
      <c r="F66" s="10" t="s">
        <v>2522</v>
      </c>
      <c r="G66" s="11">
        <v>45662</v>
      </c>
    </row>
    <row r="67" spans="1:7" ht="36.5" hidden="1" x14ac:dyDescent="0.35">
      <c r="A67" s="8">
        <v>7052</v>
      </c>
      <c r="B67" s="10" t="s">
        <v>2588</v>
      </c>
      <c r="C67" s="10" t="s">
        <v>104</v>
      </c>
      <c r="D67" s="9" t="s">
        <v>104</v>
      </c>
      <c r="E67" s="9" t="s">
        <v>819</v>
      </c>
      <c r="F67" s="10" t="s">
        <v>2516</v>
      </c>
      <c r="G67" s="11">
        <v>45662</v>
      </c>
    </row>
    <row r="68" spans="1:7" ht="36.5" hidden="1" x14ac:dyDescent="0.35">
      <c r="A68" s="8">
        <v>7049</v>
      </c>
      <c r="B68" s="10" t="s">
        <v>2589</v>
      </c>
      <c r="C68" s="10" t="s">
        <v>134</v>
      </c>
      <c r="D68" s="9" t="s">
        <v>134</v>
      </c>
      <c r="E68" s="9" t="s">
        <v>819</v>
      </c>
      <c r="F68" s="10" t="s">
        <v>2516</v>
      </c>
      <c r="G68" s="11">
        <v>45662</v>
      </c>
    </row>
    <row r="69" spans="1:7" ht="24.5" hidden="1" x14ac:dyDescent="0.35">
      <c r="A69" s="8">
        <v>7054</v>
      </c>
      <c r="B69" s="10" t="s">
        <v>2590</v>
      </c>
      <c r="C69" s="10" t="s">
        <v>21</v>
      </c>
      <c r="D69" s="9" t="s">
        <v>21</v>
      </c>
      <c r="E69" s="9" t="s">
        <v>1484</v>
      </c>
      <c r="F69" s="10" t="s">
        <v>2540</v>
      </c>
      <c r="G69" s="11">
        <v>45662</v>
      </c>
    </row>
    <row r="70" spans="1:7" ht="36.5" hidden="1" x14ac:dyDescent="0.35">
      <c r="A70" s="8">
        <v>7055</v>
      </c>
      <c r="B70" s="10" t="s">
        <v>2591</v>
      </c>
      <c r="C70" s="10" t="s">
        <v>13</v>
      </c>
      <c r="D70" s="9" t="s">
        <v>13</v>
      </c>
      <c r="E70" s="9" t="s">
        <v>896</v>
      </c>
      <c r="F70" s="10" t="s">
        <v>2516</v>
      </c>
      <c r="G70" s="11">
        <v>45662</v>
      </c>
    </row>
    <row r="71" spans="1:7" ht="48.5" hidden="1" x14ac:dyDescent="0.35">
      <c r="A71" s="8">
        <v>7051</v>
      </c>
      <c r="B71" s="10" t="s">
        <v>2592</v>
      </c>
      <c r="C71" s="10" t="s">
        <v>21</v>
      </c>
      <c r="D71" s="9" t="s">
        <v>21</v>
      </c>
      <c r="E71" s="9" t="s">
        <v>819</v>
      </c>
      <c r="F71" s="10" t="s">
        <v>2540</v>
      </c>
      <c r="G71" s="11">
        <v>45662</v>
      </c>
    </row>
    <row r="72" spans="1:7" ht="36.5" hidden="1" x14ac:dyDescent="0.35">
      <c r="A72" s="8">
        <v>7053</v>
      </c>
      <c r="B72" s="10" t="s">
        <v>2593</v>
      </c>
      <c r="C72" s="10" t="s">
        <v>21</v>
      </c>
      <c r="D72" s="9" t="s">
        <v>21</v>
      </c>
      <c r="E72" s="9" t="s">
        <v>896</v>
      </c>
      <c r="F72" s="10" t="s">
        <v>2516</v>
      </c>
      <c r="G72" s="11">
        <v>45662</v>
      </c>
    </row>
    <row r="73" spans="1:7" ht="48.5" hidden="1" x14ac:dyDescent="0.35">
      <c r="A73" s="8">
        <v>7056</v>
      </c>
      <c r="B73" s="10" t="s">
        <v>2594</v>
      </c>
      <c r="C73" s="10" t="s">
        <v>13</v>
      </c>
      <c r="D73" s="9" t="s">
        <v>96</v>
      </c>
      <c r="E73" s="9" t="s">
        <v>99</v>
      </c>
      <c r="F73" s="10" t="s">
        <v>2559</v>
      </c>
      <c r="G73" s="11">
        <v>45662</v>
      </c>
    </row>
    <row r="74" spans="1:7" ht="36.5" hidden="1" x14ac:dyDescent="0.35">
      <c r="A74" s="8">
        <v>7057</v>
      </c>
      <c r="B74" s="10" t="s">
        <v>2595</v>
      </c>
      <c r="C74" s="10" t="s">
        <v>26</v>
      </c>
      <c r="D74" s="9" t="s">
        <v>26</v>
      </c>
      <c r="E74" s="9" t="s">
        <v>78</v>
      </c>
      <c r="F74" s="10" t="s">
        <v>2516</v>
      </c>
      <c r="G74" s="11">
        <v>45662</v>
      </c>
    </row>
    <row r="75" spans="1:7" ht="24.5" hidden="1" x14ac:dyDescent="0.35">
      <c r="A75" s="8">
        <v>7058</v>
      </c>
      <c r="B75" s="10" t="s">
        <v>2596</v>
      </c>
      <c r="C75" s="10" t="s">
        <v>26</v>
      </c>
      <c r="D75" s="9" t="s">
        <v>26</v>
      </c>
      <c r="E75" s="9" t="s">
        <v>78</v>
      </c>
      <c r="F75" s="10" t="s">
        <v>2522</v>
      </c>
      <c r="G75" s="11">
        <v>45662</v>
      </c>
    </row>
    <row r="76" spans="1:7" ht="24.5" hidden="1" x14ac:dyDescent="0.35">
      <c r="A76" s="8">
        <v>7059</v>
      </c>
      <c r="B76" s="10" t="s">
        <v>2597</v>
      </c>
      <c r="C76" s="10" t="s">
        <v>190</v>
      </c>
      <c r="D76" s="9" t="s">
        <v>95</v>
      </c>
      <c r="E76" s="9" t="s">
        <v>657</v>
      </c>
      <c r="F76" s="10" t="s">
        <v>2522</v>
      </c>
      <c r="G76" s="11">
        <v>45662</v>
      </c>
    </row>
    <row r="77" spans="1:7" ht="24.5" hidden="1" x14ac:dyDescent="0.35">
      <c r="A77" s="8">
        <v>7060</v>
      </c>
      <c r="B77" s="10" t="s">
        <v>2598</v>
      </c>
      <c r="C77" s="10" t="s">
        <v>104</v>
      </c>
      <c r="D77" s="9" t="s">
        <v>104</v>
      </c>
      <c r="E77" s="9" t="s">
        <v>483</v>
      </c>
      <c r="F77" s="10" t="s">
        <v>2540</v>
      </c>
      <c r="G77" s="11">
        <v>45662</v>
      </c>
    </row>
    <row r="78" spans="1:7" ht="36.5" hidden="1" x14ac:dyDescent="0.35">
      <c r="A78" s="8">
        <v>7061</v>
      </c>
      <c r="B78" s="10" t="s">
        <v>2599</v>
      </c>
      <c r="C78" s="10" t="s">
        <v>134</v>
      </c>
      <c r="D78" s="9" t="s">
        <v>134</v>
      </c>
      <c r="E78" s="9" t="s">
        <v>2336</v>
      </c>
      <c r="F78" s="10" t="s">
        <v>2516</v>
      </c>
      <c r="G78" s="11">
        <v>45662</v>
      </c>
    </row>
    <row r="79" spans="1:7" ht="24.5" hidden="1" x14ac:dyDescent="0.35">
      <c r="A79" s="8">
        <v>7062</v>
      </c>
      <c r="B79" s="10" t="s">
        <v>2600</v>
      </c>
      <c r="C79" s="10" t="s">
        <v>96</v>
      </c>
      <c r="D79" s="9" t="s">
        <v>96</v>
      </c>
      <c r="E79" s="9" t="s">
        <v>1623</v>
      </c>
      <c r="F79" s="10" t="s">
        <v>2537</v>
      </c>
      <c r="G79" s="11">
        <v>45662</v>
      </c>
    </row>
    <row r="80" spans="1:7" ht="24.5" hidden="1" x14ac:dyDescent="0.35">
      <c r="A80" s="8">
        <v>7064</v>
      </c>
      <c r="B80" s="10" t="s">
        <v>2601</v>
      </c>
      <c r="C80" s="10" t="s">
        <v>26</v>
      </c>
      <c r="D80" s="9" t="s">
        <v>95</v>
      </c>
      <c r="E80" s="9" t="s">
        <v>1914</v>
      </c>
      <c r="F80" s="10" t="s">
        <v>2540</v>
      </c>
      <c r="G80" s="11">
        <v>45663</v>
      </c>
    </row>
    <row r="81" spans="1:7" ht="36.5" hidden="1" x14ac:dyDescent="0.35">
      <c r="A81" s="8">
        <v>7063</v>
      </c>
      <c r="B81" s="10" t="s">
        <v>2602</v>
      </c>
      <c r="C81" s="10" t="s">
        <v>95</v>
      </c>
      <c r="D81" s="9" t="s">
        <v>95</v>
      </c>
      <c r="E81" s="9" t="s">
        <v>1914</v>
      </c>
      <c r="F81" s="10" t="s">
        <v>2525</v>
      </c>
      <c r="G81" s="11">
        <v>45663</v>
      </c>
    </row>
    <row r="82" spans="1:7" ht="36.5" hidden="1" x14ac:dyDescent="0.35">
      <c r="A82" s="8">
        <v>7065</v>
      </c>
      <c r="B82" s="10" t="s">
        <v>2603</v>
      </c>
      <c r="C82" s="10" t="s">
        <v>193</v>
      </c>
      <c r="D82" s="9" t="s">
        <v>193</v>
      </c>
      <c r="E82" s="9" t="s">
        <v>1828</v>
      </c>
      <c r="F82" s="10" t="s">
        <v>2516</v>
      </c>
      <c r="G82" s="11">
        <v>45663</v>
      </c>
    </row>
    <row r="83" spans="1:7" ht="36.5" hidden="1" x14ac:dyDescent="0.35">
      <c r="A83" s="8">
        <v>7073</v>
      </c>
      <c r="B83" s="10" t="s">
        <v>2604</v>
      </c>
      <c r="C83" s="10" t="s">
        <v>193</v>
      </c>
      <c r="D83" s="9" t="s">
        <v>193</v>
      </c>
      <c r="E83" s="9" t="s">
        <v>1828</v>
      </c>
      <c r="F83" s="10" t="s">
        <v>2522</v>
      </c>
      <c r="G83" s="11">
        <v>45663</v>
      </c>
    </row>
    <row r="84" spans="1:7" ht="36.5" hidden="1" x14ac:dyDescent="0.35">
      <c r="A84" s="8">
        <v>7074</v>
      </c>
      <c r="B84" s="10" t="s">
        <v>2605</v>
      </c>
      <c r="C84" s="10" t="s">
        <v>193</v>
      </c>
      <c r="D84" s="9" t="s">
        <v>193</v>
      </c>
      <c r="E84" s="9" t="s">
        <v>1828</v>
      </c>
      <c r="F84" s="10" t="s">
        <v>2516</v>
      </c>
      <c r="G84" s="11">
        <v>45663</v>
      </c>
    </row>
    <row r="85" spans="1:7" ht="36.5" hidden="1" x14ac:dyDescent="0.35">
      <c r="A85" s="8">
        <v>7077</v>
      </c>
      <c r="B85" s="10" t="s">
        <v>2606</v>
      </c>
      <c r="C85" s="10" t="s">
        <v>13</v>
      </c>
      <c r="D85" s="9" t="s">
        <v>13</v>
      </c>
      <c r="E85" s="9" t="s">
        <v>896</v>
      </c>
      <c r="F85" s="10" t="s">
        <v>2516</v>
      </c>
      <c r="G85" s="11">
        <v>45663</v>
      </c>
    </row>
    <row r="86" spans="1:7" ht="36.5" hidden="1" x14ac:dyDescent="0.35">
      <c r="A86" s="8">
        <v>7078</v>
      </c>
      <c r="B86" s="10" t="s">
        <v>2607</v>
      </c>
      <c r="C86" s="10" t="s">
        <v>104</v>
      </c>
      <c r="D86" s="9" t="s">
        <v>104</v>
      </c>
      <c r="E86" s="9" t="s">
        <v>896</v>
      </c>
      <c r="F86" s="10" t="s">
        <v>2516</v>
      </c>
      <c r="G86" s="11">
        <v>45663</v>
      </c>
    </row>
    <row r="87" spans="1:7" ht="48.5" hidden="1" x14ac:dyDescent="0.35">
      <c r="A87" s="8">
        <v>7080</v>
      </c>
      <c r="B87" s="10" t="s">
        <v>2608</v>
      </c>
      <c r="C87" s="10" t="s">
        <v>196</v>
      </c>
      <c r="D87" s="9" t="s">
        <v>196</v>
      </c>
      <c r="E87" s="9" t="s">
        <v>2609</v>
      </c>
      <c r="F87" s="10" t="s">
        <v>2559</v>
      </c>
      <c r="G87" s="11">
        <v>45663</v>
      </c>
    </row>
    <row r="88" spans="1:7" ht="48.5" hidden="1" x14ac:dyDescent="0.35">
      <c r="A88" s="8">
        <v>7079</v>
      </c>
      <c r="B88" s="10" t="s">
        <v>2610</v>
      </c>
      <c r="C88" s="10" t="s">
        <v>220</v>
      </c>
      <c r="D88" s="9" t="s">
        <v>220</v>
      </c>
      <c r="E88" s="9" t="s">
        <v>305</v>
      </c>
      <c r="F88" s="10" t="s">
        <v>2559</v>
      </c>
      <c r="G88" s="11">
        <v>45663</v>
      </c>
    </row>
    <row r="89" spans="1:7" ht="24.5" hidden="1" x14ac:dyDescent="0.35">
      <c r="A89" s="8">
        <v>7081</v>
      </c>
      <c r="B89" s="10" t="s">
        <v>2611</v>
      </c>
      <c r="C89" s="10" t="s">
        <v>96</v>
      </c>
      <c r="D89" s="9" t="s">
        <v>96</v>
      </c>
      <c r="E89" s="9" t="s">
        <v>1055</v>
      </c>
      <c r="F89" s="10" t="s">
        <v>2522</v>
      </c>
      <c r="G89" s="11">
        <v>45663</v>
      </c>
    </row>
    <row r="90" spans="1:7" ht="24.5" hidden="1" x14ac:dyDescent="0.35">
      <c r="A90" s="8">
        <v>7082</v>
      </c>
      <c r="B90" s="10" t="s">
        <v>2612</v>
      </c>
      <c r="C90" s="10" t="s">
        <v>104</v>
      </c>
      <c r="D90" s="9" t="s">
        <v>104</v>
      </c>
      <c r="E90" s="9" t="s">
        <v>896</v>
      </c>
      <c r="F90" s="10" t="s">
        <v>2522</v>
      </c>
      <c r="G90" s="11">
        <v>45663</v>
      </c>
    </row>
    <row r="91" spans="1:7" ht="48.5" hidden="1" x14ac:dyDescent="0.35">
      <c r="A91" s="8">
        <v>7083</v>
      </c>
      <c r="B91" s="10" t="s">
        <v>2613</v>
      </c>
      <c r="C91" s="10" t="s">
        <v>278</v>
      </c>
      <c r="D91" s="9" t="s">
        <v>278</v>
      </c>
      <c r="E91" s="9" t="s">
        <v>982</v>
      </c>
      <c r="F91" s="10" t="s">
        <v>2559</v>
      </c>
      <c r="G91" s="11">
        <v>45663</v>
      </c>
    </row>
    <row r="92" spans="1:7" ht="24.5" hidden="1" x14ac:dyDescent="0.35">
      <c r="A92" s="8">
        <v>7084</v>
      </c>
      <c r="B92" s="10" t="s">
        <v>2614</v>
      </c>
      <c r="C92" s="10" t="s">
        <v>278</v>
      </c>
      <c r="D92" s="9" t="s">
        <v>278</v>
      </c>
      <c r="E92" s="9" t="s">
        <v>982</v>
      </c>
      <c r="F92" s="10" t="s">
        <v>2522</v>
      </c>
      <c r="G92" s="11">
        <v>45663</v>
      </c>
    </row>
    <row r="93" spans="1:7" ht="24.5" hidden="1" x14ac:dyDescent="0.35">
      <c r="A93" s="8">
        <v>7085</v>
      </c>
      <c r="B93" s="10" t="s">
        <v>2615</v>
      </c>
      <c r="C93" s="10" t="s">
        <v>278</v>
      </c>
      <c r="D93" s="9" t="s">
        <v>278</v>
      </c>
      <c r="E93" s="9" t="s">
        <v>982</v>
      </c>
      <c r="F93" s="10" t="s">
        <v>2522</v>
      </c>
      <c r="G93" s="11">
        <v>45663</v>
      </c>
    </row>
    <row r="94" spans="1:7" ht="36.5" hidden="1" x14ac:dyDescent="0.35">
      <c r="A94" s="8">
        <v>7086</v>
      </c>
      <c r="B94" s="10" t="s">
        <v>2616</v>
      </c>
      <c r="C94" s="10" t="s">
        <v>371</v>
      </c>
      <c r="D94" s="9" t="s">
        <v>371</v>
      </c>
      <c r="E94" s="9" t="s">
        <v>1030</v>
      </c>
      <c r="F94" s="10" t="s">
        <v>2516</v>
      </c>
      <c r="G94" s="11">
        <v>45664</v>
      </c>
    </row>
    <row r="95" spans="1:7" ht="36.5" hidden="1" x14ac:dyDescent="0.35">
      <c r="A95" s="8">
        <v>7087</v>
      </c>
      <c r="B95" s="10" t="s">
        <v>2617</v>
      </c>
      <c r="C95" s="10" t="s">
        <v>371</v>
      </c>
      <c r="D95" s="9" t="s">
        <v>371</v>
      </c>
      <c r="E95" s="9" t="s">
        <v>1030</v>
      </c>
      <c r="F95" s="10" t="s">
        <v>2516</v>
      </c>
      <c r="G95" s="11">
        <v>45664</v>
      </c>
    </row>
    <row r="96" spans="1:7" ht="24.5" hidden="1" x14ac:dyDescent="0.35">
      <c r="A96" s="8">
        <v>7088</v>
      </c>
      <c r="B96" s="10" t="s">
        <v>2618</v>
      </c>
      <c r="C96" s="10" t="s">
        <v>96</v>
      </c>
      <c r="D96" s="9" t="s">
        <v>96</v>
      </c>
      <c r="E96" s="9" t="s">
        <v>1179</v>
      </c>
      <c r="F96" s="10" t="s">
        <v>2537</v>
      </c>
      <c r="G96" s="11">
        <v>45664</v>
      </c>
    </row>
    <row r="97" spans="1:7" ht="36.5" hidden="1" x14ac:dyDescent="0.35">
      <c r="A97" s="8">
        <v>7089</v>
      </c>
      <c r="B97" s="10" t="s">
        <v>2619</v>
      </c>
      <c r="C97" s="10" t="s">
        <v>371</v>
      </c>
      <c r="D97" s="9" t="s">
        <v>395</v>
      </c>
      <c r="E97" s="9" t="s">
        <v>1037</v>
      </c>
      <c r="F97" s="10" t="s">
        <v>2525</v>
      </c>
      <c r="G97" s="11">
        <v>45664</v>
      </c>
    </row>
    <row r="98" spans="1:7" ht="36.5" hidden="1" x14ac:dyDescent="0.35">
      <c r="A98" s="8">
        <v>7090</v>
      </c>
      <c r="B98" s="10" t="s">
        <v>2620</v>
      </c>
      <c r="C98" s="10" t="s">
        <v>196</v>
      </c>
      <c r="D98" s="9" t="s">
        <v>104</v>
      </c>
      <c r="E98" s="9" t="s">
        <v>2336</v>
      </c>
      <c r="F98" s="10" t="s">
        <v>2516</v>
      </c>
      <c r="G98" s="11">
        <v>45664</v>
      </c>
    </row>
    <row r="99" spans="1:7" ht="36.5" hidden="1" x14ac:dyDescent="0.35">
      <c r="A99" s="8">
        <v>7091</v>
      </c>
      <c r="B99" s="10" t="s">
        <v>2621</v>
      </c>
      <c r="C99" s="10" t="s">
        <v>26</v>
      </c>
      <c r="D99" s="9" t="s">
        <v>26</v>
      </c>
      <c r="E99" s="9" t="s">
        <v>1525</v>
      </c>
      <c r="F99" s="10" t="s">
        <v>2572</v>
      </c>
      <c r="G99" s="11">
        <v>45664</v>
      </c>
    </row>
    <row r="100" spans="1:7" ht="24.5" hidden="1" x14ac:dyDescent="0.35">
      <c r="A100" s="8">
        <v>7092</v>
      </c>
      <c r="B100" s="10" t="s">
        <v>2622</v>
      </c>
      <c r="C100" s="10" t="s">
        <v>26</v>
      </c>
      <c r="D100" s="9" t="s">
        <v>26</v>
      </c>
      <c r="E100" s="9" t="s">
        <v>1525</v>
      </c>
      <c r="F100" s="10" t="s">
        <v>2522</v>
      </c>
      <c r="G100" s="11">
        <v>45664</v>
      </c>
    </row>
    <row r="101" spans="1:7" ht="48.5" hidden="1" x14ac:dyDescent="0.35">
      <c r="A101" s="8">
        <v>7093</v>
      </c>
      <c r="B101" s="10" t="s">
        <v>2623</v>
      </c>
      <c r="C101" s="10" t="s">
        <v>104</v>
      </c>
      <c r="D101" s="9" t="s">
        <v>104</v>
      </c>
      <c r="E101" s="9" t="s">
        <v>483</v>
      </c>
      <c r="F101" s="10" t="s">
        <v>2559</v>
      </c>
      <c r="G101" s="11">
        <v>45664</v>
      </c>
    </row>
    <row r="102" spans="1:7" ht="36.5" hidden="1" x14ac:dyDescent="0.35">
      <c r="A102" s="8">
        <v>7094</v>
      </c>
      <c r="B102" s="10" t="s">
        <v>2624</v>
      </c>
      <c r="C102" s="10" t="s">
        <v>134</v>
      </c>
      <c r="D102" s="9" t="s">
        <v>95</v>
      </c>
      <c r="E102" s="9" t="s">
        <v>1914</v>
      </c>
      <c r="F102" s="10" t="s">
        <v>2572</v>
      </c>
      <c r="G102" s="11">
        <v>45664</v>
      </c>
    </row>
    <row r="103" spans="1:7" ht="36.5" hidden="1" x14ac:dyDescent="0.35">
      <c r="A103" s="8">
        <v>7095</v>
      </c>
      <c r="B103" s="10" t="s">
        <v>2625</v>
      </c>
      <c r="C103" s="10" t="s">
        <v>250</v>
      </c>
      <c r="D103" s="9" t="s">
        <v>95</v>
      </c>
      <c r="E103" s="9" t="s">
        <v>1147</v>
      </c>
      <c r="F103" s="10" t="s">
        <v>2525</v>
      </c>
      <c r="G103" s="11">
        <v>45664</v>
      </c>
    </row>
    <row r="104" spans="1:7" ht="24.5" hidden="1" x14ac:dyDescent="0.35">
      <c r="A104" s="8">
        <v>7096</v>
      </c>
      <c r="B104" s="10" t="s">
        <v>2626</v>
      </c>
      <c r="C104" s="10" t="s">
        <v>250</v>
      </c>
      <c r="D104" s="9" t="s">
        <v>95</v>
      </c>
      <c r="E104" s="9" t="s">
        <v>1147</v>
      </c>
      <c r="F104" s="10" t="s">
        <v>2522</v>
      </c>
      <c r="G104" s="11">
        <v>45664</v>
      </c>
    </row>
    <row r="105" spans="1:7" ht="24.5" hidden="1" x14ac:dyDescent="0.35">
      <c r="A105" s="8">
        <v>7097</v>
      </c>
      <c r="B105" s="10" t="s">
        <v>2627</v>
      </c>
      <c r="C105" s="10" t="s">
        <v>196</v>
      </c>
      <c r="D105" s="9" t="s">
        <v>13</v>
      </c>
      <c r="E105" s="9" t="s">
        <v>2336</v>
      </c>
      <c r="F105" s="10" t="s">
        <v>2522</v>
      </c>
      <c r="G105" s="11">
        <v>45664</v>
      </c>
    </row>
    <row r="106" spans="1:7" ht="24.5" hidden="1" x14ac:dyDescent="0.35">
      <c r="A106" s="8">
        <v>7099</v>
      </c>
      <c r="B106" s="10" t="s">
        <v>2628</v>
      </c>
      <c r="C106" s="10" t="s">
        <v>104</v>
      </c>
      <c r="D106" s="9" t="s">
        <v>104</v>
      </c>
      <c r="E106" s="9" t="s">
        <v>483</v>
      </c>
      <c r="F106" s="10" t="s">
        <v>2522</v>
      </c>
      <c r="G106" s="11">
        <v>45664</v>
      </c>
    </row>
    <row r="107" spans="1:7" ht="36.5" hidden="1" x14ac:dyDescent="0.35">
      <c r="A107" s="8">
        <v>7098</v>
      </c>
      <c r="B107" s="10" t="s">
        <v>2629</v>
      </c>
      <c r="C107" s="10" t="s">
        <v>278</v>
      </c>
      <c r="D107" s="9" t="s">
        <v>13</v>
      </c>
      <c r="E107" s="9" t="s">
        <v>1692</v>
      </c>
      <c r="F107" s="10" t="s">
        <v>2516</v>
      </c>
      <c r="G107" s="11">
        <v>45664</v>
      </c>
    </row>
    <row r="108" spans="1:7" ht="24.5" hidden="1" x14ac:dyDescent="0.35">
      <c r="A108" s="8">
        <v>7100</v>
      </c>
      <c r="B108" s="10" t="s">
        <v>2630</v>
      </c>
      <c r="C108" s="10" t="s">
        <v>134</v>
      </c>
      <c r="D108" s="9" t="s">
        <v>134</v>
      </c>
      <c r="E108" s="9" t="s">
        <v>1914</v>
      </c>
      <c r="F108" s="10" t="s">
        <v>2522</v>
      </c>
      <c r="G108" s="11">
        <v>45664</v>
      </c>
    </row>
    <row r="109" spans="1:7" ht="24.5" hidden="1" x14ac:dyDescent="0.35">
      <c r="A109" s="8">
        <v>7101</v>
      </c>
      <c r="B109" s="10" t="s">
        <v>2631</v>
      </c>
      <c r="C109" s="10" t="s">
        <v>134</v>
      </c>
      <c r="D109" s="9" t="s">
        <v>134</v>
      </c>
      <c r="E109" s="9" t="s">
        <v>936</v>
      </c>
      <c r="F109" s="10" t="s">
        <v>2522</v>
      </c>
      <c r="G109" s="11">
        <v>45664</v>
      </c>
    </row>
    <row r="110" spans="1:7" ht="36.5" hidden="1" x14ac:dyDescent="0.35">
      <c r="A110" s="8">
        <v>7102</v>
      </c>
      <c r="B110" s="10" t="s">
        <v>2632</v>
      </c>
      <c r="C110" s="10" t="s">
        <v>371</v>
      </c>
      <c r="D110" s="9" t="s">
        <v>395</v>
      </c>
      <c r="E110" s="9" t="s">
        <v>1037</v>
      </c>
      <c r="F110" s="10" t="s">
        <v>2516</v>
      </c>
      <c r="G110" s="11">
        <v>45664</v>
      </c>
    </row>
    <row r="111" spans="1:7" ht="36.5" hidden="1" x14ac:dyDescent="0.35">
      <c r="A111" s="8">
        <v>7103</v>
      </c>
      <c r="B111" s="10" t="s">
        <v>2633</v>
      </c>
      <c r="C111" s="10" t="s">
        <v>104</v>
      </c>
      <c r="D111" s="9" t="s">
        <v>104</v>
      </c>
      <c r="E111" s="9" t="s">
        <v>483</v>
      </c>
      <c r="F111" s="10" t="s">
        <v>2516</v>
      </c>
      <c r="G111" s="11">
        <v>45664</v>
      </c>
    </row>
    <row r="112" spans="1:7" ht="36.5" hidden="1" x14ac:dyDescent="0.35">
      <c r="A112" s="8">
        <v>7104</v>
      </c>
      <c r="B112" s="10" t="s">
        <v>2634</v>
      </c>
      <c r="C112" s="10" t="s">
        <v>134</v>
      </c>
      <c r="D112" s="9" t="s">
        <v>95</v>
      </c>
      <c r="E112" s="9" t="s">
        <v>1914</v>
      </c>
      <c r="F112" s="10" t="s">
        <v>2525</v>
      </c>
      <c r="G112" s="11">
        <v>45665</v>
      </c>
    </row>
    <row r="113" spans="1:7" ht="36.5" hidden="1" x14ac:dyDescent="0.35">
      <c r="A113" s="8">
        <v>7105</v>
      </c>
      <c r="B113" s="10" t="s">
        <v>2635</v>
      </c>
      <c r="C113" s="10" t="s">
        <v>21</v>
      </c>
      <c r="D113" s="9" t="s">
        <v>227</v>
      </c>
      <c r="E113" s="9" t="s">
        <v>1623</v>
      </c>
      <c r="F113" s="10" t="s">
        <v>2525</v>
      </c>
      <c r="G113" s="11">
        <v>45665</v>
      </c>
    </row>
    <row r="114" spans="1:7" ht="24.5" hidden="1" x14ac:dyDescent="0.35">
      <c r="A114" s="8">
        <v>7106</v>
      </c>
      <c r="B114" s="10" t="s">
        <v>2636</v>
      </c>
      <c r="C114" s="10" t="s">
        <v>104</v>
      </c>
      <c r="D114" s="9" t="s">
        <v>104</v>
      </c>
      <c r="E114" s="9" t="s">
        <v>483</v>
      </c>
      <c r="F114" s="10" t="s">
        <v>2522</v>
      </c>
      <c r="G114" s="11">
        <v>45665</v>
      </c>
    </row>
    <row r="115" spans="1:7" ht="48.5" hidden="1" x14ac:dyDescent="0.35">
      <c r="A115" s="8">
        <v>7107</v>
      </c>
      <c r="B115" s="10" t="s">
        <v>2637</v>
      </c>
      <c r="C115" s="10" t="s">
        <v>190</v>
      </c>
      <c r="D115" s="9" t="s">
        <v>190</v>
      </c>
      <c r="E115" s="9" t="s">
        <v>592</v>
      </c>
      <c r="F115" s="10" t="s">
        <v>2559</v>
      </c>
      <c r="G115" s="11">
        <v>45665</v>
      </c>
    </row>
    <row r="116" spans="1:7" ht="36.5" hidden="1" x14ac:dyDescent="0.35">
      <c r="A116" s="8">
        <v>7108</v>
      </c>
      <c r="B116" s="10" t="s">
        <v>2638</v>
      </c>
      <c r="C116" s="10" t="s">
        <v>134</v>
      </c>
      <c r="D116" s="9" t="s">
        <v>95</v>
      </c>
      <c r="E116" s="9" t="s">
        <v>1914</v>
      </c>
      <c r="F116" s="10" t="s">
        <v>2516</v>
      </c>
      <c r="G116" s="11">
        <v>45665</v>
      </c>
    </row>
    <row r="117" spans="1:7" ht="24.5" hidden="1" x14ac:dyDescent="0.35">
      <c r="A117" s="8">
        <v>7109</v>
      </c>
      <c r="B117" s="10" t="s">
        <v>2639</v>
      </c>
      <c r="C117" s="10" t="s">
        <v>134</v>
      </c>
      <c r="D117" s="9" t="s">
        <v>134</v>
      </c>
      <c r="E117" s="9" t="s">
        <v>936</v>
      </c>
      <c r="F117" s="10" t="s">
        <v>2522</v>
      </c>
      <c r="G117" s="11">
        <v>45665</v>
      </c>
    </row>
    <row r="118" spans="1:7" ht="36.5" hidden="1" x14ac:dyDescent="0.35">
      <c r="A118" s="8">
        <v>7110</v>
      </c>
      <c r="B118" s="10" t="s">
        <v>2640</v>
      </c>
      <c r="C118" s="10" t="s">
        <v>196</v>
      </c>
      <c r="D118" s="9" t="s">
        <v>13</v>
      </c>
      <c r="E118" s="9" t="s">
        <v>2336</v>
      </c>
      <c r="F118" s="10" t="s">
        <v>2530</v>
      </c>
      <c r="G118" s="11">
        <v>45665</v>
      </c>
    </row>
    <row r="119" spans="1:7" ht="24.5" hidden="1" x14ac:dyDescent="0.35">
      <c r="A119" s="8">
        <v>7111</v>
      </c>
      <c r="B119" s="10" t="s">
        <v>2641</v>
      </c>
      <c r="C119" s="10" t="s">
        <v>104</v>
      </c>
      <c r="D119" s="9" t="s">
        <v>104</v>
      </c>
      <c r="E119" s="9" t="s">
        <v>483</v>
      </c>
      <c r="F119" s="10" t="s">
        <v>2522</v>
      </c>
      <c r="G119" s="11">
        <v>45665</v>
      </c>
    </row>
    <row r="120" spans="1:7" ht="36.5" hidden="1" x14ac:dyDescent="0.35">
      <c r="A120" s="8">
        <v>7112</v>
      </c>
      <c r="B120" s="10" t="s">
        <v>2642</v>
      </c>
      <c r="C120" s="10" t="s">
        <v>190</v>
      </c>
      <c r="D120" s="9" t="s">
        <v>190</v>
      </c>
      <c r="E120" s="9" t="s">
        <v>592</v>
      </c>
      <c r="F120" s="10" t="s">
        <v>2530</v>
      </c>
      <c r="G120" s="11">
        <v>45665</v>
      </c>
    </row>
    <row r="121" spans="1:7" ht="24.5" hidden="1" x14ac:dyDescent="0.35">
      <c r="A121" s="8">
        <v>7113</v>
      </c>
      <c r="B121" s="10" t="s">
        <v>2643</v>
      </c>
      <c r="C121" s="10" t="s">
        <v>134</v>
      </c>
      <c r="D121" s="9" t="s">
        <v>95</v>
      </c>
      <c r="E121" s="9" t="s">
        <v>1914</v>
      </c>
      <c r="F121" s="10" t="s">
        <v>2522</v>
      </c>
      <c r="G121" s="11">
        <v>45665</v>
      </c>
    </row>
    <row r="122" spans="1:7" ht="48.5" hidden="1" x14ac:dyDescent="0.35">
      <c r="A122" s="8">
        <v>7114</v>
      </c>
      <c r="B122" s="10" t="s">
        <v>2644</v>
      </c>
      <c r="C122" s="10" t="s">
        <v>26</v>
      </c>
      <c r="D122" s="9" t="s">
        <v>937</v>
      </c>
      <c r="E122" s="9" t="s">
        <v>1846</v>
      </c>
      <c r="F122" s="10" t="s">
        <v>2559</v>
      </c>
      <c r="G122" s="11">
        <v>45665</v>
      </c>
    </row>
    <row r="123" spans="1:7" ht="36.5" hidden="1" x14ac:dyDescent="0.35">
      <c r="A123" s="8">
        <v>7116</v>
      </c>
      <c r="B123" s="10" t="s">
        <v>2645</v>
      </c>
      <c r="C123" s="10" t="s">
        <v>96</v>
      </c>
      <c r="D123" s="9" t="s">
        <v>96</v>
      </c>
      <c r="E123" s="9" t="s">
        <v>99</v>
      </c>
      <c r="F123" s="10" t="s">
        <v>2516</v>
      </c>
      <c r="G123" s="11">
        <v>45665</v>
      </c>
    </row>
    <row r="124" spans="1:7" ht="36.5" hidden="1" x14ac:dyDescent="0.35">
      <c r="A124" s="8">
        <v>7118</v>
      </c>
      <c r="B124" s="10" t="s">
        <v>2646</v>
      </c>
      <c r="C124" s="10" t="s">
        <v>34</v>
      </c>
      <c r="D124" s="9" t="s">
        <v>190</v>
      </c>
      <c r="E124" s="9" t="s">
        <v>592</v>
      </c>
      <c r="F124" s="10" t="s">
        <v>2516</v>
      </c>
      <c r="G124" s="11">
        <v>45665</v>
      </c>
    </row>
    <row r="125" spans="1:7" ht="36.5" hidden="1" x14ac:dyDescent="0.35">
      <c r="A125" s="8">
        <v>7119</v>
      </c>
      <c r="B125" s="10" t="s">
        <v>2647</v>
      </c>
      <c r="C125" s="10" t="s">
        <v>196</v>
      </c>
      <c r="D125" s="9" t="s">
        <v>104</v>
      </c>
      <c r="E125" s="9" t="s">
        <v>2336</v>
      </c>
      <c r="F125" s="10" t="s">
        <v>2516</v>
      </c>
      <c r="G125" s="11">
        <v>45666</v>
      </c>
    </row>
    <row r="126" spans="1:7" ht="24.5" hidden="1" x14ac:dyDescent="0.35">
      <c r="A126" s="8">
        <v>7120</v>
      </c>
      <c r="B126" s="10" t="s">
        <v>2648</v>
      </c>
      <c r="C126" s="10" t="s">
        <v>13</v>
      </c>
      <c r="D126" s="9" t="s">
        <v>13</v>
      </c>
      <c r="E126" s="9" t="s">
        <v>936</v>
      </c>
      <c r="F126" s="10" t="s">
        <v>2522</v>
      </c>
      <c r="G126" s="11">
        <v>45666</v>
      </c>
    </row>
    <row r="127" spans="1:7" ht="36.5" hidden="1" x14ac:dyDescent="0.35">
      <c r="A127" s="8">
        <v>7121</v>
      </c>
      <c r="B127" s="10" t="s">
        <v>2649</v>
      </c>
      <c r="C127" s="10" t="s">
        <v>250</v>
      </c>
      <c r="D127" s="9" t="s">
        <v>250</v>
      </c>
      <c r="E127" s="9" t="s">
        <v>377</v>
      </c>
      <c r="F127" s="10" t="s">
        <v>2525</v>
      </c>
      <c r="G127" s="11">
        <v>45666</v>
      </c>
    </row>
    <row r="128" spans="1:7" ht="36.5" hidden="1" x14ac:dyDescent="0.35">
      <c r="A128" s="8">
        <v>7123</v>
      </c>
      <c r="B128" s="10" t="s">
        <v>2650</v>
      </c>
      <c r="C128" s="10" t="s">
        <v>21</v>
      </c>
      <c r="D128" s="9" t="s">
        <v>21</v>
      </c>
      <c r="E128" s="9" t="s">
        <v>633</v>
      </c>
      <c r="F128" s="10" t="s">
        <v>2516</v>
      </c>
      <c r="G128" s="11">
        <v>45666</v>
      </c>
    </row>
    <row r="129" spans="1:7" ht="24.5" hidden="1" x14ac:dyDescent="0.35">
      <c r="A129" s="8">
        <v>7124</v>
      </c>
      <c r="B129" s="10" t="s">
        <v>2651</v>
      </c>
      <c r="C129" s="10" t="s">
        <v>134</v>
      </c>
      <c r="D129" s="9" t="s">
        <v>134</v>
      </c>
      <c r="E129" s="9" t="s">
        <v>762</v>
      </c>
      <c r="F129" s="10" t="s">
        <v>2522</v>
      </c>
      <c r="G129" s="11">
        <v>45666</v>
      </c>
    </row>
    <row r="130" spans="1:7" ht="24.5" hidden="1" x14ac:dyDescent="0.35">
      <c r="A130" s="8">
        <v>7125</v>
      </c>
      <c r="B130" s="10" t="s">
        <v>2652</v>
      </c>
      <c r="C130" s="10" t="s">
        <v>13</v>
      </c>
      <c r="D130" s="9" t="s">
        <v>13</v>
      </c>
      <c r="E130" s="9" t="s">
        <v>762</v>
      </c>
      <c r="F130" s="10" t="s">
        <v>2522</v>
      </c>
      <c r="G130" s="11">
        <v>45666</v>
      </c>
    </row>
    <row r="131" spans="1:7" ht="24.5" hidden="1" x14ac:dyDescent="0.35">
      <c r="A131" s="8">
        <v>7126</v>
      </c>
      <c r="B131" s="10" t="s">
        <v>2653</v>
      </c>
      <c r="C131" s="10" t="s">
        <v>13</v>
      </c>
      <c r="D131" s="9" t="s">
        <v>13</v>
      </c>
      <c r="E131" s="9" t="s">
        <v>762</v>
      </c>
      <c r="F131" s="10" t="s">
        <v>2522</v>
      </c>
      <c r="G131" s="11">
        <v>45666</v>
      </c>
    </row>
    <row r="132" spans="1:7" ht="36.5" hidden="1" x14ac:dyDescent="0.35">
      <c r="A132" s="8">
        <v>7127</v>
      </c>
      <c r="B132" s="10" t="s">
        <v>2654</v>
      </c>
      <c r="C132" s="10" t="s">
        <v>21</v>
      </c>
      <c r="D132" s="9" t="s">
        <v>21</v>
      </c>
      <c r="E132" s="9" t="s">
        <v>762</v>
      </c>
      <c r="F132" s="10" t="s">
        <v>2530</v>
      </c>
      <c r="G132" s="11">
        <v>45666</v>
      </c>
    </row>
    <row r="133" spans="1:7" ht="36.5" hidden="1" x14ac:dyDescent="0.35">
      <c r="A133" s="8">
        <v>7130</v>
      </c>
      <c r="B133" s="10" t="s">
        <v>2655</v>
      </c>
      <c r="C133" s="10" t="s">
        <v>96</v>
      </c>
      <c r="D133" s="9" t="s">
        <v>96</v>
      </c>
      <c r="E133" s="9" t="s">
        <v>1179</v>
      </c>
      <c r="F133" s="10" t="s">
        <v>2530</v>
      </c>
      <c r="G133" s="11">
        <v>45666</v>
      </c>
    </row>
    <row r="134" spans="1:7" ht="24.5" hidden="1" x14ac:dyDescent="0.35">
      <c r="A134" s="8">
        <v>7131</v>
      </c>
      <c r="B134" s="10" t="s">
        <v>2656</v>
      </c>
      <c r="C134" s="10" t="s">
        <v>96</v>
      </c>
      <c r="D134" s="9" t="s">
        <v>96</v>
      </c>
      <c r="E134" s="9" t="s">
        <v>1055</v>
      </c>
      <c r="F134" s="10" t="s">
        <v>2537</v>
      </c>
      <c r="G134" s="11">
        <v>45666</v>
      </c>
    </row>
    <row r="135" spans="1:7" ht="24.5" hidden="1" x14ac:dyDescent="0.35">
      <c r="A135" s="8">
        <v>7132</v>
      </c>
      <c r="B135" s="10" t="s">
        <v>2657</v>
      </c>
      <c r="C135" s="10" t="s">
        <v>34</v>
      </c>
      <c r="D135" s="9" t="s">
        <v>34</v>
      </c>
      <c r="E135" s="9" t="s">
        <v>1525</v>
      </c>
      <c r="F135" s="10" t="s">
        <v>2522</v>
      </c>
      <c r="G135" s="11">
        <v>45666</v>
      </c>
    </row>
    <row r="136" spans="1:7" ht="36.5" hidden="1" x14ac:dyDescent="0.35">
      <c r="A136" s="8">
        <v>7133</v>
      </c>
      <c r="B136" s="10" t="s">
        <v>2658</v>
      </c>
      <c r="C136" s="10" t="s">
        <v>21</v>
      </c>
      <c r="D136" s="9" t="s">
        <v>21</v>
      </c>
      <c r="E136" s="9" t="s">
        <v>1484</v>
      </c>
      <c r="F136" s="10" t="s">
        <v>2525</v>
      </c>
      <c r="G136" s="11">
        <v>45666</v>
      </c>
    </row>
    <row r="137" spans="1:7" ht="36.5" hidden="1" x14ac:dyDescent="0.35">
      <c r="A137" s="8">
        <v>7134</v>
      </c>
      <c r="B137" s="10" t="s">
        <v>2659</v>
      </c>
      <c r="C137" s="10" t="s">
        <v>26</v>
      </c>
      <c r="D137" s="9" t="s">
        <v>134</v>
      </c>
      <c r="E137" s="9" t="s">
        <v>2336</v>
      </c>
      <c r="F137" s="10" t="s">
        <v>2516</v>
      </c>
      <c r="G137" s="11">
        <v>45666</v>
      </c>
    </row>
    <row r="138" spans="1:7" ht="36.5" hidden="1" x14ac:dyDescent="0.35">
      <c r="A138" s="8">
        <v>7135</v>
      </c>
      <c r="B138" s="10" t="s">
        <v>2660</v>
      </c>
      <c r="C138" s="10" t="s">
        <v>13</v>
      </c>
      <c r="D138" s="9" t="s">
        <v>13</v>
      </c>
      <c r="E138" s="9" t="s">
        <v>1926</v>
      </c>
      <c r="F138" s="10" t="s">
        <v>2516</v>
      </c>
      <c r="G138" s="11">
        <v>45667</v>
      </c>
    </row>
    <row r="139" spans="1:7" ht="36.5" hidden="1" x14ac:dyDescent="0.35">
      <c r="A139" s="8">
        <v>7136</v>
      </c>
      <c r="B139" s="10" t="s">
        <v>2661</v>
      </c>
      <c r="C139" s="10" t="s">
        <v>13</v>
      </c>
      <c r="D139" s="9" t="s">
        <v>395</v>
      </c>
      <c r="E139" s="9" t="s">
        <v>1926</v>
      </c>
      <c r="F139" s="10" t="s">
        <v>2516</v>
      </c>
      <c r="G139" s="11">
        <v>45667</v>
      </c>
    </row>
    <row r="140" spans="1:7" ht="36.5" hidden="1" x14ac:dyDescent="0.35">
      <c r="A140" s="8">
        <v>7137</v>
      </c>
      <c r="B140" s="10" t="s">
        <v>2662</v>
      </c>
      <c r="C140" s="10" t="s">
        <v>196</v>
      </c>
      <c r="D140" s="9" t="s">
        <v>196</v>
      </c>
      <c r="E140" s="9" t="s">
        <v>2574</v>
      </c>
      <c r="F140" s="10" t="s">
        <v>2525</v>
      </c>
      <c r="G140" s="11">
        <v>45667</v>
      </c>
    </row>
    <row r="141" spans="1:7" ht="24.5" hidden="1" x14ac:dyDescent="0.35">
      <c r="A141" s="8">
        <v>7138</v>
      </c>
      <c r="B141" s="10" t="s">
        <v>2663</v>
      </c>
      <c r="C141" s="10" t="s">
        <v>134</v>
      </c>
      <c r="D141" s="9" t="s">
        <v>134</v>
      </c>
      <c r="E141" s="9" t="s">
        <v>762</v>
      </c>
      <c r="F141" s="10" t="s">
        <v>2522</v>
      </c>
      <c r="G141" s="11">
        <v>45667</v>
      </c>
    </row>
    <row r="142" spans="1:7" ht="36.5" hidden="1" x14ac:dyDescent="0.35">
      <c r="A142" s="8">
        <v>7139</v>
      </c>
      <c r="B142" s="10" t="s">
        <v>2664</v>
      </c>
      <c r="C142" s="10" t="s">
        <v>21</v>
      </c>
      <c r="D142" s="9" t="s">
        <v>21</v>
      </c>
      <c r="E142" s="9" t="s">
        <v>896</v>
      </c>
      <c r="F142" s="10" t="s">
        <v>2516</v>
      </c>
      <c r="G142" s="11">
        <v>45667</v>
      </c>
    </row>
    <row r="143" spans="1:7" ht="24.5" hidden="1" x14ac:dyDescent="0.35">
      <c r="A143" s="8">
        <v>7140</v>
      </c>
      <c r="B143" s="10" t="s">
        <v>2665</v>
      </c>
      <c r="C143" s="10" t="s">
        <v>104</v>
      </c>
      <c r="D143" s="9" t="s">
        <v>104</v>
      </c>
      <c r="E143" s="9" t="s">
        <v>896</v>
      </c>
      <c r="F143" s="10" t="s">
        <v>2522</v>
      </c>
      <c r="G143" s="11">
        <v>45667</v>
      </c>
    </row>
    <row r="144" spans="1:7" ht="24.5" hidden="1" x14ac:dyDescent="0.35">
      <c r="A144" s="8">
        <v>7142</v>
      </c>
      <c r="B144" s="10" t="s">
        <v>2666</v>
      </c>
      <c r="C144" s="10" t="s">
        <v>196</v>
      </c>
      <c r="D144" s="9" t="s">
        <v>196</v>
      </c>
      <c r="E144" s="9" t="s">
        <v>595</v>
      </c>
      <c r="F144" s="10" t="s">
        <v>2537</v>
      </c>
      <c r="G144" s="11">
        <v>45667</v>
      </c>
    </row>
    <row r="145" spans="1:7" ht="24.5" hidden="1" x14ac:dyDescent="0.35">
      <c r="A145" s="8">
        <v>7141</v>
      </c>
      <c r="B145" s="10" t="s">
        <v>2667</v>
      </c>
      <c r="C145" s="10" t="s">
        <v>104</v>
      </c>
      <c r="D145" s="9" t="s">
        <v>104</v>
      </c>
      <c r="E145" s="9" t="s">
        <v>896</v>
      </c>
      <c r="F145" s="10" t="s">
        <v>2540</v>
      </c>
      <c r="G145" s="11">
        <v>45667</v>
      </c>
    </row>
    <row r="146" spans="1:7" ht="36.5" hidden="1" x14ac:dyDescent="0.35">
      <c r="A146" s="8">
        <v>7144</v>
      </c>
      <c r="B146" s="10" t="s">
        <v>2668</v>
      </c>
      <c r="C146" s="10" t="s">
        <v>937</v>
      </c>
      <c r="D146" s="9" t="s">
        <v>937</v>
      </c>
      <c r="E146" s="9" t="s">
        <v>1846</v>
      </c>
      <c r="F146" s="10" t="s">
        <v>2516</v>
      </c>
      <c r="G146" s="11">
        <v>45667</v>
      </c>
    </row>
    <row r="147" spans="1:7" ht="36.5" hidden="1" x14ac:dyDescent="0.35">
      <c r="A147" s="8">
        <v>7145</v>
      </c>
      <c r="B147" s="10" t="s">
        <v>2669</v>
      </c>
      <c r="C147" s="10" t="s">
        <v>134</v>
      </c>
      <c r="D147" s="9" t="s">
        <v>196</v>
      </c>
      <c r="E147" s="9" t="s">
        <v>595</v>
      </c>
      <c r="F147" s="10" t="s">
        <v>2516</v>
      </c>
      <c r="G147" s="11">
        <v>45667</v>
      </c>
    </row>
    <row r="148" spans="1:7" ht="48.5" hidden="1" x14ac:dyDescent="0.35">
      <c r="A148" s="8">
        <v>7147</v>
      </c>
      <c r="B148" s="10" t="s">
        <v>2670</v>
      </c>
      <c r="C148" s="10" t="s">
        <v>220</v>
      </c>
      <c r="D148" s="9" t="s">
        <v>220</v>
      </c>
      <c r="E148" s="9" t="s">
        <v>305</v>
      </c>
      <c r="F148" s="10" t="s">
        <v>2559</v>
      </c>
      <c r="G148" s="11">
        <v>45667</v>
      </c>
    </row>
    <row r="149" spans="1:7" ht="48.5" hidden="1" x14ac:dyDescent="0.35">
      <c r="A149" s="8">
        <v>7148</v>
      </c>
      <c r="B149" s="10" t="s">
        <v>2671</v>
      </c>
      <c r="C149" s="10" t="s">
        <v>95</v>
      </c>
      <c r="D149" s="9" t="s">
        <v>95</v>
      </c>
      <c r="E149" s="9" t="s">
        <v>2552</v>
      </c>
      <c r="F149" s="10" t="s">
        <v>2525</v>
      </c>
      <c r="G149" s="11">
        <v>45667</v>
      </c>
    </row>
    <row r="150" spans="1:7" ht="36.5" hidden="1" x14ac:dyDescent="0.35">
      <c r="A150" s="8">
        <v>7149</v>
      </c>
      <c r="B150" s="10" t="s">
        <v>2672</v>
      </c>
      <c r="C150" s="10" t="s">
        <v>95</v>
      </c>
      <c r="D150" s="9" t="s">
        <v>95</v>
      </c>
      <c r="E150" s="9" t="s">
        <v>2552</v>
      </c>
      <c r="F150" s="10" t="s">
        <v>2525</v>
      </c>
      <c r="G150" s="11">
        <v>45667</v>
      </c>
    </row>
    <row r="151" spans="1:7" ht="36.5" hidden="1" x14ac:dyDescent="0.35">
      <c r="A151" s="8">
        <v>7150</v>
      </c>
      <c r="B151" s="10" t="s">
        <v>2673</v>
      </c>
      <c r="C151" s="10" t="s">
        <v>95</v>
      </c>
      <c r="D151" s="9" t="s">
        <v>95</v>
      </c>
      <c r="E151" s="9" t="s">
        <v>2552</v>
      </c>
      <c r="F151" s="10" t="s">
        <v>2525</v>
      </c>
      <c r="G151" s="11">
        <v>45667</v>
      </c>
    </row>
    <row r="152" spans="1:7" ht="36.5" hidden="1" x14ac:dyDescent="0.35">
      <c r="A152" s="8">
        <v>7151</v>
      </c>
      <c r="B152" s="10" t="s">
        <v>2674</v>
      </c>
      <c r="C152" s="10" t="s">
        <v>95</v>
      </c>
      <c r="D152" s="9" t="s">
        <v>95</v>
      </c>
      <c r="E152" s="9" t="s">
        <v>2552</v>
      </c>
      <c r="F152" s="10" t="s">
        <v>2525</v>
      </c>
      <c r="G152" s="11">
        <v>45667</v>
      </c>
    </row>
    <row r="153" spans="1:7" ht="36.5" hidden="1" x14ac:dyDescent="0.35">
      <c r="A153" s="8">
        <v>7152</v>
      </c>
      <c r="B153" s="10" t="s">
        <v>2675</v>
      </c>
      <c r="C153" s="10" t="s">
        <v>95</v>
      </c>
      <c r="D153" s="9" t="s">
        <v>95</v>
      </c>
      <c r="E153" s="9" t="s">
        <v>1914</v>
      </c>
      <c r="F153" s="10" t="s">
        <v>2525</v>
      </c>
      <c r="G153" s="11">
        <v>45667</v>
      </c>
    </row>
    <row r="154" spans="1:7" ht="36.5" hidden="1" x14ac:dyDescent="0.35">
      <c r="A154" s="8">
        <v>7154</v>
      </c>
      <c r="B154" s="10" t="s">
        <v>2676</v>
      </c>
      <c r="C154" s="10" t="s">
        <v>104</v>
      </c>
      <c r="D154" s="9" t="s">
        <v>95</v>
      </c>
      <c r="E154" s="9" t="s">
        <v>2677</v>
      </c>
      <c r="F154" s="10" t="s">
        <v>2522</v>
      </c>
      <c r="G154" s="11">
        <v>45668</v>
      </c>
    </row>
    <row r="155" spans="1:7" ht="36.5" hidden="1" x14ac:dyDescent="0.35">
      <c r="A155" s="8">
        <v>7155</v>
      </c>
      <c r="B155" s="10" t="s">
        <v>2678</v>
      </c>
      <c r="C155" s="10" t="s">
        <v>95</v>
      </c>
      <c r="D155" s="9" t="s">
        <v>95</v>
      </c>
      <c r="E155" s="9" t="s">
        <v>479</v>
      </c>
      <c r="F155" s="10" t="s">
        <v>2516</v>
      </c>
      <c r="G155" s="11">
        <v>45668</v>
      </c>
    </row>
    <row r="156" spans="1:7" ht="24.5" hidden="1" x14ac:dyDescent="0.35">
      <c r="A156" s="8">
        <v>7156</v>
      </c>
      <c r="B156" s="10" t="s">
        <v>2679</v>
      </c>
      <c r="C156" s="10" t="s">
        <v>26</v>
      </c>
      <c r="D156" s="9" t="s">
        <v>95</v>
      </c>
      <c r="E156" s="9" t="s">
        <v>479</v>
      </c>
      <c r="F156" s="10" t="s">
        <v>2522</v>
      </c>
      <c r="G156" s="11">
        <v>45668</v>
      </c>
    </row>
    <row r="157" spans="1:7" ht="36.5" hidden="1" x14ac:dyDescent="0.35">
      <c r="A157" s="8">
        <v>7157</v>
      </c>
      <c r="B157" s="10" t="s">
        <v>2680</v>
      </c>
      <c r="C157" s="10" t="s">
        <v>104</v>
      </c>
      <c r="D157" s="9" t="s">
        <v>95</v>
      </c>
      <c r="E157" s="9" t="s">
        <v>479</v>
      </c>
      <c r="F157" s="10" t="s">
        <v>2525</v>
      </c>
      <c r="G157" s="11">
        <v>45668</v>
      </c>
    </row>
    <row r="158" spans="1:7" ht="36.5" hidden="1" x14ac:dyDescent="0.35">
      <c r="A158" s="8">
        <v>7158</v>
      </c>
      <c r="B158" s="10" t="s">
        <v>2681</v>
      </c>
      <c r="C158" s="10" t="s">
        <v>371</v>
      </c>
      <c r="D158" s="9" t="s">
        <v>371</v>
      </c>
      <c r="E158" s="9" t="s">
        <v>2682</v>
      </c>
      <c r="F158" s="10" t="s">
        <v>2516</v>
      </c>
      <c r="G158" s="11">
        <v>45668</v>
      </c>
    </row>
    <row r="159" spans="1:7" ht="36.5" hidden="1" x14ac:dyDescent="0.35">
      <c r="A159" s="8">
        <v>7160</v>
      </c>
      <c r="B159" s="10" t="s">
        <v>2683</v>
      </c>
      <c r="C159" s="10" t="s">
        <v>134</v>
      </c>
      <c r="D159" s="9" t="s">
        <v>134</v>
      </c>
      <c r="E159" s="9" t="s">
        <v>1484</v>
      </c>
      <c r="F159" s="10" t="s">
        <v>2516</v>
      </c>
      <c r="G159" s="11">
        <v>45668</v>
      </c>
    </row>
    <row r="160" spans="1:7" ht="24.5" hidden="1" x14ac:dyDescent="0.35">
      <c r="A160" s="8">
        <v>7161</v>
      </c>
      <c r="B160" s="10" t="s">
        <v>2684</v>
      </c>
      <c r="C160" s="10" t="s">
        <v>104</v>
      </c>
      <c r="D160" s="9" t="s">
        <v>95</v>
      </c>
      <c r="E160" s="9" t="s">
        <v>1914</v>
      </c>
      <c r="F160" s="10" t="s">
        <v>2522</v>
      </c>
      <c r="G160" s="11">
        <v>45668</v>
      </c>
    </row>
    <row r="161" spans="1:7" ht="36.5" hidden="1" x14ac:dyDescent="0.35">
      <c r="A161" s="8">
        <v>7162</v>
      </c>
      <c r="B161" s="10" t="s">
        <v>2685</v>
      </c>
      <c r="C161" s="10" t="s">
        <v>21</v>
      </c>
      <c r="D161" s="9" t="s">
        <v>21</v>
      </c>
      <c r="E161" s="9" t="s">
        <v>819</v>
      </c>
      <c r="F161" s="10" t="s">
        <v>2525</v>
      </c>
      <c r="G161" s="11">
        <v>45668</v>
      </c>
    </row>
    <row r="162" spans="1:7" ht="36.5" hidden="1" x14ac:dyDescent="0.35">
      <c r="A162" s="8">
        <v>7163</v>
      </c>
      <c r="B162" s="10" t="s">
        <v>2686</v>
      </c>
      <c r="C162" s="10" t="s">
        <v>95</v>
      </c>
      <c r="D162" s="9" t="s">
        <v>21</v>
      </c>
      <c r="E162" s="9" t="s">
        <v>2154</v>
      </c>
      <c r="F162" s="10" t="s">
        <v>2525</v>
      </c>
      <c r="G162" s="11">
        <v>45668</v>
      </c>
    </row>
    <row r="163" spans="1:7" ht="24.5" hidden="1" x14ac:dyDescent="0.35">
      <c r="A163" s="8">
        <v>7164</v>
      </c>
      <c r="B163" s="10" t="s">
        <v>2687</v>
      </c>
      <c r="C163" s="10" t="s">
        <v>250</v>
      </c>
      <c r="D163" s="9" t="s">
        <v>250</v>
      </c>
      <c r="E163" s="9" t="s">
        <v>410</v>
      </c>
      <c r="F163" s="10" t="s">
        <v>2522</v>
      </c>
      <c r="G163" s="11">
        <v>45668</v>
      </c>
    </row>
    <row r="164" spans="1:7" ht="36.5" hidden="1" x14ac:dyDescent="0.35">
      <c r="A164" s="8">
        <v>7165</v>
      </c>
      <c r="B164" s="10" t="s">
        <v>2688</v>
      </c>
      <c r="C164" s="10" t="s">
        <v>190</v>
      </c>
      <c r="D164" s="9" t="s">
        <v>190</v>
      </c>
      <c r="E164" s="9" t="s">
        <v>410</v>
      </c>
      <c r="F164" s="10" t="s">
        <v>2525</v>
      </c>
      <c r="G164" s="11">
        <v>45668</v>
      </c>
    </row>
    <row r="165" spans="1:7" ht="24.5" hidden="1" x14ac:dyDescent="0.35">
      <c r="A165" s="8">
        <v>7166</v>
      </c>
      <c r="B165" s="10" t="s">
        <v>2689</v>
      </c>
      <c r="C165" s="10" t="s">
        <v>250</v>
      </c>
      <c r="D165" s="9" t="s">
        <v>250</v>
      </c>
      <c r="E165" s="9" t="s">
        <v>410</v>
      </c>
      <c r="F165" s="10" t="s">
        <v>2522</v>
      </c>
      <c r="G165" s="11">
        <v>45668</v>
      </c>
    </row>
    <row r="166" spans="1:7" ht="24.5" hidden="1" x14ac:dyDescent="0.35">
      <c r="A166" s="8">
        <v>7167</v>
      </c>
      <c r="B166" s="10" t="s">
        <v>2690</v>
      </c>
      <c r="C166" s="10" t="s">
        <v>250</v>
      </c>
      <c r="D166" s="9" t="s">
        <v>250</v>
      </c>
      <c r="E166" s="9" t="s">
        <v>410</v>
      </c>
      <c r="F166" s="10" t="s">
        <v>2522</v>
      </c>
      <c r="G166" s="11">
        <v>45668</v>
      </c>
    </row>
    <row r="167" spans="1:7" ht="24.5" hidden="1" x14ac:dyDescent="0.35">
      <c r="A167" s="8">
        <v>7168</v>
      </c>
      <c r="B167" s="10" t="s">
        <v>2691</v>
      </c>
      <c r="C167" s="10" t="s">
        <v>278</v>
      </c>
      <c r="D167" s="9" t="s">
        <v>278</v>
      </c>
      <c r="E167" s="9" t="s">
        <v>982</v>
      </c>
      <c r="F167" s="10" t="s">
        <v>2522</v>
      </c>
      <c r="G167" s="11">
        <v>45669</v>
      </c>
    </row>
    <row r="168" spans="1:7" ht="24.5" hidden="1" x14ac:dyDescent="0.35">
      <c r="A168" s="8">
        <v>7169</v>
      </c>
      <c r="B168" s="10" t="s">
        <v>2692</v>
      </c>
      <c r="C168" s="10" t="s">
        <v>278</v>
      </c>
      <c r="D168" s="9" t="s">
        <v>278</v>
      </c>
      <c r="E168" s="9" t="s">
        <v>982</v>
      </c>
      <c r="F168" s="10" t="s">
        <v>2522</v>
      </c>
      <c r="G168" s="11">
        <v>45669</v>
      </c>
    </row>
    <row r="169" spans="1:7" ht="36.5" hidden="1" x14ac:dyDescent="0.35">
      <c r="A169" s="8">
        <v>7171</v>
      </c>
      <c r="B169" s="10" t="s">
        <v>2693</v>
      </c>
      <c r="C169" s="10" t="s">
        <v>220</v>
      </c>
      <c r="D169" s="9" t="s">
        <v>190</v>
      </c>
      <c r="E169" s="9" t="s">
        <v>377</v>
      </c>
      <c r="F169" s="10" t="s">
        <v>2516</v>
      </c>
      <c r="G169" s="11">
        <v>45669</v>
      </c>
    </row>
    <row r="170" spans="1:7" ht="24.5" hidden="1" x14ac:dyDescent="0.35">
      <c r="A170" s="8">
        <v>7170</v>
      </c>
      <c r="B170" s="10" t="s">
        <v>2694</v>
      </c>
      <c r="C170" s="10" t="s">
        <v>21</v>
      </c>
      <c r="D170" s="9" t="s">
        <v>21</v>
      </c>
      <c r="E170" s="9" t="s">
        <v>819</v>
      </c>
      <c r="F170" s="10" t="s">
        <v>2522</v>
      </c>
      <c r="G170" s="11">
        <v>45669</v>
      </c>
    </row>
    <row r="171" spans="1:7" ht="36.5" hidden="1" x14ac:dyDescent="0.35">
      <c r="A171" s="8">
        <v>7172</v>
      </c>
      <c r="B171" s="10" t="s">
        <v>2695</v>
      </c>
      <c r="C171" s="10" t="s">
        <v>220</v>
      </c>
      <c r="D171" s="9" t="s">
        <v>395</v>
      </c>
      <c r="E171" s="9" t="s">
        <v>1045</v>
      </c>
      <c r="F171" s="10" t="s">
        <v>2516</v>
      </c>
      <c r="G171" s="11">
        <v>45669</v>
      </c>
    </row>
    <row r="172" spans="1:7" ht="36.5" hidden="1" x14ac:dyDescent="0.35">
      <c r="A172" s="8">
        <v>7174</v>
      </c>
      <c r="B172" s="10" t="s">
        <v>2696</v>
      </c>
      <c r="C172" s="10" t="s">
        <v>95</v>
      </c>
      <c r="D172" s="9" t="s">
        <v>95</v>
      </c>
      <c r="E172" s="9" t="s">
        <v>479</v>
      </c>
      <c r="F172" s="10" t="s">
        <v>2516</v>
      </c>
      <c r="G172" s="11">
        <v>45669</v>
      </c>
    </row>
    <row r="173" spans="1:7" ht="36.5" hidden="1" x14ac:dyDescent="0.35">
      <c r="A173" s="8">
        <v>7181</v>
      </c>
      <c r="B173" s="10" t="s">
        <v>2697</v>
      </c>
      <c r="C173" s="10" t="s">
        <v>250</v>
      </c>
      <c r="D173" s="9" t="s">
        <v>250</v>
      </c>
      <c r="E173" s="9" t="s">
        <v>377</v>
      </c>
      <c r="F173" s="10" t="s">
        <v>2530</v>
      </c>
      <c r="G173" s="11">
        <v>45669</v>
      </c>
    </row>
    <row r="174" spans="1:7" ht="36.5" hidden="1" x14ac:dyDescent="0.35">
      <c r="A174" s="8">
        <v>7183</v>
      </c>
      <c r="B174" s="10" t="s">
        <v>2698</v>
      </c>
      <c r="C174" s="10" t="s">
        <v>395</v>
      </c>
      <c r="D174" s="9" t="s">
        <v>250</v>
      </c>
      <c r="E174" s="9" t="s">
        <v>377</v>
      </c>
      <c r="F174" s="10" t="s">
        <v>2522</v>
      </c>
      <c r="G174" s="11">
        <v>45669</v>
      </c>
    </row>
    <row r="175" spans="1:7" ht="36.5" hidden="1" x14ac:dyDescent="0.35">
      <c r="A175" s="8">
        <v>7182</v>
      </c>
      <c r="B175" s="10" t="s">
        <v>2699</v>
      </c>
      <c r="C175" s="10" t="s">
        <v>250</v>
      </c>
      <c r="D175" s="9" t="s">
        <v>250</v>
      </c>
      <c r="E175" s="9" t="s">
        <v>377</v>
      </c>
      <c r="F175" s="10" t="s">
        <v>2530</v>
      </c>
      <c r="G175" s="11">
        <v>45669</v>
      </c>
    </row>
    <row r="176" spans="1:7" ht="36.5" hidden="1" x14ac:dyDescent="0.35">
      <c r="A176" s="8">
        <v>7184</v>
      </c>
      <c r="B176" s="10" t="s">
        <v>2700</v>
      </c>
      <c r="C176" s="10" t="s">
        <v>196</v>
      </c>
      <c r="D176" s="9" t="s">
        <v>196</v>
      </c>
      <c r="E176" s="9" t="s">
        <v>2574</v>
      </c>
      <c r="F176" s="10" t="s">
        <v>2516</v>
      </c>
      <c r="G176" s="11">
        <v>45669</v>
      </c>
    </row>
    <row r="177" spans="1:7" ht="36.5" hidden="1" x14ac:dyDescent="0.35">
      <c r="A177" s="8">
        <v>7185</v>
      </c>
      <c r="B177" s="10" t="s">
        <v>2701</v>
      </c>
      <c r="C177" s="10" t="s">
        <v>104</v>
      </c>
      <c r="D177" s="9" t="s">
        <v>104</v>
      </c>
      <c r="E177" s="9" t="s">
        <v>483</v>
      </c>
      <c r="F177" s="10" t="s">
        <v>2525</v>
      </c>
      <c r="G177" s="11">
        <v>45669</v>
      </c>
    </row>
    <row r="178" spans="1:7" ht="36.5" hidden="1" x14ac:dyDescent="0.35">
      <c r="A178" s="8">
        <v>7188</v>
      </c>
      <c r="B178" s="10" t="s">
        <v>2702</v>
      </c>
      <c r="C178" s="10" t="s">
        <v>95</v>
      </c>
      <c r="D178" s="9" t="s">
        <v>95</v>
      </c>
      <c r="E178" s="9" t="s">
        <v>2677</v>
      </c>
      <c r="F178" s="10" t="s">
        <v>2516</v>
      </c>
      <c r="G178" s="11">
        <v>45669</v>
      </c>
    </row>
    <row r="179" spans="1:7" ht="24.5" hidden="1" x14ac:dyDescent="0.35">
      <c r="A179" s="8">
        <v>7189</v>
      </c>
      <c r="B179" s="10" t="s">
        <v>2703</v>
      </c>
      <c r="C179" s="10" t="s">
        <v>26</v>
      </c>
      <c r="D179" s="9" t="s">
        <v>95</v>
      </c>
      <c r="E179" s="9" t="s">
        <v>2677</v>
      </c>
      <c r="F179" s="10" t="s">
        <v>2522</v>
      </c>
      <c r="G179" s="11">
        <v>45669</v>
      </c>
    </row>
    <row r="180" spans="1:7" ht="24.5" hidden="1" x14ac:dyDescent="0.35">
      <c r="A180" s="8">
        <v>7193</v>
      </c>
      <c r="B180" s="10" t="s">
        <v>2704</v>
      </c>
      <c r="C180" s="10" t="s">
        <v>196</v>
      </c>
      <c r="D180" s="9" t="s">
        <v>95</v>
      </c>
      <c r="E180" s="9" t="s">
        <v>2552</v>
      </c>
      <c r="F180" s="10" t="s">
        <v>2537</v>
      </c>
      <c r="G180" s="11">
        <v>45670</v>
      </c>
    </row>
    <row r="181" spans="1:7" ht="24.5" hidden="1" x14ac:dyDescent="0.35">
      <c r="A181" s="8">
        <v>7194</v>
      </c>
      <c r="B181" s="10" t="s">
        <v>2705</v>
      </c>
      <c r="C181" s="10" t="s">
        <v>196</v>
      </c>
      <c r="D181" s="9" t="s">
        <v>196</v>
      </c>
      <c r="E181" s="9" t="s">
        <v>595</v>
      </c>
      <c r="F181" s="10" t="s">
        <v>2522</v>
      </c>
      <c r="G181" s="11">
        <v>45670</v>
      </c>
    </row>
    <row r="182" spans="1:7" ht="24.5" hidden="1" x14ac:dyDescent="0.35">
      <c r="A182" s="8">
        <v>7195</v>
      </c>
      <c r="B182" s="10" t="s">
        <v>2706</v>
      </c>
      <c r="C182" s="10" t="s">
        <v>96</v>
      </c>
      <c r="D182" s="9" t="s">
        <v>278</v>
      </c>
      <c r="E182" s="9" t="s">
        <v>982</v>
      </c>
      <c r="F182" s="10" t="s">
        <v>2522</v>
      </c>
      <c r="G182" s="11">
        <v>45670</v>
      </c>
    </row>
    <row r="183" spans="1:7" ht="36.5" hidden="1" x14ac:dyDescent="0.35">
      <c r="A183" s="8">
        <v>7192</v>
      </c>
      <c r="B183" s="10" t="s">
        <v>2707</v>
      </c>
      <c r="C183" s="10" t="s">
        <v>134</v>
      </c>
      <c r="D183" s="9" t="s">
        <v>95</v>
      </c>
      <c r="E183" s="9" t="s">
        <v>2677</v>
      </c>
      <c r="F183" s="10" t="s">
        <v>2525</v>
      </c>
      <c r="G183" s="11">
        <v>45670</v>
      </c>
    </row>
    <row r="184" spans="1:7" ht="24.5" hidden="1" x14ac:dyDescent="0.35">
      <c r="A184" s="8">
        <v>7208</v>
      </c>
      <c r="B184" s="10" t="s">
        <v>2708</v>
      </c>
      <c r="C184" s="10" t="s">
        <v>196</v>
      </c>
      <c r="D184" s="9" t="s">
        <v>196</v>
      </c>
      <c r="E184" s="9" t="s">
        <v>595</v>
      </c>
      <c r="F184" s="10" t="s">
        <v>2537</v>
      </c>
      <c r="G184" s="11">
        <v>45670</v>
      </c>
    </row>
    <row r="185" spans="1:7" ht="36.5" hidden="1" x14ac:dyDescent="0.35">
      <c r="A185" s="8">
        <v>7210</v>
      </c>
      <c r="B185" s="10" t="s">
        <v>2709</v>
      </c>
      <c r="C185" s="10" t="s">
        <v>134</v>
      </c>
      <c r="D185" s="9" t="s">
        <v>134</v>
      </c>
      <c r="E185" s="9" t="s">
        <v>762</v>
      </c>
      <c r="F185" s="10" t="s">
        <v>2572</v>
      </c>
      <c r="G185" s="11">
        <v>45670</v>
      </c>
    </row>
    <row r="186" spans="1:7" ht="24.5" hidden="1" x14ac:dyDescent="0.35">
      <c r="A186" s="8">
        <v>7211</v>
      </c>
      <c r="B186" s="10" t="s">
        <v>2710</v>
      </c>
      <c r="C186" s="10" t="s">
        <v>21</v>
      </c>
      <c r="D186" s="9" t="s">
        <v>21</v>
      </c>
      <c r="E186" s="9" t="s">
        <v>762</v>
      </c>
      <c r="F186" s="10" t="s">
        <v>2522</v>
      </c>
      <c r="G186" s="11">
        <v>45670</v>
      </c>
    </row>
    <row r="187" spans="1:7" ht="48.5" hidden="1" x14ac:dyDescent="0.35">
      <c r="A187" s="8">
        <v>7212</v>
      </c>
      <c r="B187" s="10" t="s">
        <v>2711</v>
      </c>
      <c r="C187" s="10" t="s">
        <v>278</v>
      </c>
      <c r="D187" s="9" t="s">
        <v>278</v>
      </c>
      <c r="E187" s="9" t="s">
        <v>982</v>
      </c>
      <c r="F187" s="10" t="s">
        <v>2559</v>
      </c>
      <c r="G187" s="11">
        <v>45670</v>
      </c>
    </row>
    <row r="188" spans="1:7" ht="36.5" hidden="1" x14ac:dyDescent="0.35">
      <c r="A188" s="8">
        <v>7213</v>
      </c>
      <c r="B188" s="10" t="s">
        <v>2712</v>
      </c>
      <c r="C188" s="10" t="s">
        <v>134</v>
      </c>
      <c r="D188" s="9" t="s">
        <v>395</v>
      </c>
      <c r="E188" s="9" t="s">
        <v>1926</v>
      </c>
      <c r="F188" s="10" t="s">
        <v>2516</v>
      </c>
      <c r="G188" s="11">
        <v>45670</v>
      </c>
    </row>
    <row r="189" spans="1:7" ht="36.5" hidden="1" x14ac:dyDescent="0.35">
      <c r="A189" s="8">
        <v>7214</v>
      </c>
      <c r="B189" s="10" t="s">
        <v>2713</v>
      </c>
      <c r="C189" s="10" t="s">
        <v>134</v>
      </c>
      <c r="D189" s="9" t="s">
        <v>395</v>
      </c>
      <c r="E189" s="9" t="s">
        <v>1926</v>
      </c>
      <c r="F189" s="10" t="s">
        <v>2516</v>
      </c>
      <c r="G189" s="11">
        <v>45670</v>
      </c>
    </row>
    <row r="190" spans="1:7" ht="36.5" hidden="1" x14ac:dyDescent="0.35">
      <c r="A190" s="8">
        <v>7215</v>
      </c>
      <c r="B190" s="10" t="s">
        <v>2714</v>
      </c>
      <c r="C190" s="10" t="s">
        <v>134</v>
      </c>
      <c r="D190" s="9" t="s">
        <v>395</v>
      </c>
      <c r="E190" s="9" t="s">
        <v>1926</v>
      </c>
      <c r="F190" s="10" t="s">
        <v>2715</v>
      </c>
      <c r="G190" s="11">
        <v>45670</v>
      </c>
    </row>
    <row r="191" spans="1:7" ht="36.5" hidden="1" x14ac:dyDescent="0.35">
      <c r="A191" s="8">
        <v>7216</v>
      </c>
      <c r="B191" s="10" t="s">
        <v>2716</v>
      </c>
      <c r="C191" s="10" t="s">
        <v>21</v>
      </c>
      <c r="D191" s="9" t="s">
        <v>395</v>
      </c>
      <c r="E191" s="9" t="s">
        <v>1045</v>
      </c>
      <c r="F191" s="10" t="s">
        <v>2516</v>
      </c>
      <c r="G191" s="11">
        <v>45670</v>
      </c>
    </row>
    <row r="192" spans="1:7" ht="36.5" hidden="1" x14ac:dyDescent="0.35">
      <c r="A192" s="8">
        <v>7217</v>
      </c>
      <c r="B192" s="10" t="s">
        <v>2717</v>
      </c>
      <c r="C192" s="10" t="s">
        <v>134</v>
      </c>
      <c r="D192" s="9" t="s">
        <v>395</v>
      </c>
      <c r="E192" s="9" t="s">
        <v>1926</v>
      </c>
      <c r="F192" s="10" t="s">
        <v>2715</v>
      </c>
      <c r="G192" s="11">
        <v>45670</v>
      </c>
    </row>
    <row r="193" spans="1:7" ht="36.5" hidden="1" x14ac:dyDescent="0.35">
      <c r="A193" s="8">
        <v>7218</v>
      </c>
      <c r="B193" s="10" t="s">
        <v>2718</v>
      </c>
      <c r="C193" s="10" t="s">
        <v>34</v>
      </c>
      <c r="D193" s="9" t="s">
        <v>95</v>
      </c>
      <c r="E193" s="9" t="s">
        <v>479</v>
      </c>
      <c r="F193" s="10" t="s">
        <v>2525</v>
      </c>
      <c r="G193" s="11">
        <v>45670</v>
      </c>
    </row>
    <row r="194" spans="1:7" ht="36.5" hidden="1" x14ac:dyDescent="0.35">
      <c r="A194" s="8">
        <v>7219</v>
      </c>
      <c r="B194" s="10" t="s">
        <v>2719</v>
      </c>
      <c r="C194" s="10" t="s">
        <v>34</v>
      </c>
      <c r="D194" s="9" t="s">
        <v>95</v>
      </c>
      <c r="E194" s="9" t="s">
        <v>479</v>
      </c>
      <c r="F194" s="10" t="s">
        <v>2525</v>
      </c>
      <c r="G194" s="11">
        <v>45671</v>
      </c>
    </row>
    <row r="195" spans="1:7" ht="24.5" hidden="1" x14ac:dyDescent="0.35">
      <c r="A195" s="8">
        <v>7220</v>
      </c>
      <c r="B195" s="10" t="s">
        <v>2720</v>
      </c>
      <c r="C195" s="10" t="s">
        <v>34</v>
      </c>
      <c r="D195" s="9" t="s">
        <v>95</v>
      </c>
      <c r="E195" s="9" t="s">
        <v>479</v>
      </c>
      <c r="F195" s="10" t="s">
        <v>2540</v>
      </c>
      <c r="G195" s="11">
        <v>45671</v>
      </c>
    </row>
    <row r="196" spans="1:7" ht="36.5" hidden="1" x14ac:dyDescent="0.35">
      <c r="A196" s="8">
        <v>7221</v>
      </c>
      <c r="B196" s="10" t="s">
        <v>2721</v>
      </c>
      <c r="C196" s="10" t="s">
        <v>21</v>
      </c>
      <c r="D196" s="9" t="s">
        <v>395</v>
      </c>
      <c r="E196" s="9" t="s">
        <v>2722</v>
      </c>
      <c r="F196" s="10" t="s">
        <v>2522</v>
      </c>
      <c r="G196" s="11">
        <v>45671</v>
      </c>
    </row>
    <row r="197" spans="1:7" ht="36.5" hidden="1" x14ac:dyDescent="0.35">
      <c r="A197" s="8">
        <v>7222</v>
      </c>
      <c r="B197" s="10" t="s">
        <v>2723</v>
      </c>
      <c r="C197" s="10" t="s">
        <v>34</v>
      </c>
      <c r="D197" s="9" t="s">
        <v>95</v>
      </c>
      <c r="E197" s="9" t="s">
        <v>479</v>
      </c>
      <c r="F197" s="10" t="s">
        <v>2516</v>
      </c>
      <c r="G197" s="11">
        <v>45671</v>
      </c>
    </row>
    <row r="198" spans="1:7" ht="36.5" hidden="1" x14ac:dyDescent="0.35">
      <c r="A198" s="8">
        <v>7223</v>
      </c>
      <c r="B198" s="10" t="s">
        <v>2724</v>
      </c>
      <c r="C198" s="10" t="s">
        <v>190</v>
      </c>
      <c r="D198" s="9" t="s">
        <v>193</v>
      </c>
      <c r="E198" s="9" t="s">
        <v>1828</v>
      </c>
      <c r="F198" s="10" t="s">
        <v>2516</v>
      </c>
      <c r="G198" s="11">
        <v>45671</v>
      </c>
    </row>
    <row r="199" spans="1:7" ht="36.5" hidden="1" x14ac:dyDescent="0.35">
      <c r="A199" s="8">
        <v>7224</v>
      </c>
      <c r="B199" s="10" t="s">
        <v>2725</v>
      </c>
      <c r="C199" s="10" t="s">
        <v>190</v>
      </c>
      <c r="D199" s="9" t="s">
        <v>193</v>
      </c>
      <c r="E199" s="9" t="s">
        <v>1828</v>
      </c>
      <c r="F199" s="10" t="s">
        <v>2516</v>
      </c>
      <c r="G199" s="11">
        <v>45671</v>
      </c>
    </row>
    <row r="200" spans="1:7" ht="36.5" hidden="1" x14ac:dyDescent="0.35">
      <c r="A200" s="8">
        <v>7225</v>
      </c>
      <c r="B200" s="10" t="s">
        <v>2726</v>
      </c>
      <c r="C200" s="10" t="s">
        <v>190</v>
      </c>
      <c r="D200" s="9" t="s">
        <v>193</v>
      </c>
      <c r="E200" s="9" t="s">
        <v>1828</v>
      </c>
      <c r="F200" s="10" t="s">
        <v>2516</v>
      </c>
      <c r="G200" s="11">
        <v>45671</v>
      </c>
    </row>
    <row r="201" spans="1:7" ht="24.5" hidden="1" x14ac:dyDescent="0.35">
      <c r="A201" s="8">
        <v>7226</v>
      </c>
      <c r="B201" s="10" t="s">
        <v>2727</v>
      </c>
      <c r="C201" s="10" t="s">
        <v>190</v>
      </c>
      <c r="D201" s="9" t="s">
        <v>193</v>
      </c>
      <c r="E201" s="9" t="s">
        <v>1828</v>
      </c>
      <c r="F201" s="10" t="s">
        <v>2522</v>
      </c>
      <c r="G201" s="11">
        <v>45671</v>
      </c>
    </row>
    <row r="202" spans="1:7" ht="36.5" hidden="1" x14ac:dyDescent="0.35">
      <c r="A202" s="8">
        <v>7227</v>
      </c>
      <c r="B202" s="10" t="s">
        <v>2728</v>
      </c>
      <c r="C202" s="10" t="s">
        <v>190</v>
      </c>
      <c r="D202" s="9" t="s">
        <v>193</v>
      </c>
      <c r="E202" s="9" t="s">
        <v>1828</v>
      </c>
      <c r="F202" s="10" t="s">
        <v>2516</v>
      </c>
      <c r="G202" s="11">
        <v>45671</v>
      </c>
    </row>
    <row r="203" spans="1:7" ht="36.5" hidden="1" x14ac:dyDescent="0.35">
      <c r="A203" s="8">
        <v>7228</v>
      </c>
      <c r="B203" s="10" t="s">
        <v>2729</v>
      </c>
      <c r="C203" s="10" t="s">
        <v>250</v>
      </c>
      <c r="D203" s="9" t="s">
        <v>134</v>
      </c>
      <c r="E203" s="9" t="s">
        <v>936</v>
      </c>
      <c r="F203" s="10" t="s">
        <v>2525</v>
      </c>
      <c r="G203" s="11">
        <v>45671</v>
      </c>
    </row>
    <row r="204" spans="1:7" ht="24.5" hidden="1" x14ac:dyDescent="0.35">
      <c r="A204" s="8">
        <v>7231</v>
      </c>
      <c r="B204" s="10" t="s">
        <v>2730</v>
      </c>
      <c r="C204" s="10" t="s">
        <v>134</v>
      </c>
      <c r="D204" s="9" t="s">
        <v>134</v>
      </c>
      <c r="E204" s="9" t="s">
        <v>819</v>
      </c>
      <c r="F204" s="10" t="s">
        <v>2522</v>
      </c>
      <c r="G204" s="11">
        <v>45671</v>
      </c>
    </row>
    <row r="205" spans="1:7" ht="36.5" hidden="1" x14ac:dyDescent="0.35">
      <c r="A205" s="8">
        <v>7230</v>
      </c>
      <c r="B205" s="10" t="s">
        <v>2731</v>
      </c>
      <c r="C205" s="10" t="s">
        <v>134</v>
      </c>
      <c r="D205" s="9" t="s">
        <v>134</v>
      </c>
      <c r="E205" s="9" t="s">
        <v>819</v>
      </c>
      <c r="F205" s="10" t="s">
        <v>2516</v>
      </c>
      <c r="G205" s="11">
        <v>45671</v>
      </c>
    </row>
    <row r="206" spans="1:7" ht="48.5" hidden="1" x14ac:dyDescent="0.35">
      <c r="A206" s="8">
        <v>7232</v>
      </c>
      <c r="B206" s="10" t="s">
        <v>2732</v>
      </c>
      <c r="C206" s="10" t="s">
        <v>104</v>
      </c>
      <c r="D206" s="9" t="s">
        <v>104</v>
      </c>
      <c r="E206" s="9" t="s">
        <v>896</v>
      </c>
      <c r="F206" s="10" t="s">
        <v>2559</v>
      </c>
      <c r="G206" s="11">
        <v>45671</v>
      </c>
    </row>
    <row r="207" spans="1:7" ht="24.5" hidden="1" x14ac:dyDescent="0.35">
      <c r="A207" s="8">
        <v>7233</v>
      </c>
      <c r="B207" s="10" t="s">
        <v>2733</v>
      </c>
      <c r="C207" s="10" t="s">
        <v>371</v>
      </c>
      <c r="D207" s="9" t="s">
        <v>371</v>
      </c>
      <c r="E207" s="9" t="s">
        <v>2734</v>
      </c>
      <c r="F207" s="10" t="s">
        <v>2522</v>
      </c>
      <c r="G207" s="11">
        <v>45671</v>
      </c>
    </row>
    <row r="208" spans="1:7" ht="36.5" hidden="1" x14ac:dyDescent="0.35">
      <c r="A208" s="8">
        <v>7234</v>
      </c>
      <c r="B208" s="10" t="s">
        <v>2735</v>
      </c>
      <c r="C208" s="10" t="s">
        <v>220</v>
      </c>
      <c r="D208" s="9" t="s">
        <v>371</v>
      </c>
      <c r="E208" s="9" t="s">
        <v>2734</v>
      </c>
      <c r="F208" s="10" t="s">
        <v>2525</v>
      </c>
      <c r="G208" s="11">
        <v>45672</v>
      </c>
    </row>
    <row r="209" spans="1:7" ht="36.5" hidden="1" x14ac:dyDescent="0.35">
      <c r="A209" s="8">
        <v>7235</v>
      </c>
      <c r="B209" s="10" t="s">
        <v>2736</v>
      </c>
      <c r="C209" s="10" t="s">
        <v>21</v>
      </c>
      <c r="D209" s="9" t="s">
        <v>21</v>
      </c>
      <c r="E209" s="9" t="s">
        <v>333</v>
      </c>
      <c r="F209" s="10" t="s">
        <v>2516</v>
      </c>
      <c r="G209" s="11">
        <v>45672</v>
      </c>
    </row>
    <row r="210" spans="1:7" ht="36.5" hidden="1" x14ac:dyDescent="0.35">
      <c r="A210" s="8">
        <v>7236</v>
      </c>
      <c r="B210" s="10" t="s">
        <v>2737</v>
      </c>
      <c r="C210" s="10" t="s">
        <v>13</v>
      </c>
      <c r="D210" s="9" t="s">
        <v>13</v>
      </c>
      <c r="E210" s="9" t="s">
        <v>896</v>
      </c>
      <c r="F210" s="10" t="s">
        <v>2516</v>
      </c>
      <c r="G210" s="11">
        <v>45672</v>
      </c>
    </row>
    <row r="211" spans="1:7" ht="36.5" hidden="1" x14ac:dyDescent="0.35">
      <c r="A211" s="8">
        <v>7238</v>
      </c>
      <c r="B211" s="10" t="s">
        <v>2738</v>
      </c>
      <c r="C211" s="10" t="s">
        <v>21</v>
      </c>
      <c r="D211" s="9" t="s">
        <v>21</v>
      </c>
      <c r="E211" s="9" t="s">
        <v>819</v>
      </c>
      <c r="F211" s="10" t="s">
        <v>2522</v>
      </c>
      <c r="G211" s="11">
        <v>45672</v>
      </c>
    </row>
    <row r="212" spans="1:7" ht="48.5" hidden="1" x14ac:dyDescent="0.35">
      <c r="A212" s="8">
        <v>7237</v>
      </c>
      <c r="B212" s="10" t="s">
        <v>2739</v>
      </c>
      <c r="C212" s="10" t="s">
        <v>104</v>
      </c>
      <c r="D212" s="9" t="s">
        <v>104</v>
      </c>
      <c r="E212" s="9" t="s">
        <v>819</v>
      </c>
      <c r="F212" s="10" t="s">
        <v>2559</v>
      </c>
      <c r="G212" s="11">
        <v>45672</v>
      </c>
    </row>
    <row r="213" spans="1:7" ht="36.5" hidden="1" x14ac:dyDescent="0.35">
      <c r="A213" s="8">
        <v>7242</v>
      </c>
      <c r="B213" s="10" t="s">
        <v>2740</v>
      </c>
      <c r="C213" s="10" t="s">
        <v>21</v>
      </c>
      <c r="D213" s="9" t="s">
        <v>21</v>
      </c>
      <c r="E213" s="9" t="s">
        <v>333</v>
      </c>
      <c r="F213" s="10" t="s">
        <v>2516</v>
      </c>
      <c r="G213" s="11">
        <v>45672</v>
      </c>
    </row>
    <row r="214" spans="1:7" ht="36.5" hidden="1" x14ac:dyDescent="0.35">
      <c r="A214" s="8">
        <v>7243</v>
      </c>
      <c r="B214" s="10" t="s">
        <v>2741</v>
      </c>
      <c r="C214" s="10" t="s">
        <v>13</v>
      </c>
      <c r="D214" s="9" t="s">
        <v>13</v>
      </c>
      <c r="E214" s="9" t="s">
        <v>333</v>
      </c>
      <c r="F214" s="10" t="s">
        <v>2516</v>
      </c>
      <c r="G214" s="11">
        <v>45672</v>
      </c>
    </row>
    <row r="215" spans="1:7" ht="48.5" hidden="1" x14ac:dyDescent="0.35">
      <c r="A215" s="8">
        <v>7249</v>
      </c>
      <c r="B215" s="10" t="s">
        <v>2742</v>
      </c>
      <c r="C215" s="10" t="s">
        <v>21</v>
      </c>
      <c r="D215" s="9" t="s">
        <v>95</v>
      </c>
      <c r="E215" s="9" t="s">
        <v>2743</v>
      </c>
      <c r="F215" s="10" t="s">
        <v>2559</v>
      </c>
      <c r="G215" s="11">
        <v>45672</v>
      </c>
    </row>
    <row r="216" spans="1:7" ht="36.5" hidden="1" x14ac:dyDescent="0.35">
      <c r="A216" s="8">
        <v>7250</v>
      </c>
      <c r="B216" s="10" t="s">
        <v>2744</v>
      </c>
      <c r="C216" s="10" t="s">
        <v>21</v>
      </c>
      <c r="D216" s="9" t="s">
        <v>21</v>
      </c>
      <c r="E216" s="9" t="s">
        <v>896</v>
      </c>
      <c r="F216" s="10" t="s">
        <v>2516</v>
      </c>
      <c r="G216" s="11">
        <v>45672</v>
      </c>
    </row>
    <row r="217" spans="1:7" ht="36.5" hidden="1" x14ac:dyDescent="0.35">
      <c r="A217" s="8">
        <v>7251</v>
      </c>
      <c r="B217" s="10" t="s">
        <v>2745</v>
      </c>
      <c r="C217" s="10" t="s">
        <v>13</v>
      </c>
      <c r="D217" s="9" t="s">
        <v>13</v>
      </c>
      <c r="E217" s="9" t="s">
        <v>819</v>
      </c>
      <c r="F217" s="10" t="s">
        <v>2530</v>
      </c>
      <c r="G217" s="11">
        <v>45672</v>
      </c>
    </row>
    <row r="218" spans="1:7" ht="48.5" hidden="1" x14ac:dyDescent="0.35">
      <c r="A218" s="8">
        <v>7252</v>
      </c>
      <c r="B218" s="10" t="s">
        <v>2746</v>
      </c>
      <c r="C218" s="10" t="s">
        <v>13</v>
      </c>
      <c r="D218" s="9" t="s">
        <v>13</v>
      </c>
      <c r="E218" s="9" t="s">
        <v>819</v>
      </c>
      <c r="F218" s="10" t="s">
        <v>2559</v>
      </c>
      <c r="G218" s="11">
        <v>45672</v>
      </c>
    </row>
    <row r="219" spans="1:7" ht="24.5" hidden="1" x14ac:dyDescent="0.35">
      <c r="A219" s="8">
        <v>7253</v>
      </c>
      <c r="B219" s="10" t="s">
        <v>2747</v>
      </c>
      <c r="C219" s="10" t="s">
        <v>96</v>
      </c>
      <c r="D219" s="9" t="s">
        <v>96</v>
      </c>
      <c r="E219" s="9" t="s">
        <v>1179</v>
      </c>
      <c r="F219" s="10" t="s">
        <v>2537</v>
      </c>
      <c r="G219" s="11">
        <v>45672</v>
      </c>
    </row>
    <row r="220" spans="1:7" ht="36.5" hidden="1" x14ac:dyDescent="0.35">
      <c r="A220" s="8">
        <v>7254</v>
      </c>
      <c r="B220" s="10" t="s">
        <v>2748</v>
      </c>
      <c r="C220" s="10" t="s">
        <v>34</v>
      </c>
      <c r="D220" s="9" t="s">
        <v>34</v>
      </c>
      <c r="E220" s="9" t="s">
        <v>78</v>
      </c>
      <c r="F220" s="10" t="s">
        <v>2516</v>
      </c>
      <c r="G220" s="11">
        <v>45672</v>
      </c>
    </row>
    <row r="221" spans="1:7" ht="48.5" hidden="1" x14ac:dyDescent="0.35">
      <c r="A221" s="8">
        <v>7255</v>
      </c>
      <c r="B221" s="10" t="s">
        <v>2749</v>
      </c>
      <c r="C221" s="10" t="s">
        <v>278</v>
      </c>
      <c r="D221" s="9" t="s">
        <v>278</v>
      </c>
      <c r="E221" s="9" t="s">
        <v>982</v>
      </c>
      <c r="F221" s="10" t="s">
        <v>2559</v>
      </c>
      <c r="G221" s="11">
        <v>45673</v>
      </c>
    </row>
    <row r="222" spans="1:7" ht="48.5" hidden="1" x14ac:dyDescent="0.35">
      <c r="A222" s="8">
        <v>7256</v>
      </c>
      <c r="B222" s="10" t="s">
        <v>2750</v>
      </c>
      <c r="C222" s="10" t="s">
        <v>13</v>
      </c>
      <c r="D222" s="9" t="s">
        <v>13</v>
      </c>
      <c r="E222" s="9" t="s">
        <v>896</v>
      </c>
      <c r="F222" s="10" t="s">
        <v>2559</v>
      </c>
      <c r="G222" s="11">
        <v>45673</v>
      </c>
    </row>
    <row r="223" spans="1:7" ht="36.5" hidden="1" x14ac:dyDescent="0.35">
      <c r="A223" s="8">
        <v>7257</v>
      </c>
      <c r="B223" s="10" t="s">
        <v>2751</v>
      </c>
      <c r="C223" s="10" t="s">
        <v>196</v>
      </c>
      <c r="D223" s="9" t="s">
        <v>196</v>
      </c>
      <c r="E223" s="9" t="s">
        <v>1130</v>
      </c>
      <c r="F223" s="10" t="s">
        <v>2525</v>
      </c>
      <c r="G223" s="11">
        <v>45673</v>
      </c>
    </row>
    <row r="224" spans="1:7" ht="36.5" hidden="1" x14ac:dyDescent="0.35">
      <c r="A224" s="8">
        <v>7258</v>
      </c>
      <c r="B224" s="10" t="s">
        <v>2752</v>
      </c>
      <c r="C224" s="10" t="s">
        <v>196</v>
      </c>
      <c r="D224" s="9" t="s">
        <v>196</v>
      </c>
      <c r="E224" s="9" t="s">
        <v>1130</v>
      </c>
      <c r="F224" s="10" t="s">
        <v>2525</v>
      </c>
      <c r="G224" s="11">
        <v>45673</v>
      </c>
    </row>
    <row r="225" spans="1:7" ht="36.5" hidden="1" x14ac:dyDescent="0.35">
      <c r="A225" s="8">
        <v>7261</v>
      </c>
      <c r="B225" s="10" t="s">
        <v>2753</v>
      </c>
      <c r="C225" s="10" t="s">
        <v>104</v>
      </c>
      <c r="D225" s="9" t="s">
        <v>95</v>
      </c>
      <c r="E225" s="9" t="s">
        <v>2677</v>
      </c>
      <c r="F225" s="10" t="s">
        <v>2530</v>
      </c>
      <c r="G225" s="11">
        <v>45673</v>
      </c>
    </row>
    <row r="226" spans="1:7" ht="36.5" hidden="1" x14ac:dyDescent="0.35">
      <c r="A226" s="8">
        <v>7262</v>
      </c>
      <c r="B226" s="10" t="s">
        <v>2754</v>
      </c>
      <c r="C226" s="10" t="s">
        <v>104</v>
      </c>
      <c r="D226" s="9" t="s">
        <v>95</v>
      </c>
      <c r="E226" s="9" t="s">
        <v>2677</v>
      </c>
      <c r="F226" s="10" t="s">
        <v>2530</v>
      </c>
      <c r="G226" s="11">
        <v>45673</v>
      </c>
    </row>
    <row r="227" spans="1:7" ht="36.5" hidden="1" x14ac:dyDescent="0.35">
      <c r="A227" s="8">
        <v>7259</v>
      </c>
      <c r="B227" s="10" t="s">
        <v>2755</v>
      </c>
      <c r="C227" s="10" t="s">
        <v>104</v>
      </c>
      <c r="D227" s="9" t="s">
        <v>95</v>
      </c>
      <c r="E227" s="9" t="s">
        <v>2677</v>
      </c>
      <c r="F227" s="10" t="s">
        <v>2525</v>
      </c>
      <c r="G227" s="11">
        <v>45673</v>
      </c>
    </row>
    <row r="228" spans="1:7" ht="36.5" hidden="1" x14ac:dyDescent="0.35">
      <c r="A228" s="8">
        <v>7263</v>
      </c>
      <c r="B228" s="10" t="s">
        <v>2756</v>
      </c>
      <c r="C228" s="10" t="s">
        <v>190</v>
      </c>
      <c r="D228" s="9" t="s">
        <v>395</v>
      </c>
      <c r="E228" s="9" t="s">
        <v>1037</v>
      </c>
      <c r="F228" s="10" t="s">
        <v>2715</v>
      </c>
      <c r="G228" s="11">
        <v>45673</v>
      </c>
    </row>
    <row r="229" spans="1:7" ht="36.5" hidden="1" x14ac:dyDescent="0.35">
      <c r="A229" s="8">
        <v>7264</v>
      </c>
      <c r="B229" s="10" t="s">
        <v>2757</v>
      </c>
      <c r="C229" s="10" t="s">
        <v>220</v>
      </c>
      <c r="D229" s="9" t="s">
        <v>395</v>
      </c>
      <c r="E229" s="9" t="s">
        <v>1037</v>
      </c>
      <c r="F229" s="10" t="s">
        <v>2715</v>
      </c>
      <c r="G229" s="11">
        <v>45673</v>
      </c>
    </row>
    <row r="230" spans="1:7" ht="36.5" hidden="1" x14ac:dyDescent="0.35">
      <c r="A230" s="8">
        <v>7265</v>
      </c>
      <c r="B230" s="10" t="s">
        <v>2758</v>
      </c>
      <c r="C230" s="10" t="s">
        <v>96</v>
      </c>
      <c r="D230" s="9" t="s">
        <v>395</v>
      </c>
      <c r="E230" s="9" t="s">
        <v>1037</v>
      </c>
      <c r="F230" s="10" t="s">
        <v>2715</v>
      </c>
      <c r="G230" s="11">
        <v>45673</v>
      </c>
    </row>
    <row r="231" spans="1:7" ht="36.5" hidden="1" x14ac:dyDescent="0.35">
      <c r="A231" s="8">
        <v>7266</v>
      </c>
      <c r="B231" s="10" t="s">
        <v>2759</v>
      </c>
      <c r="C231" s="10" t="s">
        <v>104</v>
      </c>
      <c r="D231" s="9" t="s">
        <v>395</v>
      </c>
      <c r="E231" s="9" t="s">
        <v>1037</v>
      </c>
      <c r="F231" s="10" t="s">
        <v>2715</v>
      </c>
      <c r="G231" s="11">
        <v>45673</v>
      </c>
    </row>
    <row r="232" spans="1:7" ht="36.5" hidden="1" x14ac:dyDescent="0.35">
      <c r="A232" s="8">
        <v>7267</v>
      </c>
      <c r="B232" s="10" t="s">
        <v>2760</v>
      </c>
      <c r="C232" s="10" t="s">
        <v>220</v>
      </c>
      <c r="D232" s="9" t="s">
        <v>395</v>
      </c>
      <c r="E232" s="9" t="s">
        <v>1037</v>
      </c>
      <c r="F232" s="10" t="s">
        <v>2715</v>
      </c>
      <c r="G232" s="11">
        <v>45673</v>
      </c>
    </row>
    <row r="233" spans="1:7" ht="36.5" hidden="1" x14ac:dyDescent="0.35">
      <c r="A233" s="8">
        <v>7268</v>
      </c>
      <c r="B233" s="10" t="s">
        <v>2761</v>
      </c>
      <c r="C233" s="10" t="s">
        <v>371</v>
      </c>
      <c r="D233" s="9" t="s">
        <v>395</v>
      </c>
      <c r="E233" s="9" t="s">
        <v>1037</v>
      </c>
      <c r="F233" s="10" t="s">
        <v>2715</v>
      </c>
      <c r="G233" s="11">
        <v>45674</v>
      </c>
    </row>
    <row r="234" spans="1:7" ht="36.5" hidden="1" x14ac:dyDescent="0.35">
      <c r="A234" s="8">
        <v>7269</v>
      </c>
      <c r="B234" s="10" t="s">
        <v>2762</v>
      </c>
      <c r="C234" s="10" t="s">
        <v>395</v>
      </c>
      <c r="D234" s="9" t="s">
        <v>395</v>
      </c>
      <c r="E234" s="9" t="s">
        <v>1037</v>
      </c>
      <c r="F234" s="10" t="s">
        <v>2530</v>
      </c>
      <c r="G234" s="11">
        <v>45674</v>
      </c>
    </row>
    <row r="235" spans="1:7" ht="24.5" hidden="1" x14ac:dyDescent="0.35">
      <c r="A235" s="8">
        <v>7270</v>
      </c>
      <c r="B235" s="10" t="s">
        <v>2763</v>
      </c>
      <c r="C235" s="10" t="s">
        <v>395</v>
      </c>
      <c r="D235" s="9" t="s">
        <v>395</v>
      </c>
      <c r="E235" s="9" t="s">
        <v>1037</v>
      </c>
      <c r="F235" s="10" t="s">
        <v>2522</v>
      </c>
      <c r="G235" s="11">
        <v>45674</v>
      </c>
    </row>
    <row r="236" spans="1:7" ht="36.5" hidden="1" x14ac:dyDescent="0.35">
      <c r="A236" s="8">
        <v>7271</v>
      </c>
      <c r="B236" s="10" t="s">
        <v>2764</v>
      </c>
      <c r="C236" s="10" t="s">
        <v>220</v>
      </c>
      <c r="D236" s="9" t="s">
        <v>395</v>
      </c>
      <c r="E236" s="9" t="s">
        <v>1037</v>
      </c>
      <c r="F236" s="10" t="s">
        <v>2530</v>
      </c>
      <c r="G236" s="11">
        <v>45674</v>
      </c>
    </row>
    <row r="237" spans="1:7" ht="36.5" hidden="1" x14ac:dyDescent="0.35">
      <c r="A237" s="8">
        <v>7272</v>
      </c>
      <c r="B237" s="10" t="s">
        <v>2765</v>
      </c>
      <c r="C237" s="10" t="s">
        <v>34</v>
      </c>
      <c r="D237" s="9" t="s">
        <v>395</v>
      </c>
      <c r="E237" s="9" t="s">
        <v>1037</v>
      </c>
      <c r="F237" s="10" t="s">
        <v>2530</v>
      </c>
      <c r="G237" s="11">
        <v>45674</v>
      </c>
    </row>
    <row r="238" spans="1:7" ht="24.5" hidden="1" x14ac:dyDescent="0.35">
      <c r="A238" s="8">
        <v>7273</v>
      </c>
      <c r="B238" s="10" t="s">
        <v>2766</v>
      </c>
      <c r="C238" s="10" t="s">
        <v>395</v>
      </c>
      <c r="D238" s="9" t="s">
        <v>395</v>
      </c>
      <c r="E238" s="9" t="s">
        <v>1037</v>
      </c>
      <c r="F238" s="10" t="s">
        <v>2522</v>
      </c>
      <c r="G238" s="11">
        <v>45674</v>
      </c>
    </row>
    <row r="239" spans="1:7" ht="36.5" hidden="1" x14ac:dyDescent="0.35">
      <c r="A239" s="8">
        <v>7274</v>
      </c>
      <c r="B239" s="10" t="s">
        <v>2767</v>
      </c>
      <c r="C239" s="10" t="s">
        <v>395</v>
      </c>
      <c r="D239" s="9" t="s">
        <v>395</v>
      </c>
      <c r="E239" s="9" t="s">
        <v>1037</v>
      </c>
      <c r="F239" s="10" t="s">
        <v>2516</v>
      </c>
      <c r="G239" s="11">
        <v>45674</v>
      </c>
    </row>
    <row r="240" spans="1:7" ht="24.5" hidden="1" x14ac:dyDescent="0.35">
      <c r="A240" s="8">
        <v>7276</v>
      </c>
      <c r="B240" s="10" t="s">
        <v>2768</v>
      </c>
      <c r="C240" s="10" t="s">
        <v>395</v>
      </c>
      <c r="D240" s="9" t="s">
        <v>395</v>
      </c>
      <c r="E240" s="9" t="s">
        <v>1037</v>
      </c>
      <c r="F240" s="10" t="s">
        <v>2522</v>
      </c>
      <c r="G240" s="11">
        <v>45674</v>
      </c>
    </row>
    <row r="241" spans="1:7" ht="36.5" hidden="1" x14ac:dyDescent="0.35">
      <c r="A241" s="8">
        <v>7275</v>
      </c>
      <c r="B241" s="10" t="s">
        <v>2769</v>
      </c>
      <c r="C241" s="10" t="s">
        <v>395</v>
      </c>
      <c r="D241" s="9" t="s">
        <v>395</v>
      </c>
      <c r="E241" s="9" t="s">
        <v>1037</v>
      </c>
      <c r="F241" s="10" t="s">
        <v>2530</v>
      </c>
      <c r="G241" s="11">
        <v>45674</v>
      </c>
    </row>
    <row r="242" spans="1:7" ht="36.5" hidden="1" x14ac:dyDescent="0.35">
      <c r="A242" s="8">
        <v>7282</v>
      </c>
      <c r="B242" s="10" t="s">
        <v>2770</v>
      </c>
      <c r="C242" s="10" t="s">
        <v>250</v>
      </c>
      <c r="D242" s="9" t="s">
        <v>250</v>
      </c>
      <c r="E242" s="9" t="s">
        <v>377</v>
      </c>
      <c r="F242" s="10" t="s">
        <v>2516</v>
      </c>
      <c r="G242" s="11">
        <v>45674</v>
      </c>
    </row>
    <row r="243" spans="1:7" ht="24.5" hidden="1" x14ac:dyDescent="0.35">
      <c r="A243" s="8">
        <v>7283</v>
      </c>
      <c r="B243" s="10" t="s">
        <v>2771</v>
      </c>
      <c r="C243" s="10" t="s">
        <v>250</v>
      </c>
      <c r="D243" s="9" t="s">
        <v>395</v>
      </c>
      <c r="E243" s="9" t="s">
        <v>1045</v>
      </c>
      <c r="F243" s="10" t="s">
        <v>2540</v>
      </c>
      <c r="G243" s="11">
        <v>45674</v>
      </c>
    </row>
    <row r="244" spans="1:7" ht="36.5" hidden="1" x14ac:dyDescent="0.35">
      <c r="A244" s="8">
        <v>7281</v>
      </c>
      <c r="B244" s="10" t="s">
        <v>2772</v>
      </c>
      <c r="C244" s="10" t="s">
        <v>250</v>
      </c>
      <c r="D244" s="9" t="s">
        <v>250</v>
      </c>
      <c r="E244" s="9" t="s">
        <v>377</v>
      </c>
      <c r="F244" s="10" t="s">
        <v>2516</v>
      </c>
      <c r="G244" s="11">
        <v>45674</v>
      </c>
    </row>
    <row r="245" spans="1:7" ht="36.5" hidden="1" x14ac:dyDescent="0.35">
      <c r="A245" s="8">
        <v>7284</v>
      </c>
      <c r="B245" s="10" t="s">
        <v>2773</v>
      </c>
      <c r="C245" s="10" t="s">
        <v>196</v>
      </c>
      <c r="D245" s="9" t="s">
        <v>196</v>
      </c>
      <c r="E245" s="9" t="s">
        <v>1130</v>
      </c>
      <c r="F245" s="10" t="s">
        <v>2525</v>
      </c>
      <c r="G245" s="11">
        <v>45675</v>
      </c>
    </row>
    <row r="246" spans="1:7" ht="36.5" hidden="1" x14ac:dyDescent="0.35">
      <c r="A246" s="8">
        <v>7285</v>
      </c>
      <c r="B246" s="10" t="s">
        <v>2774</v>
      </c>
      <c r="C246" s="10" t="s">
        <v>134</v>
      </c>
      <c r="D246" s="9" t="s">
        <v>134</v>
      </c>
      <c r="E246" s="9" t="s">
        <v>819</v>
      </c>
      <c r="F246" s="10" t="s">
        <v>2522</v>
      </c>
      <c r="G246" s="11">
        <v>45675</v>
      </c>
    </row>
    <row r="247" spans="1:7" ht="36.5" hidden="1" x14ac:dyDescent="0.35">
      <c r="A247" s="8">
        <v>7286</v>
      </c>
      <c r="B247" s="10" t="s">
        <v>2775</v>
      </c>
      <c r="C247" s="10" t="s">
        <v>21</v>
      </c>
      <c r="D247" s="9" t="s">
        <v>21</v>
      </c>
      <c r="E247" s="9" t="s">
        <v>819</v>
      </c>
      <c r="F247" s="10" t="s">
        <v>2516</v>
      </c>
      <c r="G247" s="11">
        <v>45675</v>
      </c>
    </row>
    <row r="248" spans="1:7" ht="24.5" hidden="1" x14ac:dyDescent="0.35">
      <c r="A248" s="8">
        <v>7303</v>
      </c>
      <c r="B248" s="10" t="s">
        <v>2776</v>
      </c>
      <c r="C248" s="10" t="s">
        <v>250</v>
      </c>
      <c r="D248" s="9" t="s">
        <v>250</v>
      </c>
      <c r="E248" s="9" t="s">
        <v>410</v>
      </c>
      <c r="F248" s="10" t="s">
        <v>2522</v>
      </c>
      <c r="G248" s="11">
        <v>45675</v>
      </c>
    </row>
    <row r="249" spans="1:7" ht="36.5" hidden="1" x14ac:dyDescent="0.35">
      <c r="A249" s="8">
        <v>7309</v>
      </c>
      <c r="B249" s="10" t="s">
        <v>2777</v>
      </c>
      <c r="C249" s="10" t="s">
        <v>34</v>
      </c>
      <c r="D249" s="9" t="s">
        <v>193</v>
      </c>
      <c r="E249" s="9" t="s">
        <v>1828</v>
      </c>
      <c r="F249" s="10" t="s">
        <v>2525</v>
      </c>
      <c r="G249" s="11">
        <v>45675</v>
      </c>
    </row>
    <row r="250" spans="1:7" ht="36.5" hidden="1" x14ac:dyDescent="0.35">
      <c r="A250" s="8">
        <v>7308</v>
      </c>
      <c r="B250" s="10" t="s">
        <v>2778</v>
      </c>
      <c r="C250" s="10" t="s">
        <v>26</v>
      </c>
      <c r="D250" s="9" t="s">
        <v>937</v>
      </c>
      <c r="E250" s="9" t="s">
        <v>1846</v>
      </c>
      <c r="F250" s="10" t="s">
        <v>2525</v>
      </c>
      <c r="G250" s="11">
        <v>45675</v>
      </c>
    </row>
    <row r="251" spans="1:7" ht="36.5" hidden="1" x14ac:dyDescent="0.35">
      <c r="A251" s="8">
        <v>7287</v>
      </c>
      <c r="B251" s="10" t="s">
        <v>2779</v>
      </c>
      <c r="C251" s="10" t="s">
        <v>371</v>
      </c>
      <c r="D251" s="9" t="s">
        <v>371</v>
      </c>
      <c r="E251" s="9" t="s">
        <v>1030</v>
      </c>
      <c r="F251" s="10" t="s">
        <v>2516</v>
      </c>
      <c r="G251" s="11">
        <v>45675</v>
      </c>
    </row>
    <row r="252" spans="1:7" ht="36.5" hidden="1" x14ac:dyDescent="0.35">
      <c r="A252" s="8">
        <v>7288</v>
      </c>
      <c r="B252" s="10" t="s">
        <v>2780</v>
      </c>
      <c r="C252" s="10" t="s">
        <v>34</v>
      </c>
      <c r="D252" s="9" t="s">
        <v>134</v>
      </c>
      <c r="E252" s="9" t="s">
        <v>2336</v>
      </c>
      <c r="F252" s="10" t="s">
        <v>2522</v>
      </c>
      <c r="G252" s="11">
        <v>45675</v>
      </c>
    </row>
    <row r="253" spans="1:7" ht="24.5" hidden="1" x14ac:dyDescent="0.35">
      <c r="A253" s="8">
        <v>7289</v>
      </c>
      <c r="B253" s="10" t="s">
        <v>2781</v>
      </c>
      <c r="C253" s="10" t="s">
        <v>190</v>
      </c>
      <c r="D253" s="9" t="s">
        <v>190</v>
      </c>
      <c r="E253" s="9" t="s">
        <v>377</v>
      </c>
      <c r="F253" s="10" t="s">
        <v>2522</v>
      </c>
      <c r="G253" s="11">
        <v>45675</v>
      </c>
    </row>
    <row r="254" spans="1:7" ht="36.5" hidden="1" x14ac:dyDescent="0.35">
      <c r="A254" s="8">
        <v>7290</v>
      </c>
      <c r="B254" s="10" t="s">
        <v>2782</v>
      </c>
      <c r="C254" s="10" t="s">
        <v>193</v>
      </c>
      <c r="D254" s="9" t="s">
        <v>13</v>
      </c>
      <c r="E254" s="9" t="s">
        <v>2336</v>
      </c>
      <c r="F254" s="10" t="s">
        <v>2516</v>
      </c>
      <c r="G254" s="11">
        <v>45675</v>
      </c>
    </row>
    <row r="255" spans="1:7" ht="36.5" hidden="1" x14ac:dyDescent="0.35">
      <c r="A255" s="8">
        <v>7292</v>
      </c>
      <c r="B255" s="10" t="s">
        <v>2783</v>
      </c>
      <c r="C255" s="10" t="s">
        <v>196</v>
      </c>
      <c r="D255" s="9" t="s">
        <v>134</v>
      </c>
      <c r="E255" s="9" t="s">
        <v>2336</v>
      </c>
      <c r="F255" s="10" t="s">
        <v>2516</v>
      </c>
      <c r="G255" s="11">
        <v>45675</v>
      </c>
    </row>
    <row r="256" spans="1:7" ht="36.5" hidden="1" x14ac:dyDescent="0.35">
      <c r="A256" s="8">
        <v>7291</v>
      </c>
      <c r="B256" s="10" t="s">
        <v>2784</v>
      </c>
      <c r="C256" s="10" t="s">
        <v>96</v>
      </c>
      <c r="D256" s="9" t="s">
        <v>395</v>
      </c>
      <c r="E256" s="9" t="s">
        <v>1045</v>
      </c>
      <c r="F256" s="10" t="s">
        <v>2530</v>
      </c>
      <c r="G256" s="11">
        <v>45675</v>
      </c>
    </row>
    <row r="257" spans="1:7" ht="36.5" hidden="1" x14ac:dyDescent="0.35">
      <c r="A257" s="8">
        <v>7293</v>
      </c>
      <c r="B257" s="10" t="s">
        <v>2785</v>
      </c>
      <c r="C257" s="10" t="s">
        <v>196</v>
      </c>
      <c r="D257" s="9" t="s">
        <v>13</v>
      </c>
      <c r="E257" s="9" t="s">
        <v>2336</v>
      </c>
      <c r="F257" s="10" t="s">
        <v>2530</v>
      </c>
      <c r="G257" s="11">
        <v>45676</v>
      </c>
    </row>
    <row r="258" spans="1:7" ht="36.5" hidden="1" x14ac:dyDescent="0.35">
      <c r="A258" s="8">
        <v>7294</v>
      </c>
      <c r="B258" s="10" t="s">
        <v>2786</v>
      </c>
      <c r="C258" s="10" t="s">
        <v>21</v>
      </c>
      <c r="D258" s="9" t="s">
        <v>21</v>
      </c>
      <c r="E258" s="9" t="s">
        <v>1484</v>
      </c>
      <c r="F258" s="10" t="s">
        <v>2522</v>
      </c>
      <c r="G258" s="11">
        <v>45676</v>
      </c>
    </row>
    <row r="259" spans="1:7" ht="36.5" hidden="1" x14ac:dyDescent="0.35">
      <c r="A259" s="8">
        <v>7298</v>
      </c>
      <c r="B259" s="10" t="s">
        <v>2787</v>
      </c>
      <c r="C259" s="10" t="s">
        <v>96</v>
      </c>
      <c r="D259" s="9" t="s">
        <v>395</v>
      </c>
      <c r="E259" s="9" t="s">
        <v>1045</v>
      </c>
      <c r="F259" s="10" t="s">
        <v>2516</v>
      </c>
      <c r="G259" s="11">
        <v>45676</v>
      </c>
    </row>
    <row r="260" spans="1:7" ht="24.5" hidden="1" x14ac:dyDescent="0.35">
      <c r="A260" s="8">
        <v>7295</v>
      </c>
      <c r="B260" s="10" t="s">
        <v>2788</v>
      </c>
      <c r="C260" s="10" t="s">
        <v>250</v>
      </c>
      <c r="D260" s="9" t="s">
        <v>250</v>
      </c>
      <c r="E260" s="9" t="s">
        <v>410</v>
      </c>
      <c r="F260" s="10" t="s">
        <v>2522</v>
      </c>
      <c r="G260" s="11">
        <v>45676</v>
      </c>
    </row>
    <row r="261" spans="1:7" ht="36.5" hidden="1" x14ac:dyDescent="0.35">
      <c r="A261" s="8">
        <v>7299</v>
      </c>
      <c r="B261" s="10" t="s">
        <v>2789</v>
      </c>
      <c r="C261" s="10" t="s">
        <v>134</v>
      </c>
      <c r="D261" s="9" t="s">
        <v>134</v>
      </c>
      <c r="E261" s="9" t="s">
        <v>936</v>
      </c>
      <c r="F261" s="10" t="s">
        <v>2516</v>
      </c>
      <c r="G261" s="11">
        <v>45676</v>
      </c>
    </row>
    <row r="262" spans="1:7" ht="36.5" hidden="1" x14ac:dyDescent="0.35">
      <c r="A262" s="8">
        <v>7297</v>
      </c>
      <c r="B262" s="10" t="s">
        <v>2790</v>
      </c>
      <c r="C262" s="10" t="s">
        <v>21</v>
      </c>
      <c r="D262" s="9" t="s">
        <v>21</v>
      </c>
      <c r="E262" s="9" t="s">
        <v>1484</v>
      </c>
      <c r="F262" s="10" t="s">
        <v>2516</v>
      </c>
      <c r="G262" s="11">
        <v>45676</v>
      </c>
    </row>
    <row r="263" spans="1:7" ht="24.5" hidden="1" x14ac:dyDescent="0.35">
      <c r="A263" s="8">
        <v>7300</v>
      </c>
      <c r="B263" s="10" t="s">
        <v>2791</v>
      </c>
      <c r="C263" s="10" t="s">
        <v>190</v>
      </c>
      <c r="D263" s="9" t="s">
        <v>190</v>
      </c>
      <c r="E263" s="9" t="s">
        <v>377</v>
      </c>
      <c r="F263" s="10" t="s">
        <v>2522</v>
      </c>
      <c r="G263" s="11">
        <v>45676</v>
      </c>
    </row>
    <row r="264" spans="1:7" ht="24.5" hidden="1" x14ac:dyDescent="0.35">
      <c r="A264" s="8">
        <v>7296</v>
      </c>
      <c r="B264" s="10" t="s">
        <v>2792</v>
      </c>
      <c r="C264" s="10" t="s">
        <v>190</v>
      </c>
      <c r="D264" s="9" t="s">
        <v>190</v>
      </c>
      <c r="E264" s="9" t="s">
        <v>377</v>
      </c>
      <c r="F264" s="10" t="s">
        <v>2522</v>
      </c>
      <c r="G264" s="11">
        <v>45676</v>
      </c>
    </row>
    <row r="265" spans="1:7" ht="36.5" hidden="1" x14ac:dyDescent="0.35">
      <c r="A265" s="8">
        <v>7301</v>
      </c>
      <c r="B265" s="10" t="s">
        <v>2793</v>
      </c>
      <c r="C265" s="10" t="s">
        <v>190</v>
      </c>
      <c r="D265" s="9" t="s">
        <v>190</v>
      </c>
      <c r="E265" s="9" t="s">
        <v>377</v>
      </c>
      <c r="F265" s="10" t="s">
        <v>2516</v>
      </c>
      <c r="G265" s="11">
        <v>45676</v>
      </c>
    </row>
    <row r="266" spans="1:7" ht="48.5" hidden="1" x14ac:dyDescent="0.35">
      <c r="A266" s="8">
        <v>7311</v>
      </c>
      <c r="B266" s="10" t="s">
        <v>2794</v>
      </c>
      <c r="C266" s="10" t="s">
        <v>96</v>
      </c>
      <c r="D266" s="9" t="s">
        <v>96</v>
      </c>
      <c r="E266" s="9" t="s">
        <v>1055</v>
      </c>
      <c r="F266" s="10" t="s">
        <v>2559</v>
      </c>
      <c r="G266" s="11">
        <v>45676</v>
      </c>
    </row>
    <row r="267" spans="1:7" ht="36.5" hidden="1" x14ac:dyDescent="0.35">
      <c r="A267" s="8">
        <v>7302</v>
      </c>
      <c r="B267" s="10" t="s">
        <v>2795</v>
      </c>
      <c r="C267" s="10" t="s">
        <v>250</v>
      </c>
      <c r="D267" s="9" t="s">
        <v>250</v>
      </c>
      <c r="E267" s="9" t="s">
        <v>410</v>
      </c>
      <c r="F267" s="10" t="s">
        <v>2525</v>
      </c>
      <c r="G267" s="11">
        <v>45677</v>
      </c>
    </row>
    <row r="268" spans="1:7" ht="36.5" hidden="1" x14ac:dyDescent="0.35">
      <c r="A268" s="8">
        <v>7304</v>
      </c>
      <c r="B268" s="10" t="s">
        <v>2796</v>
      </c>
      <c r="C268" s="10" t="s">
        <v>250</v>
      </c>
      <c r="D268" s="9" t="s">
        <v>395</v>
      </c>
      <c r="E268" s="9" t="s">
        <v>1037</v>
      </c>
      <c r="F268" s="10" t="s">
        <v>2525</v>
      </c>
      <c r="G268" s="11">
        <v>45677</v>
      </c>
    </row>
    <row r="269" spans="1:7" ht="36.5" hidden="1" x14ac:dyDescent="0.35">
      <c r="A269" s="8">
        <v>7305</v>
      </c>
      <c r="B269" s="10" t="s">
        <v>2797</v>
      </c>
      <c r="C269" s="10" t="s">
        <v>250</v>
      </c>
      <c r="D269" s="9" t="s">
        <v>395</v>
      </c>
      <c r="E269" s="9" t="s">
        <v>1037</v>
      </c>
      <c r="F269" s="10" t="s">
        <v>2525</v>
      </c>
      <c r="G269" s="11">
        <v>45677</v>
      </c>
    </row>
    <row r="270" spans="1:7" ht="24.5" hidden="1" x14ac:dyDescent="0.35">
      <c r="A270" s="8">
        <v>7310</v>
      </c>
      <c r="B270" s="10" t="s">
        <v>2798</v>
      </c>
      <c r="C270" s="10" t="s">
        <v>34</v>
      </c>
      <c r="D270" s="9" t="s">
        <v>193</v>
      </c>
      <c r="E270" s="9" t="s">
        <v>1828</v>
      </c>
      <c r="F270" s="10" t="s">
        <v>2522</v>
      </c>
      <c r="G270" s="11">
        <v>45677</v>
      </c>
    </row>
    <row r="271" spans="1:7" ht="36.5" hidden="1" x14ac:dyDescent="0.35">
      <c r="A271" s="8">
        <v>7307</v>
      </c>
      <c r="B271" s="10" t="s">
        <v>2799</v>
      </c>
      <c r="C271" s="10" t="s">
        <v>193</v>
      </c>
      <c r="D271" s="9" t="s">
        <v>395</v>
      </c>
      <c r="E271" s="9" t="s">
        <v>1926</v>
      </c>
      <c r="F271" s="10" t="s">
        <v>2516</v>
      </c>
      <c r="G271" s="11">
        <v>45677</v>
      </c>
    </row>
    <row r="272" spans="1:7" ht="36.5" hidden="1" x14ac:dyDescent="0.35">
      <c r="A272" s="8">
        <v>7317</v>
      </c>
      <c r="B272" s="10" t="s">
        <v>2800</v>
      </c>
      <c r="C272" s="10" t="s">
        <v>134</v>
      </c>
      <c r="D272" s="9" t="s">
        <v>134</v>
      </c>
      <c r="E272" s="9" t="s">
        <v>633</v>
      </c>
      <c r="F272" s="10" t="s">
        <v>2540</v>
      </c>
      <c r="G272" s="11">
        <v>45677</v>
      </c>
    </row>
    <row r="273" spans="1:7" ht="36.5" hidden="1" x14ac:dyDescent="0.35">
      <c r="A273" s="8">
        <v>7318</v>
      </c>
      <c r="B273" s="10" t="s">
        <v>2801</v>
      </c>
      <c r="C273" s="10" t="s">
        <v>104</v>
      </c>
      <c r="D273" s="9" t="s">
        <v>104</v>
      </c>
      <c r="E273" s="9" t="s">
        <v>633</v>
      </c>
      <c r="F273" s="10" t="s">
        <v>2516</v>
      </c>
      <c r="G273" s="11">
        <v>45677</v>
      </c>
    </row>
    <row r="274" spans="1:7" ht="36.5" hidden="1" x14ac:dyDescent="0.35">
      <c r="A274" s="8">
        <v>7320</v>
      </c>
      <c r="B274" s="10" t="s">
        <v>2802</v>
      </c>
      <c r="C274" s="10" t="s">
        <v>937</v>
      </c>
      <c r="D274" s="9" t="s">
        <v>395</v>
      </c>
      <c r="E274" s="9" t="s">
        <v>1926</v>
      </c>
      <c r="F274" s="10" t="s">
        <v>2516</v>
      </c>
      <c r="G274" s="11">
        <v>45677</v>
      </c>
    </row>
    <row r="275" spans="1:7" ht="36.5" hidden="1" x14ac:dyDescent="0.35">
      <c r="A275" s="8">
        <v>7321</v>
      </c>
      <c r="B275" s="10" t="s">
        <v>2803</v>
      </c>
      <c r="C275" s="10" t="s">
        <v>21</v>
      </c>
      <c r="D275" s="9" t="s">
        <v>21</v>
      </c>
      <c r="E275" s="9" t="s">
        <v>1484</v>
      </c>
      <c r="F275" s="10" t="s">
        <v>2516</v>
      </c>
      <c r="G275" s="11">
        <v>45677</v>
      </c>
    </row>
    <row r="276" spans="1:7" ht="24.5" hidden="1" x14ac:dyDescent="0.35">
      <c r="A276" s="8">
        <v>7319</v>
      </c>
      <c r="B276" s="10" t="s">
        <v>2804</v>
      </c>
      <c r="C276" s="10" t="s">
        <v>196</v>
      </c>
      <c r="D276" s="9" t="s">
        <v>196</v>
      </c>
      <c r="E276" s="9" t="s">
        <v>595</v>
      </c>
      <c r="F276" s="10" t="s">
        <v>2537</v>
      </c>
      <c r="G276" s="11">
        <v>45677</v>
      </c>
    </row>
    <row r="277" spans="1:7" ht="36.5" hidden="1" x14ac:dyDescent="0.35">
      <c r="A277" s="8">
        <v>7322</v>
      </c>
      <c r="B277" s="10" t="s">
        <v>2805</v>
      </c>
      <c r="C277" s="10" t="s">
        <v>2806</v>
      </c>
      <c r="D277" s="9" t="s">
        <v>96</v>
      </c>
      <c r="E277" s="9" t="s">
        <v>1055</v>
      </c>
      <c r="F277" s="10" t="s">
        <v>2540</v>
      </c>
      <c r="G277" s="11">
        <v>45677</v>
      </c>
    </row>
    <row r="278" spans="1:7" ht="48.5" hidden="1" x14ac:dyDescent="0.35">
      <c r="A278" s="8">
        <v>7324</v>
      </c>
      <c r="B278" s="10" t="s">
        <v>2807</v>
      </c>
      <c r="C278" s="10" t="s">
        <v>96</v>
      </c>
      <c r="D278" s="9" t="s">
        <v>937</v>
      </c>
      <c r="E278" s="9" t="s">
        <v>1846</v>
      </c>
      <c r="F278" s="10" t="s">
        <v>2516</v>
      </c>
      <c r="G278" s="11">
        <v>45677</v>
      </c>
    </row>
    <row r="279" spans="1:7" ht="36.5" hidden="1" x14ac:dyDescent="0.35">
      <c r="A279" s="8">
        <v>7323</v>
      </c>
      <c r="B279" s="10" t="s">
        <v>2808</v>
      </c>
      <c r="C279" s="10" t="s">
        <v>34</v>
      </c>
      <c r="D279" s="9" t="s">
        <v>34</v>
      </c>
      <c r="E279" s="9" t="s">
        <v>2809</v>
      </c>
      <c r="F279" s="10" t="s">
        <v>2516</v>
      </c>
      <c r="G279" s="11">
        <v>45678</v>
      </c>
    </row>
    <row r="280" spans="1:7" ht="36.5" hidden="1" x14ac:dyDescent="0.35">
      <c r="A280" s="8">
        <v>7325</v>
      </c>
      <c r="B280" s="10" t="s">
        <v>2810</v>
      </c>
      <c r="C280" s="10" t="s">
        <v>134</v>
      </c>
      <c r="D280" s="9" t="s">
        <v>134</v>
      </c>
      <c r="E280" s="9" t="s">
        <v>633</v>
      </c>
      <c r="F280" s="10" t="s">
        <v>2530</v>
      </c>
      <c r="G280" s="11">
        <v>45678</v>
      </c>
    </row>
    <row r="281" spans="1:7" ht="24.5" hidden="1" x14ac:dyDescent="0.35">
      <c r="A281" s="8">
        <v>7326</v>
      </c>
      <c r="B281" s="10" t="s">
        <v>2811</v>
      </c>
      <c r="C281" s="10" t="s">
        <v>104</v>
      </c>
      <c r="D281" s="9" t="s">
        <v>104</v>
      </c>
      <c r="E281" s="9" t="s">
        <v>633</v>
      </c>
      <c r="F281" s="10" t="s">
        <v>2522</v>
      </c>
      <c r="G281" s="11">
        <v>45678</v>
      </c>
    </row>
    <row r="282" spans="1:7" ht="48.5" hidden="1" x14ac:dyDescent="0.35">
      <c r="A282" s="8">
        <v>7327</v>
      </c>
      <c r="B282" s="10" t="s">
        <v>2812</v>
      </c>
      <c r="C282" s="10" t="s">
        <v>134</v>
      </c>
      <c r="D282" s="9" t="s">
        <v>134</v>
      </c>
      <c r="E282" s="9" t="s">
        <v>633</v>
      </c>
      <c r="F282" s="10" t="s">
        <v>2522</v>
      </c>
      <c r="G282" s="11">
        <v>45678</v>
      </c>
    </row>
    <row r="283" spans="1:7" ht="48.5" hidden="1" x14ac:dyDescent="0.35">
      <c r="A283" s="8">
        <v>7328</v>
      </c>
      <c r="B283" s="10" t="s">
        <v>2813</v>
      </c>
      <c r="C283" s="10" t="s">
        <v>96</v>
      </c>
      <c r="D283" s="9" t="s">
        <v>134</v>
      </c>
      <c r="E283" s="9" t="s">
        <v>762</v>
      </c>
      <c r="F283" s="10" t="s">
        <v>2559</v>
      </c>
      <c r="G283" s="11">
        <v>45678</v>
      </c>
    </row>
    <row r="284" spans="1:7" ht="36.5" hidden="1" x14ac:dyDescent="0.35">
      <c r="A284" s="8">
        <v>7329</v>
      </c>
      <c r="B284" s="10" t="s">
        <v>2814</v>
      </c>
      <c r="C284" s="10" t="s">
        <v>134</v>
      </c>
      <c r="D284" s="9" t="s">
        <v>134</v>
      </c>
      <c r="E284" s="9" t="s">
        <v>762</v>
      </c>
      <c r="F284" s="10" t="s">
        <v>2516</v>
      </c>
      <c r="G284" s="11">
        <v>45678</v>
      </c>
    </row>
    <row r="285" spans="1:7" ht="24.5" hidden="1" x14ac:dyDescent="0.35">
      <c r="A285" s="8">
        <v>7331</v>
      </c>
      <c r="B285" s="10" t="s">
        <v>2815</v>
      </c>
      <c r="C285" s="10" t="s">
        <v>13</v>
      </c>
      <c r="D285" s="9" t="s">
        <v>13</v>
      </c>
      <c r="E285" s="9" t="s">
        <v>896</v>
      </c>
      <c r="F285" s="10" t="s">
        <v>2540</v>
      </c>
      <c r="G285" s="11">
        <v>45678</v>
      </c>
    </row>
    <row r="286" spans="1:7" ht="48.5" hidden="1" x14ac:dyDescent="0.35">
      <c r="A286" s="8">
        <v>7330</v>
      </c>
      <c r="B286" s="10" t="s">
        <v>2816</v>
      </c>
      <c r="C286" s="10" t="s">
        <v>134</v>
      </c>
      <c r="D286" s="9" t="s">
        <v>134</v>
      </c>
      <c r="E286" s="9" t="s">
        <v>896</v>
      </c>
      <c r="F286" s="10" t="s">
        <v>2559</v>
      </c>
      <c r="G286" s="11">
        <v>45678</v>
      </c>
    </row>
    <row r="287" spans="1:7" ht="36.5" hidden="1" x14ac:dyDescent="0.35">
      <c r="A287" s="8">
        <v>7332</v>
      </c>
      <c r="B287" s="10" t="s">
        <v>2817</v>
      </c>
      <c r="C287" s="10" t="s">
        <v>190</v>
      </c>
      <c r="D287" s="9" t="s">
        <v>395</v>
      </c>
      <c r="E287" s="9" t="s">
        <v>1045</v>
      </c>
      <c r="F287" s="10" t="s">
        <v>2530</v>
      </c>
      <c r="G287" s="11">
        <v>45678</v>
      </c>
    </row>
    <row r="288" spans="1:7" ht="24.5" hidden="1" x14ac:dyDescent="0.35">
      <c r="A288" s="8">
        <v>7334</v>
      </c>
      <c r="B288" s="10" t="s">
        <v>2818</v>
      </c>
      <c r="C288" s="10" t="s">
        <v>2819</v>
      </c>
      <c r="D288" s="9" t="s">
        <v>95</v>
      </c>
      <c r="E288" s="9" t="s">
        <v>1014</v>
      </c>
      <c r="F288" s="10" t="s">
        <v>2522</v>
      </c>
      <c r="G288" s="11">
        <v>45678</v>
      </c>
    </row>
    <row r="289" spans="1:7" ht="24.5" hidden="1" x14ac:dyDescent="0.35">
      <c r="A289" s="8">
        <v>7333</v>
      </c>
      <c r="B289" s="10" t="s">
        <v>2820</v>
      </c>
      <c r="C289" s="10" t="s">
        <v>196</v>
      </c>
      <c r="D289" s="9" t="s">
        <v>95</v>
      </c>
      <c r="E289" s="9" t="s">
        <v>1014</v>
      </c>
      <c r="F289" s="10" t="s">
        <v>2522</v>
      </c>
      <c r="G289" s="11">
        <v>45678</v>
      </c>
    </row>
    <row r="290" spans="1:7" ht="48.5" hidden="1" x14ac:dyDescent="0.35">
      <c r="A290" s="8">
        <v>7335</v>
      </c>
      <c r="B290" s="10" t="s">
        <v>2821</v>
      </c>
      <c r="C290" s="10" t="s">
        <v>26</v>
      </c>
      <c r="D290" s="9" t="s">
        <v>95</v>
      </c>
      <c r="E290" s="9" t="s">
        <v>479</v>
      </c>
      <c r="F290" s="10" t="s">
        <v>2559</v>
      </c>
      <c r="G290" s="11">
        <v>45678</v>
      </c>
    </row>
    <row r="291" spans="1:7" ht="36.5" hidden="1" x14ac:dyDescent="0.35">
      <c r="A291" s="8">
        <v>7339</v>
      </c>
      <c r="B291" s="10" t="s">
        <v>2822</v>
      </c>
      <c r="C291" s="10" t="s">
        <v>21</v>
      </c>
      <c r="D291" s="9" t="s">
        <v>21</v>
      </c>
      <c r="E291" s="9" t="s">
        <v>333</v>
      </c>
      <c r="F291" s="10" t="s">
        <v>2540</v>
      </c>
      <c r="G291" s="11">
        <v>45679</v>
      </c>
    </row>
    <row r="292" spans="1:7" ht="36.5" hidden="1" x14ac:dyDescent="0.35">
      <c r="A292" s="8">
        <v>7340</v>
      </c>
      <c r="B292" s="10" t="s">
        <v>2823</v>
      </c>
      <c r="C292" s="10" t="s">
        <v>220</v>
      </c>
      <c r="D292" s="9" t="s">
        <v>220</v>
      </c>
      <c r="E292" s="9" t="s">
        <v>305</v>
      </c>
      <c r="F292" s="10" t="s">
        <v>2516</v>
      </c>
      <c r="G292" s="11">
        <v>45679</v>
      </c>
    </row>
    <row r="293" spans="1:7" ht="36.5" hidden="1" x14ac:dyDescent="0.35">
      <c r="A293" s="8">
        <v>7338</v>
      </c>
      <c r="B293" s="10" t="s">
        <v>2824</v>
      </c>
      <c r="C293" s="10" t="s">
        <v>193</v>
      </c>
      <c r="D293" s="9" t="s">
        <v>193</v>
      </c>
      <c r="E293" s="9" t="s">
        <v>1828</v>
      </c>
      <c r="F293" s="10" t="s">
        <v>2522</v>
      </c>
      <c r="G293" s="11">
        <v>45679</v>
      </c>
    </row>
    <row r="294" spans="1:7" ht="36.5" hidden="1" x14ac:dyDescent="0.35">
      <c r="A294" s="8">
        <v>7337</v>
      </c>
      <c r="B294" s="10" t="s">
        <v>2825</v>
      </c>
      <c r="C294" s="10" t="s">
        <v>193</v>
      </c>
      <c r="D294" s="9" t="s">
        <v>193</v>
      </c>
      <c r="E294" s="9" t="s">
        <v>1828</v>
      </c>
      <c r="F294" s="10" t="s">
        <v>2522</v>
      </c>
      <c r="G294" s="11">
        <v>45679</v>
      </c>
    </row>
    <row r="295" spans="1:7" ht="36.5" hidden="1" x14ac:dyDescent="0.35">
      <c r="A295" s="8">
        <v>7341</v>
      </c>
      <c r="B295" s="10" t="s">
        <v>2826</v>
      </c>
      <c r="C295" s="10" t="s">
        <v>21</v>
      </c>
      <c r="D295" s="9" t="s">
        <v>21</v>
      </c>
      <c r="E295" s="9" t="s">
        <v>1484</v>
      </c>
      <c r="F295" s="10" t="s">
        <v>2530</v>
      </c>
      <c r="G295" s="11">
        <v>45679</v>
      </c>
    </row>
    <row r="296" spans="1:7" ht="24.5" hidden="1" x14ac:dyDescent="0.35">
      <c r="A296" s="8">
        <v>7342</v>
      </c>
      <c r="B296" s="10" t="s">
        <v>2827</v>
      </c>
      <c r="C296" s="10" t="s">
        <v>13</v>
      </c>
      <c r="D296" s="9" t="s">
        <v>13</v>
      </c>
      <c r="E296" s="9" t="s">
        <v>762</v>
      </c>
      <c r="F296" s="10" t="s">
        <v>2522</v>
      </c>
      <c r="G296" s="11">
        <v>45679</v>
      </c>
    </row>
    <row r="297" spans="1:7" ht="24.5" hidden="1" x14ac:dyDescent="0.35">
      <c r="A297" s="8">
        <v>7343</v>
      </c>
      <c r="B297" s="10" t="s">
        <v>2828</v>
      </c>
      <c r="C297" s="10" t="s">
        <v>21</v>
      </c>
      <c r="D297" s="9" t="s">
        <v>21</v>
      </c>
      <c r="E297" s="9" t="s">
        <v>762</v>
      </c>
      <c r="F297" s="10" t="s">
        <v>2522</v>
      </c>
      <c r="G297" s="11">
        <v>45679</v>
      </c>
    </row>
    <row r="298" spans="1:7" ht="24.5" hidden="1" x14ac:dyDescent="0.35">
      <c r="A298" s="8">
        <v>7344</v>
      </c>
      <c r="B298" s="10" t="s">
        <v>2829</v>
      </c>
      <c r="C298" s="10" t="s">
        <v>134</v>
      </c>
      <c r="D298" s="9" t="s">
        <v>134</v>
      </c>
      <c r="E298" s="9" t="s">
        <v>762</v>
      </c>
      <c r="F298" s="10" t="s">
        <v>2522</v>
      </c>
      <c r="G298" s="11">
        <v>45679</v>
      </c>
    </row>
    <row r="299" spans="1:7" ht="24.5" hidden="1" x14ac:dyDescent="0.35">
      <c r="A299" s="8">
        <v>7345</v>
      </c>
      <c r="B299" s="10" t="s">
        <v>2830</v>
      </c>
      <c r="C299" s="10" t="s">
        <v>95</v>
      </c>
      <c r="D299" s="9" t="s">
        <v>95</v>
      </c>
      <c r="E299" s="9" t="s">
        <v>822</v>
      </c>
      <c r="F299" s="10" t="s">
        <v>2522</v>
      </c>
      <c r="G299" s="11">
        <v>45679</v>
      </c>
    </row>
    <row r="300" spans="1:7" ht="24.5" hidden="1" x14ac:dyDescent="0.35">
      <c r="A300" s="8">
        <v>7346</v>
      </c>
      <c r="B300" s="10" t="s">
        <v>2831</v>
      </c>
      <c r="C300" s="10" t="s">
        <v>95</v>
      </c>
      <c r="D300" s="9" t="s">
        <v>95</v>
      </c>
      <c r="E300" s="9" t="s">
        <v>822</v>
      </c>
      <c r="F300" s="10" t="s">
        <v>2522</v>
      </c>
      <c r="G300" s="11">
        <v>45679</v>
      </c>
    </row>
    <row r="301" spans="1:7" ht="36.5" hidden="1" x14ac:dyDescent="0.35">
      <c r="A301" s="8">
        <v>7350</v>
      </c>
      <c r="B301" s="10" t="s">
        <v>2832</v>
      </c>
      <c r="C301" s="10" t="s">
        <v>21</v>
      </c>
      <c r="D301" s="9" t="s">
        <v>21</v>
      </c>
      <c r="E301" s="9" t="s">
        <v>633</v>
      </c>
      <c r="F301" s="10" t="s">
        <v>2516</v>
      </c>
      <c r="G301" s="11">
        <v>45679</v>
      </c>
    </row>
    <row r="302" spans="1:7" ht="24.5" hidden="1" x14ac:dyDescent="0.35">
      <c r="A302" s="8">
        <v>7349</v>
      </c>
      <c r="B302" s="10" t="s">
        <v>2833</v>
      </c>
      <c r="C302" s="10" t="s">
        <v>250</v>
      </c>
      <c r="D302" s="9" t="s">
        <v>395</v>
      </c>
      <c r="E302" s="9" t="s">
        <v>1045</v>
      </c>
      <c r="F302" s="10" t="s">
        <v>2834</v>
      </c>
      <c r="G302" s="11">
        <v>45679</v>
      </c>
    </row>
    <row r="303" spans="1:7" ht="36.5" hidden="1" x14ac:dyDescent="0.35">
      <c r="A303" s="8">
        <v>7351</v>
      </c>
      <c r="B303" s="10" t="s">
        <v>2835</v>
      </c>
      <c r="C303" s="10" t="s">
        <v>134</v>
      </c>
      <c r="D303" s="9" t="s">
        <v>134</v>
      </c>
      <c r="E303" s="9" t="s">
        <v>762</v>
      </c>
      <c r="F303" s="10" t="s">
        <v>2530</v>
      </c>
      <c r="G303" s="11">
        <v>45679</v>
      </c>
    </row>
    <row r="304" spans="1:7" ht="48.5" hidden="1" x14ac:dyDescent="0.35">
      <c r="A304" s="8">
        <v>7354</v>
      </c>
      <c r="B304" s="10" t="s">
        <v>2836</v>
      </c>
      <c r="C304" s="10" t="s">
        <v>96</v>
      </c>
      <c r="D304" s="9" t="s">
        <v>134</v>
      </c>
      <c r="E304" s="9" t="s">
        <v>762</v>
      </c>
      <c r="F304" s="10" t="s">
        <v>2559</v>
      </c>
      <c r="G304" s="11">
        <v>45679</v>
      </c>
    </row>
    <row r="305" spans="1:7" ht="24.5" hidden="1" x14ac:dyDescent="0.35">
      <c r="A305" s="8">
        <v>7353</v>
      </c>
      <c r="B305" s="10" t="s">
        <v>2837</v>
      </c>
      <c r="C305" s="10" t="s">
        <v>134</v>
      </c>
      <c r="D305" s="9" t="s">
        <v>134</v>
      </c>
      <c r="E305" s="9" t="s">
        <v>762</v>
      </c>
      <c r="F305" s="10" t="s">
        <v>2522</v>
      </c>
      <c r="G305" s="11">
        <v>45679</v>
      </c>
    </row>
    <row r="306" spans="1:7" ht="36.5" hidden="1" x14ac:dyDescent="0.35">
      <c r="A306" s="8">
        <v>7355</v>
      </c>
      <c r="B306" s="10" t="s">
        <v>2838</v>
      </c>
      <c r="C306" s="10" t="s">
        <v>13</v>
      </c>
      <c r="D306" s="9" t="s">
        <v>95</v>
      </c>
      <c r="E306" s="9" t="s">
        <v>426</v>
      </c>
      <c r="F306" s="10" t="s">
        <v>2530</v>
      </c>
      <c r="G306" s="11">
        <v>45680</v>
      </c>
    </row>
    <row r="307" spans="1:7" ht="36.5" hidden="1" x14ac:dyDescent="0.35">
      <c r="A307" s="8">
        <v>7364</v>
      </c>
      <c r="B307" s="10" t="s">
        <v>2839</v>
      </c>
      <c r="C307" s="10" t="s">
        <v>190</v>
      </c>
      <c r="D307" s="9" t="s">
        <v>190</v>
      </c>
      <c r="E307" s="9" t="s">
        <v>413</v>
      </c>
      <c r="F307" s="10" t="s">
        <v>2516</v>
      </c>
      <c r="G307" s="11">
        <v>45680</v>
      </c>
    </row>
    <row r="308" spans="1:7" ht="36.5" hidden="1" x14ac:dyDescent="0.35">
      <c r="A308" s="8">
        <v>7363</v>
      </c>
      <c r="B308" s="10" t="s">
        <v>2840</v>
      </c>
      <c r="C308" s="10" t="s">
        <v>250</v>
      </c>
      <c r="D308" s="9" t="s">
        <v>220</v>
      </c>
      <c r="E308" s="9" t="s">
        <v>327</v>
      </c>
      <c r="F308" s="10" t="s">
        <v>2516</v>
      </c>
      <c r="G308" s="11">
        <v>45680</v>
      </c>
    </row>
    <row r="309" spans="1:7" ht="36.5" hidden="1" x14ac:dyDescent="0.35">
      <c r="A309" s="8">
        <v>7365</v>
      </c>
      <c r="B309" s="10" t="s">
        <v>2841</v>
      </c>
      <c r="C309" s="10" t="s">
        <v>96</v>
      </c>
      <c r="D309" s="9" t="s">
        <v>104</v>
      </c>
      <c r="E309" s="9" t="s">
        <v>483</v>
      </c>
      <c r="F309" s="10" t="s">
        <v>2572</v>
      </c>
      <c r="G309" s="11">
        <v>45680</v>
      </c>
    </row>
    <row r="310" spans="1:7" ht="48.5" hidden="1" x14ac:dyDescent="0.35">
      <c r="A310" s="8">
        <v>7366</v>
      </c>
      <c r="B310" s="10" t="s">
        <v>2842</v>
      </c>
      <c r="C310" s="10" t="s">
        <v>395</v>
      </c>
      <c r="D310" s="9" t="s">
        <v>96</v>
      </c>
      <c r="E310" s="9" t="s">
        <v>99</v>
      </c>
      <c r="F310" s="10" t="s">
        <v>2715</v>
      </c>
      <c r="G310" s="11">
        <v>45680</v>
      </c>
    </row>
    <row r="311" spans="1:7" ht="24.5" hidden="1" x14ac:dyDescent="0.35">
      <c r="A311" s="8">
        <v>7367</v>
      </c>
      <c r="B311" s="10" t="s">
        <v>2843</v>
      </c>
      <c r="C311" s="10" t="s">
        <v>190</v>
      </c>
      <c r="D311" s="9" t="s">
        <v>220</v>
      </c>
      <c r="E311" s="9" t="s">
        <v>327</v>
      </c>
      <c r="F311" s="10" t="s">
        <v>2522</v>
      </c>
      <c r="G311" s="11">
        <v>45680</v>
      </c>
    </row>
    <row r="312" spans="1:7" ht="36.5" hidden="1" x14ac:dyDescent="0.35">
      <c r="A312" s="8">
        <v>7368</v>
      </c>
      <c r="B312" s="10" t="s">
        <v>2844</v>
      </c>
      <c r="C312" s="10" t="s">
        <v>34</v>
      </c>
      <c r="D312" s="9" t="s">
        <v>220</v>
      </c>
      <c r="E312" s="9" t="s">
        <v>2845</v>
      </c>
      <c r="F312" s="10" t="s">
        <v>2715</v>
      </c>
      <c r="G312" s="11">
        <v>45680</v>
      </c>
    </row>
    <row r="313" spans="1:7" ht="36.5" hidden="1" x14ac:dyDescent="0.35">
      <c r="A313" s="8">
        <v>7369</v>
      </c>
      <c r="B313" s="10" t="s">
        <v>2846</v>
      </c>
      <c r="C313" s="10" t="s">
        <v>220</v>
      </c>
      <c r="D313" s="9" t="s">
        <v>13</v>
      </c>
      <c r="E313" s="9" t="s">
        <v>2336</v>
      </c>
      <c r="F313" s="10" t="s">
        <v>2522</v>
      </c>
      <c r="G313" s="11">
        <v>45680</v>
      </c>
    </row>
    <row r="314" spans="1:7" ht="36.5" hidden="1" x14ac:dyDescent="0.35">
      <c r="A314" s="8">
        <v>7371</v>
      </c>
      <c r="B314" s="10" t="s">
        <v>2847</v>
      </c>
      <c r="C314" s="10" t="s">
        <v>26</v>
      </c>
      <c r="D314" s="9" t="s">
        <v>134</v>
      </c>
      <c r="E314" s="9" t="s">
        <v>936</v>
      </c>
      <c r="F314" s="10" t="s">
        <v>2715</v>
      </c>
      <c r="G314" s="11">
        <v>45680</v>
      </c>
    </row>
    <row r="315" spans="1:7" ht="36.5" hidden="1" x14ac:dyDescent="0.35">
      <c r="A315" s="8">
        <v>7372</v>
      </c>
      <c r="B315" s="10" t="s">
        <v>2848</v>
      </c>
      <c r="C315" s="10" t="s">
        <v>134</v>
      </c>
      <c r="D315" s="9" t="s">
        <v>134</v>
      </c>
      <c r="E315" s="9" t="s">
        <v>633</v>
      </c>
      <c r="F315" s="10" t="s">
        <v>2516</v>
      </c>
      <c r="G315" s="11">
        <v>45680</v>
      </c>
    </row>
    <row r="316" spans="1:7" ht="48.5" hidden="1" x14ac:dyDescent="0.35">
      <c r="A316" s="8">
        <v>7373</v>
      </c>
      <c r="B316" s="10" t="s">
        <v>2849</v>
      </c>
      <c r="C316" s="10" t="s">
        <v>134</v>
      </c>
      <c r="D316" s="9" t="s">
        <v>134</v>
      </c>
      <c r="E316" s="9" t="s">
        <v>633</v>
      </c>
      <c r="F316" s="10" t="s">
        <v>2522</v>
      </c>
      <c r="G316" s="11">
        <v>45680</v>
      </c>
    </row>
    <row r="317" spans="1:7" ht="48.5" hidden="1" x14ac:dyDescent="0.35">
      <c r="A317" s="8">
        <v>7374</v>
      </c>
      <c r="B317" s="10" t="s">
        <v>2850</v>
      </c>
      <c r="C317" s="10" t="s">
        <v>21</v>
      </c>
      <c r="D317" s="9" t="s">
        <v>21</v>
      </c>
      <c r="E317" s="9" t="s">
        <v>633</v>
      </c>
      <c r="F317" s="10" t="s">
        <v>2540</v>
      </c>
      <c r="G317" s="11">
        <v>45680</v>
      </c>
    </row>
    <row r="318" spans="1:7" ht="24.5" hidden="1" x14ac:dyDescent="0.35">
      <c r="A318" s="8">
        <v>7375</v>
      </c>
      <c r="B318" s="10" t="s">
        <v>2851</v>
      </c>
      <c r="C318" s="10" t="s">
        <v>21</v>
      </c>
      <c r="D318" s="9" t="s">
        <v>21</v>
      </c>
      <c r="E318" s="9" t="s">
        <v>633</v>
      </c>
      <c r="F318" s="10" t="s">
        <v>2522</v>
      </c>
      <c r="G318" s="11">
        <v>45680</v>
      </c>
    </row>
    <row r="319" spans="1:7" ht="24.5" hidden="1" x14ac:dyDescent="0.35">
      <c r="A319" s="8">
        <v>7377</v>
      </c>
      <c r="B319" s="10" t="s">
        <v>2852</v>
      </c>
      <c r="C319" s="10" t="s">
        <v>196</v>
      </c>
      <c r="D319" s="9" t="s">
        <v>196</v>
      </c>
      <c r="E319" s="9" t="s">
        <v>595</v>
      </c>
      <c r="F319" s="10" t="s">
        <v>2537</v>
      </c>
      <c r="G319" s="11">
        <v>45680</v>
      </c>
    </row>
    <row r="320" spans="1:7" ht="24.5" hidden="1" x14ac:dyDescent="0.35">
      <c r="A320" s="8">
        <v>7376</v>
      </c>
      <c r="B320" s="10" t="s">
        <v>2853</v>
      </c>
      <c r="C320" s="10" t="s">
        <v>21</v>
      </c>
      <c r="D320" s="9" t="s">
        <v>21</v>
      </c>
      <c r="E320" s="9" t="s">
        <v>633</v>
      </c>
      <c r="F320" s="10" t="s">
        <v>2522</v>
      </c>
      <c r="G320" s="11">
        <v>45680</v>
      </c>
    </row>
    <row r="321" spans="1:7" ht="36.5" hidden="1" x14ac:dyDescent="0.35">
      <c r="A321" s="8">
        <v>7379</v>
      </c>
      <c r="B321" s="10" t="s">
        <v>2854</v>
      </c>
      <c r="C321" s="10" t="s">
        <v>13</v>
      </c>
      <c r="D321" s="9" t="s">
        <v>13</v>
      </c>
      <c r="E321" s="9" t="s">
        <v>1484</v>
      </c>
      <c r="F321" s="10" t="s">
        <v>2525</v>
      </c>
      <c r="G321" s="11">
        <v>45681</v>
      </c>
    </row>
    <row r="322" spans="1:7" ht="36.5" hidden="1" x14ac:dyDescent="0.35">
      <c r="A322" s="8">
        <v>7378</v>
      </c>
      <c r="B322" s="10" t="s">
        <v>2855</v>
      </c>
      <c r="C322" s="10" t="s">
        <v>13</v>
      </c>
      <c r="D322" s="9" t="s">
        <v>13</v>
      </c>
      <c r="E322" s="9" t="s">
        <v>1484</v>
      </c>
      <c r="F322" s="10" t="s">
        <v>2516</v>
      </c>
      <c r="G322" s="11">
        <v>45681</v>
      </c>
    </row>
    <row r="323" spans="1:7" ht="24.5" hidden="1" x14ac:dyDescent="0.35">
      <c r="A323" s="8">
        <v>7382</v>
      </c>
      <c r="B323" s="10" t="s">
        <v>2856</v>
      </c>
      <c r="C323" s="10" t="s">
        <v>21</v>
      </c>
      <c r="D323" s="9" t="s">
        <v>21</v>
      </c>
      <c r="E323" s="9" t="s">
        <v>1484</v>
      </c>
      <c r="F323" s="10" t="s">
        <v>2540</v>
      </c>
      <c r="G323" s="11">
        <v>45681</v>
      </c>
    </row>
    <row r="324" spans="1:7" ht="36.5" hidden="1" x14ac:dyDescent="0.35">
      <c r="A324" s="8">
        <v>7381</v>
      </c>
      <c r="B324" s="10" t="s">
        <v>2857</v>
      </c>
      <c r="C324" s="10" t="s">
        <v>21</v>
      </c>
      <c r="D324" s="9" t="s">
        <v>21</v>
      </c>
      <c r="E324" s="9" t="s">
        <v>1484</v>
      </c>
      <c r="F324" s="10" t="s">
        <v>2530</v>
      </c>
      <c r="G324" s="11">
        <v>45681</v>
      </c>
    </row>
    <row r="325" spans="1:7" ht="36.5" hidden="1" x14ac:dyDescent="0.35">
      <c r="A325" s="8">
        <v>7383</v>
      </c>
      <c r="B325" s="10" t="s">
        <v>2858</v>
      </c>
      <c r="C325" s="10" t="s">
        <v>13</v>
      </c>
      <c r="D325" s="9" t="s">
        <v>190</v>
      </c>
      <c r="E325" s="9" t="s">
        <v>418</v>
      </c>
      <c r="F325" s="10" t="s">
        <v>2516</v>
      </c>
      <c r="G325" s="11">
        <v>45681</v>
      </c>
    </row>
    <row r="326" spans="1:7" ht="24.5" hidden="1" x14ac:dyDescent="0.35">
      <c r="A326" s="8">
        <v>7380</v>
      </c>
      <c r="B326" s="10" t="s">
        <v>2859</v>
      </c>
      <c r="C326" s="10" t="s">
        <v>13</v>
      </c>
      <c r="D326" s="9" t="s">
        <v>13</v>
      </c>
      <c r="E326" s="9" t="s">
        <v>819</v>
      </c>
      <c r="F326" s="10" t="s">
        <v>2522</v>
      </c>
      <c r="G326" s="11">
        <v>45681</v>
      </c>
    </row>
    <row r="327" spans="1:7" ht="36.5" hidden="1" x14ac:dyDescent="0.35">
      <c r="A327" s="8">
        <v>7394</v>
      </c>
      <c r="B327" s="10" t="s">
        <v>2860</v>
      </c>
      <c r="C327" s="10" t="s">
        <v>13</v>
      </c>
      <c r="D327" s="9" t="s">
        <v>13</v>
      </c>
      <c r="E327" s="9" t="s">
        <v>633</v>
      </c>
      <c r="F327" s="10" t="s">
        <v>2530</v>
      </c>
      <c r="G327" s="11">
        <v>45681</v>
      </c>
    </row>
    <row r="328" spans="1:7" ht="36.5" hidden="1" x14ac:dyDescent="0.35">
      <c r="A328" s="8">
        <v>7392</v>
      </c>
      <c r="B328" s="10" t="s">
        <v>2861</v>
      </c>
      <c r="C328" s="10" t="s">
        <v>21</v>
      </c>
      <c r="D328" s="9" t="s">
        <v>21</v>
      </c>
      <c r="E328" s="9" t="s">
        <v>762</v>
      </c>
      <c r="F328" s="10" t="s">
        <v>2540</v>
      </c>
      <c r="G328" s="11">
        <v>45681</v>
      </c>
    </row>
    <row r="329" spans="1:7" ht="24.5" hidden="1" x14ac:dyDescent="0.35">
      <c r="A329" s="8">
        <v>7393</v>
      </c>
      <c r="B329" s="10" t="s">
        <v>2827</v>
      </c>
      <c r="C329" s="10" t="s">
        <v>13</v>
      </c>
      <c r="D329" s="9" t="s">
        <v>13</v>
      </c>
      <c r="E329" s="9" t="s">
        <v>762</v>
      </c>
      <c r="F329" s="10" t="s">
        <v>2522</v>
      </c>
      <c r="G329" s="11">
        <v>45681</v>
      </c>
    </row>
    <row r="330" spans="1:7" ht="48.5" hidden="1" x14ac:dyDescent="0.35">
      <c r="A330" s="8">
        <v>7396</v>
      </c>
      <c r="B330" s="10" t="s">
        <v>2862</v>
      </c>
      <c r="C330" s="10" t="s">
        <v>104</v>
      </c>
      <c r="D330" s="9" t="s">
        <v>95</v>
      </c>
      <c r="E330" s="9" t="s">
        <v>2863</v>
      </c>
      <c r="F330" s="10" t="s">
        <v>2559</v>
      </c>
      <c r="G330" s="11">
        <v>45681</v>
      </c>
    </row>
    <row r="331" spans="1:7" ht="24.5" hidden="1" x14ac:dyDescent="0.35">
      <c r="A331" s="8">
        <v>7398</v>
      </c>
      <c r="B331" s="10" t="s">
        <v>2864</v>
      </c>
      <c r="C331" s="10" t="s">
        <v>21</v>
      </c>
      <c r="D331" s="9" t="s">
        <v>21</v>
      </c>
      <c r="E331" s="9" t="s">
        <v>633</v>
      </c>
      <c r="F331" s="10" t="s">
        <v>2834</v>
      </c>
      <c r="G331" s="11">
        <v>45681</v>
      </c>
    </row>
    <row r="332" spans="1:7" ht="36.5" hidden="1" x14ac:dyDescent="0.35">
      <c r="A332" s="8">
        <v>7399</v>
      </c>
      <c r="B332" s="10" t="s">
        <v>2865</v>
      </c>
      <c r="C332" s="10" t="s">
        <v>371</v>
      </c>
      <c r="D332" s="9" t="s">
        <v>395</v>
      </c>
      <c r="E332" s="9" t="s">
        <v>1045</v>
      </c>
      <c r="F332" s="10" t="s">
        <v>2516</v>
      </c>
      <c r="G332" s="11">
        <v>45681</v>
      </c>
    </row>
    <row r="333" spans="1:7" ht="24.5" hidden="1" x14ac:dyDescent="0.35">
      <c r="A333" s="8">
        <v>7401</v>
      </c>
      <c r="B333" s="10" t="s">
        <v>2866</v>
      </c>
      <c r="C333" s="10" t="s">
        <v>96</v>
      </c>
      <c r="D333" s="9" t="s">
        <v>13</v>
      </c>
      <c r="E333" s="9" t="s">
        <v>633</v>
      </c>
      <c r="F333" s="10" t="s">
        <v>2537</v>
      </c>
      <c r="G333" s="11">
        <v>45682</v>
      </c>
    </row>
    <row r="334" spans="1:7" ht="36.5" hidden="1" x14ac:dyDescent="0.35">
      <c r="A334" s="8">
        <v>7409</v>
      </c>
      <c r="B334" s="10" t="s">
        <v>2867</v>
      </c>
      <c r="C334" s="10" t="s">
        <v>26</v>
      </c>
      <c r="D334" s="9" t="s">
        <v>26</v>
      </c>
      <c r="E334" s="9" t="s">
        <v>1525</v>
      </c>
      <c r="F334" s="10" t="s">
        <v>2522</v>
      </c>
      <c r="G334" s="11">
        <v>45682</v>
      </c>
    </row>
    <row r="335" spans="1:7" ht="48.5" hidden="1" x14ac:dyDescent="0.35">
      <c r="A335" s="8">
        <v>7407</v>
      </c>
      <c r="B335" s="10" t="s">
        <v>2868</v>
      </c>
      <c r="C335" s="10" t="s">
        <v>220</v>
      </c>
      <c r="D335" s="9" t="s">
        <v>95</v>
      </c>
      <c r="E335" s="9" t="s">
        <v>2869</v>
      </c>
      <c r="F335" s="10" t="s">
        <v>2559</v>
      </c>
      <c r="G335" s="11">
        <v>45682</v>
      </c>
    </row>
    <row r="336" spans="1:7" ht="48.5" hidden="1" x14ac:dyDescent="0.35">
      <c r="A336" s="8">
        <v>7408</v>
      </c>
      <c r="B336" s="10" t="s">
        <v>2870</v>
      </c>
      <c r="C336" s="10" t="s">
        <v>220</v>
      </c>
      <c r="D336" s="9" t="s">
        <v>95</v>
      </c>
      <c r="E336" s="9" t="s">
        <v>2869</v>
      </c>
      <c r="F336" s="10" t="s">
        <v>2559</v>
      </c>
      <c r="G336" s="11">
        <v>45682</v>
      </c>
    </row>
    <row r="337" spans="1:7" ht="36.5" hidden="1" x14ac:dyDescent="0.35">
      <c r="A337" s="8">
        <v>7412</v>
      </c>
      <c r="B337" s="10" t="s">
        <v>2871</v>
      </c>
      <c r="C337" s="10" t="s">
        <v>220</v>
      </c>
      <c r="D337" s="9" t="s">
        <v>395</v>
      </c>
      <c r="E337" s="9" t="s">
        <v>1926</v>
      </c>
      <c r="F337" s="10" t="s">
        <v>2525</v>
      </c>
      <c r="G337" s="11">
        <v>45689</v>
      </c>
    </row>
    <row r="338" spans="1:7" ht="24.5" hidden="1" x14ac:dyDescent="0.35">
      <c r="A338" s="8">
        <v>7413</v>
      </c>
      <c r="B338" s="10" t="s">
        <v>2872</v>
      </c>
      <c r="C338" s="10" t="s">
        <v>21</v>
      </c>
      <c r="D338" s="9" t="s">
        <v>21</v>
      </c>
      <c r="E338" s="9" t="s">
        <v>819</v>
      </c>
      <c r="F338" s="10" t="s">
        <v>2522</v>
      </c>
      <c r="G338" s="11">
        <v>45689</v>
      </c>
    </row>
    <row r="339" spans="1:7" ht="24.5" hidden="1" x14ac:dyDescent="0.35">
      <c r="A339" s="8">
        <v>7414</v>
      </c>
      <c r="B339" s="10" t="s">
        <v>2873</v>
      </c>
      <c r="C339" s="10" t="s">
        <v>104</v>
      </c>
      <c r="D339" s="9" t="s">
        <v>104</v>
      </c>
      <c r="E339" s="9" t="s">
        <v>819</v>
      </c>
      <c r="F339" s="10" t="s">
        <v>2522</v>
      </c>
      <c r="G339" s="11">
        <v>45689</v>
      </c>
    </row>
    <row r="340" spans="1:7" ht="36.5" hidden="1" x14ac:dyDescent="0.35">
      <c r="A340" s="8">
        <v>7415</v>
      </c>
      <c r="B340" s="10" t="s">
        <v>2874</v>
      </c>
      <c r="C340" s="10" t="s">
        <v>134</v>
      </c>
      <c r="D340" s="9" t="s">
        <v>134</v>
      </c>
      <c r="E340" s="9" t="s">
        <v>819</v>
      </c>
      <c r="F340" s="10" t="s">
        <v>2522</v>
      </c>
      <c r="G340" s="11">
        <v>45689</v>
      </c>
    </row>
    <row r="341" spans="1:7" ht="36.5" hidden="1" x14ac:dyDescent="0.35">
      <c r="A341" s="8">
        <v>7416</v>
      </c>
      <c r="B341" s="10" t="s">
        <v>2875</v>
      </c>
      <c r="C341" s="10" t="s">
        <v>134</v>
      </c>
      <c r="D341" s="9" t="s">
        <v>134</v>
      </c>
      <c r="E341" s="9" t="s">
        <v>896</v>
      </c>
      <c r="F341" s="10" t="s">
        <v>2516</v>
      </c>
      <c r="G341" s="11">
        <v>45689</v>
      </c>
    </row>
    <row r="342" spans="1:7" ht="36.5" hidden="1" x14ac:dyDescent="0.35">
      <c r="A342" s="8">
        <v>7418</v>
      </c>
      <c r="B342" s="10" t="s">
        <v>2876</v>
      </c>
      <c r="C342" s="10" t="s">
        <v>13</v>
      </c>
      <c r="D342" s="9" t="s">
        <v>13</v>
      </c>
      <c r="E342" s="9" t="s">
        <v>896</v>
      </c>
      <c r="F342" s="10" t="s">
        <v>2516</v>
      </c>
      <c r="G342" s="11">
        <v>45689</v>
      </c>
    </row>
    <row r="343" spans="1:7" ht="36.5" hidden="1" x14ac:dyDescent="0.35">
      <c r="A343" s="8">
        <v>7420</v>
      </c>
      <c r="B343" s="10" t="s">
        <v>2877</v>
      </c>
      <c r="C343" s="10" t="s">
        <v>134</v>
      </c>
      <c r="D343" s="9" t="s">
        <v>134</v>
      </c>
      <c r="E343" s="9" t="s">
        <v>896</v>
      </c>
      <c r="F343" s="10" t="s">
        <v>2516</v>
      </c>
      <c r="G343" s="11">
        <v>45689</v>
      </c>
    </row>
    <row r="344" spans="1:7" ht="36.5" hidden="1" x14ac:dyDescent="0.35">
      <c r="A344" s="8">
        <v>7419</v>
      </c>
      <c r="B344" s="10" t="s">
        <v>2878</v>
      </c>
      <c r="C344" s="10" t="s">
        <v>21</v>
      </c>
      <c r="D344" s="9" t="s">
        <v>21</v>
      </c>
      <c r="E344" s="9" t="s">
        <v>896</v>
      </c>
      <c r="F344" s="10" t="s">
        <v>2516</v>
      </c>
      <c r="G344" s="11">
        <v>45689</v>
      </c>
    </row>
    <row r="345" spans="1:7" ht="24.5" hidden="1" x14ac:dyDescent="0.35">
      <c r="A345" s="8">
        <v>7421</v>
      </c>
      <c r="B345" s="10" t="s">
        <v>2879</v>
      </c>
      <c r="C345" s="10" t="s">
        <v>371</v>
      </c>
      <c r="D345" s="9" t="s">
        <v>371</v>
      </c>
      <c r="E345" s="9" t="s">
        <v>1674</v>
      </c>
      <c r="F345" s="10" t="s">
        <v>2522</v>
      </c>
      <c r="G345" s="11">
        <v>45689</v>
      </c>
    </row>
    <row r="346" spans="1:7" ht="48.5" hidden="1" x14ac:dyDescent="0.35">
      <c r="A346" s="8">
        <v>7422</v>
      </c>
      <c r="B346" s="10" t="s">
        <v>2880</v>
      </c>
      <c r="C346" s="10" t="s">
        <v>196</v>
      </c>
      <c r="D346" s="9" t="s">
        <v>196</v>
      </c>
      <c r="E346" s="9" t="s">
        <v>595</v>
      </c>
      <c r="F346" s="10" t="s">
        <v>2559</v>
      </c>
      <c r="G346" s="11">
        <v>45689</v>
      </c>
    </row>
    <row r="347" spans="1:7" ht="24.5" hidden="1" x14ac:dyDescent="0.35">
      <c r="A347" s="8">
        <v>7426</v>
      </c>
      <c r="B347" s="10" t="s">
        <v>2881</v>
      </c>
      <c r="C347" s="10" t="s">
        <v>34</v>
      </c>
      <c r="D347" s="9" t="s">
        <v>34</v>
      </c>
      <c r="E347" s="9" t="s">
        <v>1525</v>
      </c>
      <c r="F347" s="10" t="s">
        <v>2540</v>
      </c>
      <c r="G347" s="11">
        <v>45689</v>
      </c>
    </row>
    <row r="348" spans="1:7" ht="48.5" hidden="1" x14ac:dyDescent="0.35">
      <c r="A348" s="8">
        <v>7425</v>
      </c>
      <c r="B348" s="10" t="s">
        <v>2882</v>
      </c>
      <c r="C348" s="10" t="s">
        <v>190</v>
      </c>
      <c r="D348" s="9" t="s">
        <v>190</v>
      </c>
      <c r="E348" s="9" t="s">
        <v>422</v>
      </c>
      <c r="F348" s="10" t="s">
        <v>2559</v>
      </c>
      <c r="G348" s="11">
        <v>45689</v>
      </c>
    </row>
    <row r="349" spans="1:7" ht="36.5" hidden="1" x14ac:dyDescent="0.35">
      <c r="A349" s="8">
        <v>7427</v>
      </c>
      <c r="B349" s="10" t="s">
        <v>2883</v>
      </c>
      <c r="C349" s="10" t="s">
        <v>250</v>
      </c>
      <c r="D349" s="9" t="s">
        <v>250</v>
      </c>
      <c r="E349" s="9" t="s">
        <v>410</v>
      </c>
      <c r="F349" s="10" t="s">
        <v>2516</v>
      </c>
      <c r="G349" s="11">
        <v>45689</v>
      </c>
    </row>
    <row r="350" spans="1:7" ht="36.5" hidden="1" x14ac:dyDescent="0.35">
      <c r="A350" s="8">
        <v>7423</v>
      </c>
      <c r="B350" s="10" t="s">
        <v>2884</v>
      </c>
      <c r="C350" s="10" t="s">
        <v>21</v>
      </c>
      <c r="D350" s="9" t="s">
        <v>21</v>
      </c>
      <c r="E350" s="9" t="s">
        <v>1484</v>
      </c>
      <c r="F350" s="10" t="s">
        <v>2530</v>
      </c>
      <c r="G350" s="11">
        <v>45689</v>
      </c>
    </row>
    <row r="351" spans="1:7" ht="24.5" hidden="1" x14ac:dyDescent="0.35">
      <c r="A351" s="8">
        <v>7429</v>
      </c>
      <c r="B351" s="10" t="s">
        <v>2885</v>
      </c>
      <c r="C351" s="10" t="s">
        <v>190</v>
      </c>
      <c r="D351" s="9" t="s">
        <v>190</v>
      </c>
      <c r="E351" s="9" t="s">
        <v>410</v>
      </c>
      <c r="F351" s="10" t="s">
        <v>2522</v>
      </c>
      <c r="G351" s="11">
        <v>45689</v>
      </c>
    </row>
    <row r="352" spans="1:7" ht="24.5" hidden="1" x14ac:dyDescent="0.35">
      <c r="A352" s="8">
        <v>7430</v>
      </c>
      <c r="B352" s="10" t="s">
        <v>2886</v>
      </c>
      <c r="C352" s="10" t="s">
        <v>220</v>
      </c>
      <c r="D352" s="9" t="s">
        <v>220</v>
      </c>
      <c r="E352" s="9" t="s">
        <v>327</v>
      </c>
      <c r="F352" s="10" t="s">
        <v>2522</v>
      </c>
      <c r="G352" s="11">
        <v>45689</v>
      </c>
    </row>
    <row r="353" spans="1:7" ht="36.5" hidden="1" x14ac:dyDescent="0.35">
      <c r="A353" s="8">
        <v>7431</v>
      </c>
      <c r="B353" s="10" t="s">
        <v>2887</v>
      </c>
      <c r="C353" s="10" t="s">
        <v>190</v>
      </c>
      <c r="D353" s="9" t="s">
        <v>190</v>
      </c>
      <c r="E353" s="9" t="s">
        <v>410</v>
      </c>
      <c r="F353" s="10" t="s">
        <v>2516</v>
      </c>
      <c r="G353" s="11">
        <v>45690</v>
      </c>
    </row>
    <row r="354" spans="1:7" ht="24.5" hidden="1" x14ac:dyDescent="0.35">
      <c r="A354" s="8">
        <v>7433</v>
      </c>
      <c r="B354" s="10" t="s">
        <v>2888</v>
      </c>
      <c r="C354" s="10" t="s">
        <v>104</v>
      </c>
      <c r="D354" s="9" t="s">
        <v>95</v>
      </c>
      <c r="E354" s="9" t="s">
        <v>1147</v>
      </c>
      <c r="F354" s="10" t="s">
        <v>2522</v>
      </c>
      <c r="G354" s="11">
        <v>45690</v>
      </c>
    </row>
    <row r="355" spans="1:7" ht="24.5" hidden="1" x14ac:dyDescent="0.35">
      <c r="A355" s="8">
        <v>7432</v>
      </c>
      <c r="B355" s="10" t="s">
        <v>2889</v>
      </c>
      <c r="C355" s="10" t="s">
        <v>250</v>
      </c>
      <c r="D355" s="9" t="s">
        <v>250</v>
      </c>
      <c r="E355" s="9" t="s">
        <v>377</v>
      </c>
      <c r="F355" s="10" t="s">
        <v>2522</v>
      </c>
      <c r="G355" s="11">
        <v>45690</v>
      </c>
    </row>
    <row r="356" spans="1:7" ht="36.5" hidden="1" x14ac:dyDescent="0.35">
      <c r="A356" s="8">
        <v>7435</v>
      </c>
      <c r="B356" s="10" t="s">
        <v>2890</v>
      </c>
      <c r="C356" s="10" t="s">
        <v>220</v>
      </c>
      <c r="D356" s="9" t="s">
        <v>220</v>
      </c>
      <c r="E356" s="9" t="s">
        <v>327</v>
      </c>
      <c r="F356" s="10" t="s">
        <v>2516</v>
      </c>
      <c r="G356" s="11">
        <v>45690</v>
      </c>
    </row>
    <row r="357" spans="1:7" ht="36.5" hidden="1" x14ac:dyDescent="0.35">
      <c r="A357" s="8">
        <v>7436</v>
      </c>
      <c r="B357" s="10" t="s">
        <v>2891</v>
      </c>
      <c r="C357" s="10" t="s">
        <v>34</v>
      </c>
      <c r="D357" s="9" t="s">
        <v>937</v>
      </c>
      <c r="E357" s="9" t="s">
        <v>1846</v>
      </c>
      <c r="F357" s="10" t="s">
        <v>2525</v>
      </c>
      <c r="G357" s="11">
        <v>45690</v>
      </c>
    </row>
    <row r="358" spans="1:7" ht="48.5" hidden="1" x14ac:dyDescent="0.35">
      <c r="A358" s="8">
        <v>7437</v>
      </c>
      <c r="B358" s="10" t="s">
        <v>2892</v>
      </c>
      <c r="C358" s="10" t="s">
        <v>250</v>
      </c>
      <c r="D358" s="9" t="s">
        <v>395</v>
      </c>
      <c r="E358" s="9" t="s">
        <v>1045</v>
      </c>
      <c r="F358" s="10" t="s">
        <v>2522</v>
      </c>
      <c r="G358" s="11">
        <v>45690</v>
      </c>
    </row>
    <row r="359" spans="1:7" ht="24.5" hidden="1" x14ac:dyDescent="0.35">
      <c r="A359" s="8">
        <v>7438</v>
      </c>
      <c r="B359" s="10" t="s">
        <v>2893</v>
      </c>
      <c r="C359" s="10" t="s">
        <v>134</v>
      </c>
      <c r="D359" s="9" t="s">
        <v>134</v>
      </c>
      <c r="E359" s="9" t="s">
        <v>819</v>
      </c>
      <c r="F359" s="10" t="s">
        <v>2522</v>
      </c>
      <c r="G359" s="11">
        <v>45690</v>
      </c>
    </row>
    <row r="360" spans="1:7" ht="36.5" hidden="1" x14ac:dyDescent="0.35">
      <c r="A360" s="8">
        <v>7439</v>
      </c>
      <c r="B360" s="10" t="s">
        <v>2894</v>
      </c>
      <c r="C360" s="10" t="s">
        <v>34</v>
      </c>
      <c r="D360" s="9" t="s">
        <v>34</v>
      </c>
      <c r="E360" s="9" t="s">
        <v>78</v>
      </c>
      <c r="F360" s="10" t="s">
        <v>2516</v>
      </c>
      <c r="G360" s="11">
        <v>45690</v>
      </c>
    </row>
    <row r="361" spans="1:7" ht="36.5" hidden="1" x14ac:dyDescent="0.35">
      <c r="A361" s="8">
        <v>7440</v>
      </c>
      <c r="B361" s="10" t="s">
        <v>2895</v>
      </c>
      <c r="C361" s="10" t="s">
        <v>193</v>
      </c>
      <c r="D361" s="9" t="s">
        <v>193</v>
      </c>
      <c r="E361" s="9" t="s">
        <v>1828</v>
      </c>
      <c r="F361" s="10" t="s">
        <v>2522</v>
      </c>
      <c r="G361" s="11">
        <v>45690</v>
      </c>
    </row>
    <row r="362" spans="1:7" ht="24.5" hidden="1" x14ac:dyDescent="0.35">
      <c r="A362" s="8">
        <v>7442</v>
      </c>
      <c r="B362" s="10" t="s">
        <v>2896</v>
      </c>
      <c r="C362" s="10" t="s">
        <v>196</v>
      </c>
      <c r="D362" s="9" t="s">
        <v>196</v>
      </c>
      <c r="E362" s="9" t="s">
        <v>595</v>
      </c>
      <c r="F362" s="10" t="s">
        <v>2537</v>
      </c>
      <c r="G362" s="11">
        <v>45690</v>
      </c>
    </row>
    <row r="363" spans="1:7" ht="36.5" hidden="1" x14ac:dyDescent="0.35">
      <c r="A363" s="8">
        <v>7441</v>
      </c>
      <c r="B363" s="10" t="s">
        <v>2897</v>
      </c>
      <c r="C363" s="10" t="s">
        <v>193</v>
      </c>
      <c r="D363" s="9" t="s">
        <v>193</v>
      </c>
      <c r="E363" s="9" t="s">
        <v>1828</v>
      </c>
      <c r="F363" s="10" t="s">
        <v>2522</v>
      </c>
      <c r="G363" s="11">
        <v>45690</v>
      </c>
    </row>
    <row r="364" spans="1:7" ht="36.5" hidden="1" x14ac:dyDescent="0.35">
      <c r="A364" s="8">
        <v>7444</v>
      </c>
      <c r="B364" s="10" t="s">
        <v>2898</v>
      </c>
      <c r="C364" s="10" t="s">
        <v>220</v>
      </c>
      <c r="D364" s="9" t="s">
        <v>134</v>
      </c>
      <c r="E364" s="9" t="s">
        <v>936</v>
      </c>
      <c r="F364" s="10" t="s">
        <v>2572</v>
      </c>
      <c r="G364" s="11">
        <v>45690</v>
      </c>
    </row>
    <row r="365" spans="1:7" ht="36.5" hidden="1" x14ac:dyDescent="0.35">
      <c r="A365" s="8">
        <v>7446</v>
      </c>
      <c r="B365" s="10" t="s">
        <v>2899</v>
      </c>
      <c r="C365" s="10" t="s">
        <v>193</v>
      </c>
      <c r="D365" s="9" t="s">
        <v>193</v>
      </c>
      <c r="E365" s="9" t="s">
        <v>1828</v>
      </c>
      <c r="F365" s="10" t="s">
        <v>2516</v>
      </c>
      <c r="G365" s="11">
        <v>45691</v>
      </c>
    </row>
    <row r="366" spans="1:7" ht="36.5" hidden="1" x14ac:dyDescent="0.35">
      <c r="A366" s="8">
        <v>7447</v>
      </c>
      <c r="B366" s="10" t="s">
        <v>2900</v>
      </c>
      <c r="C366" s="10" t="s">
        <v>95</v>
      </c>
      <c r="D366" s="9" t="s">
        <v>95</v>
      </c>
      <c r="E366" s="9" t="s">
        <v>822</v>
      </c>
      <c r="F366" s="10" t="s">
        <v>2530</v>
      </c>
      <c r="G366" s="11">
        <v>45691</v>
      </c>
    </row>
    <row r="367" spans="1:7" ht="36.5" hidden="1" x14ac:dyDescent="0.35">
      <c r="A367" s="8">
        <v>7454</v>
      </c>
      <c r="B367" s="10" t="s">
        <v>2901</v>
      </c>
      <c r="C367" s="10" t="s">
        <v>21</v>
      </c>
      <c r="D367" s="9" t="s">
        <v>21</v>
      </c>
      <c r="E367" s="9" t="s">
        <v>819</v>
      </c>
      <c r="F367" s="10" t="s">
        <v>2540</v>
      </c>
      <c r="G367" s="11">
        <v>45691</v>
      </c>
    </row>
    <row r="368" spans="1:7" ht="24.5" hidden="1" x14ac:dyDescent="0.35">
      <c r="A368" s="8">
        <v>7453</v>
      </c>
      <c r="B368" s="10" t="s">
        <v>2902</v>
      </c>
      <c r="C368" s="10" t="s">
        <v>95</v>
      </c>
      <c r="D368" s="9" t="s">
        <v>95</v>
      </c>
      <c r="E368" s="9" t="s">
        <v>822</v>
      </c>
      <c r="F368" s="10" t="s">
        <v>2522</v>
      </c>
      <c r="G368" s="11">
        <v>45691</v>
      </c>
    </row>
    <row r="369" spans="1:7" ht="24.5" hidden="1" x14ac:dyDescent="0.35">
      <c r="A369" s="8">
        <v>7455</v>
      </c>
      <c r="B369" s="10" t="s">
        <v>2903</v>
      </c>
      <c r="C369" s="10" t="s">
        <v>34</v>
      </c>
      <c r="D369" s="9" t="s">
        <v>34</v>
      </c>
      <c r="E369" s="9" t="s">
        <v>78</v>
      </c>
      <c r="F369" s="10" t="s">
        <v>2540</v>
      </c>
      <c r="G369" s="11">
        <v>45691</v>
      </c>
    </row>
    <row r="370" spans="1:7" ht="48.5" hidden="1" x14ac:dyDescent="0.35">
      <c r="A370" s="8">
        <v>7456</v>
      </c>
      <c r="B370" s="10" t="s">
        <v>2904</v>
      </c>
      <c r="C370" s="10" t="s">
        <v>96</v>
      </c>
      <c r="D370" s="9" t="s">
        <v>96</v>
      </c>
      <c r="E370" s="9" t="s">
        <v>1179</v>
      </c>
      <c r="F370" s="10" t="s">
        <v>2559</v>
      </c>
      <c r="G370" s="11">
        <v>45691</v>
      </c>
    </row>
    <row r="371" spans="1:7" ht="36.5" hidden="1" x14ac:dyDescent="0.35">
      <c r="A371" s="8">
        <v>7460</v>
      </c>
      <c r="B371" s="10" t="s">
        <v>2905</v>
      </c>
      <c r="C371" s="10" t="s">
        <v>250</v>
      </c>
      <c r="D371" s="9" t="s">
        <v>250</v>
      </c>
      <c r="E371" s="9" t="s">
        <v>711</v>
      </c>
      <c r="F371" s="10" t="s">
        <v>2834</v>
      </c>
      <c r="G371" s="11">
        <v>45691</v>
      </c>
    </row>
    <row r="372" spans="1:7" ht="36.5" hidden="1" x14ac:dyDescent="0.35">
      <c r="A372" s="8">
        <v>7461</v>
      </c>
      <c r="B372" s="10" t="s">
        <v>2906</v>
      </c>
      <c r="C372" s="10" t="s">
        <v>34</v>
      </c>
      <c r="D372" s="9" t="s">
        <v>104</v>
      </c>
      <c r="E372" s="9" t="s">
        <v>2154</v>
      </c>
      <c r="F372" s="10" t="s">
        <v>2516</v>
      </c>
      <c r="G372" s="11">
        <v>45691</v>
      </c>
    </row>
    <row r="373" spans="1:7" ht="24.5" hidden="1" x14ac:dyDescent="0.35">
      <c r="A373" s="8">
        <v>7465</v>
      </c>
      <c r="B373" s="10" t="s">
        <v>2907</v>
      </c>
      <c r="C373" s="10" t="s">
        <v>134</v>
      </c>
      <c r="D373" s="9" t="s">
        <v>134</v>
      </c>
      <c r="E373" s="9" t="s">
        <v>762</v>
      </c>
      <c r="F373" s="10" t="s">
        <v>2522</v>
      </c>
      <c r="G373" s="11">
        <v>45691</v>
      </c>
    </row>
    <row r="374" spans="1:7" ht="24.5" hidden="1" x14ac:dyDescent="0.35">
      <c r="A374" s="8">
        <v>7463</v>
      </c>
      <c r="B374" s="10" t="s">
        <v>2908</v>
      </c>
      <c r="C374" s="10" t="s">
        <v>13</v>
      </c>
      <c r="D374" s="9" t="s">
        <v>13</v>
      </c>
      <c r="E374" s="9" t="s">
        <v>762</v>
      </c>
      <c r="F374" s="10" t="s">
        <v>2522</v>
      </c>
      <c r="G374" s="11">
        <v>45691</v>
      </c>
    </row>
    <row r="375" spans="1:7" ht="36.5" hidden="1" x14ac:dyDescent="0.35">
      <c r="A375" s="8">
        <v>7466</v>
      </c>
      <c r="B375" s="10" t="s">
        <v>2909</v>
      </c>
      <c r="C375" s="10" t="s">
        <v>190</v>
      </c>
      <c r="D375" s="9" t="s">
        <v>190</v>
      </c>
      <c r="E375" s="9" t="s">
        <v>418</v>
      </c>
      <c r="F375" s="10" t="s">
        <v>2516</v>
      </c>
      <c r="G375" s="11">
        <v>45691</v>
      </c>
    </row>
    <row r="376" spans="1:7" ht="24.5" hidden="1" x14ac:dyDescent="0.35">
      <c r="A376" s="8">
        <v>7464</v>
      </c>
      <c r="B376" s="10" t="s">
        <v>2910</v>
      </c>
      <c r="C376" s="10" t="s">
        <v>13</v>
      </c>
      <c r="D376" s="9" t="s">
        <v>13</v>
      </c>
      <c r="E376" s="9" t="s">
        <v>762</v>
      </c>
      <c r="F376" s="10" t="s">
        <v>2522</v>
      </c>
      <c r="G376" s="11">
        <v>45691</v>
      </c>
    </row>
    <row r="377" spans="1:7" ht="24.5" hidden="1" x14ac:dyDescent="0.35">
      <c r="A377" s="8">
        <v>7467</v>
      </c>
      <c r="B377" s="10" t="s">
        <v>2911</v>
      </c>
      <c r="C377" s="10" t="s">
        <v>371</v>
      </c>
      <c r="D377" s="9" t="s">
        <v>371</v>
      </c>
      <c r="E377" s="9" t="s">
        <v>373</v>
      </c>
      <c r="F377" s="10" t="s">
        <v>2540</v>
      </c>
      <c r="G377" s="11">
        <v>45691</v>
      </c>
    </row>
    <row r="378" spans="1:7" ht="36.5" hidden="1" x14ac:dyDescent="0.35">
      <c r="A378" s="8">
        <v>7468</v>
      </c>
      <c r="B378" s="10" t="s">
        <v>2912</v>
      </c>
      <c r="C378" s="10" t="s">
        <v>371</v>
      </c>
      <c r="D378" s="9" t="s">
        <v>371</v>
      </c>
      <c r="E378" s="9" t="s">
        <v>373</v>
      </c>
      <c r="F378" s="10" t="s">
        <v>2540</v>
      </c>
      <c r="G378" s="11">
        <v>45692</v>
      </c>
    </row>
    <row r="379" spans="1:7" ht="24.5" hidden="1" x14ac:dyDescent="0.35">
      <c r="A379" s="8">
        <v>7469</v>
      </c>
      <c r="B379" s="10" t="s">
        <v>2913</v>
      </c>
      <c r="C379" s="10" t="s">
        <v>371</v>
      </c>
      <c r="D379" s="9" t="s">
        <v>371</v>
      </c>
      <c r="E379" s="9" t="s">
        <v>373</v>
      </c>
      <c r="F379" s="10" t="s">
        <v>2540</v>
      </c>
      <c r="G379" s="11">
        <v>45692</v>
      </c>
    </row>
    <row r="380" spans="1:7" ht="24.5" hidden="1" x14ac:dyDescent="0.35">
      <c r="A380" s="8">
        <v>7470</v>
      </c>
      <c r="B380" s="10" t="s">
        <v>2914</v>
      </c>
      <c r="C380" s="10" t="s">
        <v>196</v>
      </c>
      <c r="D380" s="9" t="s">
        <v>196</v>
      </c>
      <c r="E380" s="9" t="s">
        <v>2578</v>
      </c>
      <c r="F380" s="10" t="s">
        <v>2522</v>
      </c>
      <c r="G380" s="11">
        <v>45692</v>
      </c>
    </row>
    <row r="381" spans="1:7" ht="24.5" hidden="1" x14ac:dyDescent="0.35">
      <c r="A381" s="8">
        <v>7472</v>
      </c>
      <c r="B381" s="10" t="s">
        <v>2915</v>
      </c>
      <c r="C381" s="10" t="s">
        <v>96</v>
      </c>
      <c r="D381" s="9" t="s">
        <v>96</v>
      </c>
      <c r="E381" s="9" t="s">
        <v>1055</v>
      </c>
      <c r="F381" s="10" t="s">
        <v>2537</v>
      </c>
      <c r="G381" s="11">
        <v>45692</v>
      </c>
    </row>
    <row r="382" spans="1:7" ht="36.5" hidden="1" x14ac:dyDescent="0.35">
      <c r="A382" s="8">
        <v>7473</v>
      </c>
      <c r="B382" s="10" t="s">
        <v>2916</v>
      </c>
      <c r="C382" s="10" t="s">
        <v>21</v>
      </c>
      <c r="D382" s="9" t="s">
        <v>21</v>
      </c>
      <c r="E382" s="9" t="s">
        <v>762</v>
      </c>
      <c r="F382" s="10" t="s">
        <v>2516</v>
      </c>
      <c r="G382" s="11">
        <v>45692</v>
      </c>
    </row>
    <row r="383" spans="1:7" ht="24.5" hidden="1" x14ac:dyDescent="0.35">
      <c r="A383" s="8">
        <v>7471</v>
      </c>
      <c r="B383" s="10" t="s">
        <v>2917</v>
      </c>
      <c r="C383" s="10" t="s">
        <v>96</v>
      </c>
      <c r="D383" s="9" t="s">
        <v>96</v>
      </c>
      <c r="E383" s="9" t="s">
        <v>368</v>
      </c>
      <c r="F383" s="10" t="s">
        <v>2537</v>
      </c>
      <c r="G383" s="11">
        <v>45692</v>
      </c>
    </row>
    <row r="384" spans="1:7" ht="36.5" hidden="1" x14ac:dyDescent="0.35">
      <c r="A384" s="8">
        <v>7475</v>
      </c>
      <c r="B384" s="10" t="s">
        <v>2918</v>
      </c>
      <c r="C384" s="10" t="s">
        <v>371</v>
      </c>
      <c r="D384" s="9" t="s">
        <v>371</v>
      </c>
      <c r="E384" s="9" t="s">
        <v>1030</v>
      </c>
      <c r="F384" s="10" t="s">
        <v>2516</v>
      </c>
      <c r="G384" s="11">
        <v>45692</v>
      </c>
    </row>
    <row r="385" spans="1:7" ht="36.5" hidden="1" x14ac:dyDescent="0.35">
      <c r="A385" s="8">
        <v>7474</v>
      </c>
      <c r="B385" s="10" t="s">
        <v>2919</v>
      </c>
      <c r="C385" s="10" t="s">
        <v>371</v>
      </c>
      <c r="D385" s="9" t="s">
        <v>371</v>
      </c>
      <c r="E385" s="9" t="s">
        <v>1030</v>
      </c>
      <c r="F385" s="10" t="s">
        <v>2516</v>
      </c>
      <c r="G385" s="11">
        <v>45692</v>
      </c>
    </row>
    <row r="386" spans="1:7" ht="36.5" hidden="1" x14ac:dyDescent="0.35">
      <c r="A386" s="8">
        <v>7476</v>
      </c>
      <c r="B386" s="10" t="s">
        <v>2920</v>
      </c>
      <c r="C386" s="10" t="s">
        <v>34</v>
      </c>
      <c r="D386" s="9" t="s">
        <v>196</v>
      </c>
      <c r="E386" s="9" t="s">
        <v>2578</v>
      </c>
      <c r="F386" s="10" t="s">
        <v>2516</v>
      </c>
      <c r="G386" s="11">
        <v>45692</v>
      </c>
    </row>
    <row r="387" spans="1:7" ht="24.5" hidden="1" x14ac:dyDescent="0.35">
      <c r="A387" s="8">
        <v>7484</v>
      </c>
      <c r="B387" s="10" t="s">
        <v>2921</v>
      </c>
      <c r="C387" s="10" t="s">
        <v>190</v>
      </c>
      <c r="D387" s="9" t="s">
        <v>95</v>
      </c>
      <c r="E387" s="9" t="s">
        <v>2677</v>
      </c>
      <c r="F387" s="10" t="s">
        <v>2522</v>
      </c>
      <c r="G387" s="11">
        <v>45692</v>
      </c>
    </row>
    <row r="388" spans="1:7" ht="24.5" hidden="1" x14ac:dyDescent="0.35">
      <c r="A388" s="8">
        <v>7481</v>
      </c>
      <c r="B388" s="10" t="s">
        <v>2922</v>
      </c>
      <c r="C388" s="10" t="s">
        <v>134</v>
      </c>
      <c r="D388" s="9" t="s">
        <v>134</v>
      </c>
      <c r="E388" s="9" t="s">
        <v>2336</v>
      </c>
      <c r="F388" s="10" t="s">
        <v>2540</v>
      </c>
      <c r="G388" s="11">
        <v>45692</v>
      </c>
    </row>
    <row r="389" spans="1:7" ht="36.5" hidden="1" x14ac:dyDescent="0.35">
      <c r="A389" s="8">
        <v>7482</v>
      </c>
      <c r="B389" s="10" t="s">
        <v>2923</v>
      </c>
      <c r="C389" s="10" t="s">
        <v>134</v>
      </c>
      <c r="D389" s="9" t="s">
        <v>134</v>
      </c>
      <c r="E389" s="9" t="s">
        <v>2336</v>
      </c>
      <c r="F389" s="10" t="s">
        <v>2516</v>
      </c>
      <c r="G389" s="11">
        <v>45692</v>
      </c>
    </row>
    <row r="390" spans="1:7" ht="24.5" hidden="1" x14ac:dyDescent="0.35">
      <c r="A390" s="8">
        <v>7483</v>
      </c>
      <c r="B390" s="10" t="s">
        <v>2924</v>
      </c>
      <c r="C390" s="10" t="s">
        <v>13</v>
      </c>
      <c r="D390" s="9" t="s">
        <v>13</v>
      </c>
      <c r="E390" s="9" t="s">
        <v>1484</v>
      </c>
      <c r="F390" s="10" t="s">
        <v>2522</v>
      </c>
      <c r="G390" s="11">
        <v>45692</v>
      </c>
    </row>
    <row r="391" spans="1:7" ht="36.5" hidden="1" x14ac:dyDescent="0.35">
      <c r="A391" s="8">
        <v>7486</v>
      </c>
      <c r="B391" s="10" t="s">
        <v>2925</v>
      </c>
      <c r="C391" s="10" t="s">
        <v>196</v>
      </c>
      <c r="D391" s="9" t="s">
        <v>196</v>
      </c>
      <c r="E391" s="9" t="s">
        <v>1653</v>
      </c>
      <c r="F391" s="10" t="s">
        <v>2516</v>
      </c>
      <c r="G391" s="11">
        <v>45693</v>
      </c>
    </row>
    <row r="392" spans="1:7" ht="36.5" hidden="1" x14ac:dyDescent="0.35">
      <c r="A392" s="8">
        <v>7485</v>
      </c>
      <c r="B392" s="10" t="s">
        <v>2926</v>
      </c>
      <c r="C392" s="10" t="s">
        <v>13</v>
      </c>
      <c r="D392" s="9" t="s">
        <v>13</v>
      </c>
      <c r="E392" s="9" t="s">
        <v>633</v>
      </c>
      <c r="F392" s="10" t="s">
        <v>2530</v>
      </c>
      <c r="G392" s="11">
        <v>45693</v>
      </c>
    </row>
    <row r="393" spans="1:7" ht="36.5" hidden="1" x14ac:dyDescent="0.35">
      <c r="A393" s="8">
        <v>7487</v>
      </c>
      <c r="B393" s="10" t="s">
        <v>2927</v>
      </c>
      <c r="C393" s="10" t="s">
        <v>278</v>
      </c>
      <c r="D393" s="9" t="s">
        <v>278</v>
      </c>
      <c r="E393" s="9" t="s">
        <v>711</v>
      </c>
      <c r="F393" s="10" t="s">
        <v>2537</v>
      </c>
      <c r="G393" s="11">
        <v>45693</v>
      </c>
    </row>
    <row r="394" spans="1:7" ht="36.5" hidden="1" x14ac:dyDescent="0.35">
      <c r="A394" s="8">
        <v>7489</v>
      </c>
      <c r="B394" s="10" t="s">
        <v>2928</v>
      </c>
      <c r="C394" s="10" t="s">
        <v>13</v>
      </c>
      <c r="D394" s="9" t="s">
        <v>13</v>
      </c>
      <c r="E394" s="9" t="s">
        <v>762</v>
      </c>
      <c r="F394" s="10" t="s">
        <v>2715</v>
      </c>
      <c r="G394" s="11">
        <v>45693</v>
      </c>
    </row>
    <row r="395" spans="1:7" ht="48.5" hidden="1" x14ac:dyDescent="0.35">
      <c r="A395" s="8">
        <v>7490</v>
      </c>
      <c r="B395" s="10" t="s">
        <v>2929</v>
      </c>
      <c r="C395" s="10" t="s">
        <v>13</v>
      </c>
      <c r="D395" s="9" t="s">
        <v>13</v>
      </c>
      <c r="E395" s="9" t="s">
        <v>762</v>
      </c>
      <c r="F395" s="10" t="s">
        <v>2540</v>
      </c>
      <c r="G395" s="11">
        <v>45693</v>
      </c>
    </row>
    <row r="396" spans="1:7" ht="36.5" hidden="1" x14ac:dyDescent="0.35">
      <c r="A396" s="8">
        <v>7488</v>
      </c>
      <c r="B396" s="10" t="s">
        <v>2930</v>
      </c>
      <c r="C396" s="10" t="s">
        <v>134</v>
      </c>
      <c r="D396" s="9" t="s">
        <v>134</v>
      </c>
      <c r="E396" s="9" t="s">
        <v>633</v>
      </c>
      <c r="F396" s="10" t="s">
        <v>2522</v>
      </c>
      <c r="G396" s="11">
        <v>45693</v>
      </c>
    </row>
    <row r="397" spans="1:7" ht="36.5" hidden="1" x14ac:dyDescent="0.35">
      <c r="A397" s="8">
        <v>7491</v>
      </c>
      <c r="B397" s="10" t="s">
        <v>2931</v>
      </c>
      <c r="C397" s="10" t="s">
        <v>134</v>
      </c>
      <c r="D397" s="9" t="s">
        <v>134</v>
      </c>
      <c r="E397" s="9" t="s">
        <v>633</v>
      </c>
      <c r="F397" s="10" t="s">
        <v>2530</v>
      </c>
      <c r="G397" s="11">
        <v>45693</v>
      </c>
    </row>
    <row r="398" spans="1:7" ht="36.5" hidden="1" x14ac:dyDescent="0.35">
      <c r="A398" s="8">
        <v>7492</v>
      </c>
      <c r="B398" s="10" t="s">
        <v>2932</v>
      </c>
      <c r="C398" s="10" t="s">
        <v>190</v>
      </c>
      <c r="D398" s="9" t="s">
        <v>190</v>
      </c>
      <c r="E398" s="9" t="s">
        <v>410</v>
      </c>
      <c r="F398" s="10" t="s">
        <v>2516</v>
      </c>
      <c r="G398" s="11">
        <v>45693</v>
      </c>
    </row>
    <row r="399" spans="1:7" ht="36.5" hidden="1" x14ac:dyDescent="0.35">
      <c r="A399" s="8">
        <v>7494</v>
      </c>
      <c r="B399" s="10" t="s">
        <v>2933</v>
      </c>
      <c r="C399" s="10" t="s">
        <v>250</v>
      </c>
      <c r="D399" s="9" t="s">
        <v>395</v>
      </c>
      <c r="E399" s="9" t="s">
        <v>1926</v>
      </c>
      <c r="F399" s="10" t="s">
        <v>2516</v>
      </c>
      <c r="G399" s="11">
        <v>45693</v>
      </c>
    </row>
    <row r="400" spans="1:7" ht="36.5" hidden="1" x14ac:dyDescent="0.35">
      <c r="A400" s="8">
        <v>7495</v>
      </c>
      <c r="B400" s="10" t="s">
        <v>2934</v>
      </c>
      <c r="C400" s="10" t="s">
        <v>26</v>
      </c>
      <c r="D400" s="9" t="s">
        <v>26</v>
      </c>
      <c r="E400" s="9" t="s">
        <v>78</v>
      </c>
      <c r="F400" s="10" t="s">
        <v>2530</v>
      </c>
      <c r="G400" s="11">
        <v>45693</v>
      </c>
    </row>
    <row r="401" spans="1:7" ht="36.5" hidden="1" x14ac:dyDescent="0.35">
      <c r="A401" s="8">
        <v>7496</v>
      </c>
      <c r="B401" s="10" t="s">
        <v>2935</v>
      </c>
      <c r="C401" s="10" t="s">
        <v>26</v>
      </c>
      <c r="D401" s="9" t="s">
        <v>26</v>
      </c>
      <c r="E401" s="9" t="s">
        <v>78</v>
      </c>
      <c r="F401" s="10" t="s">
        <v>2540</v>
      </c>
      <c r="G401" s="11">
        <v>45693</v>
      </c>
    </row>
    <row r="402" spans="1:7" ht="24.5" hidden="1" x14ac:dyDescent="0.35">
      <c r="A402" s="8">
        <v>7497</v>
      </c>
      <c r="B402" s="10" t="s">
        <v>2936</v>
      </c>
      <c r="C402" s="10" t="s">
        <v>26</v>
      </c>
      <c r="D402" s="9" t="s">
        <v>26</v>
      </c>
      <c r="E402" s="9" t="s">
        <v>78</v>
      </c>
      <c r="F402" s="10" t="s">
        <v>2540</v>
      </c>
      <c r="G402" s="11">
        <v>45693</v>
      </c>
    </row>
    <row r="403" spans="1:7" ht="24.5" hidden="1" x14ac:dyDescent="0.35">
      <c r="A403" s="8">
        <v>7498</v>
      </c>
      <c r="B403" s="10" t="s">
        <v>2937</v>
      </c>
      <c r="C403" s="10" t="s">
        <v>26</v>
      </c>
      <c r="D403" s="9" t="s">
        <v>26</v>
      </c>
      <c r="E403" s="9" t="s">
        <v>78</v>
      </c>
      <c r="F403" s="10" t="s">
        <v>2540</v>
      </c>
      <c r="G403" s="11">
        <v>45693</v>
      </c>
    </row>
    <row r="404" spans="1:7" ht="36.5" hidden="1" x14ac:dyDescent="0.35">
      <c r="A404" s="8">
        <v>7501</v>
      </c>
      <c r="B404" s="10" t="s">
        <v>2938</v>
      </c>
      <c r="C404" s="10" t="s">
        <v>21</v>
      </c>
      <c r="D404" s="9" t="s">
        <v>21</v>
      </c>
      <c r="E404" s="9" t="s">
        <v>819</v>
      </c>
      <c r="F404" s="10" t="s">
        <v>2516</v>
      </c>
      <c r="G404" s="11">
        <v>45693</v>
      </c>
    </row>
    <row r="405" spans="1:7" ht="48.5" hidden="1" x14ac:dyDescent="0.35">
      <c r="A405" s="8">
        <v>7503</v>
      </c>
      <c r="B405" s="10" t="s">
        <v>2939</v>
      </c>
      <c r="C405" s="10" t="s">
        <v>13</v>
      </c>
      <c r="D405" s="9" t="s">
        <v>26</v>
      </c>
      <c r="E405" s="9" t="s">
        <v>36</v>
      </c>
      <c r="F405" s="10" t="s">
        <v>2559</v>
      </c>
      <c r="G405" s="11">
        <v>45694</v>
      </c>
    </row>
    <row r="406" spans="1:7" ht="24.5" hidden="1" x14ac:dyDescent="0.35">
      <c r="A406" s="8">
        <v>7502</v>
      </c>
      <c r="B406" s="10" t="s">
        <v>2940</v>
      </c>
      <c r="C406" s="10" t="s">
        <v>193</v>
      </c>
      <c r="D406" s="9" t="s">
        <v>196</v>
      </c>
      <c r="E406" s="9" t="s">
        <v>1116</v>
      </c>
      <c r="F406" s="10" t="s">
        <v>2540</v>
      </c>
      <c r="G406" s="11">
        <v>45694</v>
      </c>
    </row>
    <row r="407" spans="1:7" ht="24.5" hidden="1" x14ac:dyDescent="0.35">
      <c r="A407" s="8">
        <v>7504</v>
      </c>
      <c r="B407" s="10" t="s">
        <v>2941</v>
      </c>
      <c r="C407" s="10" t="s">
        <v>196</v>
      </c>
      <c r="D407" s="9" t="s">
        <v>196</v>
      </c>
      <c r="E407" s="9" t="s">
        <v>1305</v>
      </c>
      <c r="F407" s="10" t="s">
        <v>2537</v>
      </c>
      <c r="G407" s="11">
        <v>45694</v>
      </c>
    </row>
    <row r="408" spans="1:7" ht="24.5" hidden="1" x14ac:dyDescent="0.35">
      <c r="A408" s="8">
        <v>7507</v>
      </c>
      <c r="B408" s="10" t="s">
        <v>2942</v>
      </c>
      <c r="C408" s="10" t="s">
        <v>190</v>
      </c>
      <c r="D408" s="9" t="s">
        <v>190</v>
      </c>
      <c r="E408" s="9" t="s">
        <v>1045</v>
      </c>
      <c r="F408" s="10"/>
      <c r="G408" s="11">
        <v>45694</v>
      </c>
    </row>
    <row r="409" spans="1:7" ht="24.5" hidden="1" x14ac:dyDescent="0.35">
      <c r="A409" s="8">
        <v>7508</v>
      </c>
      <c r="B409" s="10" t="s">
        <v>2943</v>
      </c>
      <c r="C409" s="10" t="s">
        <v>190</v>
      </c>
      <c r="D409" s="9" t="s">
        <v>190</v>
      </c>
      <c r="E409" s="9" t="s">
        <v>1045</v>
      </c>
      <c r="F409" s="10"/>
      <c r="G409" s="11">
        <v>45694</v>
      </c>
    </row>
    <row r="410" spans="1:7" ht="24.5" hidden="1" x14ac:dyDescent="0.35">
      <c r="A410" s="8">
        <v>7509</v>
      </c>
      <c r="B410" s="10" t="s">
        <v>2944</v>
      </c>
      <c r="C410" s="10" t="s">
        <v>104</v>
      </c>
      <c r="D410" s="9" t="s">
        <v>104</v>
      </c>
      <c r="E410" s="9" t="s">
        <v>1045</v>
      </c>
      <c r="F410" s="10"/>
      <c r="G410" s="11">
        <v>45694</v>
      </c>
    </row>
    <row r="411" spans="1:7" ht="24.5" hidden="1" x14ac:dyDescent="0.35">
      <c r="A411" s="8">
        <v>7510</v>
      </c>
      <c r="B411" s="10" t="s">
        <v>2945</v>
      </c>
      <c r="C411" s="10" t="s">
        <v>104</v>
      </c>
      <c r="D411" s="9" t="s">
        <v>104</v>
      </c>
      <c r="E411" s="9" t="s">
        <v>1045</v>
      </c>
      <c r="F411" s="10"/>
      <c r="G411" s="11">
        <v>45694</v>
      </c>
    </row>
    <row r="412" spans="1:7" ht="36.5" hidden="1" x14ac:dyDescent="0.35">
      <c r="A412" s="8">
        <v>7511</v>
      </c>
      <c r="B412" s="10" t="s">
        <v>2946</v>
      </c>
      <c r="C412" s="10" t="s">
        <v>26</v>
      </c>
      <c r="D412" s="9" t="s">
        <v>395</v>
      </c>
      <c r="E412" s="9" t="s">
        <v>1045</v>
      </c>
      <c r="F412" s="10"/>
      <c r="G412" s="11">
        <v>45694</v>
      </c>
    </row>
    <row r="413" spans="1:7" ht="36.5" hidden="1" x14ac:dyDescent="0.35">
      <c r="A413" s="8">
        <v>7513</v>
      </c>
      <c r="B413" s="10" t="s">
        <v>2947</v>
      </c>
      <c r="C413" s="10" t="s">
        <v>95</v>
      </c>
      <c r="D413" s="9" t="s">
        <v>395</v>
      </c>
      <c r="E413" s="9" t="s">
        <v>1045</v>
      </c>
      <c r="F413" s="10"/>
      <c r="G413" s="11">
        <v>45694</v>
      </c>
    </row>
    <row r="414" spans="1:7" ht="24.5" hidden="1" x14ac:dyDescent="0.35">
      <c r="A414" s="8">
        <v>7514</v>
      </c>
      <c r="B414" s="10" t="s">
        <v>2948</v>
      </c>
      <c r="C414" s="10" t="s">
        <v>21</v>
      </c>
      <c r="D414" s="9" t="s">
        <v>395</v>
      </c>
      <c r="E414" s="9" t="s">
        <v>1045</v>
      </c>
      <c r="F414" s="10"/>
      <c r="G414" s="11">
        <v>45694</v>
      </c>
    </row>
    <row r="415" spans="1:7" ht="24.5" hidden="1" x14ac:dyDescent="0.35">
      <c r="A415" s="8">
        <v>7515</v>
      </c>
      <c r="B415" s="10" t="s">
        <v>2949</v>
      </c>
      <c r="C415" s="10" t="s">
        <v>13</v>
      </c>
      <c r="D415" s="9" t="s">
        <v>395</v>
      </c>
      <c r="E415" s="9" t="s">
        <v>1045</v>
      </c>
      <c r="F415" s="10"/>
      <c r="G415" s="11">
        <v>45694</v>
      </c>
    </row>
    <row r="416" spans="1:7" ht="24.5" hidden="1" x14ac:dyDescent="0.35">
      <c r="A416" s="8">
        <v>7516</v>
      </c>
      <c r="B416" s="10" t="s">
        <v>2950</v>
      </c>
      <c r="C416" s="10" t="s">
        <v>134</v>
      </c>
      <c r="D416" s="9" t="s">
        <v>395</v>
      </c>
      <c r="E416" s="9" t="s">
        <v>1045</v>
      </c>
      <c r="F416" s="10"/>
      <c r="G416" s="11">
        <v>45694</v>
      </c>
    </row>
    <row r="417" spans="1:7" ht="24.5" hidden="1" x14ac:dyDescent="0.35">
      <c r="A417" s="8">
        <v>7517</v>
      </c>
      <c r="B417" s="10" t="s">
        <v>2951</v>
      </c>
      <c r="C417" s="10" t="s">
        <v>104</v>
      </c>
      <c r="D417" s="9" t="s">
        <v>395</v>
      </c>
      <c r="E417" s="9" t="s">
        <v>1045</v>
      </c>
      <c r="F417" s="10"/>
      <c r="G417" s="11">
        <v>45694</v>
      </c>
    </row>
    <row r="418" spans="1:7" ht="24.5" hidden="1" x14ac:dyDescent="0.35">
      <c r="A418" s="8">
        <v>7518</v>
      </c>
      <c r="B418" s="10" t="s">
        <v>2952</v>
      </c>
      <c r="C418" s="10" t="s">
        <v>26</v>
      </c>
      <c r="D418" s="9" t="s">
        <v>395</v>
      </c>
      <c r="E418" s="9" t="s">
        <v>1045</v>
      </c>
      <c r="F418" s="10"/>
      <c r="G418" s="11">
        <v>45694</v>
      </c>
    </row>
    <row r="419" spans="1:7" ht="36.5" hidden="1" x14ac:dyDescent="0.35">
      <c r="A419" s="8">
        <v>7519</v>
      </c>
      <c r="B419" s="10" t="s">
        <v>2953</v>
      </c>
      <c r="C419" s="10" t="s">
        <v>196</v>
      </c>
      <c r="D419" s="9" t="s">
        <v>395</v>
      </c>
      <c r="E419" s="9" t="s">
        <v>1045</v>
      </c>
      <c r="F419" s="10"/>
      <c r="G419" s="11">
        <v>45694</v>
      </c>
    </row>
    <row r="420" spans="1:7" ht="36.5" hidden="1" x14ac:dyDescent="0.35">
      <c r="A420" s="8">
        <v>7520</v>
      </c>
      <c r="B420" s="10" t="s">
        <v>2954</v>
      </c>
      <c r="C420" s="10" t="s">
        <v>34</v>
      </c>
      <c r="D420" s="9" t="s">
        <v>395</v>
      </c>
      <c r="E420" s="9" t="s">
        <v>1045</v>
      </c>
      <c r="F420" s="10"/>
      <c r="G420" s="11">
        <v>45695</v>
      </c>
    </row>
    <row r="421" spans="1:7" ht="36.5" hidden="1" x14ac:dyDescent="0.35">
      <c r="A421" s="8">
        <v>7521</v>
      </c>
      <c r="B421" s="10" t="s">
        <v>2955</v>
      </c>
      <c r="C421" s="10" t="s">
        <v>26</v>
      </c>
      <c r="D421" s="9" t="s">
        <v>395</v>
      </c>
      <c r="E421" s="9" t="s">
        <v>1045</v>
      </c>
      <c r="F421" s="10"/>
      <c r="G421" s="11">
        <v>45695</v>
      </c>
    </row>
    <row r="422" spans="1:7" ht="24.5" hidden="1" x14ac:dyDescent="0.35">
      <c r="A422" s="8">
        <v>7522</v>
      </c>
      <c r="B422" s="10" t="s">
        <v>2956</v>
      </c>
      <c r="C422" s="10" t="s">
        <v>21</v>
      </c>
      <c r="D422" s="9" t="s">
        <v>395</v>
      </c>
      <c r="E422" s="9" t="s">
        <v>1045</v>
      </c>
      <c r="F422" s="10"/>
      <c r="G422" s="11">
        <v>45695</v>
      </c>
    </row>
    <row r="423" spans="1:7" ht="24.5" hidden="1" x14ac:dyDescent="0.35">
      <c r="A423" s="8">
        <v>7523</v>
      </c>
      <c r="B423" s="10" t="s">
        <v>2957</v>
      </c>
      <c r="C423" s="10" t="s">
        <v>13</v>
      </c>
      <c r="D423" s="9" t="s">
        <v>395</v>
      </c>
      <c r="E423" s="9" t="s">
        <v>1045</v>
      </c>
      <c r="F423" s="10"/>
      <c r="G423" s="11">
        <v>45695</v>
      </c>
    </row>
    <row r="424" spans="1:7" ht="36.5" hidden="1" x14ac:dyDescent="0.35">
      <c r="A424" s="8">
        <v>7525</v>
      </c>
      <c r="B424" s="10" t="s">
        <v>2958</v>
      </c>
      <c r="C424" s="10" t="s">
        <v>250</v>
      </c>
      <c r="D424" s="9" t="s">
        <v>395</v>
      </c>
      <c r="E424" s="9" t="s">
        <v>1045</v>
      </c>
      <c r="F424" s="10"/>
      <c r="G424" s="11">
        <v>45695</v>
      </c>
    </row>
    <row r="425" spans="1:7" ht="36.5" hidden="1" x14ac:dyDescent="0.35">
      <c r="A425" s="8">
        <v>7524</v>
      </c>
      <c r="B425" s="10" t="s">
        <v>2959</v>
      </c>
      <c r="C425" s="10" t="s">
        <v>250</v>
      </c>
      <c r="D425" s="9" t="s">
        <v>395</v>
      </c>
      <c r="E425" s="9" t="s">
        <v>1045</v>
      </c>
      <c r="F425" s="10"/>
      <c r="G425" s="11">
        <v>45695</v>
      </c>
    </row>
    <row r="426" spans="1:7" ht="24.5" hidden="1" x14ac:dyDescent="0.35">
      <c r="A426" s="8">
        <v>7526</v>
      </c>
      <c r="B426" s="10" t="s">
        <v>2960</v>
      </c>
      <c r="C426" s="10" t="s">
        <v>13</v>
      </c>
      <c r="D426" s="9" t="s">
        <v>395</v>
      </c>
      <c r="E426" s="9" t="s">
        <v>1045</v>
      </c>
      <c r="F426" s="10"/>
      <c r="G426" s="11">
        <v>45695</v>
      </c>
    </row>
    <row r="427" spans="1:7" ht="24.5" hidden="1" x14ac:dyDescent="0.35">
      <c r="A427" s="8">
        <v>7527</v>
      </c>
      <c r="B427" s="10" t="s">
        <v>2961</v>
      </c>
      <c r="C427" s="10" t="s">
        <v>104</v>
      </c>
      <c r="D427" s="9" t="s">
        <v>395</v>
      </c>
      <c r="E427" s="9" t="s">
        <v>1045</v>
      </c>
      <c r="F427" s="10"/>
      <c r="G427" s="11">
        <v>45695</v>
      </c>
    </row>
    <row r="428" spans="1:7" ht="36.5" hidden="1" x14ac:dyDescent="0.35">
      <c r="A428" s="8">
        <v>7528</v>
      </c>
      <c r="B428" s="10" t="s">
        <v>2962</v>
      </c>
      <c r="C428" s="10" t="s">
        <v>104</v>
      </c>
      <c r="D428" s="9" t="s">
        <v>395</v>
      </c>
      <c r="E428" s="9" t="s">
        <v>1045</v>
      </c>
      <c r="F428" s="10"/>
      <c r="G428" s="11">
        <v>45695</v>
      </c>
    </row>
    <row r="429" spans="1:7" ht="24.5" hidden="1" x14ac:dyDescent="0.35">
      <c r="A429" s="8">
        <v>7529</v>
      </c>
      <c r="B429" s="10" t="s">
        <v>2963</v>
      </c>
      <c r="C429" s="10" t="s">
        <v>21</v>
      </c>
      <c r="D429" s="9" t="s">
        <v>395</v>
      </c>
      <c r="E429" s="9" t="s">
        <v>1045</v>
      </c>
      <c r="F429" s="10"/>
      <c r="G429" s="11">
        <v>45695</v>
      </c>
    </row>
    <row r="430" spans="1:7" ht="24.5" hidden="1" x14ac:dyDescent="0.35">
      <c r="A430" s="8">
        <v>7530</v>
      </c>
      <c r="B430" s="10" t="s">
        <v>2964</v>
      </c>
      <c r="C430" s="10" t="s">
        <v>13</v>
      </c>
      <c r="D430" s="9" t="s">
        <v>395</v>
      </c>
      <c r="E430" s="9" t="s">
        <v>1045</v>
      </c>
      <c r="F430" s="10"/>
      <c r="G430" s="11">
        <v>45695</v>
      </c>
    </row>
    <row r="431" spans="1:7" ht="24.5" hidden="1" x14ac:dyDescent="0.35">
      <c r="A431" s="8">
        <v>7531</v>
      </c>
      <c r="B431" s="10" t="s">
        <v>2965</v>
      </c>
      <c r="C431" s="10" t="s">
        <v>134</v>
      </c>
      <c r="D431" s="9" t="s">
        <v>395</v>
      </c>
      <c r="E431" s="9" t="s">
        <v>1045</v>
      </c>
      <c r="F431" s="10"/>
      <c r="G431" s="11">
        <v>45696</v>
      </c>
    </row>
    <row r="432" spans="1:7" ht="24.5" hidden="1" x14ac:dyDescent="0.35">
      <c r="A432" s="8">
        <v>7532</v>
      </c>
      <c r="B432" s="10" t="s">
        <v>2966</v>
      </c>
      <c r="C432" s="10" t="s">
        <v>104</v>
      </c>
      <c r="D432" s="9" t="s">
        <v>395</v>
      </c>
      <c r="E432" s="9" t="s">
        <v>1045</v>
      </c>
      <c r="F432" s="10"/>
      <c r="G432" s="11">
        <v>45696</v>
      </c>
    </row>
    <row r="433" spans="1:7" ht="36.5" hidden="1" x14ac:dyDescent="0.35">
      <c r="A433" s="8">
        <v>7533</v>
      </c>
      <c r="B433" s="10" t="s">
        <v>2967</v>
      </c>
      <c r="C433" s="10" t="s">
        <v>34</v>
      </c>
      <c r="D433" s="9" t="s">
        <v>395</v>
      </c>
      <c r="E433" s="9" t="s">
        <v>1045</v>
      </c>
      <c r="F433" s="10"/>
      <c r="G433" s="11">
        <v>45696</v>
      </c>
    </row>
    <row r="434" spans="1:7" ht="24.5" hidden="1" x14ac:dyDescent="0.35">
      <c r="A434" s="8">
        <v>7534</v>
      </c>
      <c r="B434" s="10" t="s">
        <v>2968</v>
      </c>
      <c r="C434" s="10" t="s">
        <v>250</v>
      </c>
      <c r="D434" s="9" t="s">
        <v>395</v>
      </c>
      <c r="E434" s="9" t="s">
        <v>1045</v>
      </c>
      <c r="F434" s="10"/>
      <c r="G434" s="11">
        <v>45696</v>
      </c>
    </row>
    <row r="435" spans="1:7" ht="24.5" hidden="1" x14ac:dyDescent="0.35">
      <c r="A435" s="8">
        <v>7538</v>
      </c>
      <c r="B435" s="10" t="s">
        <v>2969</v>
      </c>
      <c r="C435" s="10" t="s">
        <v>21</v>
      </c>
      <c r="D435" s="9" t="s">
        <v>21</v>
      </c>
      <c r="E435" s="9" t="s">
        <v>762</v>
      </c>
      <c r="F435" s="10"/>
      <c r="G435" s="11">
        <v>45696</v>
      </c>
    </row>
    <row r="436" spans="1:7" ht="24.5" hidden="1" x14ac:dyDescent="0.35">
      <c r="A436" s="8">
        <v>7539</v>
      </c>
      <c r="B436" s="10" t="s">
        <v>2970</v>
      </c>
      <c r="C436" s="10" t="s">
        <v>95</v>
      </c>
      <c r="D436" s="9" t="s">
        <v>95</v>
      </c>
      <c r="E436" s="9" t="s">
        <v>479</v>
      </c>
      <c r="F436" s="10"/>
      <c r="G436" s="11">
        <v>45696</v>
      </c>
    </row>
    <row r="437" spans="1:7" ht="24.5" hidden="1" x14ac:dyDescent="0.35">
      <c r="A437" s="8">
        <v>7540</v>
      </c>
      <c r="B437" s="10" t="s">
        <v>2971</v>
      </c>
      <c r="C437" s="10" t="s">
        <v>13</v>
      </c>
      <c r="D437" s="9" t="s">
        <v>96</v>
      </c>
      <c r="E437" s="9" t="s">
        <v>1179</v>
      </c>
      <c r="F437" s="10"/>
      <c r="G437" s="11">
        <v>45696</v>
      </c>
    </row>
    <row r="438" spans="1:7" ht="24.5" hidden="1" x14ac:dyDescent="0.35">
      <c r="A438" s="8">
        <v>7542</v>
      </c>
      <c r="B438" s="10" t="s">
        <v>2972</v>
      </c>
      <c r="C438" s="10" t="s">
        <v>21</v>
      </c>
      <c r="D438" s="9" t="s">
        <v>190</v>
      </c>
      <c r="E438" s="9" t="s">
        <v>418</v>
      </c>
      <c r="F438" s="10"/>
      <c r="G438" s="11">
        <v>45696</v>
      </c>
    </row>
    <row r="439" spans="1:7" ht="24.5" hidden="1" x14ac:dyDescent="0.35">
      <c r="A439" s="8">
        <v>7541</v>
      </c>
      <c r="B439" s="10" t="s">
        <v>2973</v>
      </c>
      <c r="C439" s="10" t="s">
        <v>21</v>
      </c>
      <c r="D439" s="9" t="s">
        <v>21</v>
      </c>
      <c r="E439" s="9" t="s">
        <v>1484</v>
      </c>
      <c r="F439" s="10"/>
      <c r="G439" s="11">
        <v>45696</v>
      </c>
    </row>
    <row r="440" spans="1:7" ht="24.5" hidden="1" x14ac:dyDescent="0.35">
      <c r="A440" s="8">
        <v>7554</v>
      </c>
      <c r="B440" s="10" t="s">
        <v>2974</v>
      </c>
      <c r="C440" s="10" t="s">
        <v>134</v>
      </c>
      <c r="D440" s="9" t="s">
        <v>134</v>
      </c>
      <c r="E440" s="9" t="s">
        <v>633</v>
      </c>
      <c r="F440" s="10" t="s">
        <v>2834</v>
      </c>
      <c r="G440" s="11">
        <v>45696</v>
      </c>
    </row>
    <row r="441" spans="1:7" ht="36.5" hidden="1" x14ac:dyDescent="0.35">
      <c r="A441" s="8">
        <v>7553</v>
      </c>
      <c r="B441" s="10" t="s">
        <v>2975</v>
      </c>
      <c r="C441" s="10" t="s">
        <v>26</v>
      </c>
      <c r="D441" s="9" t="s">
        <v>13</v>
      </c>
      <c r="E441" s="9" t="s">
        <v>819</v>
      </c>
      <c r="F441" s="10" t="s">
        <v>2540</v>
      </c>
      <c r="G441" s="11">
        <v>45696</v>
      </c>
    </row>
    <row r="442" spans="1:7" ht="24.5" hidden="1" x14ac:dyDescent="0.35">
      <c r="A442" s="8">
        <v>7555</v>
      </c>
      <c r="B442" s="10" t="s">
        <v>2976</v>
      </c>
      <c r="C442" s="10" t="s">
        <v>134</v>
      </c>
      <c r="D442" s="9" t="s">
        <v>95</v>
      </c>
      <c r="E442" s="9" t="s">
        <v>1431</v>
      </c>
      <c r="F442" s="10" t="s">
        <v>2834</v>
      </c>
      <c r="G442" s="11">
        <v>45696</v>
      </c>
    </row>
    <row r="443" spans="1:7" ht="36.5" hidden="1" x14ac:dyDescent="0.35">
      <c r="A443" s="8">
        <v>7556</v>
      </c>
      <c r="B443" s="10" t="s">
        <v>2977</v>
      </c>
      <c r="C443" s="10" t="s">
        <v>21</v>
      </c>
      <c r="D443" s="9" t="s">
        <v>21</v>
      </c>
      <c r="E443" s="9" t="s">
        <v>762</v>
      </c>
      <c r="F443" s="10" t="s">
        <v>2530</v>
      </c>
      <c r="G443" s="11">
        <v>45697</v>
      </c>
    </row>
    <row r="444" spans="1:7" ht="24.5" hidden="1" x14ac:dyDescent="0.35">
      <c r="A444" s="8">
        <v>7557</v>
      </c>
      <c r="B444" s="10" t="s">
        <v>2978</v>
      </c>
      <c r="C444" s="10" t="s">
        <v>134</v>
      </c>
      <c r="D444" s="9" t="s">
        <v>134</v>
      </c>
      <c r="E444" s="9" t="s">
        <v>762</v>
      </c>
      <c r="F444" s="10" t="s">
        <v>2522</v>
      </c>
      <c r="G444" s="11">
        <v>45697</v>
      </c>
    </row>
    <row r="445" spans="1:7" ht="24.5" hidden="1" x14ac:dyDescent="0.35">
      <c r="A445" s="8">
        <v>7558</v>
      </c>
      <c r="B445" s="10" t="s">
        <v>2979</v>
      </c>
      <c r="C445" s="10" t="s">
        <v>220</v>
      </c>
      <c r="D445" s="9" t="s">
        <v>13</v>
      </c>
      <c r="E445" s="9" t="s">
        <v>819</v>
      </c>
      <c r="F445" s="10" t="s">
        <v>2834</v>
      </c>
      <c r="G445" s="11">
        <v>45697</v>
      </c>
    </row>
    <row r="446" spans="1:7" ht="24.5" hidden="1" x14ac:dyDescent="0.35">
      <c r="A446" s="8">
        <v>7559</v>
      </c>
      <c r="B446" s="10" t="s">
        <v>2980</v>
      </c>
      <c r="C446" s="10" t="s">
        <v>21</v>
      </c>
      <c r="D446" s="9" t="s">
        <v>21</v>
      </c>
      <c r="E446" s="9" t="s">
        <v>1484</v>
      </c>
      <c r="F446" s="10" t="s">
        <v>2522</v>
      </c>
      <c r="G446" s="11">
        <v>45697</v>
      </c>
    </row>
    <row r="447" spans="1:7" ht="36.5" hidden="1" x14ac:dyDescent="0.35">
      <c r="A447" s="8">
        <v>7560</v>
      </c>
      <c r="B447" s="10" t="s">
        <v>2981</v>
      </c>
      <c r="C447" s="10" t="s">
        <v>95</v>
      </c>
      <c r="D447" s="9" t="s">
        <v>95</v>
      </c>
      <c r="E447" s="9" t="s">
        <v>1147</v>
      </c>
      <c r="F447" s="10" t="s">
        <v>2516</v>
      </c>
      <c r="G447" s="11">
        <v>45697</v>
      </c>
    </row>
    <row r="448" spans="1:7" ht="36.5" hidden="1" x14ac:dyDescent="0.35">
      <c r="A448" s="8">
        <v>7561</v>
      </c>
      <c r="B448" s="10" t="s">
        <v>2982</v>
      </c>
      <c r="C448" s="10" t="s">
        <v>220</v>
      </c>
      <c r="D448" s="9" t="s">
        <v>95</v>
      </c>
      <c r="E448" s="9" t="s">
        <v>1147</v>
      </c>
      <c r="F448" s="10" t="s">
        <v>2516</v>
      </c>
      <c r="G448" s="11">
        <v>45697</v>
      </c>
    </row>
    <row r="449" spans="1:7" ht="36.5" hidden="1" x14ac:dyDescent="0.35">
      <c r="A449" s="8">
        <v>7564</v>
      </c>
      <c r="B449" s="10" t="s">
        <v>2983</v>
      </c>
      <c r="C449" s="10" t="s">
        <v>96</v>
      </c>
      <c r="D449" s="9" t="s">
        <v>96</v>
      </c>
      <c r="E449" s="9" t="s">
        <v>2984</v>
      </c>
      <c r="F449" s="10" t="s">
        <v>2522</v>
      </c>
      <c r="G449" s="11">
        <v>45697</v>
      </c>
    </row>
    <row r="450" spans="1:7" ht="24.5" hidden="1" x14ac:dyDescent="0.35">
      <c r="A450" s="8">
        <v>7563</v>
      </c>
      <c r="B450" s="10" t="s">
        <v>2985</v>
      </c>
      <c r="C450" s="10" t="s">
        <v>104</v>
      </c>
      <c r="D450" s="9" t="s">
        <v>104</v>
      </c>
      <c r="E450" s="9" t="s">
        <v>483</v>
      </c>
      <c r="F450" s="10" t="s">
        <v>2522</v>
      </c>
      <c r="G450" s="11">
        <v>45697</v>
      </c>
    </row>
    <row r="451" spans="1:7" ht="36.5" hidden="1" x14ac:dyDescent="0.35">
      <c r="A451" s="8">
        <v>7562</v>
      </c>
      <c r="B451" s="10" t="s">
        <v>2986</v>
      </c>
      <c r="C451" s="10" t="s">
        <v>104</v>
      </c>
      <c r="D451" s="9" t="s">
        <v>104</v>
      </c>
      <c r="E451" s="9" t="s">
        <v>483</v>
      </c>
      <c r="F451" s="10" t="s">
        <v>2516</v>
      </c>
      <c r="G451" s="11">
        <v>45697</v>
      </c>
    </row>
    <row r="452" spans="1:7" ht="48.5" hidden="1" x14ac:dyDescent="0.35">
      <c r="A452" s="8">
        <v>7565</v>
      </c>
      <c r="B452" s="10" t="s">
        <v>2987</v>
      </c>
      <c r="C452" s="10" t="s">
        <v>196</v>
      </c>
      <c r="D452" s="9" t="s">
        <v>95</v>
      </c>
      <c r="E452" s="9" t="s">
        <v>1014</v>
      </c>
      <c r="F452" s="10" t="s">
        <v>2559</v>
      </c>
      <c r="G452" s="11">
        <v>45697</v>
      </c>
    </row>
    <row r="453" spans="1:7" ht="36.5" hidden="1" x14ac:dyDescent="0.35">
      <c r="A453" s="8">
        <v>7566</v>
      </c>
      <c r="B453" s="10" t="s">
        <v>2988</v>
      </c>
      <c r="C453" s="10" t="s">
        <v>196</v>
      </c>
      <c r="D453" s="9" t="s">
        <v>96</v>
      </c>
      <c r="E453" s="9" t="s">
        <v>99</v>
      </c>
      <c r="F453" s="10" t="s">
        <v>2516</v>
      </c>
      <c r="G453" s="11">
        <v>45697</v>
      </c>
    </row>
    <row r="454" spans="1:7" ht="36.5" hidden="1" x14ac:dyDescent="0.35">
      <c r="A454" s="8">
        <v>7575</v>
      </c>
      <c r="B454" s="10" t="s">
        <v>2989</v>
      </c>
      <c r="C454" s="10" t="s">
        <v>193</v>
      </c>
      <c r="D454" s="9" t="s">
        <v>193</v>
      </c>
      <c r="E454" s="9" t="s">
        <v>1828</v>
      </c>
      <c r="F454" s="10" t="s">
        <v>2522</v>
      </c>
      <c r="G454" s="11">
        <v>45697</v>
      </c>
    </row>
    <row r="455" spans="1:7" ht="24.5" hidden="1" x14ac:dyDescent="0.35">
      <c r="A455" s="8">
        <v>7576</v>
      </c>
      <c r="B455" s="10" t="s">
        <v>2990</v>
      </c>
      <c r="C455" s="10" t="s">
        <v>395</v>
      </c>
      <c r="D455" s="9" t="s">
        <v>395</v>
      </c>
      <c r="E455" s="9" t="s">
        <v>1045</v>
      </c>
      <c r="F455" s="10" t="s">
        <v>2522</v>
      </c>
      <c r="G455" s="11">
        <v>45697</v>
      </c>
    </row>
    <row r="456" spans="1:7" ht="24.5" hidden="1" x14ac:dyDescent="0.35">
      <c r="A456" s="8">
        <v>7570</v>
      </c>
      <c r="B456" s="10" t="s">
        <v>2991</v>
      </c>
      <c r="C456" s="10" t="s">
        <v>104</v>
      </c>
      <c r="D456" s="9" t="s">
        <v>95</v>
      </c>
      <c r="E456" s="9" t="s">
        <v>1836</v>
      </c>
      <c r="F456" s="10" t="s">
        <v>2522</v>
      </c>
      <c r="G456" s="11">
        <v>45698</v>
      </c>
    </row>
    <row r="457" spans="1:7" ht="36.5" hidden="1" x14ac:dyDescent="0.35">
      <c r="A457" s="8">
        <v>7578</v>
      </c>
      <c r="B457" s="10" t="s">
        <v>2992</v>
      </c>
      <c r="C457" s="10" t="s">
        <v>278</v>
      </c>
      <c r="D457" s="9" t="s">
        <v>278</v>
      </c>
      <c r="E457" s="9" t="s">
        <v>982</v>
      </c>
      <c r="F457" s="10" t="s">
        <v>2516</v>
      </c>
      <c r="G457" s="11">
        <v>45698</v>
      </c>
    </row>
    <row r="458" spans="1:7" ht="36.5" hidden="1" x14ac:dyDescent="0.35">
      <c r="A458" s="8">
        <v>7577</v>
      </c>
      <c r="B458" s="10" t="s">
        <v>2993</v>
      </c>
      <c r="C458" s="10" t="s">
        <v>193</v>
      </c>
      <c r="D458" s="9" t="s">
        <v>193</v>
      </c>
      <c r="E458" s="9" t="s">
        <v>1828</v>
      </c>
      <c r="F458" s="10" t="s">
        <v>2516</v>
      </c>
      <c r="G458" s="11">
        <v>45698</v>
      </c>
    </row>
    <row r="459" spans="1:7" ht="24.5" hidden="1" x14ac:dyDescent="0.35">
      <c r="A459" s="8">
        <v>7580</v>
      </c>
      <c r="B459" s="10" t="s">
        <v>2994</v>
      </c>
      <c r="C459" s="10" t="s">
        <v>21</v>
      </c>
      <c r="D459" s="9" t="s">
        <v>21</v>
      </c>
      <c r="E459" s="9" t="s">
        <v>633</v>
      </c>
      <c r="F459" s="10" t="s">
        <v>2522</v>
      </c>
      <c r="G459" s="11">
        <v>45698</v>
      </c>
    </row>
    <row r="460" spans="1:7" ht="36.5" hidden="1" x14ac:dyDescent="0.35">
      <c r="A460" s="8">
        <v>7581</v>
      </c>
      <c r="B460" s="10" t="s">
        <v>2995</v>
      </c>
      <c r="C460" s="10" t="s">
        <v>34</v>
      </c>
      <c r="D460" s="9" t="s">
        <v>34</v>
      </c>
      <c r="E460" s="9" t="s">
        <v>1525</v>
      </c>
      <c r="F460" s="10" t="s">
        <v>2516</v>
      </c>
      <c r="G460" s="11">
        <v>45698</v>
      </c>
    </row>
    <row r="461" spans="1:7" ht="24.5" hidden="1" x14ac:dyDescent="0.35">
      <c r="A461" s="8">
        <v>7582</v>
      </c>
      <c r="B461" s="10" t="s">
        <v>2996</v>
      </c>
      <c r="C461" s="10" t="s">
        <v>26</v>
      </c>
      <c r="D461" s="9" t="s">
        <v>26</v>
      </c>
      <c r="E461" s="9" t="s">
        <v>1525</v>
      </c>
      <c r="F461" s="10" t="s">
        <v>2522</v>
      </c>
      <c r="G461" s="11">
        <v>45698</v>
      </c>
    </row>
    <row r="462" spans="1:7" ht="36.5" hidden="1" x14ac:dyDescent="0.35">
      <c r="A462" s="8">
        <v>7583</v>
      </c>
      <c r="B462" s="10" t="s">
        <v>2997</v>
      </c>
      <c r="C462" s="10" t="s">
        <v>134</v>
      </c>
      <c r="D462" s="9" t="s">
        <v>395</v>
      </c>
      <c r="E462" s="9" t="s">
        <v>1045</v>
      </c>
      <c r="F462" s="10" t="s">
        <v>2525</v>
      </c>
      <c r="G462" s="11">
        <v>45698</v>
      </c>
    </row>
    <row r="463" spans="1:7" ht="24.5" hidden="1" x14ac:dyDescent="0.35">
      <c r="A463" s="8">
        <v>7586</v>
      </c>
      <c r="B463" s="10" t="s">
        <v>2998</v>
      </c>
      <c r="C463" s="10" t="s">
        <v>21</v>
      </c>
      <c r="D463" s="9" t="s">
        <v>21</v>
      </c>
      <c r="E463" s="9" t="s">
        <v>2336</v>
      </c>
      <c r="F463" s="10" t="s">
        <v>2540</v>
      </c>
      <c r="G463" s="11">
        <v>45698</v>
      </c>
    </row>
    <row r="464" spans="1:7" ht="48.5" hidden="1" x14ac:dyDescent="0.35">
      <c r="A464" s="8">
        <v>7590</v>
      </c>
      <c r="B464" s="10" t="s">
        <v>2999</v>
      </c>
      <c r="C464" s="10" t="s">
        <v>134</v>
      </c>
      <c r="D464" s="9" t="s">
        <v>134</v>
      </c>
      <c r="E464" s="9" t="s">
        <v>633</v>
      </c>
      <c r="F464" s="10" t="s">
        <v>2516</v>
      </c>
      <c r="G464" s="11">
        <v>45698</v>
      </c>
    </row>
    <row r="465" spans="1:7" ht="24.5" hidden="1" x14ac:dyDescent="0.35">
      <c r="A465" s="8">
        <v>7587</v>
      </c>
      <c r="B465" s="10" t="s">
        <v>3000</v>
      </c>
      <c r="C465" s="10" t="s">
        <v>95</v>
      </c>
      <c r="D465" s="9" t="s">
        <v>95</v>
      </c>
      <c r="E465" s="9" t="s">
        <v>3001</v>
      </c>
      <c r="F465" s="10" t="s">
        <v>2522</v>
      </c>
      <c r="G465" s="11">
        <v>45698</v>
      </c>
    </row>
    <row r="466" spans="1:7" ht="48.5" hidden="1" x14ac:dyDescent="0.35">
      <c r="A466" s="8">
        <v>7592</v>
      </c>
      <c r="B466" s="10" t="s">
        <v>3002</v>
      </c>
      <c r="C466" s="10" t="s">
        <v>278</v>
      </c>
      <c r="D466" s="9" t="s">
        <v>278</v>
      </c>
      <c r="E466" s="9" t="s">
        <v>982</v>
      </c>
      <c r="F466" s="10" t="s">
        <v>2559</v>
      </c>
      <c r="G466" s="11">
        <v>45698</v>
      </c>
    </row>
    <row r="467" spans="1:7" ht="24.5" hidden="1" x14ac:dyDescent="0.35">
      <c r="A467" s="8">
        <v>7594</v>
      </c>
      <c r="B467" s="10" t="s">
        <v>3003</v>
      </c>
      <c r="C467" s="10" t="s">
        <v>196</v>
      </c>
      <c r="D467" s="9" t="s">
        <v>196</v>
      </c>
      <c r="E467" s="9" t="s">
        <v>595</v>
      </c>
      <c r="F467" s="10" t="s">
        <v>2537</v>
      </c>
      <c r="G467" s="11">
        <v>45699</v>
      </c>
    </row>
    <row r="468" spans="1:7" ht="36.5" hidden="1" x14ac:dyDescent="0.35">
      <c r="A468" s="8">
        <v>7597</v>
      </c>
      <c r="B468" s="10" t="s">
        <v>3004</v>
      </c>
      <c r="C468" s="10" t="s">
        <v>193</v>
      </c>
      <c r="D468" s="9" t="s">
        <v>193</v>
      </c>
      <c r="E468" s="9" t="s">
        <v>1828</v>
      </c>
      <c r="F468" s="10" t="s">
        <v>2572</v>
      </c>
      <c r="G468" s="11">
        <v>45699</v>
      </c>
    </row>
    <row r="469" spans="1:7" ht="36.5" hidden="1" x14ac:dyDescent="0.35">
      <c r="A469" s="8">
        <v>7595</v>
      </c>
      <c r="B469" s="10" t="s">
        <v>3005</v>
      </c>
      <c r="C469" s="10" t="s">
        <v>96</v>
      </c>
      <c r="D469" s="9" t="s">
        <v>96</v>
      </c>
      <c r="E469" s="9" t="s">
        <v>1179</v>
      </c>
      <c r="F469" s="10" t="s">
        <v>2516</v>
      </c>
      <c r="G469" s="11">
        <v>45699</v>
      </c>
    </row>
    <row r="470" spans="1:7" ht="24.5" hidden="1" x14ac:dyDescent="0.35">
      <c r="A470" s="8">
        <v>7593</v>
      </c>
      <c r="B470" s="10" t="s">
        <v>3006</v>
      </c>
      <c r="C470" s="10" t="s">
        <v>278</v>
      </c>
      <c r="D470" s="9" t="s">
        <v>278</v>
      </c>
      <c r="E470" s="9" t="s">
        <v>982</v>
      </c>
      <c r="F470" s="10" t="s">
        <v>2522</v>
      </c>
      <c r="G470" s="11">
        <v>45699</v>
      </c>
    </row>
    <row r="471" spans="1:7" ht="36.5" hidden="1" x14ac:dyDescent="0.35">
      <c r="A471" s="8">
        <v>7596</v>
      </c>
      <c r="B471" s="10" t="s">
        <v>3007</v>
      </c>
      <c r="C471" s="10" t="s">
        <v>193</v>
      </c>
      <c r="D471" s="9" t="s">
        <v>193</v>
      </c>
      <c r="E471" s="9" t="s">
        <v>1828</v>
      </c>
      <c r="F471" s="10" t="s">
        <v>2516</v>
      </c>
      <c r="G471" s="11">
        <v>45699</v>
      </c>
    </row>
    <row r="472" spans="1:7" ht="48.5" hidden="1" x14ac:dyDescent="0.35">
      <c r="A472" s="8">
        <v>7600</v>
      </c>
      <c r="B472" s="10" t="s">
        <v>3008</v>
      </c>
      <c r="C472" s="10" t="s">
        <v>96</v>
      </c>
      <c r="D472" s="9" t="s">
        <v>278</v>
      </c>
      <c r="E472" s="9" t="s">
        <v>982</v>
      </c>
      <c r="F472" s="10" t="s">
        <v>2559</v>
      </c>
      <c r="G472" s="11">
        <v>45699</v>
      </c>
    </row>
    <row r="473" spans="1:7" ht="24.5" hidden="1" x14ac:dyDescent="0.35">
      <c r="A473" s="8">
        <v>7601</v>
      </c>
      <c r="B473" s="10" t="s">
        <v>3009</v>
      </c>
      <c r="C473" s="10" t="s">
        <v>134</v>
      </c>
      <c r="D473" s="9" t="s">
        <v>134</v>
      </c>
      <c r="E473" s="9" t="s">
        <v>762</v>
      </c>
      <c r="F473" s="10" t="s">
        <v>2522</v>
      </c>
      <c r="G473" s="11">
        <v>45699</v>
      </c>
    </row>
    <row r="474" spans="1:7" ht="36.5" hidden="1" x14ac:dyDescent="0.35">
      <c r="A474" s="8">
        <v>7602</v>
      </c>
      <c r="B474" s="10" t="s">
        <v>3010</v>
      </c>
      <c r="C474" s="10" t="s">
        <v>96</v>
      </c>
      <c r="D474" s="9" t="s">
        <v>96</v>
      </c>
      <c r="E474" s="9" t="s">
        <v>1055</v>
      </c>
      <c r="F474" s="10" t="s">
        <v>2516</v>
      </c>
      <c r="G474" s="11">
        <v>45699</v>
      </c>
    </row>
    <row r="475" spans="1:7" ht="36.5" hidden="1" x14ac:dyDescent="0.35">
      <c r="A475" s="8">
        <v>7603</v>
      </c>
      <c r="B475" s="10" t="s">
        <v>3011</v>
      </c>
      <c r="C475" s="10" t="s">
        <v>196</v>
      </c>
      <c r="D475" s="9" t="s">
        <v>395</v>
      </c>
      <c r="E475" s="9" t="s">
        <v>1037</v>
      </c>
      <c r="F475" s="10" t="s">
        <v>2530</v>
      </c>
      <c r="G475" s="11">
        <v>45699</v>
      </c>
    </row>
    <row r="476" spans="1:7" ht="48.5" hidden="1" x14ac:dyDescent="0.35">
      <c r="A476" s="8">
        <v>7604</v>
      </c>
      <c r="B476" s="10" t="s">
        <v>3012</v>
      </c>
      <c r="C476" s="10" t="s">
        <v>193</v>
      </c>
      <c r="D476" s="9" t="s">
        <v>395</v>
      </c>
      <c r="E476" s="9" t="s">
        <v>1037</v>
      </c>
      <c r="F476" s="10" t="s">
        <v>2559</v>
      </c>
      <c r="G476" s="11">
        <v>45700</v>
      </c>
    </row>
    <row r="477" spans="1:7" ht="36.5" hidden="1" x14ac:dyDescent="0.35">
      <c r="A477" s="8">
        <v>7606</v>
      </c>
      <c r="B477" s="10" t="s">
        <v>3013</v>
      </c>
      <c r="C477" s="10" t="s">
        <v>26</v>
      </c>
      <c r="D477" s="9" t="s">
        <v>104</v>
      </c>
      <c r="E477" s="9" t="s">
        <v>2336</v>
      </c>
      <c r="F477" s="10" t="s">
        <v>2516</v>
      </c>
      <c r="G477" s="11">
        <v>45700</v>
      </c>
    </row>
    <row r="478" spans="1:7" ht="24.5" hidden="1" x14ac:dyDescent="0.35">
      <c r="A478" s="8">
        <v>7607</v>
      </c>
      <c r="B478" s="10" t="s">
        <v>3014</v>
      </c>
      <c r="C478" s="10" t="s">
        <v>104</v>
      </c>
      <c r="D478" s="9" t="s">
        <v>193</v>
      </c>
      <c r="E478" s="9" t="s">
        <v>1828</v>
      </c>
      <c r="F478" s="10" t="s">
        <v>2522</v>
      </c>
      <c r="G478" s="11">
        <v>45700</v>
      </c>
    </row>
    <row r="479" spans="1:7" ht="36.5" hidden="1" x14ac:dyDescent="0.35">
      <c r="A479" s="8">
        <v>7611</v>
      </c>
      <c r="B479" s="10" t="s">
        <v>3015</v>
      </c>
      <c r="C479" s="10" t="s">
        <v>21</v>
      </c>
      <c r="D479" s="9" t="s">
        <v>95</v>
      </c>
      <c r="E479" s="9" t="s">
        <v>2869</v>
      </c>
      <c r="F479" s="10" t="s">
        <v>2516</v>
      </c>
      <c r="G479" s="11">
        <v>45700</v>
      </c>
    </row>
    <row r="480" spans="1:7" ht="36.5" hidden="1" x14ac:dyDescent="0.35">
      <c r="A480" s="8">
        <v>7613</v>
      </c>
      <c r="B480" s="10" t="s">
        <v>3016</v>
      </c>
      <c r="C480" s="10" t="s">
        <v>134</v>
      </c>
      <c r="D480" s="9" t="s">
        <v>95</v>
      </c>
      <c r="E480" s="9" t="s">
        <v>1914</v>
      </c>
      <c r="F480" s="10" t="s">
        <v>2516</v>
      </c>
      <c r="G480" s="11">
        <v>45700</v>
      </c>
    </row>
    <row r="481" spans="1:7" ht="24.5" hidden="1" x14ac:dyDescent="0.35">
      <c r="A481" s="8">
        <v>7612</v>
      </c>
      <c r="B481" s="10" t="s">
        <v>3017</v>
      </c>
      <c r="C481" s="10" t="s">
        <v>134</v>
      </c>
      <c r="D481" s="9" t="s">
        <v>95</v>
      </c>
      <c r="E481" s="9" t="s">
        <v>1914</v>
      </c>
      <c r="F481" s="10" t="s">
        <v>2522</v>
      </c>
      <c r="G481" s="11">
        <v>45700</v>
      </c>
    </row>
    <row r="482" spans="1:7" ht="48.5" hidden="1" x14ac:dyDescent="0.35">
      <c r="A482" s="8">
        <v>7614</v>
      </c>
      <c r="B482" s="10" t="s">
        <v>3018</v>
      </c>
      <c r="C482" s="10" t="s">
        <v>96</v>
      </c>
      <c r="D482" s="9" t="s">
        <v>96</v>
      </c>
      <c r="E482" s="9" t="s">
        <v>1179</v>
      </c>
      <c r="F482" s="10" t="s">
        <v>2559</v>
      </c>
      <c r="G482" s="11">
        <v>45700</v>
      </c>
    </row>
    <row r="483" spans="1:7" ht="36.5" hidden="1" x14ac:dyDescent="0.35">
      <c r="A483" s="8">
        <v>7615</v>
      </c>
      <c r="B483" s="10" t="s">
        <v>3019</v>
      </c>
      <c r="C483" s="10" t="s">
        <v>34</v>
      </c>
      <c r="D483" s="9" t="s">
        <v>190</v>
      </c>
      <c r="E483" s="9" t="s">
        <v>410</v>
      </c>
      <c r="F483" s="10" t="s">
        <v>2516</v>
      </c>
      <c r="G483" s="11">
        <v>45700</v>
      </c>
    </row>
    <row r="484" spans="1:7" ht="36.5" hidden="1" x14ac:dyDescent="0.35">
      <c r="A484" s="8">
        <v>7616</v>
      </c>
      <c r="B484" s="10" t="s">
        <v>3020</v>
      </c>
      <c r="C484" s="10" t="s">
        <v>250</v>
      </c>
      <c r="D484" s="9" t="s">
        <v>395</v>
      </c>
      <c r="E484" s="9" t="s">
        <v>1037</v>
      </c>
      <c r="F484" s="10" t="s">
        <v>2715</v>
      </c>
      <c r="G484" s="11">
        <v>45700</v>
      </c>
    </row>
    <row r="485" spans="1:7" ht="24.5" hidden="1" x14ac:dyDescent="0.35">
      <c r="A485" s="8">
        <v>7605</v>
      </c>
      <c r="B485" s="10" t="s">
        <v>3021</v>
      </c>
      <c r="C485" s="10" t="s">
        <v>220</v>
      </c>
      <c r="D485" s="9" t="s">
        <v>95</v>
      </c>
      <c r="E485" s="9" t="s">
        <v>2869</v>
      </c>
      <c r="F485" s="10" t="s">
        <v>2834</v>
      </c>
      <c r="G485" s="11">
        <v>45700</v>
      </c>
    </row>
    <row r="486" spans="1:7" ht="36.5" hidden="1" x14ac:dyDescent="0.35">
      <c r="A486" s="8">
        <v>7617</v>
      </c>
      <c r="B486" s="10" t="s">
        <v>3022</v>
      </c>
      <c r="C486" s="10" t="s">
        <v>220</v>
      </c>
      <c r="D486" s="9" t="s">
        <v>95</v>
      </c>
      <c r="E486" s="9" t="s">
        <v>3023</v>
      </c>
      <c r="F486" s="10" t="s">
        <v>2516</v>
      </c>
      <c r="G486" s="11">
        <v>45700</v>
      </c>
    </row>
    <row r="487" spans="1:7" ht="36.5" hidden="1" x14ac:dyDescent="0.35">
      <c r="A487" s="8">
        <v>7620</v>
      </c>
      <c r="B487" s="10" t="s">
        <v>3024</v>
      </c>
      <c r="C487" s="10" t="s">
        <v>95</v>
      </c>
      <c r="D487" s="9" t="s">
        <v>95</v>
      </c>
      <c r="E487" s="9" t="s">
        <v>822</v>
      </c>
      <c r="F487" s="10" t="s">
        <v>2572</v>
      </c>
      <c r="G487" s="11">
        <v>45700</v>
      </c>
    </row>
    <row r="488" spans="1:7" ht="36.5" hidden="1" x14ac:dyDescent="0.35">
      <c r="A488" s="8">
        <v>7628</v>
      </c>
      <c r="B488" s="10" t="s">
        <v>3025</v>
      </c>
      <c r="C488" s="10" t="s">
        <v>134</v>
      </c>
      <c r="D488" s="9" t="s">
        <v>134</v>
      </c>
      <c r="E488" s="9" t="s">
        <v>819</v>
      </c>
      <c r="F488" s="10" t="s">
        <v>2516</v>
      </c>
      <c r="G488" s="11">
        <v>45700</v>
      </c>
    </row>
    <row r="489" spans="1:7" ht="24.5" hidden="1" x14ac:dyDescent="0.35">
      <c r="A489" s="8">
        <v>7629</v>
      </c>
      <c r="B489" s="10" t="s">
        <v>3026</v>
      </c>
      <c r="C489" s="10" t="s">
        <v>104</v>
      </c>
      <c r="D489" s="9" t="s">
        <v>104</v>
      </c>
      <c r="E489" s="9" t="s">
        <v>1371</v>
      </c>
      <c r="F489" s="10" t="s">
        <v>2540</v>
      </c>
      <c r="G489" s="11">
        <v>45700</v>
      </c>
    </row>
    <row r="490" spans="1:7" ht="24.5" hidden="1" x14ac:dyDescent="0.35">
      <c r="A490" s="8">
        <v>7630</v>
      </c>
      <c r="B490" s="10" t="s">
        <v>3027</v>
      </c>
      <c r="C490" s="10" t="s">
        <v>21</v>
      </c>
      <c r="D490" s="9" t="s">
        <v>21</v>
      </c>
      <c r="E490" s="9" t="s">
        <v>2336</v>
      </c>
      <c r="F490" s="10" t="s">
        <v>2540</v>
      </c>
      <c r="G490" s="11">
        <v>45700</v>
      </c>
    </row>
    <row r="491" spans="1:7" ht="24.5" hidden="1" x14ac:dyDescent="0.35">
      <c r="A491" s="8">
        <v>7631</v>
      </c>
      <c r="B491" s="10" t="s">
        <v>3028</v>
      </c>
      <c r="C491" s="10" t="s">
        <v>21</v>
      </c>
      <c r="D491" s="9" t="s">
        <v>21</v>
      </c>
      <c r="E491" s="9" t="s">
        <v>2336</v>
      </c>
      <c r="F491" s="10" t="s">
        <v>2540</v>
      </c>
      <c r="G491" s="11">
        <v>45701</v>
      </c>
    </row>
    <row r="492" spans="1:7" ht="36.5" hidden="1" x14ac:dyDescent="0.35">
      <c r="A492" s="8">
        <v>7633</v>
      </c>
      <c r="B492" s="10" t="s">
        <v>3029</v>
      </c>
      <c r="C492" s="10" t="s">
        <v>190</v>
      </c>
      <c r="D492" s="9" t="s">
        <v>190</v>
      </c>
      <c r="E492" s="9" t="s">
        <v>592</v>
      </c>
      <c r="F492" s="10" t="s">
        <v>2530</v>
      </c>
      <c r="G492" s="11">
        <v>45701</v>
      </c>
    </row>
    <row r="493" spans="1:7" ht="48.5" hidden="1" x14ac:dyDescent="0.35">
      <c r="A493" s="8">
        <v>7645</v>
      </c>
      <c r="B493" s="10" t="s">
        <v>3030</v>
      </c>
      <c r="C493" s="10" t="s">
        <v>26</v>
      </c>
      <c r="D493" s="9" t="s">
        <v>95</v>
      </c>
      <c r="E493" s="9" t="s">
        <v>3031</v>
      </c>
      <c r="F493" s="10" t="s">
        <v>2559</v>
      </c>
      <c r="G493" s="11">
        <v>45701</v>
      </c>
    </row>
    <row r="494" spans="1:7" ht="36.5" hidden="1" x14ac:dyDescent="0.35">
      <c r="A494" s="8">
        <v>7644</v>
      </c>
      <c r="B494" s="10" t="s">
        <v>3032</v>
      </c>
      <c r="C494" s="10" t="s">
        <v>26</v>
      </c>
      <c r="D494" s="9" t="s">
        <v>95</v>
      </c>
      <c r="E494" s="9" t="s">
        <v>3031</v>
      </c>
      <c r="F494" s="10" t="s">
        <v>2572</v>
      </c>
      <c r="G494" s="11">
        <v>45701</v>
      </c>
    </row>
    <row r="495" spans="1:7" ht="24.5" hidden="1" x14ac:dyDescent="0.35">
      <c r="A495" s="8">
        <v>7643</v>
      </c>
      <c r="B495" s="10" t="s">
        <v>3033</v>
      </c>
      <c r="C495" s="10" t="s">
        <v>134</v>
      </c>
      <c r="D495" s="9" t="s">
        <v>95</v>
      </c>
      <c r="E495" s="9" t="s">
        <v>2863</v>
      </c>
      <c r="F495" s="10" t="s">
        <v>2522</v>
      </c>
      <c r="G495" s="11">
        <v>45701</v>
      </c>
    </row>
    <row r="496" spans="1:7" ht="36.5" hidden="1" x14ac:dyDescent="0.35">
      <c r="A496" s="8">
        <v>7659</v>
      </c>
      <c r="B496" s="10" t="s">
        <v>3034</v>
      </c>
      <c r="C496" s="10" t="s">
        <v>26</v>
      </c>
      <c r="D496" s="9" t="s">
        <v>26</v>
      </c>
      <c r="E496" s="9" t="s">
        <v>1525</v>
      </c>
      <c r="F496" s="10" t="s">
        <v>2516</v>
      </c>
      <c r="G496" s="11">
        <v>45701</v>
      </c>
    </row>
    <row r="497" spans="1:7" ht="24.5" hidden="1" x14ac:dyDescent="0.35">
      <c r="A497" s="8">
        <v>7662</v>
      </c>
      <c r="B497" s="10" t="s">
        <v>3035</v>
      </c>
      <c r="C497" s="10" t="s">
        <v>26</v>
      </c>
      <c r="D497" s="9" t="s">
        <v>26</v>
      </c>
      <c r="E497" s="9" t="s">
        <v>1525</v>
      </c>
      <c r="F497" s="10" t="s">
        <v>2522</v>
      </c>
      <c r="G497" s="11">
        <v>45701</v>
      </c>
    </row>
    <row r="498" spans="1:7" ht="36.5" hidden="1" x14ac:dyDescent="0.35">
      <c r="A498" s="8">
        <v>7660</v>
      </c>
      <c r="B498" s="10" t="s">
        <v>3036</v>
      </c>
      <c r="C498" s="10" t="s">
        <v>26</v>
      </c>
      <c r="D498" s="9" t="s">
        <v>26</v>
      </c>
      <c r="E498" s="9" t="s">
        <v>1525</v>
      </c>
      <c r="F498" s="10" t="s">
        <v>2516</v>
      </c>
      <c r="G498" s="11">
        <v>45701</v>
      </c>
    </row>
    <row r="499" spans="1:7" ht="24.5" hidden="1" x14ac:dyDescent="0.35">
      <c r="A499" s="8">
        <v>7661</v>
      </c>
      <c r="B499" s="10" t="s">
        <v>3037</v>
      </c>
      <c r="C499" s="10" t="s">
        <v>26</v>
      </c>
      <c r="D499" s="9" t="s">
        <v>26</v>
      </c>
      <c r="E499" s="9" t="s">
        <v>1525</v>
      </c>
      <c r="F499" s="10" t="s">
        <v>2522</v>
      </c>
      <c r="G499" s="11">
        <v>45701</v>
      </c>
    </row>
    <row r="500" spans="1:7" ht="24.5" hidden="1" x14ac:dyDescent="0.35">
      <c r="A500" s="8">
        <v>7663</v>
      </c>
      <c r="B500" s="10" t="s">
        <v>3038</v>
      </c>
      <c r="C500" s="10" t="s">
        <v>26</v>
      </c>
      <c r="D500" s="9" t="s">
        <v>26</v>
      </c>
      <c r="E500" s="9" t="s">
        <v>1525</v>
      </c>
      <c r="F500" s="10" t="s">
        <v>2522</v>
      </c>
      <c r="G500" s="11">
        <v>45701</v>
      </c>
    </row>
    <row r="501" spans="1:7" ht="24.5" hidden="1" x14ac:dyDescent="0.35">
      <c r="A501" s="8">
        <v>7664</v>
      </c>
      <c r="B501" s="10" t="s">
        <v>3039</v>
      </c>
      <c r="C501" s="10" t="s">
        <v>220</v>
      </c>
      <c r="D501" s="9" t="s">
        <v>220</v>
      </c>
      <c r="E501" s="9" t="s">
        <v>305</v>
      </c>
      <c r="F501" s="10" t="s">
        <v>2522</v>
      </c>
      <c r="G501" s="11">
        <v>45701</v>
      </c>
    </row>
    <row r="502" spans="1:7" ht="48.5" hidden="1" x14ac:dyDescent="0.35">
      <c r="A502" s="8">
        <v>7665</v>
      </c>
      <c r="B502" s="10" t="s">
        <v>3040</v>
      </c>
      <c r="C502" s="10" t="s">
        <v>21</v>
      </c>
      <c r="D502" s="9" t="s">
        <v>95</v>
      </c>
      <c r="E502" s="9" t="s">
        <v>1914</v>
      </c>
      <c r="F502" s="10" t="s">
        <v>2559</v>
      </c>
      <c r="G502" s="11">
        <v>45702</v>
      </c>
    </row>
    <row r="503" spans="1:7" ht="24.5" hidden="1" x14ac:dyDescent="0.35">
      <c r="A503" s="8">
        <v>7668</v>
      </c>
      <c r="B503" s="10" t="s">
        <v>3041</v>
      </c>
      <c r="C503" s="10" t="s">
        <v>220</v>
      </c>
      <c r="D503" s="9" t="s">
        <v>220</v>
      </c>
      <c r="E503" s="9" t="s">
        <v>305</v>
      </c>
      <c r="F503" s="10" t="s">
        <v>2522</v>
      </c>
      <c r="G503" s="11">
        <v>45702</v>
      </c>
    </row>
    <row r="504" spans="1:7" ht="36.5" hidden="1" x14ac:dyDescent="0.35">
      <c r="A504" s="8">
        <v>7667</v>
      </c>
      <c r="B504" s="10" t="s">
        <v>3042</v>
      </c>
      <c r="C504" s="10" t="s">
        <v>220</v>
      </c>
      <c r="D504" s="9" t="s">
        <v>220</v>
      </c>
      <c r="E504" s="9" t="s">
        <v>305</v>
      </c>
      <c r="F504" s="10" t="s">
        <v>2516</v>
      </c>
      <c r="G504" s="11">
        <v>45702</v>
      </c>
    </row>
    <row r="505" spans="1:7" ht="36.5" hidden="1" x14ac:dyDescent="0.35">
      <c r="A505" s="8">
        <v>7669</v>
      </c>
      <c r="B505" s="10" t="s">
        <v>3043</v>
      </c>
      <c r="C505" s="10" t="s">
        <v>278</v>
      </c>
      <c r="D505" s="9" t="s">
        <v>278</v>
      </c>
      <c r="E505" s="9" t="s">
        <v>1805</v>
      </c>
      <c r="F505" s="10" t="s">
        <v>2516</v>
      </c>
      <c r="G505" s="11">
        <v>45702</v>
      </c>
    </row>
    <row r="506" spans="1:7" ht="36.5" hidden="1" x14ac:dyDescent="0.35">
      <c r="A506" s="8">
        <v>7670</v>
      </c>
      <c r="B506" s="10" t="s">
        <v>3044</v>
      </c>
      <c r="C506" s="10" t="s">
        <v>196</v>
      </c>
      <c r="D506" s="9" t="s">
        <v>196</v>
      </c>
      <c r="E506" s="9" t="s">
        <v>1116</v>
      </c>
      <c r="F506" s="10" t="s">
        <v>2537</v>
      </c>
      <c r="G506" s="11">
        <v>45702</v>
      </c>
    </row>
    <row r="507" spans="1:7" ht="24.5" hidden="1" x14ac:dyDescent="0.35">
      <c r="A507" s="8">
        <v>7672</v>
      </c>
      <c r="B507" s="10" t="s">
        <v>3045</v>
      </c>
      <c r="C507" s="10" t="s">
        <v>104</v>
      </c>
      <c r="D507" s="9" t="s">
        <v>104</v>
      </c>
      <c r="E507" s="9" t="s">
        <v>1381</v>
      </c>
      <c r="F507" s="10" t="s">
        <v>2522</v>
      </c>
      <c r="G507" s="11">
        <v>45702</v>
      </c>
    </row>
    <row r="508" spans="1:7" ht="48.5" hidden="1" x14ac:dyDescent="0.35">
      <c r="A508" s="8">
        <v>7671</v>
      </c>
      <c r="B508" s="10" t="s">
        <v>3046</v>
      </c>
      <c r="C508" s="10" t="s">
        <v>104</v>
      </c>
      <c r="D508" s="9" t="s">
        <v>104</v>
      </c>
      <c r="E508" s="9" t="s">
        <v>1381</v>
      </c>
      <c r="F508" s="10" t="s">
        <v>2559</v>
      </c>
      <c r="G508" s="11">
        <v>45702</v>
      </c>
    </row>
    <row r="509" spans="1:7" ht="24.5" hidden="1" x14ac:dyDescent="0.35">
      <c r="A509" s="8">
        <v>7673</v>
      </c>
      <c r="B509" s="10" t="s">
        <v>3047</v>
      </c>
      <c r="C509" s="10" t="s">
        <v>95</v>
      </c>
      <c r="D509" s="9" t="s">
        <v>95</v>
      </c>
      <c r="E509" s="9" t="s">
        <v>657</v>
      </c>
      <c r="F509" s="10" t="s">
        <v>2834</v>
      </c>
      <c r="G509" s="11">
        <v>45717</v>
      </c>
    </row>
    <row r="510" spans="1:7" ht="24.5" hidden="1" x14ac:dyDescent="0.35">
      <c r="A510" s="8">
        <v>7674</v>
      </c>
      <c r="B510" s="10" t="s">
        <v>3048</v>
      </c>
      <c r="C510" s="10" t="s">
        <v>95</v>
      </c>
      <c r="D510" s="9" t="s">
        <v>95</v>
      </c>
      <c r="E510" s="9" t="s">
        <v>657</v>
      </c>
      <c r="F510" s="10" t="s">
        <v>2834</v>
      </c>
      <c r="G510" s="11">
        <v>45717</v>
      </c>
    </row>
    <row r="511" spans="1:7" ht="36.5" hidden="1" x14ac:dyDescent="0.35">
      <c r="A511" s="8">
        <v>7675</v>
      </c>
      <c r="B511" s="10" t="s">
        <v>3049</v>
      </c>
      <c r="C511" s="10" t="s">
        <v>95</v>
      </c>
      <c r="D511" s="9" t="s">
        <v>95</v>
      </c>
      <c r="E511" s="9" t="s">
        <v>657</v>
      </c>
      <c r="F511" s="10" t="s">
        <v>2715</v>
      </c>
      <c r="G511" s="11">
        <v>45717</v>
      </c>
    </row>
    <row r="512" spans="1:7" ht="24.5" hidden="1" x14ac:dyDescent="0.35">
      <c r="A512" s="8">
        <v>7686</v>
      </c>
      <c r="B512" s="10" t="s">
        <v>3050</v>
      </c>
      <c r="C512" s="10" t="s">
        <v>21</v>
      </c>
      <c r="D512" s="9" t="s">
        <v>95</v>
      </c>
      <c r="E512" s="9" t="s">
        <v>1836</v>
      </c>
      <c r="F512" s="10" t="s">
        <v>2834</v>
      </c>
      <c r="G512" s="11">
        <v>45717</v>
      </c>
    </row>
    <row r="513" spans="1:7" ht="36.5" hidden="1" x14ac:dyDescent="0.35">
      <c r="A513" s="8">
        <v>7702</v>
      </c>
      <c r="B513" s="10" t="s">
        <v>3051</v>
      </c>
      <c r="C513" s="10" t="s">
        <v>190</v>
      </c>
      <c r="D513" s="9" t="s">
        <v>190</v>
      </c>
      <c r="E513" s="9" t="s">
        <v>410</v>
      </c>
      <c r="F513" s="10" t="s">
        <v>2516</v>
      </c>
      <c r="G513" s="11">
        <v>45717</v>
      </c>
    </row>
    <row r="514" spans="1:7" ht="24.5" hidden="1" x14ac:dyDescent="0.35">
      <c r="A514" s="8">
        <v>7689</v>
      </c>
      <c r="B514" s="10" t="s">
        <v>3052</v>
      </c>
      <c r="C514" s="10" t="s">
        <v>21</v>
      </c>
      <c r="D514" s="9" t="s">
        <v>21</v>
      </c>
      <c r="E514" s="9" t="s">
        <v>762</v>
      </c>
      <c r="F514" s="10" t="s">
        <v>2522</v>
      </c>
      <c r="G514" s="11">
        <v>45717</v>
      </c>
    </row>
    <row r="515" spans="1:7" ht="36.5" hidden="1" x14ac:dyDescent="0.35">
      <c r="A515" s="8">
        <v>7691</v>
      </c>
      <c r="B515" s="10" t="s">
        <v>3053</v>
      </c>
      <c r="C515" s="10" t="s">
        <v>96</v>
      </c>
      <c r="D515" s="9" t="s">
        <v>96</v>
      </c>
      <c r="E515" s="9" t="s">
        <v>1179</v>
      </c>
      <c r="F515" s="10" t="s">
        <v>2516</v>
      </c>
      <c r="G515" s="11">
        <v>45717</v>
      </c>
    </row>
    <row r="516" spans="1:7" ht="24.5" hidden="1" x14ac:dyDescent="0.35">
      <c r="A516" s="8">
        <v>7690</v>
      </c>
      <c r="B516" s="10" t="s">
        <v>3054</v>
      </c>
      <c r="C516" s="10" t="s">
        <v>96</v>
      </c>
      <c r="D516" s="9" t="s">
        <v>96</v>
      </c>
      <c r="E516" s="9" t="s">
        <v>3055</v>
      </c>
      <c r="F516" s="10" t="s">
        <v>2522</v>
      </c>
      <c r="G516" s="11">
        <v>45717</v>
      </c>
    </row>
    <row r="517" spans="1:7" ht="24.5" hidden="1" x14ac:dyDescent="0.35">
      <c r="A517" s="8">
        <v>7692</v>
      </c>
      <c r="B517" s="10" t="s">
        <v>3056</v>
      </c>
      <c r="C517" s="10" t="s">
        <v>34</v>
      </c>
      <c r="D517" s="9" t="s">
        <v>34</v>
      </c>
      <c r="E517" s="9" t="s">
        <v>78</v>
      </c>
      <c r="F517" s="10" t="s">
        <v>2522</v>
      </c>
      <c r="G517" s="11">
        <v>45717</v>
      </c>
    </row>
    <row r="518" spans="1:7" ht="24.5" hidden="1" x14ac:dyDescent="0.35">
      <c r="A518" s="8">
        <v>7693</v>
      </c>
      <c r="B518" s="10" t="s">
        <v>3057</v>
      </c>
      <c r="C518" s="10" t="s">
        <v>278</v>
      </c>
      <c r="D518" s="9" t="s">
        <v>278</v>
      </c>
      <c r="E518" s="9" t="s">
        <v>982</v>
      </c>
      <c r="F518" s="10" t="s">
        <v>2522</v>
      </c>
      <c r="G518" s="11">
        <v>45717</v>
      </c>
    </row>
    <row r="519" spans="1:7" ht="24.5" hidden="1" x14ac:dyDescent="0.35">
      <c r="A519" s="8">
        <v>7694</v>
      </c>
      <c r="B519" s="10" t="s">
        <v>3058</v>
      </c>
      <c r="C519" s="10" t="s">
        <v>278</v>
      </c>
      <c r="D519" s="9" t="s">
        <v>278</v>
      </c>
      <c r="E519" s="9" t="s">
        <v>982</v>
      </c>
      <c r="F519" s="10" t="s">
        <v>2522</v>
      </c>
      <c r="G519" s="11">
        <v>45717</v>
      </c>
    </row>
    <row r="520" spans="1:7" ht="36.5" hidden="1" x14ac:dyDescent="0.35">
      <c r="A520" s="8">
        <v>7696</v>
      </c>
      <c r="B520" s="10" t="s">
        <v>3059</v>
      </c>
      <c r="C520" s="10" t="s">
        <v>96</v>
      </c>
      <c r="D520" s="9" t="s">
        <v>96</v>
      </c>
      <c r="E520" s="9" t="s">
        <v>1179</v>
      </c>
      <c r="F520" s="10" t="s">
        <v>2516</v>
      </c>
      <c r="G520" s="11">
        <v>45717</v>
      </c>
    </row>
    <row r="521" spans="1:7" ht="36.5" hidden="1" x14ac:dyDescent="0.35">
      <c r="A521" s="8">
        <v>7697</v>
      </c>
      <c r="B521" s="10" t="s">
        <v>3060</v>
      </c>
      <c r="C521" s="10" t="s">
        <v>96</v>
      </c>
      <c r="D521" s="9" t="s">
        <v>96</v>
      </c>
      <c r="E521" s="9" t="s">
        <v>1179</v>
      </c>
      <c r="F521" s="10" t="s">
        <v>2516</v>
      </c>
      <c r="G521" s="11">
        <v>45717</v>
      </c>
    </row>
    <row r="522" spans="1:7" ht="24.5" hidden="1" x14ac:dyDescent="0.35">
      <c r="A522" s="8">
        <v>7698</v>
      </c>
      <c r="B522" s="10" t="s">
        <v>3061</v>
      </c>
      <c r="C522" s="10" t="s">
        <v>96</v>
      </c>
      <c r="D522" s="9" t="s">
        <v>96</v>
      </c>
      <c r="E522" s="9" t="s">
        <v>368</v>
      </c>
      <c r="F522" s="10" t="s">
        <v>2537</v>
      </c>
      <c r="G522" s="11">
        <v>45717</v>
      </c>
    </row>
    <row r="523" spans="1:7" ht="36.5" hidden="1" x14ac:dyDescent="0.35">
      <c r="A523" s="8">
        <v>7699</v>
      </c>
      <c r="B523" s="10" t="s">
        <v>3062</v>
      </c>
      <c r="C523" s="10" t="s">
        <v>104</v>
      </c>
      <c r="D523" s="9" t="s">
        <v>104</v>
      </c>
      <c r="E523" s="9" t="s">
        <v>2336</v>
      </c>
      <c r="F523" s="10" t="s">
        <v>2516</v>
      </c>
      <c r="G523" s="11">
        <v>45718</v>
      </c>
    </row>
    <row r="524" spans="1:7" ht="24.5" hidden="1" x14ac:dyDescent="0.35">
      <c r="A524" s="8">
        <v>7700</v>
      </c>
      <c r="B524" s="10" t="s">
        <v>3063</v>
      </c>
      <c r="C524" s="10" t="s">
        <v>193</v>
      </c>
      <c r="D524" s="9" t="s">
        <v>193</v>
      </c>
      <c r="E524" s="9" t="s">
        <v>2845</v>
      </c>
      <c r="F524" s="10" t="s">
        <v>2540</v>
      </c>
      <c r="G524" s="11">
        <v>45718</v>
      </c>
    </row>
    <row r="525" spans="1:7" ht="24.5" hidden="1" x14ac:dyDescent="0.35">
      <c r="A525" s="8">
        <v>7701</v>
      </c>
      <c r="B525" s="10" t="s">
        <v>3064</v>
      </c>
      <c r="C525" s="10" t="s">
        <v>196</v>
      </c>
      <c r="D525" s="9" t="s">
        <v>196</v>
      </c>
      <c r="E525" s="9" t="s">
        <v>2574</v>
      </c>
      <c r="F525" s="10" t="s">
        <v>2537</v>
      </c>
      <c r="G525" s="11">
        <v>45718</v>
      </c>
    </row>
    <row r="526" spans="1:7" ht="36.5" hidden="1" x14ac:dyDescent="0.35">
      <c r="A526" s="8">
        <v>7703</v>
      </c>
      <c r="B526" s="10" t="s">
        <v>3065</v>
      </c>
      <c r="C526" s="10" t="s">
        <v>250</v>
      </c>
      <c r="D526" s="9" t="s">
        <v>250</v>
      </c>
      <c r="E526" s="9" t="s">
        <v>410</v>
      </c>
      <c r="F526" s="10" t="s">
        <v>2516</v>
      </c>
      <c r="G526" s="11">
        <v>45718</v>
      </c>
    </row>
    <row r="527" spans="1:7" ht="36.5" hidden="1" x14ac:dyDescent="0.35">
      <c r="A527" s="8">
        <v>7704</v>
      </c>
      <c r="B527" s="10" t="s">
        <v>3066</v>
      </c>
      <c r="C527" s="10" t="s">
        <v>250</v>
      </c>
      <c r="D527" s="9" t="s">
        <v>250</v>
      </c>
      <c r="E527" s="9" t="s">
        <v>410</v>
      </c>
      <c r="F527" s="10" t="s">
        <v>2525</v>
      </c>
      <c r="G527" s="11">
        <v>45718</v>
      </c>
    </row>
    <row r="528" spans="1:7" ht="36.5" hidden="1" x14ac:dyDescent="0.35">
      <c r="A528" s="8">
        <v>7705</v>
      </c>
      <c r="B528" s="10" t="s">
        <v>3067</v>
      </c>
      <c r="C528" s="10" t="s">
        <v>13</v>
      </c>
      <c r="D528" s="9" t="s">
        <v>395</v>
      </c>
      <c r="E528" s="9" t="s">
        <v>1037</v>
      </c>
      <c r="F528" s="10" t="s">
        <v>2516</v>
      </c>
      <c r="G528" s="11">
        <v>45718</v>
      </c>
    </row>
    <row r="529" spans="1:7" ht="24.5" hidden="1" x14ac:dyDescent="0.35">
      <c r="A529" s="8">
        <v>7706</v>
      </c>
      <c r="B529" s="10" t="s">
        <v>3068</v>
      </c>
      <c r="C529" s="10" t="s">
        <v>250</v>
      </c>
      <c r="D529" s="9" t="s">
        <v>250</v>
      </c>
      <c r="E529" s="9" t="s">
        <v>410</v>
      </c>
      <c r="F529" s="10" t="s">
        <v>2540</v>
      </c>
      <c r="G529" s="11">
        <v>45718</v>
      </c>
    </row>
    <row r="530" spans="1:7" ht="48.5" hidden="1" x14ac:dyDescent="0.35">
      <c r="A530" s="8">
        <v>7707</v>
      </c>
      <c r="B530" s="10" t="s">
        <v>3069</v>
      </c>
      <c r="C530" s="10" t="s">
        <v>278</v>
      </c>
      <c r="D530" s="9" t="s">
        <v>278</v>
      </c>
      <c r="E530" s="9" t="s">
        <v>711</v>
      </c>
      <c r="F530" s="10" t="s">
        <v>2559</v>
      </c>
      <c r="G530" s="11">
        <v>45718</v>
      </c>
    </row>
    <row r="531" spans="1:7" ht="24.5" hidden="1" x14ac:dyDescent="0.35">
      <c r="A531" s="8">
        <v>7708</v>
      </c>
      <c r="B531" s="10" t="s">
        <v>3070</v>
      </c>
      <c r="C531" s="10" t="s">
        <v>134</v>
      </c>
      <c r="D531" s="9" t="s">
        <v>134</v>
      </c>
      <c r="E531" s="9" t="s">
        <v>168</v>
      </c>
      <c r="F531" s="10" t="s">
        <v>2834</v>
      </c>
      <c r="G531" s="11">
        <v>45718</v>
      </c>
    </row>
    <row r="532" spans="1:7" ht="24.5" hidden="1" x14ac:dyDescent="0.35">
      <c r="A532" s="8">
        <v>7709</v>
      </c>
      <c r="B532" s="10" t="s">
        <v>3071</v>
      </c>
      <c r="C532" s="10" t="s">
        <v>134</v>
      </c>
      <c r="D532" s="9" t="s">
        <v>134</v>
      </c>
      <c r="E532" s="9" t="s">
        <v>633</v>
      </c>
      <c r="F532" s="10" t="s">
        <v>2522</v>
      </c>
      <c r="G532" s="11">
        <v>45718</v>
      </c>
    </row>
    <row r="533" spans="1:7" ht="24.5" hidden="1" x14ac:dyDescent="0.35">
      <c r="A533" s="8">
        <v>7711</v>
      </c>
      <c r="B533" s="10" t="s">
        <v>3072</v>
      </c>
      <c r="C533" s="10" t="s">
        <v>196</v>
      </c>
      <c r="D533" s="9" t="s">
        <v>196</v>
      </c>
      <c r="E533" s="9" t="s">
        <v>595</v>
      </c>
      <c r="F533" s="10" t="s">
        <v>2537</v>
      </c>
      <c r="G533" s="11">
        <v>45718</v>
      </c>
    </row>
    <row r="534" spans="1:7" ht="24.5" hidden="1" x14ac:dyDescent="0.35">
      <c r="A534" s="8">
        <v>7710</v>
      </c>
      <c r="B534" s="10" t="s">
        <v>3073</v>
      </c>
      <c r="C534" s="10" t="s">
        <v>96</v>
      </c>
      <c r="D534" s="9" t="s">
        <v>104</v>
      </c>
      <c r="E534" s="9" t="s">
        <v>168</v>
      </c>
      <c r="F534" s="10" t="s">
        <v>2834</v>
      </c>
      <c r="G534" s="11">
        <v>45718</v>
      </c>
    </row>
    <row r="535" spans="1:7" ht="36.5" hidden="1" x14ac:dyDescent="0.35">
      <c r="A535" s="8">
        <v>7717</v>
      </c>
      <c r="B535" s="10" t="s">
        <v>3074</v>
      </c>
      <c r="C535" s="10" t="s">
        <v>95</v>
      </c>
      <c r="D535" s="9" t="s">
        <v>95</v>
      </c>
      <c r="E535" s="9" t="s">
        <v>479</v>
      </c>
      <c r="F535" s="10" t="s">
        <v>2516</v>
      </c>
      <c r="G535" s="11">
        <v>45718</v>
      </c>
    </row>
    <row r="536" spans="1:7" ht="36.5" hidden="1" x14ac:dyDescent="0.35">
      <c r="A536" s="8">
        <v>7713</v>
      </c>
      <c r="B536" s="10" t="s">
        <v>3075</v>
      </c>
      <c r="C536" s="10" t="s">
        <v>3076</v>
      </c>
      <c r="D536" s="9" t="s">
        <v>220</v>
      </c>
      <c r="E536" s="9" t="s">
        <v>306</v>
      </c>
      <c r="F536" s="10" t="s">
        <v>2516</v>
      </c>
      <c r="G536" s="11">
        <v>45719</v>
      </c>
    </row>
    <row r="537" spans="1:7" ht="48.5" hidden="1" x14ac:dyDescent="0.35">
      <c r="A537" s="8">
        <v>7714</v>
      </c>
      <c r="B537" s="10" t="s">
        <v>3077</v>
      </c>
      <c r="C537" s="10" t="s">
        <v>3076</v>
      </c>
      <c r="D537" s="9" t="s">
        <v>220</v>
      </c>
      <c r="E537" s="9" t="s">
        <v>306</v>
      </c>
      <c r="F537" s="10" t="s">
        <v>2559</v>
      </c>
      <c r="G537" s="11">
        <v>45719</v>
      </c>
    </row>
    <row r="538" spans="1:7" ht="36.5" hidden="1" x14ac:dyDescent="0.35">
      <c r="A538" s="8">
        <v>7712</v>
      </c>
      <c r="B538" s="10" t="s">
        <v>3078</v>
      </c>
      <c r="C538" s="10" t="s">
        <v>3076</v>
      </c>
      <c r="D538" s="9" t="s">
        <v>95</v>
      </c>
      <c r="E538" s="9" t="s">
        <v>822</v>
      </c>
      <c r="F538" s="10" t="s">
        <v>2572</v>
      </c>
      <c r="G538" s="11">
        <v>45719</v>
      </c>
    </row>
    <row r="539" spans="1:7" ht="36.5" hidden="1" x14ac:dyDescent="0.35">
      <c r="A539" s="8">
        <v>7718</v>
      </c>
      <c r="B539" s="10" t="s">
        <v>3079</v>
      </c>
      <c r="C539" s="10" t="s">
        <v>250</v>
      </c>
      <c r="D539" s="9" t="s">
        <v>250</v>
      </c>
      <c r="E539" s="9" t="s">
        <v>1045</v>
      </c>
      <c r="F539" s="10" t="s">
        <v>2516</v>
      </c>
      <c r="G539" s="11">
        <v>45719</v>
      </c>
    </row>
    <row r="540" spans="1:7" ht="36.5" hidden="1" x14ac:dyDescent="0.35">
      <c r="A540" s="8">
        <v>7719</v>
      </c>
      <c r="B540" s="10" t="s">
        <v>3080</v>
      </c>
      <c r="C540" s="10" t="s">
        <v>278</v>
      </c>
      <c r="D540" s="9" t="s">
        <v>96</v>
      </c>
      <c r="E540" s="9" t="s">
        <v>3081</v>
      </c>
      <c r="F540" s="10" t="s">
        <v>2715</v>
      </c>
      <c r="G540" s="11">
        <v>45719</v>
      </c>
    </row>
    <row r="541" spans="1:7" ht="36.5" hidden="1" x14ac:dyDescent="0.35">
      <c r="A541" s="8">
        <v>7720</v>
      </c>
      <c r="B541" s="10" t="s">
        <v>3082</v>
      </c>
      <c r="C541" s="10" t="s">
        <v>21</v>
      </c>
      <c r="D541" s="9" t="s">
        <v>21</v>
      </c>
      <c r="E541" s="9" t="s">
        <v>1484</v>
      </c>
      <c r="F541" s="10" t="s">
        <v>2516</v>
      </c>
      <c r="G541" s="11">
        <v>45719</v>
      </c>
    </row>
    <row r="542" spans="1:7" ht="24.5" hidden="1" x14ac:dyDescent="0.35">
      <c r="A542" s="8">
        <v>7721</v>
      </c>
      <c r="B542" s="10" t="s">
        <v>3083</v>
      </c>
      <c r="C542" s="10" t="s">
        <v>193</v>
      </c>
      <c r="D542" s="9" t="s">
        <v>193</v>
      </c>
      <c r="E542" s="9" t="s">
        <v>1045</v>
      </c>
      <c r="F542" s="10" t="s">
        <v>2522</v>
      </c>
      <c r="G542" s="11">
        <v>45719</v>
      </c>
    </row>
    <row r="543" spans="1:7" ht="36.5" hidden="1" x14ac:dyDescent="0.35">
      <c r="A543" s="8">
        <v>7722</v>
      </c>
      <c r="B543" s="10" t="s">
        <v>3084</v>
      </c>
      <c r="C543" s="10" t="s">
        <v>250</v>
      </c>
      <c r="D543" s="9" t="s">
        <v>395</v>
      </c>
      <c r="E543" s="9" t="s">
        <v>1045</v>
      </c>
      <c r="F543" s="10" t="s">
        <v>2516</v>
      </c>
      <c r="G543" s="11">
        <v>45719</v>
      </c>
    </row>
    <row r="544" spans="1:7" ht="24.5" hidden="1" x14ac:dyDescent="0.35">
      <c r="A544" s="8">
        <v>7723</v>
      </c>
      <c r="B544" s="10" t="s">
        <v>3085</v>
      </c>
      <c r="C544" s="10" t="s">
        <v>21</v>
      </c>
      <c r="D544" s="9" t="s">
        <v>395</v>
      </c>
      <c r="E544" s="9" t="s">
        <v>1037</v>
      </c>
      <c r="F544" s="10" t="s">
        <v>2522</v>
      </c>
      <c r="G544" s="11">
        <v>45719</v>
      </c>
    </row>
    <row r="545" spans="1:7" ht="36.5" hidden="1" x14ac:dyDescent="0.35">
      <c r="A545" s="8">
        <v>7724</v>
      </c>
      <c r="B545" s="10" t="s">
        <v>3086</v>
      </c>
      <c r="C545" s="10" t="s">
        <v>395</v>
      </c>
      <c r="D545" s="9" t="s">
        <v>95</v>
      </c>
      <c r="E545" s="9" t="s">
        <v>99</v>
      </c>
      <c r="F545" s="10" t="s">
        <v>2525</v>
      </c>
      <c r="G545" s="11">
        <v>45719</v>
      </c>
    </row>
    <row r="546" spans="1:7" ht="48.5" hidden="1" x14ac:dyDescent="0.35">
      <c r="A546" s="8">
        <v>7725</v>
      </c>
      <c r="B546" s="10" t="s">
        <v>3087</v>
      </c>
      <c r="C546" s="10" t="s">
        <v>96</v>
      </c>
      <c r="D546" s="9" t="s">
        <v>95</v>
      </c>
      <c r="E546" s="9" t="s">
        <v>99</v>
      </c>
      <c r="F546" s="10" t="s">
        <v>2559</v>
      </c>
      <c r="G546" s="11">
        <v>45719</v>
      </c>
    </row>
    <row r="547" spans="1:7" ht="36.5" hidden="1" x14ac:dyDescent="0.35">
      <c r="A547" s="8">
        <v>7726</v>
      </c>
      <c r="B547" s="10" t="s">
        <v>3088</v>
      </c>
      <c r="C547" s="10" t="s">
        <v>193</v>
      </c>
      <c r="D547" s="9" t="s">
        <v>395</v>
      </c>
      <c r="E547" s="9" t="s">
        <v>1045</v>
      </c>
      <c r="F547" s="10" t="s">
        <v>2516</v>
      </c>
      <c r="G547" s="11">
        <v>45719</v>
      </c>
    </row>
    <row r="548" spans="1:7" ht="24.5" hidden="1" x14ac:dyDescent="0.35">
      <c r="A548" s="8">
        <v>7727</v>
      </c>
      <c r="B548" s="10" t="s">
        <v>3089</v>
      </c>
      <c r="C548" s="10" t="s">
        <v>95</v>
      </c>
      <c r="D548" s="9" t="s">
        <v>205</v>
      </c>
      <c r="E548" s="9" t="s">
        <v>3090</v>
      </c>
      <c r="F548" s="10" t="s">
        <v>2522</v>
      </c>
      <c r="G548" s="11">
        <v>45719</v>
      </c>
    </row>
    <row r="549" spans="1:7" ht="24.5" hidden="1" x14ac:dyDescent="0.35">
      <c r="A549" s="8">
        <v>7728</v>
      </c>
      <c r="B549" s="10" t="s">
        <v>3091</v>
      </c>
      <c r="C549" s="10" t="s">
        <v>134</v>
      </c>
      <c r="D549" s="9" t="s">
        <v>205</v>
      </c>
      <c r="E549" s="9" t="s">
        <v>3090</v>
      </c>
      <c r="F549" s="10" t="s">
        <v>2522</v>
      </c>
      <c r="G549" s="11">
        <v>45719</v>
      </c>
    </row>
    <row r="550" spans="1:7" ht="36.5" hidden="1" x14ac:dyDescent="0.35">
      <c r="A550" s="8">
        <v>7729</v>
      </c>
      <c r="B550" s="10" t="s">
        <v>3092</v>
      </c>
      <c r="C550" s="10" t="s">
        <v>193</v>
      </c>
      <c r="D550" s="9" t="s">
        <v>193</v>
      </c>
      <c r="E550" s="9" t="s">
        <v>1914</v>
      </c>
      <c r="F550" s="10" t="s">
        <v>2516</v>
      </c>
      <c r="G550" s="11">
        <v>45719</v>
      </c>
    </row>
    <row r="551" spans="1:7" ht="24.5" hidden="1" x14ac:dyDescent="0.35">
      <c r="A551" s="8">
        <v>7730</v>
      </c>
      <c r="B551" s="10" t="s">
        <v>3093</v>
      </c>
      <c r="C551" s="10" t="s">
        <v>190</v>
      </c>
      <c r="D551" s="9" t="s">
        <v>193</v>
      </c>
      <c r="E551" s="9" t="s">
        <v>1828</v>
      </c>
      <c r="F551" s="10" t="s">
        <v>2522</v>
      </c>
      <c r="G551" s="11">
        <v>45719</v>
      </c>
    </row>
    <row r="552" spans="1:7" ht="24.5" hidden="1" x14ac:dyDescent="0.35">
      <c r="A552" s="8">
        <v>7731</v>
      </c>
      <c r="B552" s="10" t="s">
        <v>3094</v>
      </c>
      <c r="C552" s="10" t="s">
        <v>134</v>
      </c>
      <c r="D552" s="9" t="s">
        <v>134</v>
      </c>
      <c r="E552" s="9" t="s">
        <v>483</v>
      </c>
      <c r="F552" s="10" t="s">
        <v>2522</v>
      </c>
      <c r="G552" s="11">
        <v>45719</v>
      </c>
    </row>
    <row r="553" spans="1:7" ht="24.5" hidden="1" x14ac:dyDescent="0.35">
      <c r="A553" s="8">
        <v>7733</v>
      </c>
      <c r="B553" s="10" t="s">
        <v>3095</v>
      </c>
      <c r="C553" s="10" t="s">
        <v>134</v>
      </c>
      <c r="D553" s="9" t="s">
        <v>134</v>
      </c>
      <c r="E553" s="9" t="s">
        <v>633</v>
      </c>
      <c r="F553" s="10" t="s">
        <v>2522</v>
      </c>
      <c r="G553" s="11">
        <v>45719</v>
      </c>
    </row>
    <row r="554" spans="1:7" ht="48.5" hidden="1" x14ac:dyDescent="0.35">
      <c r="A554" s="8">
        <v>7734</v>
      </c>
      <c r="B554" s="10" t="s">
        <v>3096</v>
      </c>
      <c r="C554" s="10" t="s">
        <v>278</v>
      </c>
      <c r="D554" s="9" t="s">
        <v>278</v>
      </c>
      <c r="E554" s="9" t="s">
        <v>711</v>
      </c>
      <c r="F554" s="10" t="s">
        <v>2559</v>
      </c>
      <c r="G554" s="11">
        <v>45720</v>
      </c>
    </row>
    <row r="555" spans="1:7" ht="36.5" hidden="1" x14ac:dyDescent="0.35">
      <c r="A555" s="8">
        <v>7737</v>
      </c>
      <c r="B555" s="10" t="s">
        <v>3097</v>
      </c>
      <c r="C555" s="10" t="s">
        <v>96</v>
      </c>
      <c r="D555" s="9" t="s">
        <v>395</v>
      </c>
      <c r="E555" s="9" t="s">
        <v>394</v>
      </c>
      <c r="F555" s="10" t="s">
        <v>2530</v>
      </c>
      <c r="G555" s="11">
        <v>45720</v>
      </c>
    </row>
    <row r="556" spans="1:7" ht="48.5" hidden="1" x14ac:dyDescent="0.35">
      <c r="A556" s="8">
        <v>7738</v>
      </c>
      <c r="B556" s="10" t="s">
        <v>3098</v>
      </c>
      <c r="C556" s="10" t="s">
        <v>190</v>
      </c>
      <c r="D556" s="9" t="s">
        <v>190</v>
      </c>
      <c r="E556" s="9" t="s">
        <v>1901</v>
      </c>
      <c r="F556" s="10" t="s">
        <v>2559</v>
      </c>
      <c r="G556" s="11">
        <v>45720</v>
      </c>
    </row>
    <row r="557" spans="1:7" ht="24.5" hidden="1" x14ac:dyDescent="0.35">
      <c r="A557" s="8">
        <v>7739</v>
      </c>
      <c r="B557" s="10" t="s">
        <v>3099</v>
      </c>
      <c r="C557" s="10" t="s">
        <v>134</v>
      </c>
      <c r="D557" s="9" t="s">
        <v>134</v>
      </c>
      <c r="E557" s="9" t="s">
        <v>633</v>
      </c>
      <c r="F557" s="10" t="s">
        <v>2522</v>
      </c>
      <c r="G557" s="11">
        <v>45720</v>
      </c>
    </row>
    <row r="558" spans="1:7" ht="24.5" hidden="1" x14ac:dyDescent="0.35">
      <c r="A558" s="8">
        <v>7736</v>
      </c>
      <c r="B558" s="10" t="s">
        <v>3100</v>
      </c>
      <c r="C558" s="10" t="s">
        <v>95</v>
      </c>
      <c r="D558" s="9" t="s">
        <v>95</v>
      </c>
      <c r="E558" s="9" t="s">
        <v>479</v>
      </c>
      <c r="F558" s="10" t="s">
        <v>2540</v>
      </c>
      <c r="G558" s="11">
        <v>45720</v>
      </c>
    </row>
    <row r="559" spans="1:7" ht="36.5" hidden="1" x14ac:dyDescent="0.35">
      <c r="A559" s="8">
        <v>7745</v>
      </c>
      <c r="B559" s="10" t="s">
        <v>3101</v>
      </c>
      <c r="C559" s="10" t="s">
        <v>3076</v>
      </c>
      <c r="D559" s="9" t="s">
        <v>395</v>
      </c>
      <c r="E559" s="9" t="s">
        <v>2440</v>
      </c>
      <c r="F559" s="10" t="s">
        <v>2516</v>
      </c>
      <c r="G559" s="11">
        <v>45720</v>
      </c>
    </row>
    <row r="560" spans="1:7" ht="36.5" hidden="1" x14ac:dyDescent="0.35">
      <c r="A560" s="8">
        <v>7747</v>
      </c>
      <c r="B560" s="10" t="s">
        <v>3102</v>
      </c>
      <c r="C560" s="10" t="s">
        <v>3076</v>
      </c>
      <c r="D560" s="9" t="s">
        <v>395</v>
      </c>
      <c r="E560" s="9" t="s">
        <v>394</v>
      </c>
      <c r="F560" s="10" t="s">
        <v>2572</v>
      </c>
      <c r="G560" s="11">
        <v>45720</v>
      </c>
    </row>
    <row r="561" spans="1:7" ht="48.5" hidden="1" x14ac:dyDescent="0.35">
      <c r="A561" s="8">
        <v>7748</v>
      </c>
      <c r="B561" s="10" t="s">
        <v>3103</v>
      </c>
      <c r="C561" s="10" t="s">
        <v>96</v>
      </c>
      <c r="D561" s="9" t="s">
        <v>96</v>
      </c>
      <c r="E561" s="9" t="s">
        <v>1179</v>
      </c>
      <c r="F561" s="10" t="s">
        <v>2559</v>
      </c>
      <c r="G561" s="11">
        <v>45720</v>
      </c>
    </row>
    <row r="562" spans="1:7" ht="24.5" hidden="1" x14ac:dyDescent="0.35">
      <c r="A562" s="8">
        <v>7750</v>
      </c>
      <c r="B562" s="10" t="s">
        <v>3104</v>
      </c>
      <c r="C562" s="10" t="s">
        <v>278</v>
      </c>
      <c r="D562" s="9" t="s">
        <v>227</v>
      </c>
      <c r="E562" s="9" t="s">
        <v>3105</v>
      </c>
      <c r="F562" s="10" t="s">
        <v>2834</v>
      </c>
      <c r="G562" s="11">
        <v>45720</v>
      </c>
    </row>
    <row r="563" spans="1:7" ht="24.5" hidden="1" x14ac:dyDescent="0.35">
      <c r="A563" s="8">
        <v>7749</v>
      </c>
      <c r="B563" s="10" t="s">
        <v>3106</v>
      </c>
      <c r="C563" s="10" t="s">
        <v>134</v>
      </c>
      <c r="D563" s="9" t="s">
        <v>134</v>
      </c>
      <c r="E563" s="9" t="s">
        <v>1692</v>
      </c>
      <c r="F563" s="10" t="s">
        <v>2540</v>
      </c>
      <c r="G563" s="11">
        <v>45720</v>
      </c>
    </row>
    <row r="564" spans="1:7" ht="24.5" hidden="1" x14ac:dyDescent="0.35">
      <c r="A564" s="8">
        <v>7751</v>
      </c>
      <c r="B564" s="10" t="s">
        <v>3107</v>
      </c>
      <c r="C564" s="10" t="s">
        <v>190</v>
      </c>
      <c r="D564" s="9" t="s">
        <v>190</v>
      </c>
      <c r="E564" s="9" t="s">
        <v>410</v>
      </c>
      <c r="F564" s="10" t="s">
        <v>2540</v>
      </c>
      <c r="G564" s="11">
        <v>45720</v>
      </c>
    </row>
    <row r="565" spans="1:7" ht="24.5" hidden="1" x14ac:dyDescent="0.35">
      <c r="A565" s="8">
        <v>7752</v>
      </c>
      <c r="B565" s="10" t="s">
        <v>3108</v>
      </c>
      <c r="C565" s="10" t="s">
        <v>278</v>
      </c>
      <c r="D565" s="9" t="s">
        <v>278</v>
      </c>
      <c r="E565" s="9" t="s">
        <v>3109</v>
      </c>
      <c r="F565" s="10" t="s">
        <v>2522</v>
      </c>
      <c r="G565" s="11">
        <v>45720</v>
      </c>
    </row>
    <row r="566" spans="1:7" ht="36.5" hidden="1" x14ac:dyDescent="0.35">
      <c r="A566" s="8">
        <v>7753</v>
      </c>
      <c r="B566" s="10" t="s">
        <v>3110</v>
      </c>
      <c r="C566" s="10" t="s">
        <v>95</v>
      </c>
      <c r="D566" s="9" t="s">
        <v>95</v>
      </c>
      <c r="E566" s="9" t="s">
        <v>3023</v>
      </c>
      <c r="F566" s="10" t="s">
        <v>2540</v>
      </c>
      <c r="G566" s="11">
        <v>45720</v>
      </c>
    </row>
    <row r="567" spans="1:7" ht="24.5" hidden="1" x14ac:dyDescent="0.35">
      <c r="A567" s="8">
        <v>7754</v>
      </c>
      <c r="B567" s="10" t="s">
        <v>3111</v>
      </c>
      <c r="C567" s="10" t="s">
        <v>21</v>
      </c>
      <c r="D567" s="9" t="s">
        <v>21</v>
      </c>
      <c r="E567" s="9" t="s">
        <v>633</v>
      </c>
      <c r="F567" s="10" t="s">
        <v>2522</v>
      </c>
      <c r="G567" s="11">
        <v>45720</v>
      </c>
    </row>
    <row r="568" spans="1:7" ht="48.5" hidden="1" x14ac:dyDescent="0.35">
      <c r="A568" s="8">
        <v>7756</v>
      </c>
      <c r="B568" s="10" t="s">
        <v>3112</v>
      </c>
      <c r="C568" s="10" t="s">
        <v>371</v>
      </c>
      <c r="D568" s="9" t="s">
        <v>371</v>
      </c>
      <c r="E568" s="9" t="s">
        <v>1030</v>
      </c>
      <c r="F568" s="10" t="s">
        <v>2559</v>
      </c>
      <c r="G568" s="11">
        <v>45721</v>
      </c>
    </row>
    <row r="569" spans="1:7" ht="36.5" hidden="1" x14ac:dyDescent="0.35">
      <c r="A569" s="8">
        <v>7758</v>
      </c>
      <c r="B569" s="10" t="s">
        <v>3113</v>
      </c>
      <c r="C569" s="10" t="s">
        <v>193</v>
      </c>
      <c r="D569" s="9" t="s">
        <v>395</v>
      </c>
      <c r="E569" s="9" t="s">
        <v>1037</v>
      </c>
      <c r="F569" s="10" t="s">
        <v>2572</v>
      </c>
      <c r="G569" s="11">
        <v>45721</v>
      </c>
    </row>
    <row r="570" spans="1:7" ht="36.5" hidden="1" x14ac:dyDescent="0.35">
      <c r="A570" s="8">
        <v>7760</v>
      </c>
      <c r="B570" s="10" t="s">
        <v>3114</v>
      </c>
      <c r="C570" s="10" t="s">
        <v>193</v>
      </c>
      <c r="D570" s="9" t="s">
        <v>395</v>
      </c>
      <c r="E570" s="9" t="s">
        <v>1037</v>
      </c>
      <c r="F570" s="10" t="s">
        <v>2522</v>
      </c>
      <c r="G570" s="11">
        <v>45721</v>
      </c>
    </row>
    <row r="571" spans="1:7" ht="24.5" hidden="1" x14ac:dyDescent="0.35">
      <c r="A571" s="8">
        <v>7761</v>
      </c>
      <c r="B571" s="10" t="s">
        <v>3115</v>
      </c>
      <c r="C571" s="10" t="s">
        <v>193</v>
      </c>
      <c r="D571" s="9" t="s">
        <v>395</v>
      </c>
      <c r="E571" s="9" t="s">
        <v>1037</v>
      </c>
      <c r="F571" s="10" t="s">
        <v>2522</v>
      </c>
      <c r="G571" s="11">
        <v>45721</v>
      </c>
    </row>
    <row r="572" spans="1:7" ht="48.5" hidden="1" x14ac:dyDescent="0.35">
      <c r="A572" s="8">
        <v>7759</v>
      </c>
      <c r="B572" s="10" t="s">
        <v>3116</v>
      </c>
      <c r="C572" s="10" t="s">
        <v>193</v>
      </c>
      <c r="D572" s="9" t="s">
        <v>395</v>
      </c>
      <c r="E572" s="9" t="s">
        <v>1037</v>
      </c>
      <c r="F572" s="10" t="s">
        <v>2516</v>
      </c>
      <c r="G572" s="11">
        <v>45721</v>
      </c>
    </row>
    <row r="573" spans="1:7" ht="36.5" hidden="1" x14ac:dyDescent="0.35">
      <c r="A573" s="8">
        <v>7762</v>
      </c>
      <c r="B573" s="10" t="s">
        <v>3117</v>
      </c>
      <c r="C573" s="10" t="s">
        <v>193</v>
      </c>
      <c r="D573" s="9" t="s">
        <v>395</v>
      </c>
      <c r="E573" s="9" t="s">
        <v>1037</v>
      </c>
      <c r="F573" s="10" t="s">
        <v>2522</v>
      </c>
      <c r="G573" s="11">
        <v>45721</v>
      </c>
    </row>
    <row r="574" spans="1:7" ht="24.5" hidden="1" x14ac:dyDescent="0.35">
      <c r="A574" s="8">
        <v>7763</v>
      </c>
      <c r="B574" s="10" t="s">
        <v>3118</v>
      </c>
      <c r="C574" s="10" t="s">
        <v>193</v>
      </c>
      <c r="D574" s="9" t="s">
        <v>395</v>
      </c>
      <c r="E574" s="9" t="s">
        <v>1037</v>
      </c>
      <c r="F574" s="10" t="s">
        <v>2522</v>
      </c>
      <c r="G574" s="11">
        <v>45721</v>
      </c>
    </row>
    <row r="575" spans="1:7" ht="36.5" hidden="1" x14ac:dyDescent="0.35">
      <c r="A575" s="8">
        <v>7765</v>
      </c>
      <c r="B575" s="10" t="s">
        <v>3119</v>
      </c>
      <c r="C575" s="10" t="s">
        <v>96</v>
      </c>
      <c r="D575" s="9" t="s">
        <v>395</v>
      </c>
      <c r="E575" s="9" t="s">
        <v>394</v>
      </c>
      <c r="F575" s="10" t="s">
        <v>2530</v>
      </c>
      <c r="G575" s="11">
        <v>45721</v>
      </c>
    </row>
    <row r="576" spans="1:7" ht="36.5" hidden="1" x14ac:dyDescent="0.35">
      <c r="A576" s="8">
        <v>7766</v>
      </c>
      <c r="B576" s="10" t="s">
        <v>3120</v>
      </c>
      <c r="C576" s="10" t="s">
        <v>234</v>
      </c>
      <c r="D576" s="9" t="s">
        <v>234</v>
      </c>
      <c r="E576" s="9" t="s">
        <v>3121</v>
      </c>
      <c r="F576" s="10" t="s">
        <v>2516</v>
      </c>
      <c r="G576" s="11">
        <v>45721</v>
      </c>
    </row>
    <row r="577" spans="1:7" ht="36.5" hidden="1" x14ac:dyDescent="0.35">
      <c r="A577" s="8">
        <v>7767</v>
      </c>
      <c r="B577" s="10" t="s">
        <v>3122</v>
      </c>
      <c r="C577" s="10" t="s">
        <v>193</v>
      </c>
      <c r="D577" s="9" t="s">
        <v>193</v>
      </c>
      <c r="E577" s="9" t="s">
        <v>1828</v>
      </c>
      <c r="F577" s="10" t="s">
        <v>2522</v>
      </c>
      <c r="G577" s="11">
        <v>45721</v>
      </c>
    </row>
    <row r="578" spans="1:7" ht="36.5" hidden="1" x14ac:dyDescent="0.35">
      <c r="A578" s="8">
        <v>7769</v>
      </c>
      <c r="B578" s="10" t="s">
        <v>3123</v>
      </c>
      <c r="C578" s="10" t="s">
        <v>193</v>
      </c>
      <c r="D578" s="9" t="s">
        <v>193</v>
      </c>
      <c r="E578" s="9" t="s">
        <v>1828</v>
      </c>
      <c r="F578" s="10" t="s">
        <v>2516</v>
      </c>
      <c r="G578" s="11">
        <v>45721</v>
      </c>
    </row>
    <row r="579" spans="1:7" ht="36.5" hidden="1" x14ac:dyDescent="0.35">
      <c r="A579" s="8">
        <v>7768</v>
      </c>
      <c r="B579" s="10" t="s">
        <v>3124</v>
      </c>
      <c r="C579" s="10" t="s">
        <v>193</v>
      </c>
      <c r="D579" s="9" t="s">
        <v>193</v>
      </c>
      <c r="E579" s="9" t="s">
        <v>1828</v>
      </c>
      <c r="F579" s="10" t="s">
        <v>2522</v>
      </c>
      <c r="G579" s="11">
        <v>45721</v>
      </c>
    </row>
    <row r="580" spans="1:7" ht="36.5" hidden="1" x14ac:dyDescent="0.35">
      <c r="A580" s="8">
        <v>7770</v>
      </c>
      <c r="B580" s="10" t="s">
        <v>3125</v>
      </c>
      <c r="C580" s="10" t="s">
        <v>26</v>
      </c>
      <c r="D580" s="9" t="s">
        <v>95</v>
      </c>
      <c r="E580" s="9" t="s">
        <v>822</v>
      </c>
      <c r="F580" s="10" t="s">
        <v>2715</v>
      </c>
      <c r="G580" s="11">
        <v>45721</v>
      </c>
    </row>
    <row r="581" spans="1:7" ht="24.5" hidden="1" x14ac:dyDescent="0.35">
      <c r="A581" s="8">
        <v>7776</v>
      </c>
      <c r="B581" s="10" t="s">
        <v>3126</v>
      </c>
      <c r="C581" s="10" t="s">
        <v>371</v>
      </c>
      <c r="D581" s="9" t="s">
        <v>395</v>
      </c>
      <c r="E581" s="9" t="s">
        <v>394</v>
      </c>
      <c r="F581" s="10" t="s">
        <v>2834</v>
      </c>
      <c r="G581" s="11">
        <v>45721</v>
      </c>
    </row>
    <row r="582" spans="1:7" ht="24.5" hidden="1" x14ac:dyDescent="0.35">
      <c r="A582" s="8">
        <v>7772</v>
      </c>
      <c r="B582" s="10" t="s">
        <v>3127</v>
      </c>
      <c r="C582" s="10" t="s">
        <v>196</v>
      </c>
      <c r="D582" s="9" t="s">
        <v>196</v>
      </c>
      <c r="E582" s="9" t="s">
        <v>595</v>
      </c>
      <c r="F582" s="10" t="s">
        <v>2522</v>
      </c>
      <c r="G582" s="11">
        <v>45722</v>
      </c>
    </row>
    <row r="583" spans="1:7" ht="24.5" hidden="1" x14ac:dyDescent="0.35">
      <c r="A583" s="8">
        <v>7775</v>
      </c>
      <c r="B583" s="10" t="s">
        <v>3128</v>
      </c>
      <c r="C583" s="10" t="s">
        <v>95</v>
      </c>
      <c r="D583" s="9" t="s">
        <v>95</v>
      </c>
      <c r="E583" s="9" t="s">
        <v>1147</v>
      </c>
      <c r="F583" s="10" t="s">
        <v>2522</v>
      </c>
      <c r="G583" s="11">
        <v>45722</v>
      </c>
    </row>
    <row r="584" spans="1:7" ht="36.5" hidden="1" x14ac:dyDescent="0.35">
      <c r="A584" s="8">
        <v>7777</v>
      </c>
      <c r="B584" s="10" t="s">
        <v>3129</v>
      </c>
      <c r="C584" s="10" t="s">
        <v>196</v>
      </c>
      <c r="D584" s="9" t="s">
        <v>196</v>
      </c>
      <c r="E584" s="9" t="s">
        <v>1116</v>
      </c>
      <c r="F584" s="10" t="s">
        <v>2516</v>
      </c>
      <c r="G584" s="11">
        <v>45722</v>
      </c>
    </row>
    <row r="585" spans="1:7" ht="36.5" hidden="1" x14ac:dyDescent="0.35">
      <c r="A585" s="8">
        <v>7778</v>
      </c>
      <c r="B585" s="10" t="s">
        <v>3130</v>
      </c>
      <c r="C585" s="10" t="s">
        <v>96</v>
      </c>
      <c r="D585" s="9" t="s">
        <v>96</v>
      </c>
      <c r="E585" s="9" t="s">
        <v>368</v>
      </c>
      <c r="F585" s="10" t="s">
        <v>2516</v>
      </c>
      <c r="G585" s="11">
        <v>45722</v>
      </c>
    </row>
    <row r="586" spans="1:7" ht="36.5" hidden="1" x14ac:dyDescent="0.35">
      <c r="A586" s="8">
        <v>7780</v>
      </c>
      <c r="B586" s="10" t="s">
        <v>3131</v>
      </c>
      <c r="C586" s="10" t="s">
        <v>250</v>
      </c>
      <c r="D586" s="9" t="s">
        <v>250</v>
      </c>
      <c r="E586" s="9" t="s">
        <v>418</v>
      </c>
      <c r="F586" s="10" t="s">
        <v>2516</v>
      </c>
      <c r="G586" s="11">
        <v>45722</v>
      </c>
    </row>
    <row r="587" spans="1:7" ht="36.5" hidden="1" x14ac:dyDescent="0.35">
      <c r="A587" s="8">
        <v>7781</v>
      </c>
      <c r="B587" s="10" t="s">
        <v>3132</v>
      </c>
      <c r="C587" s="10" t="s">
        <v>21</v>
      </c>
      <c r="D587" s="9" t="s">
        <v>21</v>
      </c>
      <c r="E587" s="9" t="s">
        <v>762</v>
      </c>
      <c r="F587" s="10" t="s">
        <v>2516</v>
      </c>
      <c r="G587" s="11">
        <v>45722</v>
      </c>
    </row>
    <row r="588" spans="1:7" ht="24.5" hidden="1" x14ac:dyDescent="0.35">
      <c r="A588" s="8">
        <v>7783</v>
      </c>
      <c r="B588" s="10" t="s">
        <v>3133</v>
      </c>
      <c r="C588" s="10" t="s">
        <v>21</v>
      </c>
      <c r="D588" s="9" t="s">
        <v>21</v>
      </c>
      <c r="E588" s="9" t="s">
        <v>819</v>
      </c>
      <c r="F588" s="10" t="s">
        <v>2522</v>
      </c>
      <c r="G588" s="11">
        <v>45722</v>
      </c>
    </row>
    <row r="589" spans="1:7" ht="36.5" hidden="1" x14ac:dyDescent="0.35">
      <c r="A589" s="8">
        <v>7782</v>
      </c>
      <c r="B589" s="10" t="s">
        <v>3134</v>
      </c>
      <c r="C589" s="10" t="s">
        <v>104</v>
      </c>
      <c r="D589" s="9" t="s">
        <v>104</v>
      </c>
      <c r="E589" s="9" t="s">
        <v>1914</v>
      </c>
      <c r="F589" s="10" t="s">
        <v>2522</v>
      </c>
      <c r="G589" s="11">
        <v>45722</v>
      </c>
    </row>
    <row r="590" spans="1:7" ht="36.5" hidden="1" x14ac:dyDescent="0.35">
      <c r="A590" s="8">
        <v>7785</v>
      </c>
      <c r="B590" s="10" t="s">
        <v>3135</v>
      </c>
      <c r="C590" s="10" t="s">
        <v>371</v>
      </c>
      <c r="D590" s="9" t="s">
        <v>371</v>
      </c>
      <c r="E590" s="9" t="s">
        <v>1030</v>
      </c>
      <c r="F590" s="10" t="s">
        <v>2516</v>
      </c>
      <c r="G590" s="11">
        <v>45722</v>
      </c>
    </row>
    <row r="591" spans="1:7" ht="36.5" hidden="1" x14ac:dyDescent="0.35">
      <c r="A591" s="8">
        <v>7784</v>
      </c>
      <c r="B591" s="10" t="s">
        <v>3136</v>
      </c>
      <c r="C591" s="10" t="s">
        <v>104</v>
      </c>
      <c r="D591" s="9" t="s">
        <v>104</v>
      </c>
      <c r="E591" s="9" t="s">
        <v>819</v>
      </c>
      <c r="F591" s="10" t="s">
        <v>2516</v>
      </c>
      <c r="G591" s="11">
        <v>45722</v>
      </c>
    </row>
    <row r="592" spans="1:7" ht="36.5" hidden="1" x14ac:dyDescent="0.35">
      <c r="A592" s="8">
        <v>7786</v>
      </c>
      <c r="B592" s="10" t="s">
        <v>3137</v>
      </c>
      <c r="C592" s="10" t="s">
        <v>196</v>
      </c>
      <c r="D592" s="9" t="s">
        <v>196</v>
      </c>
      <c r="E592" s="9" t="s">
        <v>2574</v>
      </c>
      <c r="F592" s="10" t="s">
        <v>2530</v>
      </c>
      <c r="G592" s="11">
        <v>45722</v>
      </c>
    </row>
    <row r="593" spans="1:7" ht="36.5" hidden="1" x14ac:dyDescent="0.35">
      <c r="A593" s="8">
        <v>7788</v>
      </c>
      <c r="B593" s="10" t="s">
        <v>3138</v>
      </c>
      <c r="C593" s="10" t="s">
        <v>104</v>
      </c>
      <c r="D593" s="9" t="s">
        <v>196</v>
      </c>
      <c r="E593" s="9" t="s">
        <v>2574</v>
      </c>
      <c r="F593" s="10" t="s">
        <v>2516</v>
      </c>
      <c r="G593" s="11">
        <v>45723</v>
      </c>
    </row>
    <row r="594" spans="1:7" ht="24.5" hidden="1" x14ac:dyDescent="0.35">
      <c r="A594" s="8">
        <v>7787</v>
      </c>
      <c r="B594" s="10" t="s">
        <v>3139</v>
      </c>
      <c r="C594" s="10" t="s">
        <v>234</v>
      </c>
      <c r="D594" s="9" t="s">
        <v>104</v>
      </c>
      <c r="E594" s="9" t="s">
        <v>483</v>
      </c>
      <c r="F594" s="10" t="s">
        <v>2540</v>
      </c>
      <c r="G594" s="11">
        <v>45723</v>
      </c>
    </row>
    <row r="595" spans="1:7" ht="36.5" hidden="1" x14ac:dyDescent="0.35">
      <c r="A595" s="8">
        <v>7789</v>
      </c>
      <c r="B595" s="10" t="s">
        <v>3140</v>
      </c>
      <c r="C595" s="10" t="s">
        <v>21</v>
      </c>
      <c r="D595" s="9" t="s">
        <v>21</v>
      </c>
      <c r="E595" s="9" t="s">
        <v>762</v>
      </c>
      <c r="F595" s="10" t="s">
        <v>2516</v>
      </c>
      <c r="G595" s="11">
        <v>45723</v>
      </c>
    </row>
    <row r="596" spans="1:7" ht="24.5" hidden="1" x14ac:dyDescent="0.35">
      <c r="A596" s="8">
        <v>7791</v>
      </c>
      <c r="B596" s="10" t="s">
        <v>3141</v>
      </c>
      <c r="C596" s="10" t="s">
        <v>104</v>
      </c>
      <c r="D596" s="9" t="s">
        <v>104</v>
      </c>
      <c r="E596" s="9" t="s">
        <v>819</v>
      </c>
      <c r="F596" s="10" t="s">
        <v>2522</v>
      </c>
      <c r="G596" s="11">
        <v>45723</v>
      </c>
    </row>
    <row r="597" spans="1:7" ht="36.5" hidden="1" x14ac:dyDescent="0.35">
      <c r="A597" s="8">
        <v>7790</v>
      </c>
      <c r="B597" s="10" t="s">
        <v>3142</v>
      </c>
      <c r="C597" s="10" t="s">
        <v>371</v>
      </c>
      <c r="D597" s="9" t="s">
        <v>395</v>
      </c>
      <c r="E597" s="9" t="s">
        <v>1037</v>
      </c>
      <c r="F597" s="10" t="s">
        <v>2572</v>
      </c>
      <c r="G597" s="11">
        <v>45723</v>
      </c>
    </row>
    <row r="598" spans="1:7" ht="48.5" hidden="1" x14ac:dyDescent="0.35">
      <c r="A598" s="8">
        <v>7794</v>
      </c>
      <c r="B598" s="10" t="s">
        <v>3143</v>
      </c>
      <c r="C598" s="10" t="s">
        <v>95</v>
      </c>
      <c r="D598" s="9" t="s">
        <v>95</v>
      </c>
      <c r="E598" s="9" t="s">
        <v>822</v>
      </c>
      <c r="F598" s="10" t="s">
        <v>2559</v>
      </c>
      <c r="G598" s="11">
        <v>45723</v>
      </c>
    </row>
    <row r="599" spans="1:7" ht="36.5" hidden="1" x14ac:dyDescent="0.35">
      <c r="A599" s="8">
        <v>7802</v>
      </c>
      <c r="B599" s="10" t="s">
        <v>3144</v>
      </c>
      <c r="C599" s="10" t="s">
        <v>13</v>
      </c>
      <c r="D599" s="9" t="s">
        <v>395</v>
      </c>
      <c r="E599" s="9" t="s">
        <v>1037</v>
      </c>
      <c r="F599" s="10" t="s">
        <v>2516</v>
      </c>
      <c r="G599" s="11">
        <v>45723</v>
      </c>
    </row>
    <row r="600" spans="1:7" ht="24.5" hidden="1" x14ac:dyDescent="0.35">
      <c r="A600" s="8">
        <v>7803</v>
      </c>
      <c r="B600" s="10" t="s">
        <v>3145</v>
      </c>
      <c r="C600" s="10" t="s">
        <v>13</v>
      </c>
      <c r="D600" s="9" t="s">
        <v>395</v>
      </c>
      <c r="E600" s="9" t="s">
        <v>3146</v>
      </c>
      <c r="F600" s="10" t="s">
        <v>2522</v>
      </c>
      <c r="G600" s="11">
        <v>45723</v>
      </c>
    </row>
    <row r="601" spans="1:7" ht="36.5" hidden="1" x14ac:dyDescent="0.35">
      <c r="A601" s="8">
        <v>7805</v>
      </c>
      <c r="B601" s="10" t="s">
        <v>3147</v>
      </c>
      <c r="C601" s="10" t="s">
        <v>13</v>
      </c>
      <c r="D601" s="9" t="s">
        <v>395</v>
      </c>
      <c r="E601" s="9" t="s">
        <v>1045</v>
      </c>
      <c r="F601" s="10" t="s">
        <v>2530</v>
      </c>
      <c r="G601" s="11">
        <v>45723</v>
      </c>
    </row>
    <row r="602" spans="1:7" ht="24.5" hidden="1" x14ac:dyDescent="0.35">
      <c r="A602" s="8">
        <v>7806</v>
      </c>
      <c r="B602" s="10" t="s">
        <v>3148</v>
      </c>
      <c r="C602" s="10" t="s">
        <v>13</v>
      </c>
      <c r="D602" s="9" t="s">
        <v>395</v>
      </c>
      <c r="E602" s="9" t="s">
        <v>1045</v>
      </c>
      <c r="F602" s="10" t="s">
        <v>2540</v>
      </c>
      <c r="G602" s="11">
        <v>45723</v>
      </c>
    </row>
    <row r="603" spans="1:7" ht="36.5" hidden="1" x14ac:dyDescent="0.35">
      <c r="A603" s="8">
        <v>7804</v>
      </c>
      <c r="B603" s="10" t="s">
        <v>3149</v>
      </c>
      <c r="C603" s="10" t="s">
        <v>13</v>
      </c>
      <c r="D603" s="9" t="s">
        <v>395</v>
      </c>
      <c r="E603" s="9" t="s">
        <v>1045</v>
      </c>
      <c r="F603" s="10" t="s">
        <v>2525</v>
      </c>
      <c r="G603" s="11">
        <v>45723</v>
      </c>
    </row>
    <row r="604" spans="1:7" ht="36.5" hidden="1" x14ac:dyDescent="0.35">
      <c r="A604" s="8">
        <v>7807</v>
      </c>
      <c r="B604" s="10" t="s">
        <v>3150</v>
      </c>
      <c r="C604" s="10" t="s">
        <v>13</v>
      </c>
      <c r="D604" s="9" t="s">
        <v>395</v>
      </c>
      <c r="E604" s="9" t="s">
        <v>1045</v>
      </c>
      <c r="F604" s="10" t="s">
        <v>2530</v>
      </c>
      <c r="G604" s="11">
        <v>45723</v>
      </c>
    </row>
    <row r="605" spans="1:7" ht="36.5" hidden="1" x14ac:dyDescent="0.35">
      <c r="A605" s="8">
        <v>7808</v>
      </c>
      <c r="B605" s="10" t="s">
        <v>3151</v>
      </c>
      <c r="C605" s="10" t="s">
        <v>13</v>
      </c>
      <c r="D605" s="9" t="s">
        <v>395</v>
      </c>
      <c r="E605" s="9" t="s">
        <v>1045</v>
      </c>
      <c r="F605" s="10" t="s">
        <v>2530</v>
      </c>
      <c r="G605" s="11">
        <v>45724</v>
      </c>
    </row>
    <row r="606" spans="1:7" ht="36.5" hidden="1" x14ac:dyDescent="0.35">
      <c r="A606" s="8">
        <v>7810</v>
      </c>
      <c r="B606" s="10" t="s">
        <v>3152</v>
      </c>
      <c r="C606" s="10" t="s">
        <v>3076</v>
      </c>
      <c r="D606" s="9" t="s">
        <v>395</v>
      </c>
      <c r="E606" s="9" t="s">
        <v>1045</v>
      </c>
      <c r="F606" s="10" t="s">
        <v>2516</v>
      </c>
      <c r="G606" s="11">
        <v>45724</v>
      </c>
    </row>
    <row r="607" spans="1:7" ht="36.5" hidden="1" x14ac:dyDescent="0.35">
      <c r="A607" s="8">
        <v>7809</v>
      </c>
      <c r="B607" s="10" t="s">
        <v>3153</v>
      </c>
      <c r="C607" s="10" t="s">
        <v>34</v>
      </c>
      <c r="D607" s="9" t="s">
        <v>34</v>
      </c>
      <c r="E607" s="9" t="s">
        <v>1525</v>
      </c>
      <c r="F607" s="10" t="s">
        <v>2516</v>
      </c>
      <c r="G607" s="11">
        <v>45724</v>
      </c>
    </row>
    <row r="608" spans="1:7" ht="36.5" hidden="1" x14ac:dyDescent="0.35">
      <c r="A608" s="8">
        <v>7811</v>
      </c>
      <c r="B608" s="10" t="s">
        <v>3154</v>
      </c>
      <c r="C608" s="10" t="s">
        <v>3076</v>
      </c>
      <c r="D608" s="9" t="s">
        <v>371</v>
      </c>
      <c r="E608" s="9" t="s">
        <v>1674</v>
      </c>
      <c r="F608" s="10" t="s">
        <v>2516</v>
      </c>
      <c r="G608" s="11">
        <v>45724</v>
      </c>
    </row>
    <row r="609" spans="1:7" ht="24.5" hidden="1" x14ac:dyDescent="0.35">
      <c r="A609" s="8">
        <v>7812</v>
      </c>
      <c r="B609" s="10" t="s">
        <v>3155</v>
      </c>
      <c r="C609" s="10" t="s">
        <v>21</v>
      </c>
      <c r="D609" s="9" t="s">
        <v>21</v>
      </c>
      <c r="E609" s="9" t="s">
        <v>633</v>
      </c>
      <c r="F609" s="10" t="s">
        <v>2540</v>
      </c>
      <c r="G609" s="11">
        <v>45724</v>
      </c>
    </row>
    <row r="610" spans="1:7" ht="36.5" hidden="1" x14ac:dyDescent="0.35">
      <c r="A610" s="8">
        <v>7814</v>
      </c>
      <c r="B610" s="10" t="s">
        <v>3156</v>
      </c>
      <c r="C610" s="10" t="s">
        <v>96</v>
      </c>
      <c r="D610" s="9" t="s">
        <v>96</v>
      </c>
      <c r="E610" s="9" t="s">
        <v>1179</v>
      </c>
      <c r="F610" s="10" t="s">
        <v>2516</v>
      </c>
      <c r="G610" s="11">
        <v>45724</v>
      </c>
    </row>
    <row r="611" spans="1:7" ht="24.5" hidden="1" x14ac:dyDescent="0.35">
      <c r="A611" s="8">
        <v>7815</v>
      </c>
      <c r="B611" s="10" t="s">
        <v>3157</v>
      </c>
      <c r="C611" s="10" t="s">
        <v>13</v>
      </c>
      <c r="D611" s="9" t="s">
        <v>13</v>
      </c>
      <c r="E611" s="9" t="s">
        <v>2336</v>
      </c>
      <c r="F611" s="10" t="s">
        <v>2540</v>
      </c>
      <c r="G611" s="11">
        <v>45724</v>
      </c>
    </row>
    <row r="612" spans="1:7" ht="24.5" hidden="1" x14ac:dyDescent="0.35">
      <c r="A612" s="8">
        <v>7813</v>
      </c>
      <c r="B612" s="10" t="s">
        <v>3158</v>
      </c>
      <c r="C612" s="10" t="s">
        <v>190</v>
      </c>
      <c r="D612" s="9" t="s">
        <v>21</v>
      </c>
      <c r="E612" s="9" t="s">
        <v>333</v>
      </c>
      <c r="F612" s="10" t="s">
        <v>2522</v>
      </c>
      <c r="G612" s="11">
        <v>45724</v>
      </c>
    </row>
    <row r="613" spans="1:7" ht="48.5" hidden="1" x14ac:dyDescent="0.35">
      <c r="A613" s="8">
        <v>7816</v>
      </c>
      <c r="B613" s="10" t="s">
        <v>3159</v>
      </c>
      <c r="C613" s="10" t="s">
        <v>278</v>
      </c>
      <c r="D613" s="9" t="s">
        <v>278</v>
      </c>
      <c r="E613" s="9" t="s">
        <v>982</v>
      </c>
      <c r="F613" s="10" t="s">
        <v>2559</v>
      </c>
      <c r="G613" s="11">
        <v>45724</v>
      </c>
    </row>
    <row r="614" spans="1:7" ht="36.5" hidden="1" x14ac:dyDescent="0.35">
      <c r="A614" s="8">
        <v>7817</v>
      </c>
      <c r="B614" s="10" t="s">
        <v>3160</v>
      </c>
      <c r="C614" s="10" t="s">
        <v>96</v>
      </c>
      <c r="D614" s="9" t="s">
        <v>96</v>
      </c>
      <c r="E614" s="9" t="s">
        <v>1179</v>
      </c>
      <c r="F614" s="10" t="s">
        <v>2572</v>
      </c>
      <c r="G614" s="11">
        <v>45724</v>
      </c>
    </row>
    <row r="615" spans="1:7" ht="24.5" hidden="1" x14ac:dyDescent="0.35">
      <c r="A615" s="8">
        <v>7818</v>
      </c>
      <c r="B615" s="10" t="s">
        <v>3161</v>
      </c>
      <c r="C615" s="10" t="s">
        <v>13</v>
      </c>
      <c r="D615" s="9" t="s">
        <v>190</v>
      </c>
      <c r="E615" s="9" t="s">
        <v>410</v>
      </c>
      <c r="F615" s="10" t="s">
        <v>2540</v>
      </c>
      <c r="G615" s="11">
        <v>45724</v>
      </c>
    </row>
    <row r="616" spans="1:7" ht="48.5" hidden="1" x14ac:dyDescent="0.35">
      <c r="A616" s="8">
        <v>7801</v>
      </c>
      <c r="B616" s="10" t="s">
        <v>3162</v>
      </c>
      <c r="C616" s="10" t="s">
        <v>95</v>
      </c>
      <c r="D616" s="9" t="s">
        <v>95</v>
      </c>
      <c r="E616" s="9" t="s">
        <v>426</v>
      </c>
      <c r="F616" s="10" t="s">
        <v>2522</v>
      </c>
      <c r="G616" s="11">
        <v>45724</v>
      </c>
    </row>
    <row r="617" spans="1:7" ht="36.5" hidden="1" x14ac:dyDescent="0.35">
      <c r="A617" s="8">
        <v>7821</v>
      </c>
      <c r="B617" s="10" t="s">
        <v>3163</v>
      </c>
      <c r="C617" s="10" t="s">
        <v>13</v>
      </c>
      <c r="D617" s="9" t="s">
        <v>13</v>
      </c>
      <c r="E617" s="9" t="s">
        <v>1484</v>
      </c>
      <c r="F617" s="10" t="s">
        <v>2530</v>
      </c>
      <c r="G617" s="11">
        <v>45725</v>
      </c>
    </row>
    <row r="618" spans="1:7" ht="36.5" hidden="1" x14ac:dyDescent="0.35">
      <c r="A618" s="8">
        <v>7820</v>
      </c>
      <c r="B618" s="10" t="s">
        <v>3164</v>
      </c>
      <c r="C618" s="10" t="s">
        <v>250</v>
      </c>
      <c r="D618" s="9" t="s">
        <v>250</v>
      </c>
      <c r="E618" s="9" t="s">
        <v>1807</v>
      </c>
      <c r="F618" s="10" t="s">
        <v>2516</v>
      </c>
      <c r="G618" s="11">
        <v>45725</v>
      </c>
    </row>
    <row r="619" spans="1:7" ht="36.5" hidden="1" x14ac:dyDescent="0.35">
      <c r="A619" s="8">
        <v>7822</v>
      </c>
      <c r="B619" s="10" t="s">
        <v>3165</v>
      </c>
      <c r="C619" s="10" t="s">
        <v>371</v>
      </c>
      <c r="D619" s="9" t="s">
        <v>395</v>
      </c>
      <c r="E619" s="9" t="s">
        <v>394</v>
      </c>
      <c r="F619" s="10" t="s">
        <v>2516</v>
      </c>
      <c r="G619" s="11">
        <v>45725</v>
      </c>
    </row>
    <row r="620" spans="1:7" ht="24.5" hidden="1" x14ac:dyDescent="0.35">
      <c r="A620" s="8">
        <v>7819</v>
      </c>
      <c r="B620" s="10" t="s">
        <v>3166</v>
      </c>
      <c r="C620" s="10" t="s">
        <v>13</v>
      </c>
      <c r="D620" s="9" t="s">
        <v>13</v>
      </c>
      <c r="E620" s="9" t="s">
        <v>762</v>
      </c>
      <c r="F620" s="10" t="s">
        <v>2522</v>
      </c>
      <c r="G620" s="11">
        <v>45725</v>
      </c>
    </row>
    <row r="621" spans="1:7" ht="60.5" hidden="1" x14ac:dyDescent="0.35">
      <c r="A621" s="8">
        <v>7824</v>
      </c>
      <c r="B621" s="10" t="s">
        <v>3167</v>
      </c>
      <c r="C621" s="10" t="s">
        <v>13</v>
      </c>
      <c r="D621" s="9" t="s">
        <v>13</v>
      </c>
      <c r="E621" s="9" t="s">
        <v>762</v>
      </c>
      <c r="F621" s="10" t="s">
        <v>2540</v>
      </c>
      <c r="G621" s="11">
        <v>45725</v>
      </c>
    </row>
    <row r="622" spans="1:7" ht="24.5" hidden="1" x14ac:dyDescent="0.35">
      <c r="A622" s="8">
        <v>7828</v>
      </c>
      <c r="B622" s="10" t="s">
        <v>3168</v>
      </c>
      <c r="C622" s="10" t="s">
        <v>13</v>
      </c>
      <c r="D622" s="9" t="s">
        <v>13</v>
      </c>
      <c r="E622" s="9" t="s">
        <v>819</v>
      </c>
      <c r="F622" s="10" t="s">
        <v>2540</v>
      </c>
      <c r="G622" s="11">
        <v>45725</v>
      </c>
    </row>
    <row r="623" spans="1:7" ht="24.5" hidden="1" x14ac:dyDescent="0.35">
      <c r="A623" s="8">
        <v>7829</v>
      </c>
      <c r="B623" s="10" t="s">
        <v>3169</v>
      </c>
      <c r="C623" s="10" t="s">
        <v>13</v>
      </c>
      <c r="D623" s="9" t="s">
        <v>13</v>
      </c>
      <c r="E623" s="9" t="s">
        <v>819</v>
      </c>
      <c r="F623" s="10" t="s">
        <v>2540</v>
      </c>
      <c r="G623" s="11">
        <v>45725</v>
      </c>
    </row>
    <row r="624" spans="1:7" ht="48.5" hidden="1" x14ac:dyDescent="0.35">
      <c r="A624" s="8">
        <v>7827</v>
      </c>
      <c r="B624" s="10" t="s">
        <v>3170</v>
      </c>
      <c r="C624" s="10" t="s">
        <v>3076</v>
      </c>
      <c r="D624" s="9" t="s">
        <v>395</v>
      </c>
      <c r="E624" s="9" t="s">
        <v>394</v>
      </c>
      <c r="F624" s="10" t="s">
        <v>2516</v>
      </c>
      <c r="G624" s="11">
        <v>45725</v>
      </c>
    </row>
    <row r="625" spans="1:7" ht="24.5" hidden="1" x14ac:dyDescent="0.35">
      <c r="A625" s="8">
        <v>7830</v>
      </c>
      <c r="B625" s="10" t="s">
        <v>3171</v>
      </c>
      <c r="C625" s="10" t="s">
        <v>13</v>
      </c>
      <c r="D625" s="9" t="s">
        <v>13</v>
      </c>
      <c r="E625" s="9" t="s">
        <v>819</v>
      </c>
      <c r="F625" s="10" t="s">
        <v>2540</v>
      </c>
      <c r="G625" s="11">
        <v>45725</v>
      </c>
    </row>
    <row r="626" spans="1:7" ht="24.5" hidden="1" x14ac:dyDescent="0.35">
      <c r="A626" s="8">
        <v>7831</v>
      </c>
      <c r="B626" s="10" t="s">
        <v>3172</v>
      </c>
      <c r="C626" s="10" t="s">
        <v>13</v>
      </c>
      <c r="D626" s="9" t="s">
        <v>13</v>
      </c>
      <c r="E626" s="9" t="s">
        <v>3173</v>
      </c>
      <c r="F626" s="10" t="s">
        <v>2522</v>
      </c>
      <c r="G626" s="11">
        <v>45725</v>
      </c>
    </row>
    <row r="627" spans="1:7" ht="24.5" hidden="1" x14ac:dyDescent="0.35">
      <c r="A627" s="8">
        <v>7832</v>
      </c>
      <c r="B627" s="10" t="s">
        <v>3174</v>
      </c>
      <c r="C627" s="10" t="s">
        <v>95</v>
      </c>
      <c r="D627" s="9" t="s">
        <v>95</v>
      </c>
      <c r="E627" s="9" t="s">
        <v>822</v>
      </c>
      <c r="F627" s="10" t="s">
        <v>2540</v>
      </c>
      <c r="G627" s="11">
        <v>45725</v>
      </c>
    </row>
    <row r="628" spans="1:7" ht="36.5" hidden="1" x14ac:dyDescent="0.35">
      <c r="A628" s="8">
        <v>7834</v>
      </c>
      <c r="B628" s="10" t="s">
        <v>3175</v>
      </c>
      <c r="C628" s="10" t="s">
        <v>134</v>
      </c>
      <c r="D628" s="9" t="s">
        <v>95</v>
      </c>
      <c r="E628" s="9" t="s">
        <v>1014</v>
      </c>
      <c r="F628" s="10" t="s">
        <v>2516</v>
      </c>
      <c r="G628" s="11">
        <v>45725</v>
      </c>
    </row>
    <row r="629" spans="1:7" ht="24.5" hidden="1" x14ac:dyDescent="0.35">
      <c r="A629" s="8">
        <v>7835</v>
      </c>
      <c r="B629" s="10" t="s">
        <v>3176</v>
      </c>
      <c r="C629" s="10" t="s">
        <v>21</v>
      </c>
      <c r="D629" s="9" t="s">
        <v>21</v>
      </c>
      <c r="E629" s="9" t="s">
        <v>762</v>
      </c>
      <c r="F629" s="10" t="s">
        <v>2522</v>
      </c>
      <c r="G629" s="11">
        <v>45726</v>
      </c>
    </row>
    <row r="630" spans="1:7" ht="24.5" hidden="1" x14ac:dyDescent="0.35">
      <c r="A630" s="8">
        <v>7836</v>
      </c>
      <c r="B630" s="10" t="s">
        <v>3177</v>
      </c>
      <c r="C630" s="10" t="s">
        <v>13</v>
      </c>
      <c r="D630" s="9" t="s">
        <v>13</v>
      </c>
      <c r="E630" s="9" t="s">
        <v>762</v>
      </c>
      <c r="F630" s="10" t="s">
        <v>2522</v>
      </c>
      <c r="G630" s="11">
        <v>45726</v>
      </c>
    </row>
    <row r="631" spans="1:7" ht="24.5" hidden="1" x14ac:dyDescent="0.35">
      <c r="A631" s="8">
        <v>7837</v>
      </c>
      <c r="B631" s="10" t="s">
        <v>3178</v>
      </c>
      <c r="C631" s="10" t="s">
        <v>104</v>
      </c>
      <c r="D631" s="9" t="s">
        <v>395</v>
      </c>
      <c r="E631" s="9" t="s">
        <v>1037</v>
      </c>
      <c r="F631" s="10" t="s">
        <v>2540</v>
      </c>
      <c r="G631" s="11">
        <v>45726</v>
      </c>
    </row>
    <row r="632" spans="1:7" ht="24.5" hidden="1" x14ac:dyDescent="0.35">
      <c r="A632" s="8">
        <v>7838</v>
      </c>
      <c r="B632" s="10" t="s">
        <v>3179</v>
      </c>
      <c r="C632" s="10" t="s">
        <v>104</v>
      </c>
      <c r="D632" s="9" t="s">
        <v>104</v>
      </c>
      <c r="E632" s="9" t="s">
        <v>483</v>
      </c>
      <c r="F632" s="10" t="s">
        <v>2522</v>
      </c>
      <c r="G632" s="11">
        <v>45726</v>
      </c>
    </row>
    <row r="633" spans="1:7" ht="24.5" hidden="1" x14ac:dyDescent="0.35">
      <c r="A633" s="8">
        <v>7839</v>
      </c>
      <c r="B633" s="10" t="s">
        <v>3180</v>
      </c>
      <c r="C633" s="10" t="s">
        <v>104</v>
      </c>
      <c r="D633" s="9" t="s">
        <v>104</v>
      </c>
      <c r="E633" s="9" t="s">
        <v>483</v>
      </c>
      <c r="F633" s="10" t="s">
        <v>2540</v>
      </c>
      <c r="G633" s="11">
        <v>45726</v>
      </c>
    </row>
    <row r="634" spans="1:7" ht="24.5" hidden="1" x14ac:dyDescent="0.35">
      <c r="A634" s="8">
        <v>7840</v>
      </c>
      <c r="B634" s="10" t="s">
        <v>3181</v>
      </c>
      <c r="C634" s="10" t="s">
        <v>34</v>
      </c>
      <c r="D634" s="9" t="s">
        <v>250</v>
      </c>
      <c r="E634" s="9" t="s">
        <v>592</v>
      </c>
      <c r="F634" s="10" t="s">
        <v>2537</v>
      </c>
      <c r="G634" s="11">
        <v>45726</v>
      </c>
    </row>
    <row r="635" spans="1:7" ht="36.5" hidden="1" x14ac:dyDescent="0.35">
      <c r="A635" s="8">
        <v>7841</v>
      </c>
      <c r="B635" s="10" t="s">
        <v>3182</v>
      </c>
      <c r="C635" s="10" t="s">
        <v>21</v>
      </c>
      <c r="D635" s="9" t="s">
        <v>190</v>
      </c>
      <c r="E635" s="9" t="s">
        <v>418</v>
      </c>
      <c r="F635" s="10" t="s">
        <v>2530</v>
      </c>
      <c r="G635" s="11">
        <v>45726</v>
      </c>
    </row>
    <row r="636" spans="1:7" ht="36.5" hidden="1" x14ac:dyDescent="0.35">
      <c r="A636" s="8">
        <v>7842</v>
      </c>
      <c r="B636" s="10" t="s">
        <v>3183</v>
      </c>
      <c r="C636" s="10" t="s">
        <v>34</v>
      </c>
      <c r="D636" s="9" t="s">
        <v>250</v>
      </c>
      <c r="E636" s="9" t="s">
        <v>592</v>
      </c>
      <c r="F636" s="10" t="s">
        <v>2516</v>
      </c>
      <c r="G636" s="11">
        <v>45726</v>
      </c>
    </row>
    <row r="637" spans="1:7" ht="24.5" hidden="1" x14ac:dyDescent="0.35">
      <c r="A637" s="8">
        <v>7843</v>
      </c>
      <c r="B637" s="10" t="s">
        <v>3184</v>
      </c>
      <c r="C637" s="10" t="s">
        <v>21</v>
      </c>
      <c r="D637" s="9" t="s">
        <v>21</v>
      </c>
      <c r="E637" s="9" t="s">
        <v>762</v>
      </c>
      <c r="F637" s="10" t="s">
        <v>2522</v>
      </c>
      <c r="G637" s="11">
        <v>45726</v>
      </c>
    </row>
    <row r="638" spans="1:7" ht="24.5" hidden="1" x14ac:dyDescent="0.35">
      <c r="A638" s="8">
        <v>7844</v>
      </c>
      <c r="B638" s="10" t="s">
        <v>3185</v>
      </c>
      <c r="C638" s="10" t="s">
        <v>13</v>
      </c>
      <c r="D638" s="9" t="s">
        <v>13</v>
      </c>
      <c r="E638" s="9" t="s">
        <v>762</v>
      </c>
      <c r="F638" s="10" t="s">
        <v>2522</v>
      </c>
      <c r="G638" s="11">
        <v>45726</v>
      </c>
    </row>
    <row r="639" spans="1:7" ht="36.5" hidden="1" x14ac:dyDescent="0.35">
      <c r="A639" s="8">
        <v>7845</v>
      </c>
      <c r="B639" s="10" t="s">
        <v>3186</v>
      </c>
      <c r="C639" s="10" t="s">
        <v>134</v>
      </c>
      <c r="D639" s="9" t="s">
        <v>134</v>
      </c>
      <c r="E639" s="9" t="s">
        <v>762</v>
      </c>
      <c r="F639" s="10" t="s">
        <v>2516</v>
      </c>
      <c r="G639" s="11">
        <v>45726</v>
      </c>
    </row>
    <row r="640" spans="1:7" ht="24.5" hidden="1" x14ac:dyDescent="0.35">
      <c r="A640" s="8">
        <v>7846</v>
      </c>
      <c r="B640" s="10" t="s">
        <v>3187</v>
      </c>
      <c r="C640" s="10" t="s">
        <v>21</v>
      </c>
      <c r="D640" s="9" t="s">
        <v>193</v>
      </c>
      <c r="E640" s="9" t="s">
        <v>1828</v>
      </c>
      <c r="F640" s="10" t="s">
        <v>2540</v>
      </c>
      <c r="G640" s="11">
        <v>45726</v>
      </c>
    </row>
    <row r="641" spans="1:7" ht="24.5" hidden="1" x14ac:dyDescent="0.35">
      <c r="A641" s="8">
        <v>7847</v>
      </c>
      <c r="B641" s="10" t="s">
        <v>3188</v>
      </c>
      <c r="C641" s="10" t="s">
        <v>21</v>
      </c>
      <c r="D641" s="9" t="s">
        <v>96</v>
      </c>
      <c r="E641" s="9" t="s">
        <v>1179</v>
      </c>
      <c r="F641" s="10" t="s">
        <v>2540</v>
      </c>
      <c r="G641" s="11">
        <v>45726</v>
      </c>
    </row>
    <row r="642" spans="1:7" ht="24.5" hidden="1" x14ac:dyDescent="0.35">
      <c r="A642" s="8">
        <v>7848</v>
      </c>
      <c r="B642" s="10" t="s">
        <v>3189</v>
      </c>
      <c r="C642" s="10" t="s">
        <v>21</v>
      </c>
      <c r="D642" s="9" t="s">
        <v>193</v>
      </c>
      <c r="E642" s="9" t="s">
        <v>1828</v>
      </c>
      <c r="F642" s="10" t="s">
        <v>2540</v>
      </c>
      <c r="G642" s="11">
        <v>45727</v>
      </c>
    </row>
    <row r="643" spans="1:7" ht="36.5" hidden="1" x14ac:dyDescent="0.35">
      <c r="A643" s="8">
        <v>7849</v>
      </c>
      <c r="B643" s="10" t="s">
        <v>3190</v>
      </c>
      <c r="C643" s="10" t="s">
        <v>34</v>
      </c>
      <c r="D643" s="9" t="s">
        <v>134</v>
      </c>
      <c r="E643" s="9" t="s">
        <v>762</v>
      </c>
      <c r="F643" s="10" t="s">
        <v>2516</v>
      </c>
      <c r="G643" s="11">
        <v>45727</v>
      </c>
    </row>
    <row r="644" spans="1:7" ht="36.5" hidden="1" x14ac:dyDescent="0.35">
      <c r="A644" s="8">
        <v>7850</v>
      </c>
      <c r="B644" s="10" t="s">
        <v>3191</v>
      </c>
      <c r="C644" s="10" t="s">
        <v>196</v>
      </c>
      <c r="D644" s="9" t="s">
        <v>190</v>
      </c>
      <c r="E644" s="9" t="s">
        <v>374</v>
      </c>
      <c r="F644" s="10" t="s">
        <v>2530</v>
      </c>
      <c r="G644" s="11">
        <v>45727</v>
      </c>
    </row>
    <row r="645" spans="1:7" ht="24.5" hidden="1" x14ac:dyDescent="0.35">
      <c r="A645" s="8">
        <v>7851</v>
      </c>
      <c r="B645" s="10" t="s">
        <v>3192</v>
      </c>
      <c r="C645" s="10" t="s">
        <v>96</v>
      </c>
      <c r="D645" s="9" t="s">
        <v>96</v>
      </c>
      <c r="E645" s="9" t="s">
        <v>368</v>
      </c>
      <c r="F645" s="10" t="s">
        <v>2522</v>
      </c>
      <c r="G645" s="11">
        <v>45727</v>
      </c>
    </row>
    <row r="646" spans="1:7" ht="36.5" hidden="1" x14ac:dyDescent="0.35">
      <c r="A646" s="8">
        <v>7853</v>
      </c>
      <c r="B646" s="10" t="s">
        <v>3193</v>
      </c>
      <c r="C646" s="10" t="s">
        <v>190</v>
      </c>
      <c r="D646" s="9" t="s">
        <v>190</v>
      </c>
      <c r="E646" s="9" t="s">
        <v>592</v>
      </c>
      <c r="F646" s="10" t="s">
        <v>2530</v>
      </c>
      <c r="G646" s="11">
        <v>45727</v>
      </c>
    </row>
    <row r="647" spans="1:7" ht="36.5" hidden="1" x14ac:dyDescent="0.35">
      <c r="A647" s="8">
        <v>7852</v>
      </c>
      <c r="B647" s="10" t="s">
        <v>3194</v>
      </c>
      <c r="C647" s="10" t="s">
        <v>26</v>
      </c>
      <c r="D647" s="9" t="s">
        <v>13</v>
      </c>
      <c r="E647" s="9" t="s">
        <v>2336</v>
      </c>
      <c r="F647" s="10" t="s">
        <v>2516</v>
      </c>
      <c r="G647" s="11">
        <v>45727</v>
      </c>
    </row>
    <row r="648" spans="1:7" ht="48.5" hidden="1" x14ac:dyDescent="0.35">
      <c r="A648" s="8">
        <v>7854</v>
      </c>
      <c r="B648" s="10" t="s">
        <v>3195</v>
      </c>
      <c r="C648" s="10" t="s">
        <v>13</v>
      </c>
      <c r="D648" s="9" t="s">
        <v>13</v>
      </c>
      <c r="E648" s="9" t="s">
        <v>633</v>
      </c>
      <c r="F648" s="10" t="s">
        <v>2572</v>
      </c>
      <c r="G648" s="11">
        <v>45727</v>
      </c>
    </row>
    <row r="649" spans="1:7" ht="24.5" hidden="1" x14ac:dyDescent="0.35">
      <c r="A649" s="8">
        <v>7857</v>
      </c>
      <c r="B649" s="10" t="s">
        <v>3196</v>
      </c>
      <c r="C649" s="10" t="s">
        <v>13</v>
      </c>
      <c r="D649" s="9" t="s">
        <v>13</v>
      </c>
      <c r="E649" s="9" t="s">
        <v>633</v>
      </c>
      <c r="F649" s="10" t="s">
        <v>2522</v>
      </c>
      <c r="G649" s="11">
        <v>45727</v>
      </c>
    </row>
    <row r="650" spans="1:7" ht="36.5" hidden="1" x14ac:dyDescent="0.35">
      <c r="A650" s="8">
        <v>7855</v>
      </c>
      <c r="B650" s="10" t="s">
        <v>3197</v>
      </c>
      <c r="C650" s="10" t="s">
        <v>96</v>
      </c>
      <c r="D650" s="9" t="s">
        <v>96</v>
      </c>
      <c r="E650" s="9" t="s">
        <v>3105</v>
      </c>
      <c r="F650" s="10" t="s">
        <v>2516</v>
      </c>
      <c r="G650" s="11">
        <v>45727</v>
      </c>
    </row>
    <row r="651" spans="1:7" ht="36.5" hidden="1" x14ac:dyDescent="0.35">
      <c r="A651" s="8">
        <v>7859</v>
      </c>
      <c r="B651" s="10" t="s">
        <v>3198</v>
      </c>
      <c r="C651" s="10" t="s">
        <v>104</v>
      </c>
      <c r="D651" s="9" t="s">
        <v>96</v>
      </c>
      <c r="E651" s="9" t="s">
        <v>1179</v>
      </c>
      <c r="F651" s="10" t="s">
        <v>2516</v>
      </c>
      <c r="G651" s="11">
        <v>45727</v>
      </c>
    </row>
    <row r="652" spans="1:7" ht="36.5" hidden="1" x14ac:dyDescent="0.35">
      <c r="A652" s="8">
        <v>7858</v>
      </c>
      <c r="B652" s="10" t="s">
        <v>3199</v>
      </c>
      <c r="C652" s="10" t="s">
        <v>193</v>
      </c>
      <c r="D652" s="9" t="s">
        <v>193</v>
      </c>
      <c r="E652" s="9" t="s">
        <v>1045</v>
      </c>
      <c r="F652" s="10" t="s">
        <v>2516</v>
      </c>
      <c r="G652" s="11">
        <v>45727</v>
      </c>
    </row>
    <row r="653" spans="1:7" ht="36.5" hidden="1" x14ac:dyDescent="0.35">
      <c r="A653" s="8">
        <v>7861</v>
      </c>
      <c r="B653" s="10" t="s">
        <v>3200</v>
      </c>
      <c r="C653" s="10" t="s">
        <v>13</v>
      </c>
      <c r="D653" s="9" t="s">
        <v>13</v>
      </c>
      <c r="E653" s="9" t="s">
        <v>762</v>
      </c>
      <c r="F653" s="10" t="s">
        <v>2572</v>
      </c>
      <c r="G653" s="11">
        <v>45727</v>
      </c>
    </row>
    <row r="654" spans="1:7" ht="36.5" hidden="1" x14ac:dyDescent="0.35">
      <c r="A654" s="8">
        <v>7860</v>
      </c>
      <c r="B654" s="10" t="s">
        <v>3201</v>
      </c>
      <c r="C654" s="10" t="s">
        <v>13</v>
      </c>
      <c r="D654" s="9" t="s">
        <v>13</v>
      </c>
      <c r="E654" s="9" t="s">
        <v>762</v>
      </c>
      <c r="F654" s="10" t="s">
        <v>2516</v>
      </c>
      <c r="G654" s="11">
        <v>45727</v>
      </c>
    </row>
    <row r="655" spans="1:7" ht="36.5" hidden="1" x14ac:dyDescent="0.35">
      <c r="A655" s="8">
        <v>7862</v>
      </c>
      <c r="B655" s="10" t="s">
        <v>3202</v>
      </c>
      <c r="C655" s="10" t="s">
        <v>13</v>
      </c>
      <c r="D655" s="9" t="s">
        <v>13</v>
      </c>
      <c r="E655" s="9" t="s">
        <v>762</v>
      </c>
      <c r="F655" s="10" t="s">
        <v>2540</v>
      </c>
      <c r="G655" s="11">
        <v>45727</v>
      </c>
    </row>
    <row r="656" spans="1:7" ht="24.5" hidden="1" x14ac:dyDescent="0.35">
      <c r="A656" s="8">
        <v>7863</v>
      </c>
      <c r="B656" s="10" t="s">
        <v>3203</v>
      </c>
      <c r="C656" s="10" t="s">
        <v>96</v>
      </c>
      <c r="D656" s="9" t="s">
        <v>96</v>
      </c>
      <c r="E656" s="9" t="s">
        <v>1179</v>
      </c>
      <c r="F656" s="10" t="s">
        <v>2537</v>
      </c>
      <c r="G656" s="11">
        <v>45728</v>
      </c>
    </row>
    <row r="657" spans="1:7" ht="48.5" hidden="1" x14ac:dyDescent="0.35">
      <c r="A657" s="8">
        <v>7865</v>
      </c>
      <c r="B657" s="10" t="s">
        <v>3204</v>
      </c>
      <c r="C657" s="10" t="s">
        <v>96</v>
      </c>
      <c r="D657" s="9" t="s">
        <v>395</v>
      </c>
      <c r="E657" s="9" t="s">
        <v>3205</v>
      </c>
      <c r="F657" s="10" t="s">
        <v>2522</v>
      </c>
      <c r="G657" s="11">
        <v>45728</v>
      </c>
    </row>
    <row r="658" spans="1:7" ht="24.5" hidden="1" x14ac:dyDescent="0.35">
      <c r="A658" s="8">
        <v>7864</v>
      </c>
      <c r="B658" s="10" t="s">
        <v>3206</v>
      </c>
      <c r="C658" s="10" t="s">
        <v>96</v>
      </c>
      <c r="D658" s="9" t="s">
        <v>96</v>
      </c>
      <c r="E658" s="9" t="s">
        <v>1179</v>
      </c>
      <c r="F658" s="10" t="s">
        <v>2537</v>
      </c>
      <c r="G658" s="11">
        <v>45728</v>
      </c>
    </row>
    <row r="659" spans="1:7" ht="36.5" hidden="1" x14ac:dyDescent="0.35">
      <c r="A659" s="8">
        <v>7866</v>
      </c>
      <c r="B659" s="10" t="s">
        <v>3207</v>
      </c>
      <c r="C659" s="10" t="s">
        <v>104</v>
      </c>
      <c r="D659" s="9" t="s">
        <v>104</v>
      </c>
      <c r="E659" s="9" t="s">
        <v>3208</v>
      </c>
      <c r="F659" s="10" t="s">
        <v>2516</v>
      </c>
      <c r="G659" s="11">
        <v>45728</v>
      </c>
    </row>
    <row r="660" spans="1:7" ht="36.5" hidden="1" x14ac:dyDescent="0.35">
      <c r="A660" s="8">
        <v>7867</v>
      </c>
      <c r="B660" s="10" t="s">
        <v>3209</v>
      </c>
      <c r="C660" s="10" t="s">
        <v>104</v>
      </c>
      <c r="D660" s="9" t="s">
        <v>104</v>
      </c>
      <c r="E660" s="9" t="s">
        <v>3208</v>
      </c>
      <c r="F660" s="10" t="s">
        <v>2516</v>
      </c>
      <c r="G660" s="11">
        <v>45728</v>
      </c>
    </row>
    <row r="661" spans="1:7" ht="36.5" hidden="1" x14ac:dyDescent="0.35">
      <c r="A661" s="8">
        <v>7868</v>
      </c>
      <c r="B661" s="10" t="s">
        <v>3210</v>
      </c>
      <c r="C661" s="10" t="s">
        <v>371</v>
      </c>
      <c r="D661" s="9" t="s">
        <v>371</v>
      </c>
      <c r="E661" s="9" t="s">
        <v>1674</v>
      </c>
      <c r="F661" s="10" t="s">
        <v>2516</v>
      </c>
      <c r="G661" s="11">
        <v>45728</v>
      </c>
    </row>
    <row r="662" spans="1:7" ht="36.5" hidden="1" x14ac:dyDescent="0.35">
      <c r="A662" s="8">
        <v>7876</v>
      </c>
      <c r="B662" s="10" t="s">
        <v>3211</v>
      </c>
      <c r="C662" s="10" t="s">
        <v>13</v>
      </c>
      <c r="D662" s="9" t="s">
        <v>13</v>
      </c>
      <c r="E662" s="9" t="s">
        <v>1828</v>
      </c>
      <c r="F662" s="10" t="s">
        <v>2516</v>
      </c>
      <c r="G662" s="11">
        <v>45728</v>
      </c>
    </row>
    <row r="663" spans="1:7" ht="36.5" hidden="1" x14ac:dyDescent="0.35">
      <c r="A663" s="8">
        <v>7893</v>
      </c>
      <c r="B663" s="10" t="s">
        <v>3212</v>
      </c>
      <c r="C663" s="10" t="s">
        <v>13</v>
      </c>
      <c r="D663" s="9" t="s">
        <v>13</v>
      </c>
      <c r="E663" s="9" t="s">
        <v>3208</v>
      </c>
      <c r="F663" s="10" t="s">
        <v>2572</v>
      </c>
      <c r="G663" s="11">
        <v>45728</v>
      </c>
    </row>
    <row r="664" spans="1:7" ht="24.5" hidden="1" x14ac:dyDescent="0.35">
      <c r="A664" s="8">
        <v>7879</v>
      </c>
      <c r="B664" s="10" t="s">
        <v>3213</v>
      </c>
      <c r="C664" s="10" t="s">
        <v>3076</v>
      </c>
      <c r="D664" s="9" t="s">
        <v>395</v>
      </c>
      <c r="E664" s="9" t="s">
        <v>1045</v>
      </c>
      <c r="F664" s="10" t="s">
        <v>2522</v>
      </c>
      <c r="G664" s="11">
        <v>45728</v>
      </c>
    </row>
    <row r="665" spans="1:7" ht="36.5" hidden="1" x14ac:dyDescent="0.35">
      <c r="A665" s="8">
        <v>7880</v>
      </c>
      <c r="B665" s="10" t="s">
        <v>3214</v>
      </c>
      <c r="C665" s="10" t="s">
        <v>21</v>
      </c>
      <c r="D665" s="9" t="s">
        <v>395</v>
      </c>
      <c r="E665" s="9" t="s">
        <v>1045</v>
      </c>
      <c r="F665" s="10" t="s">
        <v>2516</v>
      </c>
      <c r="G665" s="11">
        <v>45728</v>
      </c>
    </row>
    <row r="666" spans="1:7" ht="48.5" hidden="1" x14ac:dyDescent="0.35">
      <c r="A666" s="8">
        <v>7877</v>
      </c>
      <c r="B666" s="10" t="s">
        <v>3215</v>
      </c>
      <c r="C666" s="10" t="s">
        <v>96</v>
      </c>
      <c r="D666" s="9" t="s">
        <v>96</v>
      </c>
      <c r="E666" s="9" t="s">
        <v>1179</v>
      </c>
      <c r="F666" s="10" t="s">
        <v>2559</v>
      </c>
      <c r="G666" s="11">
        <v>45728</v>
      </c>
    </row>
    <row r="667" spans="1:7" ht="24.5" hidden="1" x14ac:dyDescent="0.35">
      <c r="A667" s="8">
        <v>7878</v>
      </c>
      <c r="B667" s="10" t="s">
        <v>3216</v>
      </c>
      <c r="C667" s="10" t="s">
        <v>250</v>
      </c>
      <c r="D667" s="9" t="s">
        <v>395</v>
      </c>
      <c r="E667" s="9" t="s">
        <v>1045</v>
      </c>
      <c r="F667" s="10" t="s">
        <v>2522</v>
      </c>
      <c r="G667" s="11">
        <v>45729</v>
      </c>
    </row>
    <row r="668" spans="1:7" ht="36.5" hidden="1" x14ac:dyDescent="0.35">
      <c r="A668" s="8">
        <v>7881</v>
      </c>
      <c r="B668" s="10" t="s">
        <v>3217</v>
      </c>
      <c r="C668" s="10" t="s">
        <v>13</v>
      </c>
      <c r="D668" s="9" t="s">
        <v>395</v>
      </c>
      <c r="E668" s="9" t="s">
        <v>2722</v>
      </c>
      <c r="F668" s="10" t="s">
        <v>2525</v>
      </c>
      <c r="G668" s="11">
        <v>45729</v>
      </c>
    </row>
    <row r="669" spans="1:7" ht="24.5" hidden="1" x14ac:dyDescent="0.35">
      <c r="A669" s="8">
        <v>7882</v>
      </c>
      <c r="B669" s="10" t="s">
        <v>3218</v>
      </c>
      <c r="C669" s="10" t="s">
        <v>134</v>
      </c>
      <c r="D669" s="9" t="s">
        <v>395</v>
      </c>
      <c r="E669" s="9" t="s">
        <v>1045</v>
      </c>
      <c r="F669" s="10" t="s">
        <v>2834</v>
      </c>
      <c r="G669" s="11">
        <v>45729</v>
      </c>
    </row>
    <row r="670" spans="1:7" ht="48.5" hidden="1" x14ac:dyDescent="0.35">
      <c r="A670" s="8">
        <v>7884</v>
      </c>
      <c r="B670" s="10" t="s">
        <v>3219</v>
      </c>
      <c r="C670" s="10" t="s">
        <v>371</v>
      </c>
      <c r="D670" s="9" t="s">
        <v>371</v>
      </c>
      <c r="E670" s="9" t="s">
        <v>1674</v>
      </c>
      <c r="F670" s="10" t="s">
        <v>2559</v>
      </c>
      <c r="G670" s="11">
        <v>45729</v>
      </c>
    </row>
    <row r="671" spans="1:7" ht="24.5" hidden="1" x14ac:dyDescent="0.35">
      <c r="A671" s="8">
        <v>7883</v>
      </c>
      <c r="B671" s="10" t="s">
        <v>3220</v>
      </c>
      <c r="C671" s="10" t="s">
        <v>371</v>
      </c>
      <c r="D671" s="9" t="s">
        <v>371</v>
      </c>
      <c r="E671" s="9" t="s">
        <v>2682</v>
      </c>
      <c r="F671" s="10" t="s">
        <v>2522</v>
      </c>
      <c r="G671" s="11">
        <v>45729</v>
      </c>
    </row>
    <row r="672" spans="1:7" ht="36.5" hidden="1" x14ac:dyDescent="0.35">
      <c r="A672" s="8">
        <v>7885</v>
      </c>
      <c r="B672" s="10" t="s">
        <v>3221</v>
      </c>
      <c r="C672" s="10" t="s">
        <v>13</v>
      </c>
      <c r="D672" s="9" t="s">
        <v>95</v>
      </c>
      <c r="E672" s="9" t="s">
        <v>657</v>
      </c>
      <c r="F672" s="10" t="s">
        <v>2525</v>
      </c>
      <c r="G672" s="11">
        <v>45729</v>
      </c>
    </row>
    <row r="673" spans="1:7" ht="24.5" hidden="1" x14ac:dyDescent="0.35">
      <c r="A673" s="8">
        <v>7888</v>
      </c>
      <c r="B673" s="10" t="s">
        <v>3222</v>
      </c>
      <c r="C673" s="10" t="s">
        <v>134</v>
      </c>
      <c r="D673" s="9" t="s">
        <v>95</v>
      </c>
      <c r="E673" s="9" t="s">
        <v>657</v>
      </c>
      <c r="F673" s="10" t="s">
        <v>2522</v>
      </c>
      <c r="G673" s="11">
        <v>45729</v>
      </c>
    </row>
    <row r="674" spans="1:7" ht="24.5" hidden="1" x14ac:dyDescent="0.35">
      <c r="A674" s="8">
        <v>7887</v>
      </c>
      <c r="B674" s="10" t="s">
        <v>3223</v>
      </c>
      <c r="C674" s="10" t="s">
        <v>13</v>
      </c>
      <c r="D674" s="9" t="s">
        <v>95</v>
      </c>
      <c r="E674" s="9" t="s">
        <v>657</v>
      </c>
      <c r="F674" s="10" t="s">
        <v>2522</v>
      </c>
      <c r="G674" s="11">
        <v>45729</v>
      </c>
    </row>
    <row r="675" spans="1:7" ht="24.5" hidden="1" x14ac:dyDescent="0.35">
      <c r="A675" s="8">
        <v>7889</v>
      </c>
      <c r="B675" s="10" t="s">
        <v>3224</v>
      </c>
      <c r="C675" s="10" t="s">
        <v>96</v>
      </c>
      <c r="D675" s="9" t="s">
        <v>96</v>
      </c>
      <c r="E675" s="9" t="s">
        <v>1055</v>
      </c>
      <c r="F675" s="10" t="s">
        <v>2537</v>
      </c>
      <c r="G675" s="11">
        <v>45729</v>
      </c>
    </row>
    <row r="676" spans="1:7" ht="36.5" hidden="1" x14ac:dyDescent="0.35">
      <c r="A676" s="8">
        <v>7891</v>
      </c>
      <c r="B676" s="10" t="s">
        <v>3225</v>
      </c>
      <c r="C676" s="10" t="s">
        <v>278</v>
      </c>
      <c r="D676" s="9" t="s">
        <v>278</v>
      </c>
      <c r="E676" s="9" t="s">
        <v>711</v>
      </c>
      <c r="F676" s="10" t="s">
        <v>2516</v>
      </c>
      <c r="G676" s="11">
        <v>45729</v>
      </c>
    </row>
    <row r="677" spans="1:7" ht="24.5" hidden="1" x14ac:dyDescent="0.35">
      <c r="A677" s="8">
        <v>7890</v>
      </c>
      <c r="B677" s="10" t="s">
        <v>3226</v>
      </c>
      <c r="C677" s="10" t="s">
        <v>13</v>
      </c>
      <c r="D677" s="9" t="s">
        <v>13</v>
      </c>
      <c r="E677" s="9" t="s">
        <v>762</v>
      </c>
      <c r="F677" s="10" t="s">
        <v>2522</v>
      </c>
      <c r="G677" s="11">
        <v>45729</v>
      </c>
    </row>
    <row r="678" spans="1:7" ht="36.5" hidden="1" x14ac:dyDescent="0.35">
      <c r="A678" s="8">
        <v>7892</v>
      </c>
      <c r="B678" s="10" t="s">
        <v>3227</v>
      </c>
      <c r="C678" s="10" t="s">
        <v>13</v>
      </c>
      <c r="D678" s="9" t="s">
        <v>13</v>
      </c>
      <c r="E678" s="9" t="s">
        <v>3208</v>
      </c>
      <c r="F678" s="10" t="s">
        <v>2572</v>
      </c>
      <c r="G678" s="11">
        <v>45729</v>
      </c>
    </row>
    <row r="679" spans="1:7" ht="36.5" hidden="1" x14ac:dyDescent="0.35">
      <c r="A679" s="8">
        <v>7895</v>
      </c>
      <c r="B679" s="10" t="s">
        <v>3228</v>
      </c>
      <c r="C679" s="10" t="s">
        <v>13</v>
      </c>
      <c r="D679" s="9" t="s">
        <v>13</v>
      </c>
      <c r="E679" s="9" t="s">
        <v>3208</v>
      </c>
      <c r="F679" s="10" t="s">
        <v>2572</v>
      </c>
      <c r="G679" s="11">
        <v>45729</v>
      </c>
    </row>
    <row r="680" spans="1:7" ht="24.5" hidden="1" x14ac:dyDescent="0.35">
      <c r="A680" s="8">
        <v>7896</v>
      </c>
      <c r="B680" s="10" t="s">
        <v>3229</v>
      </c>
      <c r="C680" s="10" t="s">
        <v>13</v>
      </c>
      <c r="D680" s="9" t="s">
        <v>13</v>
      </c>
      <c r="E680" s="9" t="s">
        <v>3208</v>
      </c>
      <c r="F680" s="10" t="s">
        <v>2540</v>
      </c>
      <c r="G680" s="11">
        <v>45730</v>
      </c>
    </row>
    <row r="681" spans="1:7" ht="24.5" hidden="1" x14ac:dyDescent="0.35">
      <c r="A681" s="8">
        <v>7897</v>
      </c>
      <c r="B681" s="10" t="s">
        <v>3230</v>
      </c>
      <c r="C681" s="10" t="s">
        <v>3076</v>
      </c>
      <c r="D681" s="9" t="s">
        <v>220</v>
      </c>
      <c r="E681" s="9" t="s">
        <v>305</v>
      </c>
      <c r="F681" s="10" t="s">
        <v>2522</v>
      </c>
      <c r="G681" s="11">
        <v>45730</v>
      </c>
    </row>
    <row r="682" spans="1:7" ht="24.5" hidden="1" x14ac:dyDescent="0.35">
      <c r="A682" s="8">
        <v>7900</v>
      </c>
      <c r="B682" s="10" t="s">
        <v>3231</v>
      </c>
      <c r="C682" s="10" t="s">
        <v>3076</v>
      </c>
      <c r="D682" s="9" t="s">
        <v>220</v>
      </c>
      <c r="E682" s="9" t="s">
        <v>305</v>
      </c>
      <c r="F682" s="10" t="s">
        <v>2522</v>
      </c>
      <c r="G682" s="11">
        <v>45730</v>
      </c>
    </row>
    <row r="683" spans="1:7" ht="24.5" hidden="1" x14ac:dyDescent="0.35">
      <c r="A683" s="8">
        <v>7899</v>
      </c>
      <c r="B683" s="10" t="s">
        <v>3232</v>
      </c>
      <c r="C683" s="10" t="s">
        <v>196</v>
      </c>
      <c r="D683" s="9" t="s">
        <v>196</v>
      </c>
      <c r="E683" s="9" t="s">
        <v>595</v>
      </c>
      <c r="F683" s="10" t="s">
        <v>2537</v>
      </c>
      <c r="G683" s="11">
        <v>45730</v>
      </c>
    </row>
    <row r="684" spans="1:7" ht="36.5" hidden="1" x14ac:dyDescent="0.35">
      <c r="A684" s="8">
        <v>7898</v>
      </c>
      <c r="B684" s="10" t="s">
        <v>3233</v>
      </c>
      <c r="C684" s="10" t="s">
        <v>134</v>
      </c>
      <c r="D684" s="9" t="s">
        <v>95</v>
      </c>
      <c r="E684" s="9" t="s">
        <v>2869</v>
      </c>
      <c r="F684" s="10" t="s">
        <v>2516</v>
      </c>
      <c r="G684" s="11">
        <v>45730</v>
      </c>
    </row>
    <row r="685" spans="1:7" ht="36.5" hidden="1" x14ac:dyDescent="0.35">
      <c r="A685" s="8">
        <v>7901</v>
      </c>
      <c r="B685" s="10" t="s">
        <v>3234</v>
      </c>
      <c r="C685" s="10" t="s">
        <v>3076</v>
      </c>
      <c r="D685" s="9" t="s">
        <v>220</v>
      </c>
      <c r="E685" s="9" t="s">
        <v>305</v>
      </c>
      <c r="F685" s="10" t="s">
        <v>2516</v>
      </c>
      <c r="G685" s="11">
        <v>45730</v>
      </c>
    </row>
    <row r="686" spans="1:7" ht="36.5" hidden="1" x14ac:dyDescent="0.35">
      <c r="A686" s="8">
        <v>7908</v>
      </c>
      <c r="B686" s="10" t="s">
        <v>3235</v>
      </c>
      <c r="C686" s="10" t="s">
        <v>3076</v>
      </c>
      <c r="D686" s="9" t="s">
        <v>205</v>
      </c>
      <c r="E686" s="9" t="s">
        <v>702</v>
      </c>
      <c r="F686" s="10" t="s">
        <v>2516</v>
      </c>
      <c r="G686" s="11">
        <v>45730</v>
      </c>
    </row>
    <row r="687" spans="1:7" ht="24.5" hidden="1" x14ac:dyDescent="0.35">
      <c r="A687" s="8">
        <v>7910</v>
      </c>
      <c r="B687" s="10" t="s">
        <v>3236</v>
      </c>
      <c r="C687" s="10" t="s">
        <v>21</v>
      </c>
      <c r="D687" s="9" t="s">
        <v>21</v>
      </c>
      <c r="E687" s="9" t="s">
        <v>1525</v>
      </c>
      <c r="F687" s="10" t="s">
        <v>2522</v>
      </c>
      <c r="G687" s="11">
        <v>45730</v>
      </c>
    </row>
    <row r="688" spans="1:7" ht="36.5" hidden="1" x14ac:dyDescent="0.35">
      <c r="A688" s="8">
        <v>7912</v>
      </c>
      <c r="B688" s="10" t="s">
        <v>3237</v>
      </c>
      <c r="C688" s="10" t="s">
        <v>96</v>
      </c>
      <c r="D688" s="9" t="s">
        <v>395</v>
      </c>
      <c r="E688" s="9" t="s">
        <v>394</v>
      </c>
      <c r="F688" s="10" t="s">
        <v>2715</v>
      </c>
      <c r="G688" s="11">
        <v>45730</v>
      </c>
    </row>
    <row r="689" spans="1:7" ht="36.5" hidden="1" x14ac:dyDescent="0.35">
      <c r="A689" s="8">
        <v>7909</v>
      </c>
      <c r="B689" s="10" t="s">
        <v>3238</v>
      </c>
      <c r="C689" s="10" t="s">
        <v>96</v>
      </c>
      <c r="D689" s="9" t="s">
        <v>96</v>
      </c>
      <c r="E689" s="9" t="s">
        <v>368</v>
      </c>
      <c r="F689" s="10" t="s">
        <v>2516</v>
      </c>
      <c r="G689" s="11">
        <v>45730</v>
      </c>
    </row>
    <row r="690" spans="1:7" ht="36.5" hidden="1" x14ac:dyDescent="0.35">
      <c r="A690" s="8">
        <v>7911</v>
      </c>
      <c r="B690" s="10" t="s">
        <v>3239</v>
      </c>
      <c r="C690" s="10" t="s">
        <v>13</v>
      </c>
      <c r="D690" s="9" t="s">
        <v>13</v>
      </c>
      <c r="E690" s="9" t="s">
        <v>2336</v>
      </c>
      <c r="F690" s="10" t="s">
        <v>2530</v>
      </c>
      <c r="G690" s="11">
        <v>45730</v>
      </c>
    </row>
    <row r="691" spans="1:7" ht="36.5" hidden="1" x14ac:dyDescent="0.35">
      <c r="A691" s="8">
        <v>7914</v>
      </c>
      <c r="B691" s="10" t="s">
        <v>3240</v>
      </c>
      <c r="C691" s="10" t="s">
        <v>13</v>
      </c>
      <c r="D691" s="9" t="s">
        <v>13</v>
      </c>
      <c r="E691" s="9" t="s">
        <v>1484</v>
      </c>
      <c r="F691" s="10" t="s">
        <v>2572</v>
      </c>
      <c r="G691" s="11">
        <v>45730</v>
      </c>
    </row>
    <row r="692" spans="1:7" ht="36.5" hidden="1" x14ac:dyDescent="0.35">
      <c r="A692" s="8">
        <v>7916</v>
      </c>
      <c r="B692" s="10" t="s">
        <v>3241</v>
      </c>
      <c r="C692" s="10" t="s">
        <v>26</v>
      </c>
      <c r="D692" s="9" t="s">
        <v>395</v>
      </c>
      <c r="E692" s="9" t="s">
        <v>394</v>
      </c>
      <c r="F692" s="10" t="s">
        <v>2516</v>
      </c>
      <c r="G692" s="11">
        <v>45730</v>
      </c>
    </row>
    <row r="693" spans="1:7" ht="60.5" hidden="1" x14ac:dyDescent="0.35">
      <c r="A693" s="8">
        <v>7918</v>
      </c>
      <c r="B693" s="10" t="s">
        <v>3242</v>
      </c>
      <c r="C693" s="10" t="s">
        <v>26</v>
      </c>
      <c r="D693" s="9" t="s">
        <v>395</v>
      </c>
      <c r="E693" s="9" t="s">
        <v>1926</v>
      </c>
      <c r="F693" s="10" t="s">
        <v>2522</v>
      </c>
      <c r="G693" s="11">
        <v>45730</v>
      </c>
    </row>
    <row r="694" spans="1:7" ht="48.5" hidden="1" x14ac:dyDescent="0.35">
      <c r="A694" s="8">
        <v>7919</v>
      </c>
      <c r="B694" s="10" t="s">
        <v>3243</v>
      </c>
      <c r="C694" s="10" t="s">
        <v>193</v>
      </c>
      <c r="D694" s="9" t="s">
        <v>227</v>
      </c>
      <c r="E694" s="9" t="s">
        <v>230</v>
      </c>
      <c r="F694" s="10" t="s">
        <v>2559</v>
      </c>
      <c r="G694" s="11">
        <v>45731</v>
      </c>
    </row>
    <row r="695" spans="1:7" ht="36.5" hidden="1" x14ac:dyDescent="0.35">
      <c r="A695" s="8">
        <v>7917</v>
      </c>
      <c r="B695" s="10" t="s">
        <v>3244</v>
      </c>
      <c r="C695" s="10" t="s">
        <v>26</v>
      </c>
      <c r="D695" s="9" t="s">
        <v>395</v>
      </c>
      <c r="E695" s="9" t="s">
        <v>1926</v>
      </c>
      <c r="F695" s="10" t="s">
        <v>2530</v>
      </c>
      <c r="G695" s="11">
        <v>45731</v>
      </c>
    </row>
    <row r="696" spans="1:7" ht="24.5" hidden="1" x14ac:dyDescent="0.35">
      <c r="A696" s="8">
        <v>7920</v>
      </c>
      <c r="B696" s="10" t="s">
        <v>3245</v>
      </c>
      <c r="C696" s="10" t="s">
        <v>13</v>
      </c>
      <c r="D696" s="9" t="s">
        <v>13</v>
      </c>
      <c r="E696" s="9" t="s">
        <v>762</v>
      </c>
      <c r="F696" s="10" t="s">
        <v>2522</v>
      </c>
      <c r="G696" s="11">
        <v>45731</v>
      </c>
    </row>
    <row r="697" spans="1:7" ht="48.5" hidden="1" x14ac:dyDescent="0.35">
      <c r="A697" s="8">
        <v>7921</v>
      </c>
      <c r="B697" s="10" t="s">
        <v>3246</v>
      </c>
      <c r="C697" s="10" t="s">
        <v>196</v>
      </c>
      <c r="D697" s="9" t="s">
        <v>196</v>
      </c>
      <c r="E697" s="9" t="s">
        <v>1130</v>
      </c>
      <c r="F697" s="10" t="s">
        <v>2559</v>
      </c>
      <c r="G697" s="11">
        <v>45731</v>
      </c>
    </row>
    <row r="698" spans="1:7" ht="24.5" hidden="1" x14ac:dyDescent="0.35">
      <c r="A698" s="8">
        <v>7923</v>
      </c>
      <c r="B698" s="10" t="s">
        <v>3247</v>
      </c>
      <c r="C698" s="10" t="s">
        <v>95</v>
      </c>
      <c r="D698" s="9" t="s">
        <v>104</v>
      </c>
      <c r="E698" s="9" t="s">
        <v>936</v>
      </c>
      <c r="F698" s="10" t="s">
        <v>2540</v>
      </c>
      <c r="G698" s="11">
        <v>45731</v>
      </c>
    </row>
    <row r="699" spans="1:7" ht="48.5" hidden="1" x14ac:dyDescent="0.35">
      <c r="A699" s="8">
        <v>7922</v>
      </c>
      <c r="B699" s="10" t="s">
        <v>3248</v>
      </c>
      <c r="C699" s="10" t="s">
        <v>278</v>
      </c>
      <c r="D699" s="9" t="s">
        <v>278</v>
      </c>
      <c r="E699" s="9" t="s">
        <v>982</v>
      </c>
      <c r="F699" s="10" t="s">
        <v>2559</v>
      </c>
      <c r="G699" s="11">
        <v>45731</v>
      </c>
    </row>
    <row r="700" spans="1:7" ht="36.5" hidden="1" x14ac:dyDescent="0.35">
      <c r="A700" s="8">
        <v>7926</v>
      </c>
      <c r="B700" s="10" t="s">
        <v>3249</v>
      </c>
      <c r="C700" s="10" t="s">
        <v>13</v>
      </c>
      <c r="D700" s="9" t="s">
        <v>95</v>
      </c>
      <c r="E700" s="9" t="s">
        <v>1092</v>
      </c>
      <c r="F700" s="10" t="s">
        <v>2516</v>
      </c>
      <c r="G700" s="11">
        <v>45731</v>
      </c>
    </row>
    <row r="701" spans="1:7" ht="24.5" hidden="1" x14ac:dyDescent="0.35">
      <c r="A701" s="8">
        <v>7931</v>
      </c>
      <c r="B701" s="10" t="s">
        <v>3250</v>
      </c>
      <c r="C701" s="10" t="s">
        <v>13</v>
      </c>
      <c r="D701" s="9" t="s">
        <v>13</v>
      </c>
      <c r="E701" s="9" t="s">
        <v>762</v>
      </c>
      <c r="F701" s="10" t="s">
        <v>2522</v>
      </c>
      <c r="G701" s="11">
        <v>45731</v>
      </c>
    </row>
    <row r="702" spans="1:7" ht="24.5" hidden="1" x14ac:dyDescent="0.35">
      <c r="A702" s="8">
        <v>7930</v>
      </c>
      <c r="B702" s="10" t="s">
        <v>3251</v>
      </c>
      <c r="C702" s="10" t="s">
        <v>196</v>
      </c>
      <c r="D702" s="9" t="s">
        <v>196</v>
      </c>
      <c r="E702" s="9" t="s">
        <v>1130</v>
      </c>
      <c r="F702" s="10" t="s">
        <v>2522</v>
      </c>
      <c r="G702" s="11">
        <v>45731</v>
      </c>
    </row>
    <row r="703" spans="1:7" ht="24.5" hidden="1" x14ac:dyDescent="0.35">
      <c r="A703" s="8">
        <v>7932</v>
      </c>
      <c r="B703" s="10" t="s">
        <v>3252</v>
      </c>
      <c r="C703" s="10" t="s">
        <v>371</v>
      </c>
      <c r="D703" s="9" t="s">
        <v>371</v>
      </c>
      <c r="E703" s="9" t="s">
        <v>394</v>
      </c>
      <c r="F703" s="10" t="s">
        <v>2540</v>
      </c>
      <c r="G703" s="11">
        <v>45731</v>
      </c>
    </row>
    <row r="704" spans="1:7" ht="48.5" hidden="1" x14ac:dyDescent="0.35">
      <c r="A704" s="8">
        <v>7933</v>
      </c>
      <c r="B704" s="10" t="s">
        <v>3253</v>
      </c>
      <c r="C704" s="10" t="s">
        <v>196</v>
      </c>
      <c r="D704" s="9" t="s">
        <v>196</v>
      </c>
      <c r="E704" s="9" t="s">
        <v>1653</v>
      </c>
      <c r="F704" s="10" t="s">
        <v>2559</v>
      </c>
      <c r="G704" s="11">
        <v>45731</v>
      </c>
    </row>
    <row r="705" spans="1:7" ht="36.5" hidden="1" x14ac:dyDescent="0.35">
      <c r="A705" s="8">
        <v>7934</v>
      </c>
      <c r="B705" s="10" t="s">
        <v>3254</v>
      </c>
      <c r="C705" s="10" t="s">
        <v>96</v>
      </c>
      <c r="D705" s="9" t="s">
        <v>96</v>
      </c>
      <c r="E705" s="9" t="s">
        <v>1179</v>
      </c>
      <c r="F705" s="10" t="s">
        <v>2516</v>
      </c>
      <c r="G705" s="11">
        <v>45732</v>
      </c>
    </row>
    <row r="706" spans="1:7" ht="36.5" hidden="1" x14ac:dyDescent="0.35">
      <c r="A706" s="8">
        <v>7936</v>
      </c>
      <c r="B706" s="10" t="s">
        <v>3255</v>
      </c>
      <c r="C706" s="10" t="s">
        <v>21</v>
      </c>
      <c r="D706" s="9" t="s">
        <v>21</v>
      </c>
      <c r="E706" s="9" t="s">
        <v>1484</v>
      </c>
      <c r="F706" s="10" t="s">
        <v>2572</v>
      </c>
      <c r="G706" s="11">
        <v>45732</v>
      </c>
    </row>
    <row r="707" spans="1:7" ht="36.5" hidden="1" x14ac:dyDescent="0.35">
      <c r="A707" s="8">
        <v>7935</v>
      </c>
      <c r="B707" s="10" t="s">
        <v>3256</v>
      </c>
      <c r="C707" s="10" t="s">
        <v>21</v>
      </c>
      <c r="D707" s="9" t="s">
        <v>21</v>
      </c>
      <c r="E707" s="9" t="s">
        <v>1484</v>
      </c>
      <c r="F707" s="10" t="s">
        <v>2540</v>
      </c>
      <c r="G707" s="11">
        <v>45732</v>
      </c>
    </row>
    <row r="708" spans="1:7" ht="48.5" hidden="1" x14ac:dyDescent="0.35">
      <c r="A708" s="8">
        <v>7937</v>
      </c>
      <c r="B708" s="10" t="s">
        <v>3257</v>
      </c>
      <c r="C708" s="10" t="s">
        <v>21</v>
      </c>
      <c r="D708" s="9" t="s">
        <v>95</v>
      </c>
      <c r="E708" s="9" t="s">
        <v>1872</v>
      </c>
      <c r="F708" s="10" t="s">
        <v>2559</v>
      </c>
      <c r="G708" s="11">
        <v>45732</v>
      </c>
    </row>
    <row r="709" spans="1:7" ht="36.5" hidden="1" x14ac:dyDescent="0.35">
      <c r="A709" s="8">
        <v>7938</v>
      </c>
      <c r="B709" s="10" t="s">
        <v>3258</v>
      </c>
      <c r="C709" s="10" t="s">
        <v>3076</v>
      </c>
      <c r="D709" s="9" t="s">
        <v>95</v>
      </c>
      <c r="E709" s="9" t="s">
        <v>1872</v>
      </c>
      <c r="F709" s="10" t="s">
        <v>2530</v>
      </c>
      <c r="G709" s="11">
        <v>45732</v>
      </c>
    </row>
    <row r="710" spans="1:7" ht="48.5" hidden="1" x14ac:dyDescent="0.35">
      <c r="A710" s="8">
        <v>7952</v>
      </c>
      <c r="B710" s="10" t="s">
        <v>3259</v>
      </c>
      <c r="C710" s="10" t="s">
        <v>96</v>
      </c>
      <c r="D710" s="9" t="s">
        <v>96</v>
      </c>
      <c r="E710" s="9" t="s">
        <v>1055</v>
      </c>
      <c r="F710" s="10" t="s">
        <v>2559</v>
      </c>
      <c r="G710" s="11">
        <v>45732</v>
      </c>
    </row>
    <row r="711" spans="1:7" ht="24.5" hidden="1" x14ac:dyDescent="0.35">
      <c r="A711" s="8">
        <v>7957</v>
      </c>
      <c r="B711" s="10" t="s">
        <v>3260</v>
      </c>
      <c r="C711" s="10" t="s">
        <v>95</v>
      </c>
      <c r="D711" s="9" t="s">
        <v>95</v>
      </c>
      <c r="E711" s="9" t="s">
        <v>1147</v>
      </c>
      <c r="F711" s="10" t="s">
        <v>2522</v>
      </c>
      <c r="G711" s="11">
        <v>45732</v>
      </c>
    </row>
    <row r="712" spans="1:7" ht="24.5" hidden="1" x14ac:dyDescent="0.35">
      <c r="A712" s="8">
        <v>7958</v>
      </c>
      <c r="B712" s="10" t="s">
        <v>3261</v>
      </c>
      <c r="C712" s="10" t="s">
        <v>95</v>
      </c>
      <c r="D712" s="9" t="s">
        <v>95</v>
      </c>
      <c r="E712" s="9" t="s">
        <v>1147</v>
      </c>
      <c r="F712" s="10" t="s">
        <v>2522</v>
      </c>
      <c r="G712" s="11">
        <v>45732</v>
      </c>
    </row>
    <row r="713" spans="1:7" ht="36.5" hidden="1" x14ac:dyDescent="0.35">
      <c r="A713" s="8">
        <v>7967</v>
      </c>
      <c r="B713" s="10" t="s">
        <v>3262</v>
      </c>
      <c r="C713" s="10" t="s">
        <v>26</v>
      </c>
      <c r="D713" s="9" t="s">
        <v>26</v>
      </c>
      <c r="E713" s="9" t="s">
        <v>1525</v>
      </c>
      <c r="F713" s="10" t="s">
        <v>2516</v>
      </c>
      <c r="G713" s="11">
        <v>45732</v>
      </c>
    </row>
    <row r="714" spans="1:7" ht="24.5" hidden="1" x14ac:dyDescent="0.35">
      <c r="A714" s="8">
        <v>7968</v>
      </c>
      <c r="B714" s="10" t="s">
        <v>3263</v>
      </c>
      <c r="C714" s="10" t="s">
        <v>26</v>
      </c>
      <c r="D714" s="9" t="s">
        <v>26</v>
      </c>
      <c r="E714" s="9" t="s">
        <v>1525</v>
      </c>
      <c r="F714" s="10" t="s">
        <v>2522</v>
      </c>
      <c r="G714" s="11">
        <v>45732</v>
      </c>
    </row>
    <row r="715" spans="1:7" ht="24.5" hidden="1" x14ac:dyDescent="0.35">
      <c r="A715" s="8">
        <v>7970</v>
      </c>
      <c r="B715" s="10" t="s">
        <v>3264</v>
      </c>
      <c r="C715" s="10" t="s">
        <v>26</v>
      </c>
      <c r="D715" s="9" t="s">
        <v>26</v>
      </c>
      <c r="E715" s="9" t="s">
        <v>1525</v>
      </c>
      <c r="F715" s="10" t="s">
        <v>2540</v>
      </c>
      <c r="G715" s="11">
        <v>45732</v>
      </c>
    </row>
    <row r="716" spans="1:7" ht="24.5" hidden="1" x14ac:dyDescent="0.35">
      <c r="A716" s="8">
        <v>7971</v>
      </c>
      <c r="B716" s="10" t="s">
        <v>3265</v>
      </c>
      <c r="C716" s="10" t="s">
        <v>34</v>
      </c>
      <c r="D716" s="9" t="s">
        <v>34</v>
      </c>
      <c r="E716" s="9" t="s">
        <v>1525</v>
      </c>
      <c r="F716" s="10" t="s">
        <v>2540</v>
      </c>
      <c r="G716" s="11">
        <v>45732</v>
      </c>
    </row>
    <row r="717" spans="1:7" ht="24.5" hidden="1" x14ac:dyDescent="0.35">
      <c r="A717" s="8">
        <v>7969</v>
      </c>
      <c r="B717" s="10" t="s">
        <v>3266</v>
      </c>
      <c r="C717" s="10" t="s">
        <v>26</v>
      </c>
      <c r="D717" s="9" t="s">
        <v>26</v>
      </c>
      <c r="E717" s="9" t="s">
        <v>1525</v>
      </c>
      <c r="F717" s="10" t="s">
        <v>2522</v>
      </c>
      <c r="G717" s="11">
        <v>45732</v>
      </c>
    </row>
    <row r="718" spans="1:7" ht="36.5" hidden="1" x14ac:dyDescent="0.35">
      <c r="A718" s="8">
        <v>7972</v>
      </c>
      <c r="B718" s="10" t="s">
        <v>3267</v>
      </c>
      <c r="C718" s="10" t="s">
        <v>34</v>
      </c>
      <c r="D718" s="9" t="s">
        <v>34</v>
      </c>
      <c r="E718" s="9" t="s">
        <v>1525</v>
      </c>
      <c r="F718" s="10" t="s">
        <v>2525</v>
      </c>
      <c r="G718" s="11">
        <v>45732</v>
      </c>
    </row>
    <row r="719" spans="1:7" ht="48.5" hidden="1" x14ac:dyDescent="0.35">
      <c r="A719" s="8">
        <v>7976</v>
      </c>
      <c r="B719" s="10" t="s">
        <v>3268</v>
      </c>
      <c r="C719" s="10" t="s">
        <v>96</v>
      </c>
      <c r="D719" s="9" t="s">
        <v>96</v>
      </c>
      <c r="E719" s="9" t="s">
        <v>1179</v>
      </c>
      <c r="F719" s="10" t="s">
        <v>2559</v>
      </c>
      <c r="G719" s="11">
        <v>45748</v>
      </c>
    </row>
    <row r="720" spans="1:7" ht="36.5" hidden="1" x14ac:dyDescent="0.35">
      <c r="A720" s="8">
        <v>7974</v>
      </c>
      <c r="B720" s="10" t="s">
        <v>3269</v>
      </c>
      <c r="C720" s="10" t="s">
        <v>196</v>
      </c>
      <c r="D720" s="9" t="s">
        <v>395</v>
      </c>
      <c r="E720" s="9" t="s">
        <v>2440</v>
      </c>
      <c r="F720" s="10" t="s">
        <v>2537</v>
      </c>
      <c r="G720" s="11">
        <v>45748</v>
      </c>
    </row>
    <row r="721" spans="1:7" ht="36.5" hidden="1" x14ac:dyDescent="0.35">
      <c r="A721" s="8">
        <v>7975</v>
      </c>
      <c r="B721" s="10" t="s">
        <v>3270</v>
      </c>
      <c r="C721" s="10" t="s">
        <v>196</v>
      </c>
      <c r="D721" s="9" t="s">
        <v>196</v>
      </c>
      <c r="E721" s="9" t="s">
        <v>1116</v>
      </c>
      <c r="F721" s="10" t="s">
        <v>2540</v>
      </c>
      <c r="G721" s="11">
        <v>45748</v>
      </c>
    </row>
    <row r="722" spans="1:7" ht="36.5" hidden="1" x14ac:dyDescent="0.35">
      <c r="A722" s="8">
        <v>7977</v>
      </c>
      <c r="B722" s="10" t="s">
        <v>3271</v>
      </c>
      <c r="C722" s="10" t="s">
        <v>34</v>
      </c>
      <c r="D722" s="9" t="s">
        <v>34</v>
      </c>
      <c r="E722" s="9" t="s">
        <v>1525</v>
      </c>
      <c r="F722" s="10" t="s">
        <v>2572</v>
      </c>
      <c r="G722" s="11">
        <v>45748</v>
      </c>
    </row>
    <row r="723" spans="1:7" ht="24.5" hidden="1" x14ac:dyDescent="0.35">
      <c r="A723" s="8">
        <v>7978</v>
      </c>
      <c r="B723" s="10" t="s">
        <v>3272</v>
      </c>
      <c r="C723" s="10" t="s">
        <v>96</v>
      </c>
      <c r="D723" s="9" t="s">
        <v>96</v>
      </c>
      <c r="E723" s="9" t="s">
        <v>368</v>
      </c>
      <c r="F723" s="10" t="s">
        <v>2537</v>
      </c>
      <c r="G723" s="11">
        <v>45748</v>
      </c>
    </row>
    <row r="724" spans="1:7" ht="36.5" hidden="1" x14ac:dyDescent="0.35">
      <c r="A724" s="8">
        <v>7979</v>
      </c>
      <c r="B724" s="10" t="s">
        <v>3273</v>
      </c>
      <c r="C724" s="10" t="s">
        <v>190</v>
      </c>
      <c r="D724" s="9" t="s">
        <v>13</v>
      </c>
      <c r="E724" s="9" t="s">
        <v>333</v>
      </c>
      <c r="F724" s="10" t="s">
        <v>2572</v>
      </c>
      <c r="G724" s="11">
        <v>45748</v>
      </c>
    </row>
    <row r="725" spans="1:7" ht="36.5" hidden="1" x14ac:dyDescent="0.35">
      <c r="A725" s="8">
        <v>7980</v>
      </c>
      <c r="B725" s="10" t="s">
        <v>3274</v>
      </c>
      <c r="C725" s="10" t="s">
        <v>13</v>
      </c>
      <c r="D725" s="9" t="s">
        <v>13</v>
      </c>
      <c r="E725" s="9" t="s">
        <v>762</v>
      </c>
      <c r="F725" s="10" t="s">
        <v>2572</v>
      </c>
      <c r="G725" s="11">
        <v>45748</v>
      </c>
    </row>
    <row r="726" spans="1:7" ht="24.5" hidden="1" x14ac:dyDescent="0.35">
      <c r="A726" s="8">
        <v>7981</v>
      </c>
      <c r="B726" s="10" t="s">
        <v>3275</v>
      </c>
      <c r="C726" s="10" t="s">
        <v>13</v>
      </c>
      <c r="D726" s="9" t="s">
        <v>13</v>
      </c>
      <c r="E726" s="9" t="s">
        <v>762</v>
      </c>
      <c r="F726" s="10" t="s">
        <v>2522</v>
      </c>
      <c r="G726" s="11">
        <v>45749</v>
      </c>
    </row>
    <row r="727" spans="1:7" ht="36.5" hidden="1" x14ac:dyDescent="0.35">
      <c r="A727" s="8">
        <v>7983</v>
      </c>
      <c r="B727" s="10" t="s">
        <v>3276</v>
      </c>
      <c r="C727" s="10" t="s">
        <v>96</v>
      </c>
      <c r="D727" s="9" t="s">
        <v>395</v>
      </c>
      <c r="E727" s="9" t="s">
        <v>3121</v>
      </c>
      <c r="F727" s="10" t="s">
        <v>2530</v>
      </c>
      <c r="G727" s="11">
        <v>45749</v>
      </c>
    </row>
    <row r="728" spans="1:7" ht="24.5" hidden="1" x14ac:dyDescent="0.35">
      <c r="A728" s="8">
        <v>7986</v>
      </c>
      <c r="B728" s="10" t="s">
        <v>3277</v>
      </c>
      <c r="C728" s="10" t="s">
        <v>26</v>
      </c>
      <c r="D728" s="9" t="s">
        <v>26</v>
      </c>
      <c r="E728" s="9" t="s">
        <v>1525</v>
      </c>
      <c r="F728" s="10" t="s">
        <v>2522</v>
      </c>
      <c r="G728" s="11">
        <v>45749</v>
      </c>
    </row>
    <row r="729" spans="1:7" ht="24.5" hidden="1" x14ac:dyDescent="0.35">
      <c r="A729" s="8">
        <v>7985</v>
      </c>
      <c r="B729" s="10" t="s">
        <v>3278</v>
      </c>
      <c r="C729" s="10" t="s">
        <v>26</v>
      </c>
      <c r="D729" s="9" t="s">
        <v>26</v>
      </c>
      <c r="E729" s="9" t="s">
        <v>1525</v>
      </c>
      <c r="F729" s="10" t="s">
        <v>2522</v>
      </c>
      <c r="G729" s="11">
        <v>45749</v>
      </c>
    </row>
    <row r="730" spans="1:7" ht="36.5" hidden="1" x14ac:dyDescent="0.35">
      <c r="A730" s="8">
        <v>7988</v>
      </c>
      <c r="B730" s="10" t="s">
        <v>3279</v>
      </c>
      <c r="C730" s="10" t="s">
        <v>190</v>
      </c>
      <c r="D730" s="9" t="s">
        <v>371</v>
      </c>
      <c r="E730" s="9" t="s">
        <v>2682</v>
      </c>
      <c r="F730" s="10" t="s">
        <v>2525</v>
      </c>
      <c r="G730" s="11">
        <v>45749</v>
      </c>
    </row>
    <row r="731" spans="1:7" ht="36.5" hidden="1" x14ac:dyDescent="0.35">
      <c r="A731" s="8">
        <v>7987</v>
      </c>
      <c r="B731" s="10" t="s">
        <v>3280</v>
      </c>
      <c r="C731" s="10" t="s">
        <v>278</v>
      </c>
      <c r="D731" s="9" t="s">
        <v>395</v>
      </c>
      <c r="E731" s="9" t="s">
        <v>1926</v>
      </c>
      <c r="F731" s="10" t="s">
        <v>2516</v>
      </c>
      <c r="G731" s="11">
        <v>45749</v>
      </c>
    </row>
    <row r="732" spans="1:7" ht="24.5" hidden="1" x14ac:dyDescent="0.35">
      <c r="A732" s="8">
        <v>7989</v>
      </c>
      <c r="B732" s="10" t="s">
        <v>3281</v>
      </c>
      <c r="C732" s="10" t="s">
        <v>190</v>
      </c>
      <c r="D732" s="9" t="s">
        <v>371</v>
      </c>
      <c r="E732" s="9" t="s">
        <v>2682</v>
      </c>
      <c r="F732" s="10" t="s">
        <v>2522</v>
      </c>
      <c r="G732" s="11">
        <v>45749</v>
      </c>
    </row>
    <row r="733" spans="1:7" ht="24.5" hidden="1" x14ac:dyDescent="0.35">
      <c r="A733" s="8">
        <v>7990</v>
      </c>
      <c r="B733" s="10" t="s">
        <v>3282</v>
      </c>
      <c r="C733" s="10" t="s">
        <v>104</v>
      </c>
      <c r="D733" s="9" t="s">
        <v>104</v>
      </c>
      <c r="E733" s="9" t="s">
        <v>1371</v>
      </c>
      <c r="F733" s="10" t="s">
        <v>2522</v>
      </c>
      <c r="G733" s="11">
        <v>45749</v>
      </c>
    </row>
    <row r="734" spans="1:7" ht="36.5" hidden="1" x14ac:dyDescent="0.35">
      <c r="A734" s="8">
        <v>7991</v>
      </c>
      <c r="B734" s="10" t="s">
        <v>3283</v>
      </c>
      <c r="C734" s="10" t="s">
        <v>96</v>
      </c>
      <c r="D734" s="9" t="s">
        <v>96</v>
      </c>
      <c r="E734" s="9" t="s">
        <v>1055</v>
      </c>
      <c r="F734" s="10" t="s">
        <v>2516</v>
      </c>
      <c r="G734" s="11">
        <v>45749</v>
      </c>
    </row>
    <row r="735" spans="1:7" ht="24.5" hidden="1" x14ac:dyDescent="0.35">
      <c r="A735" s="8">
        <v>7992</v>
      </c>
      <c r="B735" s="10" t="s">
        <v>3284</v>
      </c>
      <c r="C735" s="10" t="s">
        <v>134</v>
      </c>
      <c r="D735" s="9" t="s">
        <v>134</v>
      </c>
      <c r="E735" s="9" t="s">
        <v>762</v>
      </c>
      <c r="F735" s="10" t="s">
        <v>2522</v>
      </c>
      <c r="G735" s="11">
        <v>45750</v>
      </c>
    </row>
    <row r="736" spans="1:7" ht="48.5" hidden="1" x14ac:dyDescent="0.35">
      <c r="A736" s="8">
        <v>7993</v>
      </c>
      <c r="B736" s="10" t="s">
        <v>3285</v>
      </c>
      <c r="C736" s="10" t="s">
        <v>96</v>
      </c>
      <c r="D736" s="9" t="s">
        <v>96</v>
      </c>
      <c r="E736" s="9" t="s">
        <v>368</v>
      </c>
      <c r="F736" s="10" t="s">
        <v>2559</v>
      </c>
      <c r="G736" s="11">
        <v>45750</v>
      </c>
    </row>
    <row r="737" spans="1:7" ht="36.5" hidden="1" x14ac:dyDescent="0.35">
      <c r="A737" s="8">
        <v>7995</v>
      </c>
      <c r="B737" s="10" t="s">
        <v>3286</v>
      </c>
      <c r="C737" s="10" t="s">
        <v>220</v>
      </c>
      <c r="D737" s="9" t="s">
        <v>220</v>
      </c>
      <c r="E737" s="9" t="s">
        <v>305</v>
      </c>
      <c r="F737" s="10" t="s">
        <v>2516</v>
      </c>
      <c r="G737" s="11">
        <v>45750</v>
      </c>
    </row>
    <row r="738" spans="1:7" ht="36.5" hidden="1" x14ac:dyDescent="0.35">
      <c r="A738" s="8">
        <v>7996</v>
      </c>
      <c r="B738" s="10" t="s">
        <v>3287</v>
      </c>
      <c r="C738" s="10" t="s">
        <v>220</v>
      </c>
      <c r="D738" s="9" t="s">
        <v>220</v>
      </c>
      <c r="E738" s="9" t="s">
        <v>305</v>
      </c>
      <c r="F738" s="10" t="s">
        <v>2516</v>
      </c>
      <c r="G738" s="11">
        <v>45750</v>
      </c>
    </row>
    <row r="739" spans="1:7" ht="36.5" hidden="1" x14ac:dyDescent="0.35">
      <c r="A739" s="8">
        <v>7994</v>
      </c>
      <c r="B739" s="10" t="s">
        <v>3288</v>
      </c>
      <c r="C739" s="10" t="s">
        <v>13</v>
      </c>
      <c r="D739" s="9" t="s">
        <v>95</v>
      </c>
      <c r="E739" s="9" t="s">
        <v>3023</v>
      </c>
      <c r="F739" s="10" t="s">
        <v>2516</v>
      </c>
      <c r="G739" s="11">
        <v>45750</v>
      </c>
    </row>
    <row r="740" spans="1:7" ht="24.5" hidden="1" x14ac:dyDescent="0.35">
      <c r="A740" s="8">
        <v>7997</v>
      </c>
      <c r="B740" s="10" t="s">
        <v>3289</v>
      </c>
      <c r="C740" s="10" t="s">
        <v>13</v>
      </c>
      <c r="D740" s="9" t="s">
        <v>220</v>
      </c>
      <c r="E740" s="9" t="s">
        <v>2845</v>
      </c>
      <c r="F740" s="10" t="s">
        <v>2540</v>
      </c>
      <c r="G740" s="11">
        <v>45750</v>
      </c>
    </row>
    <row r="741" spans="1:7" ht="36.5" hidden="1" x14ac:dyDescent="0.35">
      <c r="A741" s="8">
        <v>7999</v>
      </c>
      <c r="B741" s="10" t="s">
        <v>3290</v>
      </c>
      <c r="C741" s="10" t="s">
        <v>13</v>
      </c>
      <c r="D741" s="9" t="s">
        <v>395</v>
      </c>
      <c r="E741" s="9" t="s">
        <v>1926</v>
      </c>
      <c r="F741" s="10" t="s">
        <v>2516</v>
      </c>
      <c r="G741" s="11">
        <v>45750</v>
      </c>
    </row>
    <row r="742" spans="1:7" ht="36.5" hidden="1" x14ac:dyDescent="0.35">
      <c r="A742" s="8">
        <v>7998</v>
      </c>
      <c r="B742" s="10" t="s">
        <v>3291</v>
      </c>
      <c r="C742" s="10" t="s">
        <v>13</v>
      </c>
      <c r="D742" s="9" t="s">
        <v>395</v>
      </c>
      <c r="E742" s="9" t="s">
        <v>1926</v>
      </c>
      <c r="F742" s="10" t="s">
        <v>2530</v>
      </c>
      <c r="G742" s="11">
        <v>45750</v>
      </c>
    </row>
    <row r="743" spans="1:7" ht="36.5" hidden="1" x14ac:dyDescent="0.35">
      <c r="A743" s="8">
        <v>8000</v>
      </c>
      <c r="B743" s="10" t="s">
        <v>3292</v>
      </c>
      <c r="C743" s="10" t="s">
        <v>134</v>
      </c>
      <c r="D743" s="9" t="s">
        <v>395</v>
      </c>
      <c r="E743" s="9" t="s">
        <v>1037</v>
      </c>
      <c r="F743" s="10" t="s">
        <v>2572</v>
      </c>
      <c r="G743" s="11">
        <v>45750</v>
      </c>
    </row>
    <row r="744" spans="1:7" ht="36.5" hidden="1" x14ac:dyDescent="0.35">
      <c r="A744" s="8">
        <v>8008</v>
      </c>
      <c r="B744" s="10" t="s">
        <v>3293</v>
      </c>
      <c r="C744" s="10" t="s">
        <v>220</v>
      </c>
      <c r="D744" s="9" t="s">
        <v>190</v>
      </c>
      <c r="E744" s="9" t="s">
        <v>1807</v>
      </c>
      <c r="F744" s="10" t="s">
        <v>2516</v>
      </c>
      <c r="G744" s="11">
        <v>45750</v>
      </c>
    </row>
    <row r="745" spans="1:7" ht="36.5" hidden="1" x14ac:dyDescent="0.35">
      <c r="A745" s="8">
        <v>8006</v>
      </c>
      <c r="B745" s="10" t="s">
        <v>3294</v>
      </c>
      <c r="C745" s="10" t="s">
        <v>13</v>
      </c>
      <c r="D745" s="9" t="s">
        <v>395</v>
      </c>
      <c r="E745" s="9" t="s">
        <v>1037</v>
      </c>
      <c r="F745" s="10" t="s">
        <v>2540</v>
      </c>
      <c r="G745" s="11">
        <v>45750</v>
      </c>
    </row>
    <row r="746" spans="1:7" ht="36.5" hidden="1" x14ac:dyDescent="0.35">
      <c r="A746" s="8">
        <v>8005</v>
      </c>
      <c r="B746" s="10" t="s">
        <v>3295</v>
      </c>
      <c r="C746" s="10" t="s">
        <v>371</v>
      </c>
      <c r="D746" s="9" t="s">
        <v>371</v>
      </c>
      <c r="E746" s="9" t="s">
        <v>1674</v>
      </c>
      <c r="F746" s="10" t="s">
        <v>2540</v>
      </c>
      <c r="G746" s="11">
        <v>45751</v>
      </c>
    </row>
    <row r="747" spans="1:7" ht="36.5" hidden="1" x14ac:dyDescent="0.35">
      <c r="A747" s="8">
        <v>8011</v>
      </c>
      <c r="B747" s="10" t="s">
        <v>3296</v>
      </c>
      <c r="C747" s="10" t="s">
        <v>96</v>
      </c>
      <c r="D747" s="9" t="s">
        <v>395</v>
      </c>
      <c r="E747" s="9" t="s">
        <v>3121</v>
      </c>
      <c r="F747" s="10" t="s">
        <v>2516</v>
      </c>
      <c r="G747" s="11">
        <v>45751</v>
      </c>
    </row>
    <row r="748" spans="1:7" ht="36.5" hidden="1" x14ac:dyDescent="0.35">
      <c r="A748" s="8">
        <v>8009</v>
      </c>
      <c r="B748" s="10" t="s">
        <v>3297</v>
      </c>
      <c r="C748" s="10" t="s">
        <v>193</v>
      </c>
      <c r="D748" s="9" t="s">
        <v>13</v>
      </c>
      <c r="E748" s="9" t="s">
        <v>1484</v>
      </c>
      <c r="F748" s="10" t="s">
        <v>2572</v>
      </c>
      <c r="G748" s="11">
        <v>45751</v>
      </c>
    </row>
    <row r="749" spans="1:7" ht="48.5" hidden="1" x14ac:dyDescent="0.35">
      <c r="A749" s="8">
        <v>8007</v>
      </c>
      <c r="B749" s="10" t="s">
        <v>3298</v>
      </c>
      <c r="C749" s="10" t="s">
        <v>95</v>
      </c>
      <c r="D749" s="9" t="s">
        <v>134</v>
      </c>
      <c r="E749" s="9" t="s">
        <v>483</v>
      </c>
      <c r="F749" s="10" t="s">
        <v>2559</v>
      </c>
      <c r="G749" s="11">
        <v>45751</v>
      </c>
    </row>
    <row r="750" spans="1:7" ht="24.5" hidden="1" x14ac:dyDescent="0.35">
      <c r="A750" s="8">
        <v>8012</v>
      </c>
      <c r="B750" s="10" t="s">
        <v>3299</v>
      </c>
      <c r="C750" s="10" t="s">
        <v>134</v>
      </c>
      <c r="D750" s="9" t="s">
        <v>134</v>
      </c>
      <c r="E750" s="9" t="s">
        <v>819</v>
      </c>
      <c r="F750" s="10" t="s">
        <v>2834</v>
      </c>
      <c r="G750" s="11">
        <v>45751</v>
      </c>
    </row>
    <row r="751" spans="1:7" ht="36.5" hidden="1" x14ac:dyDescent="0.35">
      <c r="A751" s="8">
        <v>8013</v>
      </c>
      <c r="B751" s="10" t="s">
        <v>3300</v>
      </c>
      <c r="C751" s="10" t="s">
        <v>220</v>
      </c>
      <c r="D751" s="9" t="s">
        <v>395</v>
      </c>
      <c r="E751" s="9" t="s">
        <v>2440</v>
      </c>
      <c r="F751" s="10" t="s">
        <v>2516</v>
      </c>
      <c r="G751" s="11">
        <v>45751</v>
      </c>
    </row>
    <row r="752" spans="1:7" ht="24.5" hidden="1" x14ac:dyDescent="0.35">
      <c r="A752" s="8">
        <v>8016</v>
      </c>
      <c r="B752" s="10" t="s">
        <v>3301</v>
      </c>
      <c r="C752" s="10" t="s">
        <v>193</v>
      </c>
      <c r="D752" s="9" t="s">
        <v>193</v>
      </c>
      <c r="E752" s="9" t="s">
        <v>1828</v>
      </c>
      <c r="F752" s="10" t="s">
        <v>2522</v>
      </c>
      <c r="G752" s="11">
        <v>45750</v>
      </c>
    </row>
    <row r="753" spans="1:7" ht="36.5" hidden="1" x14ac:dyDescent="0.35">
      <c r="A753" s="8">
        <v>8015</v>
      </c>
      <c r="B753" s="10" t="s">
        <v>3302</v>
      </c>
      <c r="C753" s="10" t="s">
        <v>193</v>
      </c>
      <c r="D753" s="9" t="s">
        <v>193</v>
      </c>
      <c r="E753" s="9" t="s">
        <v>1828</v>
      </c>
      <c r="F753" s="10" t="s">
        <v>2522</v>
      </c>
      <c r="G753" s="11">
        <v>45748</v>
      </c>
    </row>
    <row r="754" spans="1:7" ht="36.5" hidden="1" x14ac:dyDescent="0.35">
      <c r="A754" s="8">
        <v>8017</v>
      </c>
      <c r="B754" s="10" t="s">
        <v>3303</v>
      </c>
      <c r="C754" s="10" t="s">
        <v>220</v>
      </c>
      <c r="D754" s="9" t="s">
        <v>220</v>
      </c>
      <c r="E754" s="9" t="s">
        <v>306</v>
      </c>
      <c r="F754" s="10" t="s">
        <v>2525</v>
      </c>
      <c r="G754" s="11">
        <v>45754</v>
      </c>
    </row>
    <row r="755" spans="1:7" ht="36.5" hidden="1" x14ac:dyDescent="0.35">
      <c r="A755" s="8">
        <v>8014</v>
      </c>
      <c r="B755" s="10" t="s">
        <v>3304</v>
      </c>
      <c r="C755" s="10" t="s">
        <v>95</v>
      </c>
      <c r="D755" s="9" t="s">
        <v>95</v>
      </c>
      <c r="E755" s="9" t="s">
        <v>217</v>
      </c>
      <c r="F755" s="10" t="s">
        <v>2572</v>
      </c>
      <c r="G755" s="11">
        <v>45754</v>
      </c>
    </row>
    <row r="756" spans="1:7" ht="36.5" hidden="1" x14ac:dyDescent="0.35">
      <c r="A756" s="8">
        <v>8019</v>
      </c>
      <c r="B756" s="10" t="s">
        <v>3305</v>
      </c>
      <c r="C756" s="10" t="s">
        <v>220</v>
      </c>
      <c r="D756" s="9" t="s">
        <v>227</v>
      </c>
      <c r="E756" s="9" t="s">
        <v>1303</v>
      </c>
      <c r="F756" s="10" t="s">
        <v>2516</v>
      </c>
      <c r="G756" s="11">
        <v>45754</v>
      </c>
    </row>
    <row r="757" spans="1:7" ht="24.5" hidden="1" x14ac:dyDescent="0.35">
      <c r="A757" s="8">
        <v>8020</v>
      </c>
      <c r="B757" s="10" t="s">
        <v>3306</v>
      </c>
      <c r="C757" s="10" t="s">
        <v>371</v>
      </c>
      <c r="D757" s="9" t="s">
        <v>371</v>
      </c>
      <c r="E757" s="9" t="s">
        <v>585</v>
      </c>
      <c r="F757" s="10" t="s">
        <v>2540</v>
      </c>
      <c r="G757" s="11">
        <v>45754</v>
      </c>
    </row>
    <row r="758" spans="1:7" ht="24.5" hidden="1" x14ac:dyDescent="0.35">
      <c r="A758" s="8">
        <v>8021</v>
      </c>
      <c r="B758" s="10" t="s">
        <v>3307</v>
      </c>
      <c r="C758" s="10" t="s">
        <v>13</v>
      </c>
      <c r="D758" s="9" t="s">
        <v>190</v>
      </c>
      <c r="E758" s="9" t="s">
        <v>418</v>
      </c>
      <c r="F758" s="10" t="s">
        <v>2540</v>
      </c>
      <c r="G758" s="11">
        <v>45754</v>
      </c>
    </row>
    <row r="759" spans="1:7" ht="36.5" hidden="1" x14ac:dyDescent="0.35">
      <c r="A759" s="8">
        <v>8022</v>
      </c>
      <c r="B759" s="10" t="s">
        <v>3308</v>
      </c>
      <c r="C759" s="10" t="s">
        <v>278</v>
      </c>
      <c r="D759" s="9" t="s">
        <v>190</v>
      </c>
      <c r="E759" s="9" t="s">
        <v>410</v>
      </c>
      <c r="F759" s="10" t="s">
        <v>2516</v>
      </c>
      <c r="G759" s="11">
        <v>45754</v>
      </c>
    </row>
    <row r="760" spans="1:7" ht="48.5" hidden="1" x14ac:dyDescent="0.35">
      <c r="A760" s="8">
        <v>8024</v>
      </c>
      <c r="B760" s="10" t="s">
        <v>3309</v>
      </c>
      <c r="C760" s="10" t="s">
        <v>13</v>
      </c>
      <c r="D760" s="9" t="s">
        <v>250</v>
      </c>
      <c r="E760" s="9" t="s">
        <v>3310</v>
      </c>
      <c r="F760" s="10" t="s">
        <v>2525</v>
      </c>
      <c r="G760" s="11">
        <v>45754</v>
      </c>
    </row>
    <row r="761" spans="1:7" ht="36.5" hidden="1" x14ac:dyDescent="0.35">
      <c r="A761" s="8">
        <v>8026</v>
      </c>
      <c r="B761" s="10" t="s">
        <v>3311</v>
      </c>
      <c r="C761" s="10" t="s">
        <v>13</v>
      </c>
      <c r="D761" s="9" t="s">
        <v>13</v>
      </c>
      <c r="E761" s="9" t="s">
        <v>1484</v>
      </c>
      <c r="F761" s="10" t="s">
        <v>2530</v>
      </c>
      <c r="G761" s="11">
        <v>45755</v>
      </c>
    </row>
    <row r="762" spans="1:7" ht="36.5" hidden="1" x14ac:dyDescent="0.35">
      <c r="A762" s="8">
        <v>8023</v>
      </c>
      <c r="B762" s="10" t="s">
        <v>3312</v>
      </c>
      <c r="C762" s="10" t="s">
        <v>13</v>
      </c>
      <c r="D762" s="9" t="s">
        <v>190</v>
      </c>
      <c r="E762" s="9" t="s">
        <v>418</v>
      </c>
      <c r="F762" s="10" t="s">
        <v>2530</v>
      </c>
      <c r="G762" s="11">
        <v>45754</v>
      </c>
    </row>
    <row r="763" spans="1:7" ht="48.5" hidden="1" x14ac:dyDescent="0.35">
      <c r="A763" s="8">
        <v>8025</v>
      </c>
      <c r="B763" s="10" t="s">
        <v>3313</v>
      </c>
      <c r="C763" s="10" t="s">
        <v>96</v>
      </c>
      <c r="D763" s="9" t="s">
        <v>278</v>
      </c>
      <c r="E763" s="9" t="s">
        <v>982</v>
      </c>
      <c r="F763" s="10" t="s">
        <v>2559</v>
      </c>
      <c r="G763" s="11">
        <v>45754</v>
      </c>
    </row>
    <row r="764" spans="1:7" ht="36.5" hidden="1" x14ac:dyDescent="0.35">
      <c r="A764" s="8">
        <v>8018</v>
      </c>
      <c r="B764" s="10" t="s">
        <v>3314</v>
      </c>
      <c r="C764" s="10" t="s">
        <v>13</v>
      </c>
      <c r="D764" s="9" t="s">
        <v>95</v>
      </c>
      <c r="E764" s="9" t="s">
        <v>1254</v>
      </c>
      <c r="F764" s="10" t="s">
        <v>2530</v>
      </c>
      <c r="G764" s="11">
        <v>45754</v>
      </c>
    </row>
    <row r="765" spans="1:7" ht="36.5" hidden="1" x14ac:dyDescent="0.35">
      <c r="A765" s="8">
        <v>8027</v>
      </c>
      <c r="B765" s="10" t="s">
        <v>3315</v>
      </c>
      <c r="C765" s="10" t="s">
        <v>134</v>
      </c>
      <c r="D765" s="9" t="s">
        <v>95</v>
      </c>
      <c r="E765" s="9" t="s">
        <v>426</v>
      </c>
      <c r="F765" s="10" t="s">
        <v>2572</v>
      </c>
      <c r="G765" s="11">
        <v>45755</v>
      </c>
    </row>
    <row r="766" spans="1:7" ht="24.5" hidden="1" x14ac:dyDescent="0.35">
      <c r="A766" s="8">
        <v>8029</v>
      </c>
      <c r="B766" s="10" t="s">
        <v>3316</v>
      </c>
      <c r="C766" s="10" t="s">
        <v>196</v>
      </c>
      <c r="D766" s="9" t="s">
        <v>196</v>
      </c>
      <c r="E766" s="9" t="s">
        <v>2574</v>
      </c>
      <c r="F766" s="10" t="s">
        <v>2522</v>
      </c>
      <c r="G766" s="11">
        <v>45748</v>
      </c>
    </row>
    <row r="767" spans="1:7" ht="24.5" hidden="1" x14ac:dyDescent="0.35">
      <c r="A767" s="8">
        <v>8028</v>
      </c>
      <c r="B767" s="10" t="s">
        <v>3317</v>
      </c>
      <c r="C767" s="10" t="s">
        <v>196</v>
      </c>
      <c r="D767" s="9" t="s">
        <v>196</v>
      </c>
      <c r="E767" s="9" t="s">
        <v>2574</v>
      </c>
      <c r="F767" s="10" t="s">
        <v>2522</v>
      </c>
      <c r="G767" s="11">
        <v>45748</v>
      </c>
    </row>
    <row r="768" spans="1:7" ht="24.5" hidden="1" x14ac:dyDescent="0.35">
      <c r="A768" s="8">
        <v>8030</v>
      </c>
      <c r="B768" s="10" t="s">
        <v>3318</v>
      </c>
      <c r="C768" s="10" t="s">
        <v>196</v>
      </c>
      <c r="D768" s="9" t="s">
        <v>196</v>
      </c>
      <c r="E768" s="9" t="s">
        <v>2574</v>
      </c>
      <c r="F768" s="10" t="s">
        <v>2522</v>
      </c>
      <c r="G768" s="11">
        <v>45748</v>
      </c>
    </row>
    <row r="769" spans="1:7" ht="36.5" hidden="1" x14ac:dyDescent="0.35">
      <c r="A769" s="8">
        <v>8031</v>
      </c>
      <c r="B769" s="10" t="s">
        <v>3319</v>
      </c>
      <c r="C769" s="10" t="s">
        <v>196</v>
      </c>
      <c r="D769" s="9" t="s">
        <v>196</v>
      </c>
      <c r="E769" s="9" t="s">
        <v>2574</v>
      </c>
      <c r="F769" s="10" t="s">
        <v>2522</v>
      </c>
      <c r="G769" s="11">
        <v>45748</v>
      </c>
    </row>
    <row r="770" spans="1:7" ht="36.5" hidden="1" x14ac:dyDescent="0.35">
      <c r="A770" s="8">
        <v>8032</v>
      </c>
      <c r="B770" s="10" t="s">
        <v>3320</v>
      </c>
      <c r="C770" s="10" t="s">
        <v>220</v>
      </c>
      <c r="D770" s="9" t="s">
        <v>95</v>
      </c>
      <c r="E770" s="9" t="s">
        <v>822</v>
      </c>
      <c r="F770" s="10" t="s">
        <v>2516</v>
      </c>
      <c r="G770" s="11">
        <v>45755</v>
      </c>
    </row>
    <row r="771" spans="1:7" ht="24.5" hidden="1" x14ac:dyDescent="0.35">
      <c r="A771" s="8">
        <v>8033</v>
      </c>
      <c r="B771" s="10" t="s">
        <v>3321</v>
      </c>
      <c r="C771" s="10" t="s">
        <v>13</v>
      </c>
      <c r="D771" s="9" t="s">
        <v>13</v>
      </c>
      <c r="E771" s="9" t="s">
        <v>333</v>
      </c>
      <c r="F771" s="10" t="s">
        <v>2540</v>
      </c>
      <c r="G771" s="11">
        <v>45755</v>
      </c>
    </row>
    <row r="772" spans="1:7" ht="24.5" hidden="1" x14ac:dyDescent="0.35">
      <c r="A772" s="8">
        <v>8035</v>
      </c>
      <c r="B772" s="10" t="s">
        <v>3322</v>
      </c>
      <c r="C772" s="10" t="s">
        <v>13</v>
      </c>
      <c r="D772" s="9" t="s">
        <v>95</v>
      </c>
      <c r="E772" s="9" t="s">
        <v>426</v>
      </c>
      <c r="F772" s="10" t="s">
        <v>2540</v>
      </c>
      <c r="G772" s="11">
        <v>45754</v>
      </c>
    </row>
    <row r="773" spans="1:7" ht="36.5" hidden="1" x14ac:dyDescent="0.35">
      <c r="A773" s="8">
        <v>8036</v>
      </c>
      <c r="B773" s="10" t="s">
        <v>3323</v>
      </c>
      <c r="C773" s="10" t="s">
        <v>227</v>
      </c>
      <c r="D773" s="9" t="s">
        <v>227</v>
      </c>
      <c r="E773" s="9" t="s">
        <v>3324</v>
      </c>
      <c r="F773" s="10" t="s">
        <v>2530</v>
      </c>
      <c r="G773" s="11">
        <v>45748</v>
      </c>
    </row>
    <row r="774" spans="1:7" ht="36.5" hidden="1" x14ac:dyDescent="0.35">
      <c r="A774" s="8">
        <v>8037</v>
      </c>
      <c r="B774" s="10" t="s">
        <v>3325</v>
      </c>
      <c r="C774" s="10" t="s">
        <v>227</v>
      </c>
      <c r="D774" s="9" t="s">
        <v>227</v>
      </c>
      <c r="E774" s="9" t="s">
        <v>3324</v>
      </c>
      <c r="F774" s="10" t="s">
        <v>2530</v>
      </c>
      <c r="G774" s="11">
        <v>45748</v>
      </c>
    </row>
    <row r="775" spans="1:7" ht="48.5" hidden="1" x14ac:dyDescent="0.35">
      <c r="A775" s="8">
        <v>8038</v>
      </c>
      <c r="B775" s="10" t="s">
        <v>3326</v>
      </c>
      <c r="C775" s="10" t="s">
        <v>227</v>
      </c>
      <c r="D775" s="9" t="s">
        <v>227</v>
      </c>
      <c r="E775" s="9" t="s">
        <v>3324</v>
      </c>
      <c r="F775" s="10" t="s">
        <v>2530</v>
      </c>
      <c r="G775" s="11">
        <v>45748</v>
      </c>
    </row>
    <row r="776" spans="1:7" ht="36.5" hidden="1" x14ac:dyDescent="0.35">
      <c r="A776" s="8">
        <v>8039</v>
      </c>
      <c r="B776" s="10" t="s">
        <v>3327</v>
      </c>
      <c r="C776" s="10" t="s">
        <v>196</v>
      </c>
      <c r="D776" s="9" t="s">
        <v>196</v>
      </c>
      <c r="E776" s="9" t="s">
        <v>3328</v>
      </c>
      <c r="F776" s="10" t="s">
        <v>2540</v>
      </c>
      <c r="G776" s="11">
        <v>45756</v>
      </c>
    </row>
    <row r="777" spans="1:7" ht="24.5" hidden="1" x14ac:dyDescent="0.35">
      <c r="A777" s="8">
        <v>8040</v>
      </c>
      <c r="B777" s="10" t="s">
        <v>3329</v>
      </c>
      <c r="C777" s="10" t="s">
        <v>196</v>
      </c>
      <c r="D777" s="9" t="s">
        <v>196</v>
      </c>
      <c r="E777" s="9" t="s">
        <v>3328</v>
      </c>
      <c r="F777" s="10" t="s">
        <v>2540</v>
      </c>
      <c r="G777" s="11">
        <v>45756</v>
      </c>
    </row>
    <row r="778" spans="1:7" ht="24.5" hidden="1" x14ac:dyDescent="0.35">
      <c r="A778" s="8">
        <v>8045</v>
      </c>
      <c r="B778" s="10" t="s">
        <v>3330</v>
      </c>
      <c r="C778" s="10" t="s">
        <v>196</v>
      </c>
      <c r="D778" s="9" t="s">
        <v>196</v>
      </c>
      <c r="E778" s="9" t="s">
        <v>2578</v>
      </c>
      <c r="F778" s="10" t="s">
        <v>2537</v>
      </c>
      <c r="G778" s="11">
        <v>45757</v>
      </c>
    </row>
    <row r="779" spans="1:7" ht="48.5" hidden="1" x14ac:dyDescent="0.35">
      <c r="A779" s="8">
        <v>8047</v>
      </c>
      <c r="B779" s="10" t="s">
        <v>3331</v>
      </c>
      <c r="C779" s="10" t="s">
        <v>190</v>
      </c>
      <c r="D779" s="9" t="s">
        <v>196</v>
      </c>
      <c r="E779" s="9" t="s">
        <v>1116</v>
      </c>
      <c r="F779" s="10" t="s">
        <v>2559</v>
      </c>
      <c r="G779" s="11">
        <v>45756</v>
      </c>
    </row>
    <row r="780" spans="1:7" ht="24.5" hidden="1" x14ac:dyDescent="0.35">
      <c r="A780" s="8">
        <v>8049</v>
      </c>
      <c r="B780" s="10" t="s">
        <v>3332</v>
      </c>
      <c r="C780" s="10" t="s">
        <v>134</v>
      </c>
      <c r="D780" s="9" t="s">
        <v>134</v>
      </c>
      <c r="E780" s="9" t="s">
        <v>168</v>
      </c>
      <c r="F780" s="10" t="s">
        <v>2522</v>
      </c>
      <c r="G780" s="11">
        <v>45756</v>
      </c>
    </row>
    <row r="781" spans="1:7" ht="36.5" hidden="1" x14ac:dyDescent="0.35">
      <c r="A781" s="8">
        <v>8051</v>
      </c>
      <c r="B781" s="10" t="s">
        <v>3333</v>
      </c>
      <c r="C781" s="10" t="s">
        <v>13</v>
      </c>
      <c r="D781" s="9" t="s">
        <v>95</v>
      </c>
      <c r="E781" s="9" t="s">
        <v>3023</v>
      </c>
      <c r="F781" s="10" t="s">
        <v>2516</v>
      </c>
      <c r="G781" s="11">
        <v>45756</v>
      </c>
    </row>
    <row r="782" spans="1:7" ht="24.5" hidden="1" x14ac:dyDescent="0.35">
      <c r="A782" s="8">
        <v>8053</v>
      </c>
      <c r="B782" s="10" t="s">
        <v>3334</v>
      </c>
      <c r="C782" s="10" t="s">
        <v>26</v>
      </c>
      <c r="D782" s="9" t="s">
        <v>395</v>
      </c>
      <c r="E782" s="9" t="s">
        <v>1926</v>
      </c>
      <c r="F782" s="10" t="s">
        <v>2522</v>
      </c>
      <c r="G782" s="11">
        <v>45756</v>
      </c>
    </row>
    <row r="783" spans="1:7" ht="24.5" hidden="1" x14ac:dyDescent="0.35">
      <c r="A783" s="8">
        <v>8050</v>
      </c>
      <c r="B783" s="10" t="s">
        <v>3335</v>
      </c>
      <c r="C783" s="10" t="s">
        <v>21</v>
      </c>
      <c r="D783" s="9" t="s">
        <v>21</v>
      </c>
      <c r="E783" s="9" t="s">
        <v>819</v>
      </c>
      <c r="F783" s="10" t="s">
        <v>2522</v>
      </c>
      <c r="G783" s="11">
        <v>45756</v>
      </c>
    </row>
    <row r="784" spans="1:7" ht="36.5" hidden="1" x14ac:dyDescent="0.35">
      <c r="A784" s="8">
        <v>8052</v>
      </c>
      <c r="B784" s="10" t="s">
        <v>3336</v>
      </c>
      <c r="C784" s="10" t="s">
        <v>13</v>
      </c>
      <c r="D784" s="9" t="s">
        <v>13</v>
      </c>
      <c r="E784" s="9" t="s">
        <v>819</v>
      </c>
      <c r="F784" s="10" t="s">
        <v>2540</v>
      </c>
      <c r="G784" s="11">
        <v>45756</v>
      </c>
    </row>
    <row r="785" spans="1:7" ht="24.5" hidden="1" x14ac:dyDescent="0.35">
      <c r="A785" s="8">
        <v>8055</v>
      </c>
      <c r="B785" s="10" t="s">
        <v>3337</v>
      </c>
      <c r="C785" s="10" t="s">
        <v>96</v>
      </c>
      <c r="D785" s="9" t="s">
        <v>95</v>
      </c>
      <c r="E785" s="9" t="s">
        <v>445</v>
      </c>
      <c r="F785" s="10" t="s">
        <v>2522</v>
      </c>
      <c r="G785" s="11">
        <v>45756</v>
      </c>
    </row>
    <row r="786" spans="1:7" ht="48.5" hidden="1" x14ac:dyDescent="0.35">
      <c r="A786" s="8">
        <v>8056</v>
      </c>
      <c r="B786" s="10" t="s">
        <v>3338</v>
      </c>
      <c r="C786" s="10" t="s">
        <v>96</v>
      </c>
      <c r="D786" s="9" t="s">
        <v>95</v>
      </c>
      <c r="E786" s="9" t="s">
        <v>445</v>
      </c>
      <c r="F786" s="10" t="s">
        <v>2559</v>
      </c>
      <c r="G786" s="11">
        <v>45756</v>
      </c>
    </row>
    <row r="787" spans="1:7" ht="24.5" hidden="1" x14ac:dyDescent="0.35">
      <c r="A787" s="8">
        <v>8057</v>
      </c>
      <c r="B787" s="10" t="s">
        <v>3339</v>
      </c>
      <c r="C787" s="10" t="s">
        <v>13</v>
      </c>
      <c r="D787" s="9" t="s">
        <v>95</v>
      </c>
      <c r="E787" s="9" t="s">
        <v>1147</v>
      </c>
      <c r="F787" s="10" t="s">
        <v>2522</v>
      </c>
      <c r="G787" s="11">
        <v>45756</v>
      </c>
    </row>
    <row r="788" spans="1:7" ht="24.5" hidden="1" x14ac:dyDescent="0.35">
      <c r="A788" s="8">
        <v>8058</v>
      </c>
      <c r="B788" s="10" t="s">
        <v>3340</v>
      </c>
      <c r="C788" s="10" t="s">
        <v>13</v>
      </c>
      <c r="D788" s="9" t="s">
        <v>95</v>
      </c>
      <c r="E788" s="9" t="s">
        <v>1147</v>
      </c>
      <c r="F788" s="10" t="s">
        <v>2522</v>
      </c>
      <c r="G788" s="11">
        <v>45756</v>
      </c>
    </row>
    <row r="789" spans="1:7" ht="36.5" hidden="1" x14ac:dyDescent="0.35">
      <c r="A789" s="8">
        <v>8054</v>
      </c>
      <c r="B789" s="10" t="s">
        <v>3341</v>
      </c>
      <c r="C789" s="10" t="s">
        <v>26</v>
      </c>
      <c r="D789" s="9" t="s">
        <v>395</v>
      </c>
      <c r="E789" s="9" t="s">
        <v>1926</v>
      </c>
      <c r="F789" s="10" t="s">
        <v>2525</v>
      </c>
      <c r="G789" s="11">
        <v>45756</v>
      </c>
    </row>
    <row r="790" spans="1:7" ht="36.5" hidden="1" x14ac:dyDescent="0.35">
      <c r="A790" s="8">
        <v>8062</v>
      </c>
      <c r="B790" s="10" t="s">
        <v>3342</v>
      </c>
      <c r="C790" s="10" t="s">
        <v>26</v>
      </c>
      <c r="D790" s="9" t="s">
        <v>26</v>
      </c>
      <c r="E790" s="9" t="s">
        <v>1926</v>
      </c>
      <c r="F790" s="10" t="s">
        <v>2516</v>
      </c>
      <c r="G790" s="11">
        <v>45756</v>
      </c>
    </row>
    <row r="791" spans="1:7" ht="36.5" hidden="1" x14ac:dyDescent="0.35">
      <c r="A791" s="8">
        <v>8061</v>
      </c>
      <c r="B791" s="10" t="s">
        <v>3343</v>
      </c>
      <c r="C791" s="10" t="s">
        <v>26</v>
      </c>
      <c r="D791" s="9" t="s">
        <v>395</v>
      </c>
      <c r="E791" s="9" t="s">
        <v>1926</v>
      </c>
      <c r="F791" s="10" t="s">
        <v>2540</v>
      </c>
      <c r="G791" s="11">
        <v>45756</v>
      </c>
    </row>
    <row r="792" spans="1:7" ht="36.5" hidden="1" x14ac:dyDescent="0.35">
      <c r="A792" s="8">
        <v>8063</v>
      </c>
      <c r="B792" s="10" t="s">
        <v>3344</v>
      </c>
      <c r="C792" s="10" t="s">
        <v>220</v>
      </c>
      <c r="D792" s="9" t="s">
        <v>95</v>
      </c>
      <c r="E792" s="9" t="s">
        <v>1147</v>
      </c>
      <c r="F792" s="10" t="s">
        <v>2516</v>
      </c>
      <c r="G792" s="11">
        <v>45756</v>
      </c>
    </row>
    <row r="793" spans="1:7" ht="36.5" hidden="1" x14ac:dyDescent="0.35">
      <c r="A793" s="8">
        <v>8064</v>
      </c>
      <c r="B793" s="10" t="s">
        <v>3345</v>
      </c>
      <c r="C793" s="10" t="s">
        <v>26</v>
      </c>
      <c r="D793" s="9" t="s">
        <v>395</v>
      </c>
      <c r="E793" s="9" t="s">
        <v>1926</v>
      </c>
      <c r="F793" s="10" t="s">
        <v>2537</v>
      </c>
      <c r="G793" s="11">
        <v>45756</v>
      </c>
    </row>
    <row r="794" spans="1:7" ht="36.5" hidden="1" x14ac:dyDescent="0.35">
      <c r="A794" s="8">
        <v>8066</v>
      </c>
      <c r="B794" s="10" t="s">
        <v>3346</v>
      </c>
      <c r="C794" s="10" t="s">
        <v>26</v>
      </c>
      <c r="D794" s="9" t="s">
        <v>395</v>
      </c>
      <c r="E794" s="9" t="s">
        <v>2440</v>
      </c>
      <c r="F794" s="10" t="s">
        <v>2516</v>
      </c>
      <c r="G794" s="11">
        <v>45756</v>
      </c>
    </row>
    <row r="795" spans="1:7" ht="36.5" hidden="1" x14ac:dyDescent="0.35">
      <c r="A795" s="8">
        <v>8065</v>
      </c>
      <c r="B795" s="10" t="s">
        <v>3347</v>
      </c>
      <c r="C795" s="10" t="s">
        <v>250</v>
      </c>
      <c r="D795" s="9" t="s">
        <v>371</v>
      </c>
      <c r="E795" s="9" t="s">
        <v>1674</v>
      </c>
      <c r="F795" s="10" t="s">
        <v>2530</v>
      </c>
      <c r="G795" s="11">
        <v>45756</v>
      </c>
    </row>
    <row r="796" spans="1:7" ht="36.5" hidden="1" x14ac:dyDescent="0.35">
      <c r="A796" s="8">
        <v>8067</v>
      </c>
      <c r="B796" s="10" t="s">
        <v>3348</v>
      </c>
      <c r="C796" s="10" t="s">
        <v>96</v>
      </c>
      <c r="D796" s="9" t="s">
        <v>371</v>
      </c>
      <c r="E796" s="9" t="s">
        <v>1674</v>
      </c>
      <c r="F796" s="10" t="s">
        <v>2516</v>
      </c>
      <c r="G796" s="11">
        <v>45757</v>
      </c>
    </row>
    <row r="797" spans="1:7" ht="48.5" hidden="1" x14ac:dyDescent="0.35">
      <c r="A797" s="8">
        <v>8068</v>
      </c>
      <c r="B797" s="10" t="s">
        <v>3349</v>
      </c>
      <c r="C797" s="10" t="s">
        <v>96</v>
      </c>
      <c r="D797" s="9" t="s">
        <v>96</v>
      </c>
      <c r="E797" s="9" t="s">
        <v>1179</v>
      </c>
      <c r="F797" s="10" t="s">
        <v>2559</v>
      </c>
      <c r="G797" s="11">
        <v>45757</v>
      </c>
    </row>
    <row r="798" spans="1:7" ht="36.5" hidden="1" x14ac:dyDescent="0.35">
      <c r="A798" s="8">
        <v>8073</v>
      </c>
      <c r="B798" s="10" t="s">
        <v>3350</v>
      </c>
      <c r="C798" s="10" t="s">
        <v>104</v>
      </c>
      <c r="D798" s="9" t="s">
        <v>395</v>
      </c>
      <c r="E798" s="9" t="s">
        <v>1045</v>
      </c>
      <c r="F798" s="10" t="s">
        <v>2516</v>
      </c>
      <c r="G798" s="11">
        <v>45757</v>
      </c>
    </row>
    <row r="799" spans="1:7" ht="48.5" hidden="1" x14ac:dyDescent="0.35">
      <c r="A799" s="8">
        <v>8069</v>
      </c>
      <c r="B799" s="10" t="s">
        <v>3351</v>
      </c>
      <c r="C799" s="10" t="s">
        <v>26</v>
      </c>
      <c r="D799" s="9" t="s">
        <v>395</v>
      </c>
      <c r="E799" s="9" t="s">
        <v>1926</v>
      </c>
      <c r="F799" s="10" t="s">
        <v>2516</v>
      </c>
      <c r="G799" s="11">
        <v>45757</v>
      </c>
    </row>
    <row r="800" spans="1:7" ht="36.5" hidden="1" x14ac:dyDescent="0.35">
      <c r="A800" s="8">
        <v>8071</v>
      </c>
      <c r="B800" s="10" t="s">
        <v>3350</v>
      </c>
      <c r="C800" s="10" t="s">
        <v>13</v>
      </c>
      <c r="D800" s="9" t="s">
        <v>395</v>
      </c>
      <c r="E800" s="9" t="s">
        <v>1045</v>
      </c>
      <c r="F800" s="10" t="s">
        <v>2516</v>
      </c>
      <c r="G800" s="11">
        <v>45757</v>
      </c>
    </row>
    <row r="801" spans="1:7" ht="36.5" hidden="1" x14ac:dyDescent="0.35">
      <c r="A801" s="8">
        <v>8070</v>
      </c>
      <c r="B801" s="10" t="s">
        <v>3350</v>
      </c>
      <c r="C801" s="10" t="s">
        <v>21</v>
      </c>
      <c r="D801" s="9" t="s">
        <v>395</v>
      </c>
      <c r="E801" s="9" t="s">
        <v>1045</v>
      </c>
      <c r="F801" s="10" t="s">
        <v>2522</v>
      </c>
      <c r="G801" s="11">
        <v>45757</v>
      </c>
    </row>
    <row r="802" spans="1:7" ht="36.5" hidden="1" x14ac:dyDescent="0.35">
      <c r="A802" s="8">
        <v>8072</v>
      </c>
      <c r="B802" s="10" t="s">
        <v>3350</v>
      </c>
      <c r="C802" s="10" t="s">
        <v>134</v>
      </c>
      <c r="D802" s="9" t="s">
        <v>395</v>
      </c>
      <c r="E802" s="9" t="s">
        <v>1045</v>
      </c>
      <c r="F802" s="10" t="s">
        <v>2522</v>
      </c>
      <c r="G802" s="11">
        <v>45757</v>
      </c>
    </row>
    <row r="803" spans="1:7" ht="48.5" hidden="1" x14ac:dyDescent="0.35">
      <c r="A803" s="8">
        <v>8075</v>
      </c>
      <c r="B803" s="10" t="s">
        <v>3352</v>
      </c>
      <c r="C803" s="10" t="s">
        <v>250</v>
      </c>
      <c r="D803" s="9" t="s">
        <v>190</v>
      </c>
      <c r="E803" s="9" t="s">
        <v>592</v>
      </c>
      <c r="F803" s="10" t="s">
        <v>2559</v>
      </c>
      <c r="G803" s="11">
        <v>45757</v>
      </c>
    </row>
    <row r="804" spans="1:7" ht="24.5" hidden="1" x14ac:dyDescent="0.35">
      <c r="A804" s="8">
        <v>8076</v>
      </c>
      <c r="B804" s="10" t="s">
        <v>3353</v>
      </c>
      <c r="C804" s="10" t="s">
        <v>95</v>
      </c>
      <c r="D804" s="9" t="s">
        <v>95</v>
      </c>
      <c r="E804" s="9" t="s">
        <v>657</v>
      </c>
      <c r="F804" s="10" t="s">
        <v>2540</v>
      </c>
      <c r="G804" s="11">
        <v>45761</v>
      </c>
    </row>
    <row r="805" spans="1:7" ht="36.5" hidden="1" x14ac:dyDescent="0.35">
      <c r="A805" s="8">
        <v>8077</v>
      </c>
      <c r="B805" s="10" t="s">
        <v>3354</v>
      </c>
      <c r="C805" s="10" t="s">
        <v>134</v>
      </c>
      <c r="D805" s="9" t="s">
        <v>95</v>
      </c>
      <c r="E805" s="9" t="s">
        <v>657</v>
      </c>
      <c r="F805" s="10" t="s">
        <v>2540</v>
      </c>
      <c r="G805" s="11">
        <v>45762</v>
      </c>
    </row>
    <row r="806" spans="1:7" ht="24.5" hidden="1" x14ac:dyDescent="0.35">
      <c r="A806" s="8">
        <v>8078</v>
      </c>
      <c r="B806" s="10" t="s">
        <v>3355</v>
      </c>
      <c r="C806" s="10" t="s">
        <v>13</v>
      </c>
      <c r="D806" s="9" t="s">
        <v>95</v>
      </c>
      <c r="E806" s="9" t="s">
        <v>657</v>
      </c>
      <c r="F806" s="10" t="s">
        <v>2522</v>
      </c>
      <c r="G806" s="11">
        <v>45762</v>
      </c>
    </row>
    <row r="807" spans="1:7" ht="24.5" hidden="1" x14ac:dyDescent="0.35">
      <c r="A807" s="8">
        <v>8085</v>
      </c>
      <c r="B807" s="10" t="s">
        <v>3356</v>
      </c>
      <c r="C807" s="10" t="s">
        <v>278</v>
      </c>
      <c r="D807" s="9" t="s">
        <v>278</v>
      </c>
      <c r="E807" s="9" t="s">
        <v>982</v>
      </c>
      <c r="F807" s="10" t="s">
        <v>2522</v>
      </c>
      <c r="G807" s="11">
        <v>45758</v>
      </c>
    </row>
    <row r="808" spans="1:7" ht="36.5" hidden="1" x14ac:dyDescent="0.35">
      <c r="A808" s="8">
        <v>8086</v>
      </c>
      <c r="B808" s="10" t="s">
        <v>3357</v>
      </c>
      <c r="C808" s="10" t="s">
        <v>193</v>
      </c>
      <c r="D808" s="9" t="s">
        <v>96</v>
      </c>
      <c r="E808" s="9" t="s">
        <v>3105</v>
      </c>
      <c r="F808" s="10" t="s">
        <v>2522</v>
      </c>
      <c r="G808" s="11">
        <v>45758</v>
      </c>
    </row>
    <row r="809" spans="1:7" ht="24.5" hidden="1" x14ac:dyDescent="0.35">
      <c r="A809" s="8">
        <v>8087</v>
      </c>
      <c r="B809" s="10" t="s">
        <v>3358</v>
      </c>
      <c r="C809" s="10" t="s">
        <v>21</v>
      </c>
      <c r="D809" s="9" t="s">
        <v>21</v>
      </c>
      <c r="E809" s="9" t="s">
        <v>2336</v>
      </c>
      <c r="F809" s="10" t="s">
        <v>2540</v>
      </c>
      <c r="G809" s="11">
        <v>45758</v>
      </c>
    </row>
    <row r="810" spans="1:7" ht="48.5" hidden="1" x14ac:dyDescent="0.35">
      <c r="A810" s="8">
        <v>8084</v>
      </c>
      <c r="B810" s="10" t="s">
        <v>3359</v>
      </c>
      <c r="C810" s="10" t="s">
        <v>26</v>
      </c>
      <c r="D810" s="9" t="s">
        <v>395</v>
      </c>
      <c r="E810" s="9" t="s">
        <v>1926</v>
      </c>
      <c r="F810" s="10" t="s">
        <v>2516</v>
      </c>
      <c r="G810" s="11">
        <v>45762</v>
      </c>
    </row>
    <row r="811" spans="1:7" ht="36.5" hidden="1" x14ac:dyDescent="0.35">
      <c r="A811" s="8">
        <v>8088</v>
      </c>
      <c r="B811" s="10" t="s">
        <v>3360</v>
      </c>
      <c r="C811" s="10" t="s">
        <v>13</v>
      </c>
      <c r="D811" s="9" t="s">
        <v>13</v>
      </c>
      <c r="E811" s="9" t="s">
        <v>762</v>
      </c>
      <c r="F811" s="10" t="s">
        <v>2572</v>
      </c>
      <c r="G811" s="11">
        <v>45751</v>
      </c>
    </row>
    <row r="812" spans="1:7" ht="24.5" hidden="1" x14ac:dyDescent="0.35">
      <c r="A812" s="8">
        <v>8089</v>
      </c>
      <c r="B812" s="10" t="s">
        <v>3361</v>
      </c>
      <c r="C812" s="10" t="s">
        <v>21</v>
      </c>
      <c r="D812" s="9" t="s">
        <v>21</v>
      </c>
      <c r="E812" s="9" t="s">
        <v>762</v>
      </c>
      <c r="F812" s="10" t="s">
        <v>2522</v>
      </c>
      <c r="G812" s="11">
        <v>45758</v>
      </c>
    </row>
    <row r="813" spans="1:7" ht="36.5" hidden="1" x14ac:dyDescent="0.35">
      <c r="A813" s="8">
        <v>8090</v>
      </c>
      <c r="B813" s="10" t="s">
        <v>3362</v>
      </c>
      <c r="C813" s="10" t="s">
        <v>190</v>
      </c>
      <c r="D813" s="9" t="s">
        <v>395</v>
      </c>
      <c r="E813" s="9" t="s">
        <v>1045</v>
      </c>
      <c r="F813" s="10" t="s">
        <v>2525</v>
      </c>
      <c r="G813" s="11">
        <v>45757</v>
      </c>
    </row>
    <row r="814" spans="1:7" ht="36.5" hidden="1" x14ac:dyDescent="0.35">
      <c r="A814" s="8">
        <v>8091</v>
      </c>
      <c r="B814" s="10" t="s">
        <v>3363</v>
      </c>
      <c r="C814" s="10" t="s">
        <v>220</v>
      </c>
      <c r="D814" s="9" t="s">
        <v>395</v>
      </c>
      <c r="E814" s="9" t="s">
        <v>394</v>
      </c>
      <c r="F814" s="10" t="s">
        <v>2516</v>
      </c>
      <c r="G814" s="11">
        <v>45758</v>
      </c>
    </row>
    <row r="815" spans="1:7" ht="36.5" hidden="1" x14ac:dyDescent="0.35">
      <c r="A815" s="8">
        <v>8093</v>
      </c>
      <c r="B815" s="10" t="s">
        <v>3364</v>
      </c>
      <c r="C815" s="10" t="s">
        <v>96</v>
      </c>
      <c r="D815" s="9" t="s">
        <v>96</v>
      </c>
      <c r="E815" s="9" t="s">
        <v>368</v>
      </c>
      <c r="F815" s="10" t="s">
        <v>2516</v>
      </c>
      <c r="G815" s="11">
        <v>45759</v>
      </c>
    </row>
    <row r="816" spans="1:7" ht="36.5" hidden="1" x14ac:dyDescent="0.35">
      <c r="A816" s="8">
        <v>8094</v>
      </c>
      <c r="B816" s="10" t="s">
        <v>3365</v>
      </c>
      <c r="C816" s="10" t="s">
        <v>196</v>
      </c>
      <c r="D816" s="9" t="s">
        <v>196</v>
      </c>
      <c r="E816" s="9" t="s">
        <v>2578</v>
      </c>
      <c r="F816" s="10" t="s">
        <v>2715</v>
      </c>
      <c r="G816" s="11">
        <v>45760</v>
      </c>
    </row>
    <row r="817" spans="1:7" ht="36.5" hidden="1" x14ac:dyDescent="0.35">
      <c r="A817" s="8">
        <v>8092</v>
      </c>
      <c r="B817" s="10" t="s">
        <v>3366</v>
      </c>
      <c r="C817" s="10" t="s">
        <v>96</v>
      </c>
      <c r="D817" s="9" t="s">
        <v>96</v>
      </c>
      <c r="E817" s="9" t="s">
        <v>368</v>
      </c>
      <c r="F817" s="10" t="s">
        <v>2516</v>
      </c>
      <c r="G817" s="11">
        <v>45759</v>
      </c>
    </row>
    <row r="818" spans="1:7" ht="24.5" hidden="1" x14ac:dyDescent="0.35">
      <c r="A818" s="8">
        <v>8095</v>
      </c>
      <c r="B818" s="10" t="s">
        <v>3367</v>
      </c>
      <c r="C818" s="10" t="s">
        <v>96</v>
      </c>
      <c r="D818" s="9" t="s">
        <v>395</v>
      </c>
      <c r="E818" s="9" t="s">
        <v>3121</v>
      </c>
      <c r="F818" s="10" t="s">
        <v>2522</v>
      </c>
      <c r="G818" s="11">
        <v>45761</v>
      </c>
    </row>
    <row r="819" spans="1:7" ht="36.5" hidden="1" x14ac:dyDescent="0.35">
      <c r="A819" s="8">
        <v>8096</v>
      </c>
      <c r="B819" s="10" t="s">
        <v>3368</v>
      </c>
      <c r="C819" s="10" t="s">
        <v>220</v>
      </c>
      <c r="D819" s="9" t="s">
        <v>395</v>
      </c>
      <c r="E819" s="9" t="s">
        <v>1037</v>
      </c>
      <c r="F819" s="10" t="s">
        <v>2516</v>
      </c>
      <c r="G819" s="11">
        <v>45761</v>
      </c>
    </row>
    <row r="820" spans="1:7" ht="36.5" hidden="1" x14ac:dyDescent="0.35">
      <c r="A820" s="8">
        <v>8098</v>
      </c>
      <c r="B820" s="10" t="s">
        <v>3369</v>
      </c>
      <c r="C820" s="10" t="s">
        <v>134</v>
      </c>
      <c r="D820" s="9" t="s">
        <v>134</v>
      </c>
      <c r="E820" s="9" t="s">
        <v>762</v>
      </c>
      <c r="F820" s="10" t="s">
        <v>2516</v>
      </c>
      <c r="G820" s="11">
        <v>45761</v>
      </c>
    </row>
    <row r="821" spans="1:7" ht="48.5" hidden="1" x14ac:dyDescent="0.35">
      <c r="A821" s="8">
        <v>8097</v>
      </c>
      <c r="B821" s="10" t="s">
        <v>3370</v>
      </c>
      <c r="C821" s="10" t="s">
        <v>220</v>
      </c>
      <c r="D821" s="9" t="s">
        <v>220</v>
      </c>
      <c r="E821" s="9" t="s">
        <v>305</v>
      </c>
      <c r="F821" s="10" t="s">
        <v>2559</v>
      </c>
      <c r="G821" s="11">
        <v>45761</v>
      </c>
    </row>
    <row r="822" spans="1:7" ht="48.5" hidden="1" x14ac:dyDescent="0.35">
      <c r="A822" s="8">
        <v>8099</v>
      </c>
      <c r="B822" s="10" t="s">
        <v>3371</v>
      </c>
      <c r="C822" s="10" t="s">
        <v>26</v>
      </c>
      <c r="D822" s="9" t="s">
        <v>395</v>
      </c>
      <c r="E822" s="9" t="s">
        <v>394</v>
      </c>
      <c r="F822" s="10" t="s">
        <v>2516</v>
      </c>
      <c r="G822" s="11">
        <v>45761</v>
      </c>
    </row>
    <row r="823" spans="1:7" ht="24.5" hidden="1" x14ac:dyDescent="0.35">
      <c r="A823" s="8">
        <v>8107</v>
      </c>
      <c r="B823" s="10" t="s">
        <v>3372</v>
      </c>
      <c r="C823" s="10" t="s">
        <v>96</v>
      </c>
      <c r="D823" s="9" t="s">
        <v>96</v>
      </c>
      <c r="E823" s="9" t="s">
        <v>1179</v>
      </c>
      <c r="F823" s="10" t="s">
        <v>2522</v>
      </c>
      <c r="G823" s="11">
        <v>45762</v>
      </c>
    </row>
    <row r="824" spans="1:7" ht="24.5" hidden="1" x14ac:dyDescent="0.35">
      <c r="A824" s="8">
        <v>8101</v>
      </c>
      <c r="B824" s="10" t="s">
        <v>3373</v>
      </c>
      <c r="C824" s="10" t="s">
        <v>371</v>
      </c>
      <c r="D824" s="9" t="s">
        <v>371</v>
      </c>
      <c r="E824" s="9" t="s">
        <v>1030</v>
      </c>
      <c r="F824" s="10" t="s">
        <v>2540</v>
      </c>
      <c r="G824" s="11">
        <v>45761</v>
      </c>
    </row>
    <row r="825" spans="1:7" ht="36.5" hidden="1" x14ac:dyDescent="0.35">
      <c r="A825" s="8">
        <v>8100</v>
      </c>
      <c r="B825" s="10" t="s">
        <v>3374</v>
      </c>
      <c r="C825" s="10" t="s">
        <v>371</v>
      </c>
      <c r="D825" s="9" t="s">
        <v>371</v>
      </c>
      <c r="E825" s="9" t="s">
        <v>1030</v>
      </c>
      <c r="F825" s="10" t="s">
        <v>2516</v>
      </c>
      <c r="G825" s="11">
        <v>45761</v>
      </c>
    </row>
    <row r="826" spans="1:7" ht="36.5" hidden="1" x14ac:dyDescent="0.35">
      <c r="A826" s="8">
        <v>8103</v>
      </c>
      <c r="B826" s="10" t="s">
        <v>3375</v>
      </c>
      <c r="C826" s="10" t="s">
        <v>371</v>
      </c>
      <c r="D826" s="9" t="s">
        <v>371</v>
      </c>
      <c r="E826" s="9" t="s">
        <v>1030</v>
      </c>
      <c r="F826" s="10" t="s">
        <v>2516</v>
      </c>
      <c r="G826" s="11">
        <v>45761</v>
      </c>
    </row>
    <row r="827" spans="1:7" ht="36.5" hidden="1" x14ac:dyDescent="0.35">
      <c r="A827" s="8">
        <v>8102</v>
      </c>
      <c r="B827" s="10" t="s">
        <v>3376</v>
      </c>
      <c r="C827" s="10" t="s">
        <v>371</v>
      </c>
      <c r="D827" s="9" t="s">
        <v>371</v>
      </c>
      <c r="E827" s="9" t="s">
        <v>1030</v>
      </c>
      <c r="F827" s="10" t="s">
        <v>2516</v>
      </c>
      <c r="G827" s="11">
        <v>45761</v>
      </c>
    </row>
    <row r="828" spans="1:7" ht="48.5" hidden="1" x14ac:dyDescent="0.35">
      <c r="A828" s="8">
        <v>8105</v>
      </c>
      <c r="B828" s="10" t="s">
        <v>3377</v>
      </c>
      <c r="C828" s="10" t="s">
        <v>96</v>
      </c>
      <c r="D828" s="9" t="s">
        <v>395</v>
      </c>
      <c r="E828" s="9" t="s">
        <v>394</v>
      </c>
      <c r="F828" s="10" t="s">
        <v>2530</v>
      </c>
      <c r="G828" s="11">
        <v>45762</v>
      </c>
    </row>
    <row r="829" spans="1:7" ht="24.5" hidden="1" x14ac:dyDescent="0.35">
      <c r="A829" s="8">
        <v>8106</v>
      </c>
      <c r="B829" s="10" t="s">
        <v>3378</v>
      </c>
      <c r="C829" s="10" t="s">
        <v>21</v>
      </c>
      <c r="D829" s="9" t="s">
        <v>21</v>
      </c>
      <c r="E829" s="9" t="s">
        <v>1484</v>
      </c>
      <c r="F829" s="10" t="s">
        <v>2522</v>
      </c>
      <c r="G829" s="11">
        <v>45762</v>
      </c>
    </row>
    <row r="830" spans="1:7" ht="24.5" hidden="1" x14ac:dyDescent="0.35">
      <c r="A830" s="8">
        <v>8104</v>
      </c>
      <c r="B830" s="10" t="s">
        <v>3379</v>
      </c>
      <c r="C830" s="10" t="s">
        <v>134</v>
      </c>
      <c r="D830" s="9" t="s">
        <v>395</v>
      </c>
      <c r="E830" s="9" t="s">
        <v>1926</v>
      </c>
      <c r="F830" s="10" t="s">
        <v>2522</v>
      </c>
      <c r="G830" s="11">
        <v>45761</v>
      </c>
    </row>
    <row r="831" spans="1:7" ht="24.5" hidden="1" x14ac:dyDescent="0.35">
      <c r="A831" s="8">
        <v>8109</v>
      </c>
      <c r="B831" s="10" t="s">
        <v>3380</v>
      </c>
      <c r="C831" s="10" t="s">
        <v>96</v>
      </c>
      <c r="D831" s="9" t="s">
        <v>278</v>
      </c>
      <c r="E831" s="9" t="s">
        <v>982</v>
      </c>
      <c r="F831" s="10" t="s">
        <v>2522</v>
      </c>
      <c r="G831" s="11">
        <v>45762</v>
      </c>
    </row>
    <row r="832" spans="1:7" ht="36.5" hidden="1" x14ac:dyDescent="0.35">
      <c r="A832" s="8">
        <v>8110</v>
      </c>
      <c r="B832" s="10" t="s">
        <v>3381</v>
      </c>
      <c r="C832" s="10" t="s">
        <v>96</v>
      </c>
      <c r="D832" s="9" t="s">
        <v>278</v>
      </c>
      <c r="E832" s="9" t="s">
        <v>982</v>
      </c>
      <c r="F832" s="10" t="s">
        <v>2522</v>
      </c>
      <c r="G832" s="11">
        <v>45762</v>
      </c>
    </row>
    <row r="833" spans="1:7" ht="24.5" hidden="1" x14ac:dyDescent="0.35">
      <c r="A833" s="8">
        <v>8108</v>
      </c>
      <c r="B833" s="10" t="s">
        <v>3382</v>
      </c>
      <c r="C833" s="10" t="s">
        <v>196</v>
      </c>
      <c r="D833" s="9" t="s">
        <v>196</v>
      </c>
      <c r="E833" s="9" t="s">
        <v>595</v>
      </c>
      <c r="F833" s="10" t="s">
        <v>2537</v>
      </c>
      <c r="G833" s="11">
        <v>45762</v>
      </c>
    </row>
    <row r="834" spans="1:7" ht="24.5" hidden="1" x14ac:dyDescent="0.35">
      <c r="A834" s="8">
        <v>8113</v>
      </c>
      <c r="B834" s="10" t="s">
        <v>3383</v>
      </c>
      <c r="C834" s="10" t="s">
        <v>205</v>
      </c>
      <c r="D834" s="9" t="s">
        <v>196</v>
      </c>
      <c r="E834" s="9" t="s">
        <v>2574</v>
      </c>
      <c r="F834" s="10" t="s">
        <v>2522</v>
      </c>
      <c r="G834" s="11">
        <v>45762</v>
      </c>
    </row>
    <row r="835" spans="1:7" ht="48.5" hidden="1" x14ac:dyDescent="0.35">
      <c r="A835" s="8">
        <v>8112</v>
      </c>
      <c r="B835" s="10" t="s">
        <v>3384</v>
      </c>
      <c r="C835" s="10" t="s">
        <v>34</v>
      </c>
      <c r="D835" s="9" t="s">
        <v>196</v>
      </c>
      <c r="E835" s="9" t="s">
        <v>2574</v>
      </c>
      <c r="F835" s="10" t="s">
        <v>2559</v>
      </c>
      <c r="G835" s="11">
        <v>45762</v>
      </c>
    </row>
    <row r="836" spans="1:7" ht="24.5" hidden="1" x14ac:dyDescent="0.35">
      <c r="A836" s="8">
        <v>8117</v>
      </c>
      <c r="B836" s="10" t="s">
        <v>3385</v>
      </c>
      <c r="C836" s="10" t="s">
        <v>21</v>
      </c>
      <c r="D836" s="9" t="s">
        <v>95</v>
      </c>
      <c r="E836" s="9" t="s">
        <v>2863</v>
      </c>
      <c r="F836" s="10" t="s">
        <v>2522</v>
      </c>
      <c r="G836" s="11">
        <v>45767</v>
      </c>
    </row>
    <row r="837" spans="1:7" ht="36.5" hidden="1" x14ac:dyDescent="0.35">
      <c r="A837" s="8">
        <v>8118</v>
      </c>
      <c r="B837" s="10" t="s">
        <v>3386</v>
      </c>
      <c r="C837" s="10" t="s">
        <v>34</v>
      </c>
      <c r="D837" s="9" t="s">
        <v>34</v>
      </c>
      <c r="E837" s="9" t="s">
        <v>1525</v>
      </c>
      <c r="F837" s="10" t="s">
        <v>2572</v>
      </c>
      <c r="G837" s="11">
        <v>45762</v>
      </c>
    </row>
    <row r="838" spans="1:7" ht="36.5" hidden="1" x14ac:dyDescent="0.35">
      <c r="A838" s="8">
        <v>8119</v>
      </c>
      <c r="B838" s="10" t="s">
        <v>3387</v>
      </c>
      <c r="C838" s="10" t="s">
        <v>34</v>
      </c>
      <c r="D838" s="9" t="s">
        <v>34</v>
      </c>
      <c r="E838" s="9" t="s">
        <v>1525</v>
      </c>
      <c r="F838" s="10" t="s">
        <v>2516</v>
      </c>
      <c r="G838" s="11">
        <v>45762</v>
      </c>
    </row>
    <row r="839" spans="1:7" ht="24.5" hidden="1" x14ac:dyDescent="0.35">
      <c r="A839" s="8">
        <v>8120</v>
      </c>
      <c r="B839" s="10" t="s">
        <v>3388</v>
      </c>
      <c r="C839" s="10" t="s">
        <v>104</v>
      </c>
      <c r="D839" s="9" t="s">
        <v>196</v>
      </c>
      <c r="E839" s="9" t="s">
        <v>1116</v>
      </c>
      <c r="F839" s="10" t="s">
        <v>2522</v>
      </c>
      <c r="G839" s="11">
        <v>45763</v>
      </c>
    </row>
    <row r="840" spans="1:7" ht="24.5" hidden="1" x14ac:dyDescent="0.35">
      <c r="A840" s="8">
        <v>8121</v>
      </c>
      <c r="B840" s="10" t="s">
        <v>3389</v>
      </c>
      <c r="C840" s="10" t="s">
        <v>13</v>
      </c>
      <c r="D840" s="9" t="s">
        <v>13</v>
      </c>
      <c r="E840" s="9" t="s">
        <v>819</v>
      </c>
      <c r="F840" s="10" t="s">
        <v>2540</v>
      </c>
      <c r="G840" s="11">
        <v>45763</v>
      </c>
    </row>
    <row r="841" spans="1:7" ht="24.5" hidden="1" x14ac:dyDescent="0.35">
      <c r="A841" s="8">
        <v>8123</v>
      </c>
      <c r="B841" s="10" t="s">
        <v>3390</v>
      </c>
      <c r="C841" s="10" t="s">
        <v>395</v>
      </c>
      <c r="D841" s="9" t="s">
        <v>371</v>
      </c>
      <c r="E841" s="9" t="s">
        <v>1674</v>
      </c>
      <c r="F841" s="10" t="s">
        <v>2522</v>
      </c>
      <c r="G841" s="11">
        <v>45764</v>
      </c>
    </row>
    <row r="842" spans="1:7" ht="36.5" hidden="1" x14ac:dyDescent="0.35">
      <c r="A842" s="8">
        <v>8122</v>
      </c>
      <c r="B842" s="10" t="s">
        <v>3391</v>
      </c>
      <c r="C842" s="10" t="s">
        <v>104</v>
      </c>
      <c r="D842" s="9" t="s">
        <v>95</v>
      </c>
      <c r="E842" s="9" t="s">
        <v>3023</v>
      </c>
      <c r="F842" s="10" t="s">
        <v>2530</v>
      </c>
      <c r="G842" s="11">
        <v>45763</v>
      </c>
    </row>
    <row r="843" spans="1:7" ht="24.5" hidden="1" x14ac:dyDescent="0.35">
      <c r="A843" s="8">
        <v>8131</v>
      </c>
      <c r="B843" s="10" t="s">
        <v>3392</v>
      </c>
      <c r="C843" s="10" t="s">
        <v>104</v>
      </c>
      <c r="D843" s="9" t="s">
        <v>104</v>
      </c>
      <c r="E843" s="9" t="s">
        <v>1371</v>
      </c>
      <c r="F843" s="10" t="s">
        <v>2522</v>
      </c>
      <c r="G843" s="11">
        <v>45768</v>
      </c>
    </row>
    <row r="844" spans="1:7" ht="24.5" hidden="1" x14ac:dyDescent="0.35">
      <c r="A844" s="8">
        <v>8133</v>
      </c>
      <c r="B844" s="10" t="s">
        <v>3393</v>
      </c>
      <c r="C844" s="10" t="s">
        <v>21</v>
      </c>
      <c r="D844" s="9" t="s">
        <v>21</v>
      </c>
      <c r="E844" s="9" t="s">
        <v>819</v>
      </c>
      <c r="F844" s="10" t="s">
        <v>2540</v>
      </c>
      <c r="G844" s="11">
        <v>45768</v>
      </c>
    </row>
    <row r="845" spans="1:7" ht="24.5" hidden="1" x14ac:dyDescent="0.35">
      <c r="A845" s="8">
        <v>8132</v>
      </c>
      <c r="B845" s="10" t="s">
        <v>3394</v>
      </c>
      <c r="C845" s="10" t="s">
        <v>104</v>
      </c>
      <c r="D845" s="9" t="s">
        <v>104</v>
      </c>
      <c r="E845" s="9" t="s">
        <v>1371</v>
      </c>
      <c r="F845" s="10" t="s">
        <v>2522</v>
      </c>
      <c r="G845" s="11">
        <v>45768</v>
      </c>
    </row>
    <row r="846" spans="1:7" ht="24.5" hidden="1" x14ac:dyDescent="0.35">
      <c r="A846" s="8">
        <v>8135</v>
      </c>
      <c r="B846" s="10" t="s">
        <v>3395</v>
      </c>
      <c r="C846" s="10" t="s">
        <v>96</v>
      </c>
      <c r="D846" s="9" t="s">
        <v>96</v>
      </c>
      <c r="E846" s="9" t="s">
        <v>1179</v>
      </c>
      <c r="F846" s="10" t="s">
        <v>2522</v>
      </c>
      <c r="G846" s="11">
        <v>45768</v>
      </c>
    </row>
    <row r="847" spans="1:7" ht="48.5" hidden="1" x14ac:dyDescent="0.35">
      <c r="A847" s="8">
        <v>8134</v>
      </c>
      <c r="B847" s="10" t="s">
        <v>3396</v>
      </c>
      <c r="C847" s="10" t="s">
        <v>196</v>
      </c>
      <c r="D847" s="9" t="s">
        <v>134</v>
      </c>
      <c r="E847" s="9" t="s">
        <v>1692</v>
      </c>
      <c r="F847" s="10" t="s">
        <v>2559</v>
      </c>
      <c r="G847" s="11">
        <v>45768</v>
      </c>
    </row>
    <row r="848" spans="1:7" ht="36.5" hidden="1" x14ac:dyDescent="0.35">
      <c r="A848" s="8">
        <v>8136</v>
      </c>
      <c r="B848" s="10" t="s">
        <v>3397</v>
      </c>
      <c r="C848" s="10" t="s">
        <v>13</v>
      </c>
      <c r="D848" s="9" t="s">
        <v>13</v>
      </c>
      <c r="E848" s="9" t="s">
        <v>819</v>
      </c>
      <c r="F848" s="10" t="s">
        <v>2516</v>
      </c>
      <c r="G848" s="11">
        <v>45768</v>
      </c>
    </row>
    <row r="849" spans="1:7" ht="36.5" hidden="1" x14ac:dyDescent="0.35">
      <c r="A849" s="8">
        <v>8137</v>
      </c>
      <c r="B849" s="10" t="s">
        <v>3398</v>
      </c>
      <c r="C849" s="10" t="s">
        <v>220</v>
      </c>
      <c r="D849" s="9" t="s">
        <v>395</v>
      </c>
      <c r="E849" s="9" t="s">
        <v>1037</v>
      </c>
      <c r="F849" s="10" t="s">
        <v>2516</v>
      </c>
      <c r="G849" s="11">
        <v>45768</v>
      </c>
    </row>
    <row r="850" spans="1:7" ht="48.5" hidden="1" x14ac:dyDescent="0.35">
      <c r="A850" s="8">
        <v>8139</v>
      </c>
      <c r="B850" s="10" t="s">
        <v>3399</v>
      </c>
      <c r="C850" s="10" t="s">
        <v>95</v>
      </c>
      <c r="D850" s="9" t="s">
        <v>234</v>
      </c>
      <c r="E850" s="9" t="s">
        <v>546</v>
      </c>
      <c r="F850" s="10" t="s">
        <v>2522</v>
      </c>
      <c r="G850" s="11">
        <v>45768</v>
      </c>
    </row>
    <row r="851" spans="1:7" ht="36.5" hidden="1" x14ac:dyDescent="0.35">
      <c r="A851" s="8">
        <v>8140</v>
      </c>
      <c r="B851" s="10" t="s">
        <v>3400</v>
      </c>
      <c r="C851" s="10" t="s">
        <v>95</v>
      </c>
      <c r="D851" s="9" t="s">
        <v>234</v>
      </c>
      <c r="E851" s="9" t="s">
        <v>546</v>
      </c>
      <c r="F851" s="10" t="s">
        <v>2516</v>
      </c>
      <c r="G851" s="11">
        <v>45768</v>
      </c>
    </row>
    <row r="852" spans="1:7" ht="24.5" hidden="1" x14ac:dyDescent="0.35">
      <c r="A852" s="8">
        <v>8142</v>
      </c>
      <c r="B852" s="10" t="s">
        <v>3401</v>
      </c>
      <c r="C852" s="10" t="s">
        <v>96</v>
      </c>
      <c r="D852" s="9" t="s">
        <v>96</v>
      </c>
      <c r="E852" s="9" t="s">
        <v>368</v>
      </c>
      <c r="F852" s="10" t="s">
        <v>2537</v>
      </c>
      <c r="G852" s="11">
        <v>45768</v>
      </c>
    </row>
    <row r="853" spans="1:7" ht="24.5" hidden="1" x14ac:dyDescent="0.35">
      <c r="A853" s="8">
        <v>8143</v>
      </c>
      <c r="B853" s="10" t="s">
        <v>3402</v>
      </c>
      <c r="C853" s="10" t="s">
        <v>95</v>
      </c>
      <c r="D853" s="9" t="s">
        <v>234</v>
      </c>
      <c r="E853" s="9" t="s">
        <v>546</v>
      </c>
      <c r="F853" s="10" t="s">
        <v>2834</v>
      </c>
      <c r="G853" s="11">
        <v>45768</v>
      </c>
    </row>
    <row r="854" spans="1:7" ht="36.5" hidden="1" x14ac:dyDescent="0.35">
      <c r="A854" s="8">
        <v>8141</v>
      </c>
      <c r="B854" s="10" t="s">
        <v>3403</v>
      </c>
      <c r="C854" s="10" t="s">
        <v>95</v>
      </c>
      <c r="D854" s="9" t="s">
        <v>234</v>
      </c>
      <c r="E854" s="9" t="s">
        <v>546</v>
      </c>
      <c r="F854" s="10" t="s">
        <v>2525</v>
      </c>
      <c r="G854" s="11">
        <v>45769</v>
      </c>
    </row>
    <row r="855" spans="1:7" ht="36.5" hidden="1" x14ac:dyDescent="0.35">
      <c r="A855" s="8">
        <v>8144</v>
      </c>
      <c r="B855" s="10" t="s">
        <v>3404</v>
      </c>
      <c r="C855" s="10" t="s">
        <v>95</v>
      </c>
      <c r="D855" s="9" t="s">
        <v>234</v>
      </c>
      <c r="E855" s="9" t="s">
        <v>546</v>
      </c>
      <c r="F855" s="10" t="s">
        <v>2516</v>
      </c>
      <c r="G855" s="11">
        <v>45768</v>
      </c>
    </row>
    <row r="856" spans="1:7" ht="48.5" hidden="1" x14ac:dyDescent="0.35">
      <c r="A856" s="8">
        <v>8145</v>
      </c>
      <c r="B856" s="10" t="s">
        <v>3405</v>
      </c>
      <c r="C856" s="10" t="s">
        <v>250</v>
      </c>
      <c r="D856" s="9" t="s">
        <v>95</v>
      </c>
      <c r="E856" s="9" t="s">
        <v>822</v>
      </c>
      <c r="F856" s="10" t="s">
        <v>2559</v>
      </c>
      <c r="G856" s="11">
        <v>45769</v>
      </c>
    </row>
    <row r="857" spans="1:7" ht="36.5" hidden="1" x14ac:dyDescent="0.35">
      <c r="A857" s="8">
        <v>8148</v>
      </c>
      <c r="B857" s="10" t="s">
        <v>3406</v>
      </c>
      <c r="C857" s="10" t="s">
        <v>220</v>
      </c>
      <c r="D857" s="9" t="s">
        <v>21</v>
      </c>
      <c r="E857" s="9" t="s">
        <v>333</v>
      </c>
      <c r="F857" s="10" t="s">
        <v>2516</v>
      </c>
      <c r="G857" s="11">
        <v>45769</v>
      </c>
    </row>
    <row r="858" spans="1:7" ht="24.5" hidden="1" x14ac:dyDescent="0.35">
      <c r="A858" s="8">
        <v>8149</v>
      </c>
      <c r="B858" s="10" t="s">
        <v>3407</v>
      </c>
      <c r="C858" s="10" t="s">
        <v>21</v>
      </c>
      <c r="D858" s="9" t="s">
        <v>395</v>
      </c>
      <c r="E858" s="9" t="s">
        <v>1037</v>
      </c>
      <c r="F858" s="10" t="s">
        <v>2540</v>
      </c>
      <c r="G858" s="11">
        <v>45769</v>
      </c>
    </row>
    <row r="859" spans="1:7" ht="36.5" hidden="1" x14ac:dyDescent="0.35">
      <c r="A859" s="8">
        <v>8150</v>
      </c>
      <c r="B859" s="10" t="s">
        <v>3408</v>
      </c>
      <c r="C859" s="10" t="s">
        <v>13</v>
      </c>
      <c r="D859" s="9" t="s">
        <v>134</v>
      </c>
      <c r="E859" s="9" t="s">
        <v>483</v>
      </c>
      <c r="F859" s="10" t="s">
        <v>2572</v>
      </c>
      <c r="G859" s="11">
        <v>45769</v>
      </c>
    </row>
    <row r="860" spans="1:7" ht="36.5" hidden="1" x14ac:dyDescent="0.35">
      <c r="A860" s="8">
        <v>8152</v>
      </c>
      <c r="B860" s="10" t="s">
        <v>3409</v>
      </c>
      <c r="C860" s="10" t="s">
        <v>13</v>
      </c>
      <c r="D860" s="9" t="s">
        <v>104</v>
      </c>
      <c r="E860" s="9" t="s">
        <v>483</v>
      </c>
      <c r="F860" s="10" t="s">
        <v>2572</v>
      </c>
      <c r="G860" s="11">
        <v>45769</v>
      </c>
    </row>
    <row r="861" spans="1:7" ht="36.5" hidden="1" x14ac:dyDescent="0.35">
      <c r="A861" s="8">
        <v>8159</v>
      </c>
      <c r="B861" s="10" t="s">
        <v>3410</v>
      </c>
      <c r="C861" s="10" t="s">
        <v>220</v>
      </c>
      <c r="D861" s="9" t="s">
        <v>234</v>
      </c>
      <c r="E861" s="9" t="s">
        <v>2154</v>
      </c>
      <c r="F861" s="10" t="s">
        <v>2516</v>
      </c>
      <c r="G861" s="11">
        <v>45769</v>
      </c>
    </row>
    <row r="862" spans="1:7" ht="36.5" hidden="1" x14ac:dyDescent="0.35">
      <c r="A862" s="8">
        <v>8155</v>
      </c>
      <c r="B862" s="10" t="s">
        <v>3411</v>
      </c>
      <c r="C862" s="10" t="s">
        <v>13</v>
      </c>
      <c r="D862" s="9" t="s">
        <v>134</v>
      </c>
      <c r="E862" s="9" t="s">
        <v>483</v>
      </c>
      <c r="F862" s="10" t="s">
        <v>2572</v>
      </c>
      <c r="G862" s="11">
        <v>45769</v>
      </c>
    </row>
    <row r="863" spans="1:7" ht="36.5" hidden="1" x14ac:dyDescent="0.35">
      <c r="A863" s="8">
        <v>8154</v>
      </c>
      <c r="B863" s="10" t="s">
        <v>3412</v>
      </c>
      <c r="C863" s="10" t="s">
        <v>26</v>
      </c>
      <c r="D863" s="9" t="s">
        <v>13</v>
      </c>
      <c r="E863" s="9" t="s">
        <v>333</v>
      </c>
      <c r="F863" s="10" t="s">
        <v>2516</v>
      </c>
      <c r="G863" s="11">
        <v>45769</v>
      </c>
    </row>
    <row r="864" spans="1:7" ht="24.5" hidden="1" x14ac:dyDescent="0.35">
      <c r="A864" s="8">
        <v>8151</v>
      </c>
      <c r="B864" s="10" t="s">
        <v>3413</v>
      </c>
      <c r="C864" s="10" t="s">
        <v>21</v>
      </c>
      <c r="D864" s="9" t="s">
        <v>21</v>
      </c>
      <c r="E864" s="9" t="s">
        <v>819</v>
      </c>
      <c r="F864" s="10" t="s">
        <v>2522</v>
      </c>
      <c r="G864" s="11">
        <v>45769</v>
      </c>
    </row>
    <row r="865" spans="1:7" ht="24.5" hidden="1" x14ac:dyDescent="0.35">
      <c r="A865" s="8">
        <v>8153</v>
      </c>
      <c r="B865" s="10" t="s">
        <v>3414</v>
      </c>
      <c r="C865" s="10" t="s">
        <v>134</v>
      </c>
      <c r="D865" s="9" t="s">
        <v>395</v>
      </c>
      <c r="E865" s="9" t="s">
        <v>1926</v>
      </c>
      <c r="F865" s="10" t="s">
        <v>2522</v>
      </c>
      <c r="G865" s="11">
        <v>45769</v>
      </c>
    </row>
    <row r="866" spans="1:7" ht="36.5" hidden="1" x14ac:dyDescent="0.35">
      <c r="A866" s="8">
        <v>8156</v>
      </c>
      <c r="B866" s="10" t="s">
        <v>3415</v>
      </c>
      <c r="C866" s="10" t="s">
        <v>134</v>
      </c>
      <c r="D866" s="9" t="s">
        <v>395</v>
      </c>
      <c r="E866" s="9" t="s">
        <v>1926</v>
      </c>
      <c r="F866" s="10" t="s">
        <v>2572</v>
      </c>
      <c r="G866" s="11">
        <v>45769</v>
      </c>
    </row>
    <row r="867" spans="1:7" ht="36.5" hidden="1" x14ac:dyDescent="0.35">
      <c r="A867" s="8">
        <v>8157</v>
      </c>
      <c r="B867" s="10" t="s">
        <v>3416</v>
      </c>
      <c r="C867" s="10" t="s">
        <v>250</v>
      </c>
      <c r="D867" s="9" t="s">
        <v>250</v>
      </c>
      <c r="E867" s="9" t="s">
        <v>592</v>
      </c>
      <c r="F867" s="10" t="s">
        <v>2516</v>
      </c>
      <c r="G867" s="11">
        <v>45769</v>
      </c>
    </row>
    <row r="868" spans="1:7" ht="36.5" hidden="1" x14ac:dyDescent="0.35">
      <c r="A868" s="8">
        <v>8160</v>
      </c>
      <c r="B868" s="10" t="s">
        <v>3133</v>
      </c>
      <c r="C868" s="10" t="s">
        <v>13</v>
      </c>
      <c r="D868" s="9" t="s">
        <v>13</v>
      </c>
      <c r="E868" s="9" t="s">
        <v>819</v>
      </c>
      <c r="F868" s="10" t="s">
        <v>2516</v>
      </c>
      <c r="G868" s="11">
        <v>45769</v>
      </c>
    </row>
    <row r="869" spans="1:7" ht="36.5" hidden="1" x14ac:dyDescent="0.35">
      <c r="A869" s="8">
        <v>8163</v>
      </c>
      <c r="B869" s="10" t="s">
        <v>3417</v>
      </c>
      <c r="C869" s="10" t="s">
        <v>937</v>
      </c>
      <c r="D869" s="9" t="s">
        <v>395</v>
      </c>
      <c r="E869" s="9" t="s">
        <v>1926</v>
      </c>
      <c r="F869" s="10" t="s">
        <v>2522</v>
      </c>
      <c r="G869" s="11">
        <v>45770</v>
      </c>
    </row>
    <row r="870" spans="1:7" ht="24.5" hidden="1" x14ac:dyDescent="0.35">
      <c r="A870" s="8">
        <v>8165</v>
      </c>
      <c r="B870" s="10" t="s">
        <v>3418</v>
      </c>
      <c r="C870" s="10" t="s">
        <v>96</v>
      </c>
      <c r="D870" s="9" t="s">
        <v>96</v>
      </c>
      <c r="E870" s="9" t="s">
        <v>1179</v>
      </c>
      <c r="F870" s="10" t="s">
        <v>2537</v>
      </c>
      <c r="G870" s="11">
        <v>45770</v>
      </c>
    </row>
    <row r="871" spans="1:7" ht="36.5" hidden="1" x14ac:dyDescent="0.35">
      <c r="A871" s="8">
        <v>8167</v>
      </c>
      <c r="B871" s="10" t="s">
        <v>3419</v>
      </c>
      <c r="C871" s="10" t="s">
        <v>21</v>
      </c>
      <c r="D871" s="9" t="s">
        <v>21</v>
      </c>
      <c r="E871" s="9" t="s">
        <v>2336</v>
      </c>
      <c r="F871" s="10" t="s">
        <v>2522</v>
      </c>
      <c r="G871" s="11">
        <v>45770</v>
      </c>
    </row>
    <row r="872" spans="1:7" ht="36.5" hidden="1" x14ac:dyDescent="0.35">
      <c r="A872" s="8">
        <v>8168</v>
      </c>
      <c r="B872" s="10" t="s">
        <v>3420</v>
      </c>
      <c r="C872" s="10" t="s">
        <v>21</v>
      </c>
      <c r="D872" s="9" t="s">
        <v>21</v>
      </c>
      <c r="E872" s="9" t="s">
        <v>2336</v>
      </c>
      <c r="F872" s="10" t="s">
        <v>2516</v>
      </c>
      <c r="G872" s="11">
        <v>45770</v>
      </c>
    </row>
    <row r="873" spans="1:7" ht="36.5" hidden="1" x14ac:dyDescent="0.35">
      <c r="A873" s="8">
        <v>8166</v>
      </c>
      <c r="B873" s="10" t="s">
        <v>3421</v>
      </c>
      <c r="C873" s="10" t="s">
        <v>13</v>
      </c>
      <c r="D873" s="9" t="s">
        <v>395</v>
      </c>
      <c r="E873" s="9" t="s">
        <v>1045</v>
      </c>
      <c r="F873" s="10" t="s">
        <v>2572</v>
      </c>
      <c r="G873" s="11">
        <v>45770</v>
      </c>
    </row>
    <row r="874" spans="1:7" ht="24.5" hidden="1" x14ac:dyDescent="0.35">
      <c r="A874" s="8">
        <v>8169</v>
      </c>
      <c r="B874" s="10" t="s">
        <v>3422</v>
      </c>
      <c r="C874" s="10" t="s">
        <v>190</v>
      </c>
      <c r="D874" s="9" t="s">
        <v>13</v>
      </c>
      <c r="E874" s="9" t="s">
        <v>2336</v>
      </c>
      <c r="F874" s="10" t="s">
        <v>2540</v>
      </c>
      <c r="G874" s="11">
        <v>45770</v>
      </c>
    </row>
    <row r="875" spans="1:7" ht="24.5" hidden="1" x14ac:dyDescent="0.35">
      <c r="A875" s="8">
        <v>8174</v>
      </c>
      <c r="B875" s="10" t="s">
        <v>3423</v>
      </c>
      <c r="C875" s="10" t="s">
        <v>104</v>
      </c>
      <c r="D875" s="9" t="s">
        <v>134</v>
      </c>
      <c r="E875" s="9" t="s">
        <v>1692</v>
      </c>
      <c r="F875" s="10" t="s">
        <v>2522</v>
      </c>
      <c r="G875" s="11">
        <v>45770</v>
      </c>
    </row>
    <row r="876" spans="1:7" ht="36.5" hidden="1" x14ac:dyDescent="0.35">
      <c r="A876" s="8">
        <v>8176</v>
      </c>
      <c r="B876" s="10" t="s">
        <v>3424</v>
      </c>
      <c r="C876" s="10" t="s">
        <v>190</v>
      </c>
      <c r="D876" s="9" t="s">
        <v>937</v>
      </c>
      <c r="E876" s="9" t="s">
        <v>1846</v>
      </c>
      <c r="F876" s="10" t="s">
        <v>2572</v>
      </c>
      <c r="G876" s="11">
        <v>45770</v>
      </c>
    </row>
    <row r="877" spans="1:7" ht="24.5" hidden="1" x14ac:dyDescent="0.35">
      <c r="A877" s="8">
        <v>8177</v>
      </c>
      <c r="B877" s="10" t="s">
        <v>3425</v>
      </c>
      <c r="C877" s="10" t="s">
        <v>190</v>
      </c>
      <c r="D877" s="9" t="s">
        <v>371</v>
      </c>
      <c r="E877" s="9" t="s">
        <v>1846</v>
      </c>
      <c r="F877" s="10" t="s">
        <v>2522</v>
      </c>
      <c r="G877" s="11">
        <v>45770</v>
      </c>
    </row>
    <row r="878" spans="1:7" ht="36.5" hidden="1" x14ac:dyDescent="0.35">
      <c r="A878" s="8">
        <v>8175</v>
      </c>
      <c r="B878" s="10" t="s">
        <v>3426</v>
      </c>
      <c r="C878" s="10" t="s">
        <v>193</v>
      </c>
      <c r="D878" s="9" t="s">
        <v>250</v>
      </c>
      <c r="E878" s="9" t="s">
        <v>592</v>
      </c>
      <c r="F878" s="10" t="s">
        <v>2516</v>
      </c>
      <c r="G878" s="11">
        <v>45770</v>
      </c>
    </row>
    <row r="879" spans="1:7" ht="36.5" hidden="1" x14ac:dyDescent="0.35">
      <c r="A879" s="8">
        <v>8178</v>
      </c>
      <c r="B879" s="10" t="s">
        <v>3427</v>
      </c>
      <c r="C879" s="10" t="s">
        <v>26</v>
      </c>
      <c r="D879" s="9" t="s">
        <v>395</v>
      </c>
      <c r="E879" s="9" t="s">
        <v>1037</v>
      </c>
      <c r="F879" s="10" t="s">
        <v>2525</v>
      </c>
      <c r="G879" s="11">
        <v>45770</v>
      </c>
    </row>
    <row r="880" spans="1:7" ht="36.5" hidden="1" x14ac:dyDescent="0.35">
      <c r="A880" s="8">
        <v>8179</v>
      </c>
      <c r="B880" s="10" t="s">
        <v>3428</v>
      </c>
      <c r="C880" s="10" t="s">
        <v>196</v>
      </c>
      <c r="D880" s="9" t="s">
        <v>196</v>
      </c>
      <c r="E880" s="9" t="s">
        <v>2574</v>
      </c>
      <c r="F880" s="10" t="s">
        <v>2516</v>
      </c>
      <c r="G880" s="11">
        <v>45770</v>
      </c>
    </row>
    <row r="881" spans="1:7" ht="36.5" hidden="1" x14ac:dyDescent="0.35">
      <c r="A881" s="8">
        <v>8180</v>
      </c>
      <c r="B881" s="10" t="s">
        <v>3429</v>
      </c>
      <c r="C881" s="10" t="s">
        <v>34</v>
      </c>
      <c r="D881" s="9" t="s">
        <v>34</v>
      </c>
      <c r="E881" s="9" t="s">
        <v>1525</v>
      </c>
      <c r="F881" s="10" t="s">
        <v>2516</v>
      </c>
      <c r="G881" s="11">
        <v>45770</v>
      </c>
    </row>
    <row r="882" spans="1:7" ht="36.5" hidden="1" x14ac:dyDescent="0.35">
      <c r="A882" s="8">
        <v>8181</v>
      </c>
      <c r="B882" s="10" t="s">
        <v>3430</v>
      </c>
      <c r="C882" s="10" t="s">
        <v>371</v>
      </c>
      <c r="D882" s="9" t="s">
        <v>95</v>
      </c>
      <c r="E882" s="9" t="s">
        <v>243</v>
      </c>
      <c r="F882" s="10" t="s">
        <v>2516</v>
      </c>
      <c r="G882" s="11">
        <v>45770</v>
      </c>
    </row>
    <row r="883" spans="1:7" ht="24.5" hidden="1" x14ac:dyDescent="0.35">
      <c r="A883" s="8">
        <v>8184</v>
      </c>
      <c r="B883" s="10" t="s">
        <v>3431</v>
      </c>
      <c r="C883" s="10" t="s">
        <v>21</v>
      </c>
      <c r="D883" s="9" t="s">
        <v>21</v>
      </c>
      <c r="E883" s="9" t="s">
        <v>762</v>
      </c>
      <c r="F883" s="10" t="s">
        <v>2522</v>
      </c>
      <c r="G883" s="11">
        <v>45771</v>
      </c>
    </row>
    <row r="884" spans="1:7" ht="36.5" hidden="1" x14ac:dyDescent="0.35">
      <c r="A884" s="8">
        <v>8182</v>
      </c>
      <c r="B884" s="10" t="s">
        <v>3432</v>
      </c>
      <c r="C884" s="10" t="s">
        <v>21</v>
      </c>
      <c r="D884" s="9" t="s">
        <v>21</v>
      </c>
      <c r="E884" s="9" t="s">
        <v>819</v>
      </c>
      <c r="F884" s="10" t="s">
        <v>2540</v>
      </c>
      <c r="G884" s="11">
        <v>45771</v>
      </c>
    </row>
    <row r="885" spans="1:7" ht="24.5" hidden="1" x14ac:dyDescent="0.35">
      <c r="A885" s="8">
        <v>8185</v>
      </c>
      <c r="B885" s="10" t="s">
        <v>3433</v>
      </c>
      <c r="C885" s="10" t="s">
        <v>21</v>
      </c>
      <c r="D885" s="9" t="s">
        <v>220</v>
      </c>
      <c r="E885" s="9" t="s">
        <v>2845</v>
      </c>
      <c r="F885" s="10" t="s">
        <v>2540</v>
      </c>
      <c r="G885" s="11">
        <v>45771</v>
      </c>
    </row>
    <row r="886" spans="1:7" ht="36.5" hidden="1" x14ac:dyDescent="0.35">
      <c r="A886" s="8">
        <v>8183</v>
      </c>
      <c r="B886" s="10" t="s">
        <v>3434</v>
      </c>
      <c r="C886" s="10" t="s">
        <v>371</v>
      </c>
      <c r="D886" s="9" t="s">
        <v>371</v>
      </c>
      <c r="E886" s="9" t="s">
        <v>1030</v>
      </c>
      <c r="F886" s="10" t="s">
        <v>2516</v>
      </c>
      <c r="G886" s="11">
        <v>45771</v>
      </c>
    </row>
    <row r="887" spans="1:7" ht="24.5" hidden="1" x14ac:dyDescent="0.35">
      <c r="A887" s="8">
        <v>8186</v>
      </c>
      <c r="B887" s="10" t="s">
        <v>3435</v>
      </c>
      <c r="C887" s="10" t="s">
        <v>21</v>
      </c>
      <c r="D887" s="9" t="s">
        <v>21</v>
      </c>
      <c r="E887" s="9" t="s">
        <v>762</v>
      </c>
      <c r="F887" s="10" t="s">
        <v>2834</v>
      </c>
      <c r="G887" s="11">
        <v>45771</v>
      </c>
    </row>
    <row r="888" spans="1:7" ht="24.5" hidden="1" x14ac:dyDescent="0.35">
      <c r="A888" s="8">
        <v>8187</v>
      </c>
      <c r="B888" s="10" t="s">
        <v>3436</v>
      </c>
      <c r="C888" s="10" t="s">
        <v>134</v>
      </c>
      <c r="D888" s="9" t="s">
        <v>134</v>
      </c>
      <c r="E888" s="9" t="s">
        <v>936</v>
      </c>
      <c r="F888" s="10" t="s">
        <v>2540</v>
      </c>
      <c r="G888" s="11">
        <v>45771</v>
      </c>
    </row>
    <row r="889" spans="1:7" ht="36.5" hidden="1" x14ac:dyDescent="0.35">
      <c r="A889" s="8">
        <v>8188</v>
      </c>
      <c r="B889" s="10" t="s">
        <v>3437</v>
      </c>
      <c r="C889" s="10" t="s">
        <v>34</v>
      </c>
      <c r="D889" s="9" t="s">
        <v>234</v>
      </c>
      <c r="E889" s="9" t="s">
        <v>546</v>
      </c>
      <c r="F889" s="10" t="s">
        <v>2540</v>
      </c>
      <c r="G889" s="11">
        <v>45771</v>
      </c>
    </row>
    <row r="890" spans="1:7" ht="36.5" hidden="1" x14ac:dyDescent="0.35">
      <c r="A890" s="8">
        <v>8189</v>
      </c>
      <c r="B890" s="10" t="s">
        <v>3438</v>
      </c>
      <c r="C890" s="10" t="s">
        <v>134</v>
      </c>
      <c r="D890" s="9" t="s">
        <v>13</v>
      </c>
      <c r="E890" s="9" t="s">
        <v>1484</v>
      </c>
      <c r="F890" s="10" t="s">
        <v>2516</v>
      </c>
      <c r="G890" s="11">
        <v>45771</v>
      </c>
    </row>
    <row r="891" spans="1:7" ht="36.5" hidden="1" x14ac:dyDescent="0.35">
      <c r="A891" s="8">
        <v>8190</v>
      </c>
      <c r="B891" s="10" t="s">
        <v>3439</v>
      </c>
      <c r="C891" s="10" t="s">
        <v>21</v>
      </c>
      <c r="D891" s="9" t="s">
        <v>95</v>
      </c>
      <c r="E891" s="9" t="s">
        <v>3023</v>
      </c>
      <c r="F891" s="10" t="s">
        <v>2516</v>
      </c>
      <c r="G891" s="11">
        <v>45771</v>
      </c>
    </row>
    <row r="892" spans="1:7" ht="48.5" hidden="1" x14ac:dyDescent="0.35">
      <c r="A892" s="8">
        <v>8192</v>
      </c>
      <c r="B892" s="10" t="s">
        <v>3440</v>
      </c>
      <c r="C892" s="10" t="s">
        <v>21</v>
      </c>
      <c r="D892" s="9" t="s">
        <v>95</v>
      </c>
      <c r="E892" s="9" t="s">
        <v>1836</v>
      </c>
      <c r="F892" s="10" t="s">
        <v>2516</v>
      </c>
      <c r="G892" s="11">
        <v>45774</v>
      </c>
    </row>
    <row r="893" spans="1:7" ht="60.5" hidden="1" x14ac:dyDescent="0.35">
      <c r="A893" s="8">
        <v>8193</v>
      </c>
      <c r="B893" s="10" t="s">
        <v>3441</v>
      </c>
      <c r="C893" s="10" t="s">
        <v>134</v>
      </c>
      <c r="D893" s="9" t="s">
        <v>95</v>
      </c>
      <c r="E893" s="9" t="s">
        <v>1836</v>
      </c>
      <c r="F893" s="10" t="s">
        <v>2516</v>
      </c>
      <c r="G893" s="11">
        <v>45774</v>
      </c>
    </row>
    <row r="894" spans="1:7" ht="36.5" hidden="1" x14ac:dyDescent="0.35">
      <c r="A894" s="8">
        <v>8195</v>
      </c>
      <c r="B894" s="10" t="s">
        <v>3442</v>
      </c>
      <c r="C894" s="10" t="s">
        <v>395</v>
      </c>
      <c r="D894" s="9" t="s">
        <v>196</v>
      </c>
      <c r="E894" s="9" t="s">
        <v>1116</v>
      </c>
      <c r="F894" s="10" t="s">
        <v>2525</v>
      </c>
      <c r="G894" s="11">
        <v>45772</v>
      </c>
    </row>
    <row r="895" spans="1:7" ht="36.5" hidden="1" x14ac:dyDescent="0.35">
      <c r="A895" s="8">
        <v>8194</v>
      </c>
      <c r="B895" s="10" t="s">
        <v>3443</v>
      </c>
      <c r="C895" s="10" t="s">
        <v>13</v>
      </c>
      <c r="D895" s="9" t="s">
        <v>13</v>
      </c>
      <c r="E895" s="9" t="s">
        <v>168</v>
      </c>
      <c r="F895" s="10" t="s">
        <v>2516</v>
      </c>
      <c r="G895" s="11">
        <v>45771</v>
      </c>
    </row>
    <row r="896" spans="1:7" ht="24.5" hidden="1" x14ac:dyDescent="0.35">
      <c r="A896" s="8">
        <v>8198</v>
      </c>
      <c r="B896" s="10" t="s">
        <v>3444</v>
      </c>
      <c r="C896" s="10" t="s">
        <v>278</v>
      </c>
      <c r="D896" s="9" t="s">
        <v>278</v>
      </c>
      <c r="E896" s="9" t="s">
        <v>982</v>
      </c>
      <c r="F896" s="10" t="s">
        <v>2522</v>
      </c>
      <c r="G896" s="11">
        <v>45772</v>
      </c>
    </row>
    <row r="897" spans="1:7" ht="48.5" hidden="1" x14ac:dyDescent="0.35">
      <c r="A897" s="8">
        <v>8197</v>
      </c>
      <c r="B897" s="10" t="s">
        <v>3445</v>
      </c>
      <c r="C897" s="10" t="s">
        <v>278</v>
      </c>
      <c r="D897" s="9" t="s">
        <v>278</v>
      </c>
      <c r="E897" s="9" t="s">
        <v>982</v>
      </c>
      <c r="F897" s="10" t="s">
        <v>2559</v>
      </c>
      <c r="G897" s="11">
        <v>45772</v>
      </c>
    </row>
    <row r="898" spans="1:7" ht="36.5" hidden="1" x14ac:dyDescent="0.35">
      <c r="A898" s="8">
        <v>8196</v>
      </c>
      <c r="B898" s="10" t="s">
        <v>3446</v>
      </c>
      <c r="C898" s="10" t="s">
        <v>96</v>
      </c>
      <c r="D898" s="9" t="s">
        <v>96</v>
      </c>
      <c r="E898" s="9" t="s">
        <v>368</v>
      </c>
      <c r="F898" s="10" t="s">
        <v>2516</v>
      </c>
      <c r="G898" s="11">
        <v>45772</v>
      </c>
    </row>
    <row r="899" spans="1:7" ht="36.5" hidden="1" x14ac:dyDescent="0.35">
      <c r="A899" s="8">
        <v>8202</v>
      </c>
      <c r="B899" s="10" t="s">
        <v>3447</v>
      </c>
      <c r="C899" s="10" t="s">
        <v>96</v>
      </c>
      <c r="D899" s="9" t="s">
        <v>96</v>
      </c>
      <c r="E899" s="9" t="s">
        <v>368</v>
      </c>
      <c r="F899" s="10" t="s">
        <v>2516</v>
      </c>
      <c r="G899" s="11">
        <v>45774</v>
      </c>
    </row>
    <row r="900" spans="1:7" ht="24.5" hidden="1" x14ac:dyDescent="0.35">
      <c r="A900" s="8">
        <v>8199</v>
      </c>
      <c r="B900" s="10" t="s">
        <v>3448</v>
      </c>
      <c r="C900" s="10" t="s">
        <v>104</v>
      </c>
      <c r="D900" s="9" t="s">
        <v>104</v>
      </c>
      <c r="E900" s="9" t="s">
        <v>1371</v>
      </c>
      <c r="F900" s="10" t="s">
        <v>2522</v>
      </c>
      <c r="G900" s="11">
        <v>45772</v>
      </c>
    </row>
    <row r="901" spans="1:7" ht="36.5" hidden="1" x14ac:dyDescent="0.35">
      <c r="A901" s="8">
        <v>8203</v>
      </c>
      <c r="B901" s="10" t="s">
        <v>3449</v>
      </c>
      <c r="C901" s="10" t="s">
        <v>34</v>
      </c>
      <c r="D901" s="9" t="s">
        <v>395</v>
      </c>
      <c r="E901" s="9" t="s">
        <v>394</v>
      </c>
      <c r="F901" s="10" t="s">
        <v>2715</v>
      </c>
      <c r="G901" s="11">
        <v>45775</v>
      </c>
    </row>
    <row r="902" spans="1:7" ht="48.5" hidden="1" x14ac:dyDescent="0.35">
      <c r="A902" s="8">
        <v>8201</v>
      </c>
      <c r="B902" s="10" t="s">
        <v>3450</v>
      </c>
      <c r="C902" s="10" t="s">
        <v>190</v>
      </c>
      <c r="D902" s="9" t="s">
        <v>278</v>
      </c>
      <c r="E902" s="9" t="s">
        <v>3451</v>
      </c>
      <c r="F902" s="10" t="s">
        <v>2516</v>
      </c>
      <c r="G902" s="11">
        <v>45774</v>
      </c>
    </row>
    <row r="903" spans="1:7" ht="24.5" hidden="1" x14ac:dyDescent="0.35">
      <c r="A903" s="8">
        <v>8206</v>
      </c>
      <c r="B903" s="10" t="s">
        <v>3452</v>
      </c>
      <c r="C903" s="10" t="s">
        <v>13</v>
      </c>
      <c r="D903" s="9" t="s">
        <v>13</v>
      </c>
      <c r="E903" s="9" t="s">
        <v>819</v>
      </c>
      <c r="F903" s="10" t="s">
        <v>2522</v>
      </c>
      <c r="G903" s="11">
        <v>45775</v>
      </c>
    </row>
    <row r="904" spans="1:7" ht="36.5" hidden="1" x14ac:dyDescent="0.35">
      <c r="A904" s="8">
        <v>8204</v>
      </c>
      <c r="B904" s="10" t="s">
        <v>3453</v>
      </c>
      <c r="C904" s="10" t="s">
        <v>96</v>
      </c>
      <c r="D904" s="9" t="s">
        <v>96</v>
      </c>
      <c r="E904" s="9" t="s">
        <v>368</v>
      </c>
      <c r="F904" s="10" t="s">
        <v>2516</v>
      </c>
      <c r="G904" s="11">
        <v>45774</v>
      </c>
    </row>
    <row r="905" spans="1:7" ht="24.5" hidden="1" x14ac:dyDescent="0.35">
      <c r="A905" s="8">
        <v>8205</v>
      </c>
      <c r="B905" s="10" t="s">
        <v>3454</v>
      </c>
      <c r="C905" s="10" t="s">
        <v>134</v>
      </c>
      <c r="D905" s="9" t="s">
        <v>134</v>
      </c>
      <c r="E905" s="9" t="s">
        <v>168</v>
      </c>
      <c r="F905" s="10" t="s">
        <v>2522</v>
      </c>
      <c r="G905" s="11">
        <v>45775</v>
      </c>
    </row>
    <row r="906" spans="1:7" ht="36.5" hidden="1" x14ac:dyDescent="0.35">
      <c r="A906" s="8">
        <v>8216</v>
      </c>
      <c r="B906" s="10" t="s">
        <v>3455</v>
      </c>
      <c r="C906" s="10" t="s">
        <v>13</v>
      </c>
      <c r="D906" s="9" t="s">
        <v>13</v>
      </c>
      <c r="E906" s="9" t="s">
        <v>333</v>
      </c>
      <c r="F906" s="10" t="s">
        <v>2516</v>
      </c>
      <c r="G906" s="11">
        <v>45775</v>
      </c>
    </row>
    <row r="907" spans="1:7" ht="36.5" hidden="1" x14ac:dyDescent="0.35">
      <c r="A907" s="8">
        <v>8215</v>
      </c>
      <c r="B907" s="10" t="s">
        <v>3456</v>
      </c>
      <c r="C907" s="10" t="s">
        <v>13</v>
      </c>
      <c r="D907" s="9" t="s">
        <v>13</v>
      </c>
      <c r="E907" s="9" t="s">
        <v>333</v>
      </c>
      <c r="F907" s="10" t="s">
        <v>2516</v>
      </c>
      <c r="G907" s="11">
        <v>45775</v>
      </c>
    </row>
    <row r="908" spans="1:7" ht="36.5" hidden="1" x14ac:dyDescent="0.35">
      <c r="A908" s="8">
        <v>8217</v>
      </c>
      <c r="B908" s="10" t="s">
        <v>3457</v>
      </c>
      <c r="C908" s="10" t="s">
        <v>13</v>
      </c>
      <c r="D908" s="9" t="s">
        <v>13</v>
      </c>
      <c r="E908" s="9" t="s">
        <v>333</v>
      </c>
      <c r="F908" s="10" t="s">
        <v>2516</v>
      </c>
      <c r="G908" s="11">
        <v>45775</v>
      </c>
    </row>
    <row r="909" spans="1:7" ht="36.5" hidden="1" x14ac:dyDescent="0.35">
      <c r="A909" s="8">
        <v>8218</v>
      </c>
      <c r="B909" s="10" t="s">
        <v>3458</v>
      </c>
      <c r="C909" s="10" t="s">
        <v>13</v>
      </c>
      <c r="D909" s="9" t="s">
        <v>13</v>
      </c>
      <c r="E909" s="9" t="s">
        <v>333</v>
      </c>
      <c r="F909" s="10" t="s">
        <v>2516</v>
      </c>
      <c r="G909" s="11">
        <v>45775</v>
      </c>
    </row>
    <row r="910" spans="1:7" ht="48.5" hidden="1" x14ac:dyDescent="0.35">
      <c r="A910" s="8">
        <v>8219</v>
      </c>
      <c r="B910" s="10" t="s">
        <v>3459</v>
      </c>
      <c r="C910" s="10" t="s">
        <v>13</v>
      </c>
      <c r="D910" s="9" t="s">
        <v>13</v>
      </c>
      <c r="E910" s="9" t="s">
        <v>333</v>
      </c>
      <c r="F910" s="10" t="s">
        <v>2516</v>
      </c>
      <c r="G910" s="11">
        <v>45775</v>
      </c>
    </row>
    <row r="911" spans="1:7" ht="36.5" hidden="1" x14ac:dyDescent="0.35">
      <c r="A911" s="8">
        <v>8220</v>
      </c>
      <c r="B911" s="10" t="s">
        <v>3460</v>
      </c>
      <c r="C911" s="10" t="s">
        <v>13</v>
      </c>
      <c r="D911" s="9" t="s">
        <v>13</v>
      </c>
      <c r="E911" s="9" t="s">
        <v>333</v>
      </c>
      <c r="F911" s="10" t="s">
        <v>2516</v>
      </c>
      <c r="G911" s="11">
        <v>45775</v>
      </c>
    </row>
    <row r="912" spans="1:7" ht="36.5" hidden="1" x14ac:dyDescent="0.35">
      <c r="A912" s="8">
        <v>8221</v>
      </c>
      <c r="B912" s="10" t="s">
        <v>3461</v>
      </c>
      <c r="C912" s="10" t="s">
        <v>395</v>
      </c>
      <c r="D912" s="9" t="s">
        <v>13</v>
      </c>
      <c r="E912" s="9" t="s">
        <v>333</v>
      </c>
      <c r="F912" s="10" t="s">
        <v>2516</v>
      </c>
      <c r="G912" s="11">
        <v>45775</v>
      </c>
    </row>
    <row r="913" spans="1:7" ht="36.5" hidden="1" x14ac:dyDescent="0.35">
      <c r="A913" s="8">
        <v>8214</v>
      </c>
      <c r="B913" s="10" t="s">
        <v>3462</v>
      </c>
      <c r="C913" s="10" t="s">
        <v>26</v>
      </c>
      <c r="D913" s="9" t="s">
        <v>395</v>
      </c>
      <c r="E913" s="9" t="s">
        <v>394</v>
      </c>
      <c r="F913" s="10" t="s">
        <v>2715</v>
      </c>
      <c r="G913" s="11">
        <v>45775</v>
      </c>
    </row>
    <row r="914" spans="1:7" ht="36.5" hidden="1" x14ac:dyDescent="0.35">
      <c r="A914" s="8">
        <v>8208</v>
      </c>
      <c r="B914" s="10" t="s">
        <v>3463</v>
      </c>
      <c r="C914" s="10" t="s">
        <v>34</v>
      </c>
      <c r="D914" s="9" t="s">
        <v>395</v>
      </c>
      <c r="E914" s="9" t="s">
        <v>394</v>
      </c>
      <c r="F914" s="10" t="s">
        <v>2715</v>
      </c>
      <c r="G914" s="11">
        <v>45775</v>
      </c>
    </row>
    <row r="915" spans="1:7" ht="48.5" hidden="1" x14ac:dyDescent="0.35">
      <c r="A915" s="8">
        <v>8209</v>
      </c>
      <c r="B915" s="10" t="s">
        <v>3464</v>
      </c>
      <c r="C915" s="10" t="s">
        <v>21</v>
      </c>
      <c r="D915" s="9" t="s">
        <v>395</v>
      </c>
      <c r="E915" s="9" t="s">
        <v>394</v>
      </c>
      <c r="F915" s="10" t="s">
        <v>2715</v>
      </c>
      <c r="G915" s="11">
        <v>45775</v>
      </c>
    </row>
    <row r="916" spans="1:7" ht="48.5" hidden="1" x14ac:dyDescent="0.35">
      <c r="A916" s="8">
        <v>8210</v>
      </c>
      <c r="B916" s="10" t="s">
        <v>3465</v>
      </c>
      <c r="C916" s="10" t="s">
        <v>26</v>
      </c>
      <c r="D916" s="9" t="s">
        <v>395</v>
      </c>
      <c r="E916" s="9" t="s">
        <v>394</v>
      </c>
      <c r="F916" s="10" t="s">
        <v>2715</v>
      </c>
      <c r="G916" s="11">
        <v>45775</v>
      </c>
    </row>
    <row r="917" spans="1:7" ht="36.5" hidden="1" x14ac:dyDescent="0.35">
      <c r="A917" s="8">
        <v>8212</v>
      </c>
      <c r="B917" s="10" t="s">
        <v>3466</v>
      </c>
      <c r="C917" s="10" t="s">
        <v>134</v>
      </c>
      <c r="D917" s="9" t="s">
        <v>395</v>
      </c>
      <c r="E917" s="9" t="s">
        <v>394</v>
      </c>
      <c r="F917" s="10" t="s">
        <v>2715</v>
      </c>
      <c r="G917" s="11">
        <v>45775</v>
      </c>
    </row>
    <row r="918" spans="1:7" ht="36.5" hidden="1" x14ac:dyDescent="0.35">
      <c r="A918" s="8">
        <v>8213</v>
      </c>
      <c r="B918" s="10" t="s">
        <v>3467</v>
      </c>
      <c r="C918" s="10" t="s">
        <v>278</v>
      </c>
      <c r="D918" s="9" t="s">
        <v>395</v>
      </c>
      <c r="E918" s="9" t="s">
        <v>394</v>
      </c>
      <c r="F918" s="10" t="s">
        <v>2715</v>
      </c>
      <c r="G918" s="11">
        <v>45775</v>
      </c>
    </row>
    <row r="919" spans="1:7" ht="36.5" hidden="1" x14ac:dyDescent="0.35">
      <c r="A919" s="8">
        <v>8211</v>
      </c>
      <c r="B919" s="10" t="s">
        <v>3468</v>
      </c>
      <c r="C919" s="10" t="s">
        <v>95</v>
      </c>
      <c r="D919" s="9" t="s">
        <v>395</v>
      </c>
      <c r="E919" s="9" t="s">
        <v>394</v>
      </c>
      <c r="F919" s="10" t="s">
        <v>2715</v>
      </c>
      <c r="G919" s="11">
        <v>45775</v>
      </c>
    </row>
    <row r="920" spans="1:7" ht="36.5" hidden="1" x14ac:dyDescent="0.35">
      <c r="A920" s="8">
        <v>8223</v>
      </c>
      <c r="B920" s="10" t="s">
        <v>3469</v>
      </c>
      <c r="C920" s="10" t="s">
        <v>104</v>
      </c>
      <c r="D920" s="9" t="s">
        <v>395</v>
      </c>
      <c r="E920" s="9" t="s">
        <v>1045</v>
      </c>
      <c r="F920" s="10" t="s">
        <v>2516</v>
      </c>
      <c r="G920" s="11">
        <v>45776</v>
      </c>
    </row>
    <row r="921" spans="1:7" ht="24.5" hidden="1" x14ac:dyDescent="0.35">
      <c r="A921" s="8">
        <v>8239</v>
      </c>
      <c r="B921" s="10" t="s">
        <v>3470</v>
      </c>
      <c r="C921" s="10" t="s">
        <v>134</v>
      </c>
      <c r="D921" s="9" t="s">
        <v>95</v>
      </c>
      <c r="E921" s="9" t="s">
        <v>657</v>
      </c>
      <c r="F921" s="10" t="s">
        <v>2522</v>
      </c>
      <c r="G921" s="11">
        <v>45776</v>
      </c>
    </row>
    <row r="922" spans="1:7" ht="36.5" hidden="1" x14ac:dyDescent="0.35">
      <c r="A922" s="8">
        <v>8240</v>
      </c>
      <c r="B922" s="10" t="s">
        <v>3471</v>
      </c>
      <c r="C922" s="10" t="s">
        <v>13</v>
      </c>
      <c r="D922" s="9" t="s">
        <v>190</v>
      </c>
      <c r="E922" s="9" t="s">
        <v>418</v>
      </c>
      <c r="F922" s="10" t="s">
        <v>2540</v>
      </c>
      <c r="G922" s="11">
        <v>45776</v>
      </c>
    </row>
    <row r="923" spans="1:7" ht="36.5" hidden="1" x14ac:dyDescent="0.35">
      <c r="A923" s="8">
        <v>8237</v>
      </c>
      <c r="B923" s="10" t="s">
        <v>3472</v>
      </c>
      <c r="C923" s="10" t="s">
        <v>220</v>
      </c>
      <c r="D923" s="9" t="s">
        <v>395</v>
      </c>
      <c r="E923" s="9" t="s">
        <v>1037</v>
      </c>
      <c r="F923" s="10" t="s">
        <v>2522</v>
      </c>
      <c r="G923" s="11">
        <v>45776</v>
      </c>
    </row>
    <row r="924" spans="1:7" ht="24.5" hidden="1" x14ac:dyDescent="0.35">
      <c r="A924" s="8">
        <v>8238</v>
      </c>
      <c r="B924" s="10" t="s">
        <v>3473</v>
      </c>
      <c r="C924" s="10" t="s">
        <v>134</v>
      </c>
      <c r="D924" s="9" t="s">
        <v>134</v>
      </c>
      <c r="E924" s="9" t="s">
        <v>762</v>
      </c>
      <c r="F924" s="10" t="s">
        <v>2522</v>
      </c>
      <c r="G924" s="11">
        <v>45776</v>
      </c>
    </row>
    <row r="925" spans="1:7" ht="24.5" hidden="1" x14ac:dyDescent="0.35">
      <c r="A925" s="8">
        <v>8236</v>
      </c>
      <c r="B925" s="10" t="s">
        <v>3474</v>
      </c>
      <c r="C925" s="10" t="s">
        <v>13</v>
      </c>
      <c r="D925" s="9" t="s">
        <v>13</v>
      </c>
      <c r="E925" s="9" t="s">
        <v>819</v>
      </c>
      <c r="F925" s="10" t="s">
        <v>2522</v>
      </c>
      <c r="G925" s="11">
        <v>45775</v>
      </c>
    </row>
    <row r="926" spans="1:7" ht="24.5" hidden="1" x14ac:dyDescent="0.35">
      <c r="A926" s="8">
        <v>8242</v>
      </c>
      <c r="B926" s="10" t="s">
        <v>3475</v>
      </c>
      <c r="C926" s="10" t="s">
        <v>96</v>
      </c>
      <c r="D926" s="9" t="s">
        <v>96</v>
      </c>
      <c r="E926" s="9" t="s">
        <v>368</v>
      </c>
      <c r="F926" s="10" t="s">
        <v>2522</v>
      </c>
      <c r="G926" s="11">
        <v>45776</v>
      </c>
    </row>
    <row r="927" spans="1:7" ht="24.5" hidden="1" x14ac:dyDescent="0.35">
      <c r="A927" s="8">
        <v>8241</v>
      </c>
      <c r="B927" s="10" t="s">
        <v>3476</v>
      </c>
      <c r="C927" s="10" t="s">
        <v>96</v>
      </c>
      <c r="D927" s="9" t="s">
        <v>96</v>
      </c>
      <c r="E927" s="9" t="s">
        <v>1055</v>
      </c>
      <c r="F927" s="10" t="s">
        <v>2522</v>
      </c>
      <c r="G927" s="11">
        <v>45776</v>
      </c>
    </row>
    <row r="928" spans="1:7" ht="36.5" hidden="1" x14ac:dyDescent="0.35">
      <c r="A928" s="8">
        <v>8246</v>
      </c>
      <c r="B928" s="10" t="s">
        <v>3477</v>
      </c>
      <c r="C928" s="10" t="s">
        <v>220</v>
      </c>
      <c r="D928" s="9" t="s">
        <v>220</v>
      </c>
      <c r="E928" s="9" t="s">
        <v>305</v>
      </c>
      <c r="F928" s="10" t="s">
        <v>2516</v>
      </c>
      <c r="G928" s="11">
        <v>45777</v>
      </c>
    </row>
    <row r="929" spans="1:7" ht="36.5" hidden="1" x14ac:dyDescent="0.35">
      <c r="A929" s="8">
        <v>8243</v>
      </c>
      <c r="B929" s="10" t="s">
        <v>3478</v>
      </c>
      <c r="C929" s="10" t="s">
        <v>21</v>
      </c>
      <c r="D929" s="9" t="s">
        <v>190</v>
      </c>
      <c r="E929" s="9" t="s">
        <v>3479</v>
      </c>
      <c r="F929" s="10" t="s">
        <v>2516</v>
      </c>
      <c r="G929" s="11">
        <v>45777</v>
      </c>
    </row>
    <row r="930" spans="1:7" ht="24.5" hidden="1" x14ac:dyDescent="0.35">
      <c r="A930" s="8">
        <v>8249</v>
      </c>
      <c r="B930" s="10" t="s">
        <v>3480</v>
      </c>
      <c r="C930" s="10" t="s">
        <v>250</v>
      </c>
      <c r="D930" s="9" t="s">
        <v>250</v>
      </c>
      <c r="E930" s="9" t="s">
        <v>592</v>
      </c>
      <c r="F930" s="10" t="s">
        <v>2522</v>
      </c>
      <c r="G930" s="11">
        <v>45777</v>
      </c>
    </row>
    <row r="931" spans="1:7" ht="48.5" hidden="1" x14ac:dyDescent="0.35">
      <c r="A931" s="8">
        <v>8252</v>
      </c>
      <c r="B931" s="10" t="s">
        <v>3481</v>
      </c>
      <c r="C931" s="10" t="s">
        <v>196</v>
      </c>
      <c r="D931" s="9" t="s">
        <v>196</v>
      </c>
      <c r="E931" s="9" t="s">
        <v>1653</v>
      </c>
      <c r="F931" s="10" t="s">
        <v>2559</v>
      </c>
      <c r="G931" s="11">
        <v>45775</v>
      </c>
    </row>
    <row r="932" spans="1:7" ht="48.5" hidden="1" x14ac:dyDescent="0.35">
      <c r="A932" s="8">
        <v>8251</v>
      </c>
      <c r="B932" s="10" t="s">
        <v>3482</v>
      </c>
      <c r="C932" s="10" t="s">
        <v>190</v>
      </c>
      <c r="D932" s="9" t="s">
        <v>250</v>
      </c>
      <c r="E932" s="9" t="s">
        <v>592</v>
      </c>
      <c r="F932" s="10" t="s">
        <v>2559</v>
      </c>
      <c r="G932" s="11">
        <v>45777</v>
      </c>
    </row>
    <row r="933" spans="1:7" ht="24.5" hidden="1" x14ac:dyDescent="0.35">
      <c r="A933" s="8">
        <v>8250</v>
      </c>
      <c r="B933" s="10" t="s">
        <v>3483</v>
      </c>
      <c r="C933" s="10" t="s">
        <v>190</v>
      </c>
      <c r="D933" s="9" t="s">
        <v>250</v>
      </c>
      <c r="E933" s="9" t="s">
        <v>592</v>
      </c>
      <c r="F933" s="10" t="s">
        <v>2522</v>
      </c>
      <c r="G933" s="11">
        <v>45777</v>
      </c>
    </row>
    <row r="934" spans="1:7" ht="24.5" hidden="1" x14ac:dyDescent="0.35">
      <c r="A934" s="8">
        <v>8272</v>
      </c>
      <c r="B934" s="10" t="s">
        <v>3484</v>
      </c>
      <c r="C934" s="10" t="s">
        <v>96</v>
      </c>
      <c r="D934" s="9" t="s">
        <v>96</v>
      </c>
      <c r="E934" s="9" t="s">
        <v>1179</v>
      </c>
      <c r="F934" s="10" t="s">
        <v>2537</v>
      </c>
      <c r="G934" s="11">
        <v>45783</v>
      </c>
    </row>
    <row r="935" spans="1:7" ht="36.5" hidden="1" x14ac:dyDescent="0.35">
      <c r="A935" s="8">
        <v>8276</v>
      </c>
      <c r="B935" s="10" t="s">
        <v>3485</v>
      </c>
      <c r="C935" s="10" t="s">
        <v>13</v>
      </c>
      <c r="D935" s="9" t="s">
        <v>395</v>
      </c>
      <c r="E935" s="9" t="s">
        <v>1926</v>
      </c>
      <c r="F935" s="10" t="s">
        <v>2530</v>
      </c>
      <c r="G935" s="11">
        <v>45779</v>
      </c>
    </row>
    <row r="936" spans="1:7" ht="36.5" hidden="1" x14ac:dyDescent="0.35">
      <c r="A936" s="8">
        <v>8277</v>
      </c>
      <c r="B936" s="10" t="s">
        <v>3486</v>
      </c>
      <c r="C936" s="10" t="s">
        <v>26</v>
      </c>
      <c r="D936" s="9" t="s">
        <v>395</v>
      </c>
      <c r="E936" s="9" t="s">
        <v>1037</v>
      </c>
      <c r="F936" s="10" t="s">
        <v>2516</v>
      </c>
      <c r="G936" s="11">
        <v>45779</v>
      </c>
    </row>
    <row r="937" spans="1:7" ht="36.5" hidden="1" x14ac:dyDescent="0.35">
      <c r="A937" s="8">
        <v>8278</v>
      </c>
      <c r="B937" s="10" t="s">
        <v>3487</v>
      </c>
      <c r="C937" s="10" t="s">
        <v>34</v>
      </c>
      <c r="D937" s="9" t="s">
        <v>395</v>
      </c>
      <c r="E937" s="9" t="s">
        <v>1037</v>
      </c>
      <c r="F937" s="10" t="s">
        <v>2572</v>
      </c>
      <c r="G937" s="11">
        <v>45779</v>
      </c>
    </row>
    <row r="938" spans="1:7" ht="24.5" hidden="1" x14ac:dyDescent="0.35">
      <c r="A938" s="8">
        <v>8279</v>
      </c>
      <c r="B938" s="10" t="s">
        <v>3488</v>
      </c>
      <c r="C938" s="10" t="s">
        <v>190</v>
      </c>
      <c r="D938" s="9" t="s">
        <v>395</v>
      </c>
      <c r="E938" s="9" t="s">
        <v>1037</v>
      </c>
      <c r="F938" s="10" t="s">
        <v>2522</v>
      </c>
      <c r="G938" s="11">
        <v>45779</v>
      </c>
    </row>
    <row r="939" spans="1:7" ht="24.5" hidden="1" x14ac:dyDescent="0.35">
      <c r="A939" s="8">
        <v>8281</v>
      </c>
      <c r="B939" s="10" t="s">
        <v>3489</v>
      </c>
      <c r="C939" s="10" t="s">
        <v>104</v>
      </c>
      <c r="D939" s="9" t="s">
        <v>104</v>
      </c>
      <c r="E939" s="9" t="s">
        <v>819</v>
      </c>
      <c r="F939" s="10" t="s">
        <v>2522</v>
      </c>
      <c r="G939" s="11">
        <v>45781</v>
      </c>
    </row>
    <row r="940" spans="1:7" ht="36.5" hidden="1" x14ac:dyDescent="0.35">
      <c r="A940" s="8">
        <v>8280</v>
      </c>
      <c r="B940" s="10" t="s">
        <v>3490</v>
      </c>
      <c r="C940" s="10" t="s">
        <v>134</v>
      </c>
      <c r="D940" s="9" t="s">
        <v>134</v>
      </c>
      <c r="E940" s="9" t="s">
        <v>819</v>
      </c>
      <c r="F940" s="10" t="s">
        <v>2516</v>
      </c>
      <c r="G940" s="11">
        <v>45779</v>
      </c>
    </row>
    <row r="941" spans="1:7" ht="24.5" hidden="1" x14ac:dyDescent="0.35">
      <c r="A941" s="8">
        <v>8282</v>
      </c>
      <c r="B941" s="10" t="s">
        <v>3491</v>
      </c>
      <c r="C941" s="10" t="s">
        <v>26</v>
      </c>
      <c r="D941" s="9" t="s">
        <v>395</v>
      </c>
      <c r="E941" s="9" t="s">
        <v>394</v>
      </c>
      <c r="F941" s="10" t="s">
        <v>2522</v>
      </c>
      <c r="G941" s="11">
        <v>45781</v>
      </c>
    </row>
    <row r="942" spans="1:7" ht="36.5" hidden="1" x14ac:dyDescent="0.35">
      <c r="A942" s="8">
        <v>8284</v>
      </c>
      <c r="B942" s="10" t="s">
        <v>3492</v>
      </c>
      <c r="C942" s="10" t="s">
        <v>134</v>
      </c>
      <c r="D942" s="9" t="s">
        <v>134</v>
      </c>
      <c r="E942" s="9" t="s">
        <v>819</v>
      </c>
      <c r="F942" s="10" t="s">
        <v>2516</v>
      </c>
      <c r="G942" s="11">
        <v>45781</v>
      </c>
    </row>
    <row r="943" spans="1:7" ht="48.5" hidden="1" x14ac:dyDescent="0.35">
      <c r="A943" s="8">
        <v>8285</v>
      </c>
      <c r="B943" s="10" t="s">
        <v>3493</v>
      </c>
      <c r="C943" s="10" t="s">
        <v>134</v>
      </c>
      <c r="D943" s="9" t="s">
        <v>95</v>
      </c>
      <c r="E943" s="9" t="s">
        <v>1092</v>
      </c>
      <c r="F943" s="10" t="s">
        <v>2559</v>
      </c>
      <c r="G943" s="11">
        <v>45779</v>
      </c>
    </row>
    <row r="944" spans="1:7" ht="36.5" hidden="1" x14ac:dyDescent="0.35">
      <c r="A944" s="8">
        <v>8287</v>
      </c>
      <c r="B944" s="10" t="s">
        <v>3494</v>
      </c>
      <c r="C944" s="10" t="s">
        <v>196</v>
      </c>
      <c r="D944" s="9" t="s">
        <v>196</v>
      </c>
      <c r="E944" s="9" t="s">
        <v>947</v>
      </c>
      <c r="F944" s="10" t="s">
        <v>2522</v>
      </c>
      <c r="G944" s="11">
        <v>45779</v>
      </c>
    </row>
    <row r="945" spans="1:7" ht="36.5" hidden="1" x14ac:dyDescent="0.35">
      <c r="A945" s="8">
        <v>8293</v>
      </c>
      <c r="B945" s="10" t="s">
        <v>3495</v>
      </c>
      <c r="C945" s="10" t="s">
        <v>371</v>
      </c>
      <c r="D945" s="9" t="s">
        <v>371</v>
      </c>
      <c r="E945" s="9" t="s">
        <v>2682</v>
      </c>
      <c r="F945" s="10" t="s">
        <v>2525</v>
      </c>
      <c r="G945" s="11">
        <v>45782</v>
      </c>
    </row>
    <row r="946" spans="1:7" ht="36.5" hidden="1" x14ac:dyDescent="0.35">
      <c r="A946" s="8">
        <v>8290</v>
      </c>
      <c r="B946" s="10" t="s">
        <v>3496</v>
      </c>
      <c r="C946" s="10" t="s">
        <v>371</v>
      </c>
      <c r="D946" s="9" t="s">
        <v>371</v>
      </c>
      <c r="E946" s="9" t="s">
        <v>2682</v>
      </c>
      <c r="F946" s="10" t="s">
        <v>2516</v>
      </c>
      <c r="G946" s="11">
        <v>45779</v>
      </c>
    </row>
    <row r="947" spans="1:7" ht="36.5" hidden="1" x14ac:dyDescent="0.35">
      <c r="A947" s="8">
        <v>8294</v>
      </c>
      <c r="B947" s="10" t="s">
        <v>3497</v>
      </c>
      <c r="C947" s="10" t="s">
        <v>220</v>
      </c>
      <c r="D947" s="9" t="s">
        <v>220</v>
      </c>
      <c r="E947" s="9" t="s">
        <v>327</v>
      </c>
      <c r="F947" s="10" t="s">
        <v>2516</v>
      </c>
      <c r="G947" s="11">
        <v>45782</v>
      </c>
    </row>
    <row r="948" spans="1:7" ht="36.5" hidden="1" x14ac:dyDescent="0.35">
      <c r="A948" s="8">
        <v>8298</v>
      </c>
      <c r="B948" s="10" t="s">
        <v>3498</v>
      </c>
      <c r="C948" s="10" t="s">
        <v>190</v>
      </c>
      <c r="D948" s="9" t="s">
        <v>278</v>
      </c>
      <c r="E948" s="9" t="s">
        <v>711</v>
      </c>
      <c r="F948" s="10" t="s">
        <v>2516</v>
      </c>
      <c r="G948" s="11">
        <v>45782</v>
      </c>
    </row>
    <row r="949" spans="1:7" ht="36.5" hidden="1" x14ac:dyDescent="0.35">
      <c r="A949" s="8">
        <v>8300</v>
      </c>
      <c r="B949" s="10" t="s">
        <v>3499</v>
      </c>
      <c r="C949" s="10" t="s">
        <v>220</v>
      </c>
      <c r="D949" s="9" t="s">
        <v>371</v>
      </c>
      <c r="E949" s="9" t="s">
        <v>1674</v>
      </c>
      <c r="F949" s="10" t="s">
        <v>2525</v>
      </c>
      <c r="G949" s="11">
        <v>45782</v>
      </c>
    </row>
    <row r="950" spans="1:7" ht="36.5" hidden="1" x14ac:dyDescent="0.35">
      <c r="A950" s="8">
        <v>8301</v>
      </c>
      <c r="B950" s="10" t="s">
        <v>3500</v>
      </c>
      <c r="C950" s="10" t="s">
        <v>220</v>
      </c>
      <c r="D950" s="9" t="s">
        <v>371</v>
      </c>
      <c r="E950" s="9" t="s">
        <v>1674</v>
      </c>
      <c r="F950" s="10" t="s">
        <v>2516</v>
      </c>
      <c r="G950" s="11">
        <v>45782</v>
      </c>
    </row>
    <row r="951" spans="1:7" ht="24.5" hidden="1" x14ac:dyDescent="0.35">
      <c r="A951" s="8">
        <v>8299</v>
      </c>
      <c r="B951" s="10" t="s">
        <v>3501</v>
      </c>
      <c r="C951" s="10" t="s">
        <v>278</v>
      </c>
      <c r="D951" s="9" t="s">
        <v>278</v>
      </c>
      <c r="E951" s="9" t="s">
        <v>711</v>
      </c>
      <c r="F951" s="10" t="s">
        <v>2522</v>
      </c>
      <c r="G951" s="11">
        <v>45782</v>
      </c>
    </row>
    <row r="952" spans="1:7" ht="36.5" hidden="1" x14ac:dyDescent="0.35">
      <c r="A952" s="8">
        <v>8303</v>
      </c>
      <c r="B952" s="10" t="s">
        <v>3502</v>
      </c>
      <c r="C952" s="10" t="s">
        <v>134</v>
      </c>
      <c r="D952" s="9" t="s">
        <v>190</v>
      </c>
      <c r="E952" s="9" t="s">
        <v>410</v>
      </c>
      <c r="F952" s="10" t="s">
        <v>2516</v>
      </c>
      <c r="G952" s="11">
        <v>45782</v>
      </c>
    </row>
    <row r="953" spans="1:7" ht="36.5" hidden="1" x14ac:dyDescent="0.35">
      <c r="A953" s="8">
        <v>8296</v>
      </c>
      <c r="B953" s="10" t="s">
        <v>3503</v>
      </c>
      <c r="C953" s="10" t="s">
        <v>34</v>
      </c>
      <c r="D953" s="9" t="s">
        <v>34</v>
      </c>
      <c r="E953" s="9" t="s">
        <v>78</v>
      </c>
      <c r="F953" s="10" t="s">
        <v>2516</v>
      </c>
      <c r="G953" s="11">
        <v>45783</v>
      </c>
    </row>
    <row r="954" spans="1:7" ht="36.5" hidden="1" x14ac:dyDescent="0.35">
      <c r="A954" s="8">
        <v>8304</v>
      </c>
      <c r="B954" s="10" t="s">
        <v>3504</v>
      </c>
      <c r="C954" s="10" t="s">
        <v>96</v>
      </c>
      <c r="D954" s="9" t="s">
        <v>96</v>
      </c>
      <c r="E954" s="9" t="s">
        <v>1179</v>
      </c>
      <c r="F954" s="10" t="s">
        <v>2516</v>
      </c>
      <c r="G954" s="11">
        <v>45782</v>
      </c>
    </row>
    <row r="955" spans="1:7" ht="24.5" hidden="1" x14ac:dyDescent="0.35">
      <c r="A955" s="8">
        <v>8302</v>
      </c>
      <c r="B955" s="10" t="s">
        <v>3505</v>
      </c>
      <c r="C955" s="10" t="s">
        <v>21</v>
      </c>
      <c r="D955" s="9" t="s">
        <v>95</v>
      </c>
      <c r="E955" s="9" t="s">
        <v>694</v>
      </c>
      <c r="F955" s="10" t="s">
        <v>2540</v>
      </c>
      <c r="G955" s="11">
        <v>45782</v>
      </c>
    </row>
    <row r="956" spans="1:7" ht="36.5" hidden="1" x14ac:dyDescent="0.35">
      <c r="A956" s="8">
        <v>8308</v>
      </c>
      <c r="B956" s="10" t="s">
        <v>3506</v>
      </c>
      <c r="C956" s="10" t="s">
        <v>96</v>
      </c>
      <c r="D956" s="9" t="s">
        <v>96</v>
      </c>
      <c r="E956" s="9" t="s">
        <v>890</v>
      </c>
      <c r="F956" s="10" t="s">
        <v>2516</v>
      </c>
      <c r="G956" s="11">
        <v>45782</v>
      </c>
    </row>
    <row r="957" spans="1:7" ht="36.5" hidden="1" x14ac:dyDescent="0.35">
      <c r="A957" s="8">
        <v>8309</v>
      </c>
      <c r="B957" s="10" t="s">
        <v>3507</v>
      </c>
      <c r="C957" s="10" t="s">
        <v>13</v>
      </c>
      <c r="D957" s="9" t="s">
        <v>13</v>
      </c>
      <c r="E957" s="9" t="s">
        <v>1391</v>
      </c>
      <c r="F957" s="10" t="s">
        <v>2572</v>
      </c>
      <c r="G957" s="11">
        <v>45783</v>
      </c>
    </row>
    <row r="958" spans="1:7" ht="24.5" hidden="1" x14ac:dyDescent="0.35">
      <c r="A958" s="8">
        <v>8310</v>
      </c>
      <c r="B958" s="10" t="s">
        <v>3508</v>
      </c>
      <c r="C958" s="10" t="s">
        <v>104</v>
      </c>
      <c r="D958" s="9" t="s">
        <v>104</v>
      </c>
      <c r="E958" s="9" t="s">
        <v>633</v>
      </c>
      <c r="F958" s="10" t="s">
        <v>2522</v>
      </c>
      <c r="G958" s="11">
        <v>45783</v>
      </c>
    </row>
    <row r="959" spans="1:7" ht="24.5" hidden="1" x14ac:dyDescent="0.35">
      <c r="A959" s="8">
        <v>8307</v>
      </c>
      <c r="B959" s="10" t="s">
        <v>3509</v>
      </c>
      <c r="C959" s="10" t="s">
        <v>21</v>
      </c>
      <c r="D959" s="9" t="s">
        <v>21</v>
      </c>
      <c r="E959" s="9" t="s">
        <v>819</v>
      </c>
      <c r="F959" s="10" t="s">
        <v>2522</v>
      </c>
      <c r="G959" s="11">
        <v>45782</v>
      </c>
    </row>
    <row r="960" spans="1:7" ht="36.5" hidden="1" x14ac:dyDescent="0.35">
      <c r="A960" s="8">
        <v>8311</v>
      </c>
      <c r="B960" s="10" t="s">
        <v>3510</v>
      </c>
      <c r="C960" s="10" t="s">
        <v>13</v>
      </c>
      <c r="D960" s="9" t="s">
        <v>13</v>
      </c>
      <c r="E960" s="9" t="s">
        <v>1391</v>
      </c>
      <c r="F960" s="10" t="s">
        <v>2516</v>
      </c>
      <c r="G960" s="11">
        <v>45783</v>
      </c>
    </row>
    <row r="961" spans="1:7" ht="36.5" hidden="1" x14ac:dyDescent="0.35">
      <c r="A961" s="8">
        <v>8312</v>
      </c>
      <c r="B961" s="10" t="s">
        <v>3511</v>
      </c>
      <c r="C961" s="10" t="s">
        <v>250</v>
      </c>
      <c r="D961" s="9" t="s">
        <v>250</v>
      </c>
      <c r="E961" s="9" t="s">
        <v>410</v>
      </c>
      <c r="F961" s="10" t="s">
        <v>2516</v>
      </c>
      <c r="G961" s="11">
        <v>45783</v>
      </c>
    </row>
    <row r="962" spans="1:7" ht="24.5" hidden="1" x14ac:dyDescent="0.35">
      <c r="A962" s="8">
        <v>8313</v>
      </c>
      <c r="B962" s="10" t="s">
        <v>3512</v>
      </c>
      <c r="C962" s="10" t="s">
        <v>21</v>
      </c>
      <c r="D962" s="9" t="s">
        <v>21</v>
      </c>
      <c r="E962" s="9" t="s">
        <v>1391</v>
      </c>
      <c r="F962" s="10" t="s">
        <v>2522</v>
      </c>
      <c r="G962" s="11">
        <v>45783</v>
      </c>
    </row>
    <row r="963" spans="1:7" ht="24.5" hidden="1" x14ac:dyDescent="0.35">
      <c r="A963" s="8">
        <v>8315</v>
      </c>
      <c r="B963" s="10" t="s">
        <v>3513</v>
      </c>
      <c r="C963" s="10" t="s">
        <v>21</v>
      </c>
      <c r="D963" s="9" t="s">
        <v>21</v>
      </c>
      <c r="E963" s="9" t="s">
        <v>762</v>
      </c>
      <c r="F963" s="10" t="s">
        <v>2522</v>
      </c>
      <c r="G963" s="11">
        <v>45783</v>
      </c>
    </row>
    <row r="964" spans="1:7" ht="24.5" hidden="1" x14ac:dyDescent="0.35">
      <c r="A964" s="8">
        <v>8314</v>
      </c>
      <c r="B964" s="10" t="s">
        <v>3514</v>
      </c>
      <c r="C964" s="10" t="s">
        <v>250</v>
      </c>
      <c r="D964" s="9" t="s">
        <v>395</v>
      </c>
      <c r="E964" s="9" t="s">
        <v>1037</v>
      </c>
      <c r="F964" s="10" t="s">
        <v>2540</v>
      </c>
      <c r="G964" s="11">
        <v>45783</v>
      </c>
    </row>
    <row r="965" spans="1:7" ht="36.5" hidden="1" x14ac:dyDescent="0.35">
      <c r="A965" s="8">
        <v>8316</v>
      </c>
      <c r="B965" s="10" t="s">
        <v>3515</v>
      </c>
      <c r="C965" s="10" t="s">
        <v>21</v>
      </c>
      <c r="D965" s="9" t="s">
        <v>95</v>
      </c>
      <c r="E965" s="9" t="s">
        <v>535</v>
      </c>
      <c r="F965" s="10" t="s">
        <v>2834</v>
      </c>
      <c r="G965" s="11">
        <v>45783</v>
      </c>
    </row>
    <row r="966" spans="1:7" ht="36.5" hidden="1" x14ac:dyDescent="0.35">
      <c r="A966" s="8">
        <v>8324</v>
      </c>
      <c r="B966" s="10" t="s">
        <v>3516</v>
      </c>
      <c r="C966" s="10" t="s">
        <v>196</v>
      </c>
      <c r="D966" s="9" t="s">
        <v>395</v>
      </c>
      <c r="E966" s="9" t="s">
        <v>1045</v>
      </c>
      <c r="F966" s="10" t="s">
        <v>2525</v>
      </c>
      <c r="G966" s="11">
        <v>45783</v>
      </c>
    </row>
    <row r="967" spans="1:7" ht="36.5" hidden="1" x14ac:dyDescent="0.35">
      <c r="A967" s="8">
        <v>8326</v>
      </c>
      <c r="B967" s="10" t="s">
        <v>3517</v>
      </c>
      <c r="C967" s="10" t="s">
        <v>26</v>
      </c>
      <c r="D967" s="9" t="s">
        <v>395</v>
      </c>
      <c r="E967" s="9" t="s">
        <v>1045</v>
      </c>
      <c r="F967" s="10" t="s">
        <v>2525</v>
      </c>
      <c r="G967" s="11">
        <v>45784</v>
      </c>
    </row>
    <row r="968" spans="1:7" ht="36.5" hidden="1" x14ac:dyDescent="0.35">
      <c r="A968" s="8">
        <v>8325</v>
      </c>
      <c r="B968" s="10" t="s">
        <v>3518</v>
      </c>
      <c r="C968" s="10" t="s">
        <v>278</v>
      </c>
      <c r="D968" s="9" t="s">
        <v>395</v>
      </c>
      <c r="E968" s="9" t="s">
        <v>1045</v>
      </c>
      <c r="F968" s="10" t="s">
        <v>2525</v>
      </c>
      <c r="G968" s="11">
        <v>45783</v>
      </c>
    </row>
    <row r="969" spans="1:7" ht="24.5" hidden="1" x14ac:dyDescent="0.35">
      <c r="A969" s="8">
        <v>8322</v>
      </c>
      <c r="B969" s="10" t="s">
        <v>3519</v>
      </c>
      <c r="C969" s="10" t="s">
        <v>13</v>
      </c>
      <c r="D969" s="9" t="s">
        <v>95</v>
      </c>
      <c r="E969" s="9" t="s">
        <v>217</v>
      </c>
      <c r="F969" s="10" t="s">
        <v>2522</v>
      </c>
      <c r="G969" s="11">
        <v>45784</v>
      </c>
    </row>
    <row r="970" spans="1:7" ht="48.5" hidden="1" x14ac:dyDescent="0.35">
      <c r="A970" s="8">
        <v>8323</v>
      </c>
      <c r="B970" s="10" t="s">
        <v>3520</v>
      </c>
      <c r="C970" s="10" t="s">
        <v>220</v>
      </c>
      <c r="D970" s="9" t="s">
        <v>95</v>
      </c>
      <c r="E970" s="9" t="s">
        <v>217</v>
      </c>
      <c r="F970" s="10" t="s">
        <v>2525</v>
      </c>
      <c r="G970" s="11">
        <v>45784</v>
      </c>
    </row>
    <row r="971" spans="1:7" ht="36.5" hidden="1" x14ac:dyDescent="0.35">
      <c r="A971" s="8">
        <v>8331</v>
      </c>
      <c r="B971" s="10" t="s">
        <v>3521</v>
      </c>
      <c r="C971" s="10" t="s">
        <v>21</v>
      </c>
      <c r="D971" s="9" t="s">
        <v>395</v>
      </c>
      <c r="E971" s="9" t="s">
        <v>1045</v>
      </c>
      <c r="F971" s="10" t="s">
        <v>2525</v>
      </c>
      <c r="G971" s="11">
        <v>45784</v>
      </c>
    </row>
    <row r="972" spans="1:7" ht="36.5" hidden="1" x14ac:dyDescent="0.35">
      <c r="A972" s="8">
        <v>8332</v>
      </c>
      <c r="B972" s="10" t="s">
        <v>3522</v>
      </c>
      <c r="C972" s="10" t="s">
        <v>13</v>
      </c>
      <c r="D972" s="9" t="s">
        <v>395</v>
      </c>
      <c r="E972" s="9" t="s">
        <v>1045</v>
      </c>
      <c r="F972" s="10" t="s">
        <v>2525</v>
      </c>
      <c r="G972" s="11">
        <v>45784</v>
      </c>
    </row>
    <row r="973" spans="1:7" ht="36.5" hidden="1" x14ac:dyDescent="0.35">
      <c r="A973" s="8">
        <v>8334</v>
      </c>
      <c r="B973" s="10" t="s">
        <v>3523</v>
      </c>
      <c r="C973" s="10" t="s">
        <v>13</v>
      </c>
      <c r="D973" s="9" t="s">
        <v>395</v>
      </c>
      <c r="E973" s="9" t="s">
        <v>1037</v>
      </c>
      <c r="F973" s="10" t="s">
        <v>2530</v>
      </c>
      <c r="G973" s="11">
        <v>45784</v>
      </c>
    </row>
    <row r="974" spans="1:7" ht="36.5" hidden="1" x14ac:dyDescent="0.35">
      <c r="A974" s="8">
        <v>8335</v>
      </c>
      <c r="B974" s="10" t="s">
        <v>3524</v>
      </c>
      <c r="C974" s="10" t="s">
        <v>13</v>
      </c>
      <c r="D974" s="9" t="s">
        <v>395</v>
      </c>
      <c r="E974" s="9" t="s">
        <v>1037</v>
      </c>
      <c r="F974" s="10" t="s">
        <v>2530</v>
      </c>
      <c r="G974" s="11">
        <v>45784</v>
      </c>
    </row>
    <row r="975" spans="1:7" ht="36.5" hidden="1" x14ac:dyDescent="0.35">
      <c r="A975" s="8">
        <v>8340</v>
      </c>
      <c r="B975" s="10" t="s">
        <v>3525</v>
      </c>
      <c r="C975" s="10" t="s">
        <v>21</v>
      </c>
      <c r="D975" s="9" t="s">
        <v>395</v>
      </c>
      <c r="E975" s="9" t="s">
        <v>3526</v>
      </c>
      <c r="F975" s="10" t="s">
        <v>2516</v>
      </c>
      <c r="G975" s="11">
        <v>45784</v>
      </c>
    </row>
    <row r="976" spans="1:7" ht="36.5" hidden="1" x14ac:dyDescent="0.35">
      <c r="A976" s="8">
        <v>8336</v>
      </c>
      <c r="B976" s="10" t="s">
        <v>3527</v>
      </c>
      <c r="C976" s="10" t="s">
        <v>13</v>
      </c>
      <c r="D976" s="9" t="s">
        <v>395</v>
      </c>
      <c r="E976" s="9" t="s">
        <v>1037</v>
      </c>
      <c r="F976" s="10" t="s">
        <v>2530</v>
      </c>
      <c r="G976" s="11">
        <v>45784</v>
      </c>
    </row>
    <row r="977" spans="1:7" ht="36.5" hidden="1" x14ac:dyDescent="0.35">
      <c r="A977" s="8">
        <v>8341</v>
      </c>
      <c r="B977" s="10" t="s">
        <v>3528</v>
      </c>
      <c r="C977" s="10" t="s">
        <v>21</v>
      </c>
      <c r="D977" s="9" t="s">
        <v>395</v>
      </c>
      <c r="E977" s="9" t="s">
        <v>3526</v>
      </c>
      <c r="F977" s="10" t="s">
        <v>2516</v>
      </c>
      <c r="G977" s="11">
        <v>45784</v>
      </c>
    </row>
    <row r="978" spans="1:7" ht="48.5" hidden="1" x14ac:dyDescent="0.35">
      <c r="A978" s="8">
        <v>8342</v>
      </c>
      <c r="B978" s="10" t="s">
        <v>3529</v>
      </c>
      <c r="C978" s="10" t="s">
        <v>278</v>
      </c>
      <c r="D978" s="9" t="s">
        <v>278</v>
      </c>
      <c r="E978" s="9" t="s">
        <v>982</v>
      </c>
      <c r="F978" s="10" t="s">
        <v>2522</v>
      </c>
      <c r="G978" s="11">
        <v>45784</v>
      </c>
    </row>
    <row r="979" spans="1:7" ht="36.5" hidden="1" x14ac:dyDescent="0.35">
      <c r="A979" s="8">
        <v>8345</v>
      </c>
      <c r="B979" s="10" t="s">
        <v>3530</v>
      </c>
      <c r="C979" s="10" t="s">
        <v>95</v>
      </c>
      <c r="D979" s="9" t="s">
        <v>395</v>
      </c>
      <c r="E979" s="9" t="s">
        <v>1926</v>
      </c>
      <c r="F979" s="10" t="s">
        <v>2516</v>
      </c>
      <c r="G979" s="11">
        <v>45784</v>
      </c>
    </row>
    <row r="980" spans="1:7" ht="36.5" hidden="1" x14ac:dyDescent="0.35">
      <c r="A980" s="8">
        <v>8347</v>
      </c>
      <c r="B980" s="10" t="s">
        <v>3531</v>
      </c>
      <c r="C980" s="10" t="s">
        <v>26</v>
      </c>
      <c r="D980" s="9" t="s">
        <v>190</v>
      </c>
      <c r="E980" s="9" t="s">
        <v>374</v>
      </c>
      <c r="F980" s="10" t="s">
        <v>2540</v>
      </c>
      <c r="G980" s="11">
        <v>45784</v>
      </c>
    </row>
    <row r="981" spans="1:7" ht="36.5" hidden="1" x14ac:dyDescent="0.35">
      <c r="A981" s="8">
        <v>8348</v>
      </c>
      <c r="B981" s="10" t="s">
        <v>3532</v>
      </c>
      <c r="C981" s="10" t="s">
        <v>104</v>
      </c>
      <c r="D981" s="9" t="s">
        <v>395</v>
      </c>
      <c r="E981" s="9" t="s">
        <v>1037</v>
      </c>
      <c r="F981" s="10" t="s">
        <v>2516</v>
      </c>
      <c r="G981" s="11">
        <v>45784</v>
      </c>
    </row>
    <row r="982" spans="1:7" ht="36.5" hidden="1" x14ac:dyDescent="0.35">
      <c r="A982" s="8">
        <v>8349</v>
      </c>
      <c r="B982" s="10" t="s">
        <v>3533</v>
      </c>
      <c r="C982" s="10" t="s">
        <v>250</v>
      </c>
      <c r="D982" s="9" t="s">
        <v>234</v>
      </c>
      <c r="E982" s="9" t="s">
        <v>2336</v>
      </c>
      <c r="F982" s="10" t="s">
        <v>2572</v>
      </c>
      <c r="G982" s="11">
        <v>45784</v>
      </c>
    </row>
    <row r="983" spans="1:7" ht="24.5" hidden="1" x14ac:dyDescent="0.35">
      <c r="A983" s="8">
        <v>8350</v>
      </c>
      <c r="B983" s="10" t="s">
        <v>3534</v>
      </c>
      <c r="C983" s="10" t="s">
        <v>26</v>
      </c>
      <c r="D983" s="9" t="s">
        <v>26</v>
      </c>
      <c r="E983" s="9" t="s">
        <v>1525</v>
      </c>
      <c r="F983" s="10" t="s">
        <v>2522</v>
      </c>
      <c r="G983" s="11">
        <v>45784</v>
      </c>
    </row>
    <row r="984" spans="1:7" ht="36.5" hidden="1" x14ac:dyDescent="0.35">
      <c r="A984" s="8">
        <v>8352</v>
      </c>
      <c r="B984" s="10" t="s">
        <v>3535</v>
      </c>
      <c r="C984" s="10" t="s">
        <v>220</v>
      </c>
      <c r="D984" s="9" t="s">
        <v>220</v>
      </c>
      <c r="E984" s="9" t="s">
        <v>327</v>
      </c>
      <c r="F984" s="10" t="s">
        <v>2516</v>
      </c>
      <c r="G984" s="11">
        <v>45784</v>
      </c>
    </row>
    <row r="985" spans="1:7" ht="36.5" hidden="1" x14ac:dyDescent="0.35">
      <c r="A985" s="8">
        <v>8353</v>
      </c>
      <c r="B985" s="10" t="s">
        <v>3536</v>
      </c>
      <c r="C985" s="10" t="s">
        <v>220</v>
      </c>
      <c r="D985" s="9" t="s">
        <v>220</v>
      </c>
      <c r="E985" s="9" t="s">
        <v>327</v>
      </c>
      <c r="F985" s="10" t="s">
        <v>2516</v>
      </c>
      <c r="G985" s="11">
        <v>45784</v>
      </c>
    </row>
    <row r="986" spans="1:7" ht="24.5" hidden="1" x14ac:dyDescent="0.35">
      <c r="A986" s="8">
        <v>8354</v>
      </c>
      <c r="B986" s="10" t="s">
        <v>3537</v>
      </c>
      <c r="C986" s="10" t="s">
        <v>34</v>
      </c>
      <c r="D986" s="9" t="s">
        <v>34</v>
      </c>
      <c r="E986" s="9" t="s">
        <v>1525</v>
      </c>
      <c r="F986" s="10" t="s">
        <v>2540</v>
      </c>
      <c r="G986" s="11">
        <v>45784</v>
      </c>
    </row>
    <row r="987" spans="1:7" ht="24.5" hidden="1" x14ac:dyDescent="0.35">
      <c r="A987" s="8">
        <v>8356</v>
      </c>
      <c r="B987" s="10" t="s">
        <v>3538</v>
      </c>
      <c r="C987" s="10" t="s">
        <v>21</v>
      </c>
      <c r="D987" s="9" t="s">
        <v>21</v>
      </c>
      <c r="E987" s="9" t="s">
        <v>633</v>
      </c>
      <c r="F987" s="10" t="s">
        <v>2522</v>
      </c>
      <c r="G987" s="11">
        <v>45785</v>
      </c>
    </row>
    <row r="988" spans="1:7" ht="36.5" hidden="1" x14ac:dyDescent="0.35">
      <c r="A988" s="8">
        <v>8363</v>
      </c>
      <c r="B988" s="10" t="s">
        <v>3539</v>
      </c>
      <c r="C988" s="10" t="s">
        <v>34</v>
      </c>
      <c r="D988" s="9" t="s">
        <v>234</v>
      </c>
      <c r="E988" s="9" t="s">
        <v>762</v>
      </c>
      <c r="F988" s="10" t="s">
        <v>2516</v>
      </c>
      <c r="G988" s="11">
        <v>45785</v>
      </c>
    </row>
    <row r="989" spans="1:7" ht="36.5" hidden="1" x14ac:dyDescent="0.35">
      <c r="A989" s="8">
        <v>8362</v>
      </c>
      <c r="B989" s="10" t="s">
        <v>3540</v>
      </c>
      <c r="C989" s="10" t="s">
        <v>21</v>
      </c>
      <c r="D989" s="9" t="s">
        <v>21</v>
      </c>
      <c r="E989" s="9" t="s">
        <v>1391</v>
      </c>
      <c r="F989" s="10" t="s">
        <v>2516</v>
      </c>
      <c r="G989" s="11">
        <v>45785</v>
      </c>
    </row>
    <row r="990" spans="1:7" ht="60.5" hidden="1" x14ac:dyDescent="0.35">
      <c r="A990" s="8">
        <v>8364</v>
      </c>
      <c r="B990" s="10" t="s">
        <v>3541</v>
      </c>
      <c r="C990" s="10" t="s">
        <v>220</v>
      </c>
      <c r="D990" s="9" t="s">
        <v>278</v>
      </c>
      <c r="E990" s="9" t="s">
        <v>711</v>
      </c>
      <c r="F990" s="10" t="s">
        <v>2525</v>
      </c>
      <c r="G990" s="11">
        <v>45786</v>
      </c>
    </row>
    <row r="991" spans="1:7" ht="24.5" hidden="1" x14ac:dyDescent="0.35">
      <c r="A991" s="8">
        <v>8366</v>
      </c>
      <c r="B991" s="10" t="s">
        <v>3542</v>
      </c>
      <c r="C991" s="10" t="s">
        <v>104</v>
      </c>
      <c r="D991" s="9" t="s">
        <v>104</v>
      </c>
      <c r="E991" s="9" t="s">
        <v>1371</v>
      </c>
      <c r="F991" s="10" t="s">
        <v>2522</v>
      </c>
      <c r="G991" s="11">
        <v>45786</v>
      </c>
    </row>
    <row r="992" spans="1:7" ht="36.5" hidden="1" x14ac:dyDescent="0.35">
      <c r="A992" s="8">
        <v>8371</v>
      </c>
      <c r="B992" s="10" t="s">
        <v>3543</v>
      </c>
      <c r="C992" s="10" t="s">
        <v>21</v>
      </c>
      <c r="D992" s="9" t="s">
        <v>21</v>
      </c>
      <c r="E992" s="9" t="s">
        <v>819</v>
      </c>
      <c r="F992" s="10" t="s">
        <v>2540</v>
      </c>
      <c r="G992" s="11">
        <v>45779</v>
      </c>
    </row>
    <row r="993" spans="1:7" ht="36.5" hidden="1" x14ac:dyDescent="0.35">
      <c r="A993" s="8">
        <v>8368</v>
      </c>
      <c r="B993" s="10" t="s">
        <v>3544</v>
      </c>
      <c r="C993" s="10" t="s">
        <v>220</v>
      </c>
      <c r="D993" s="9" t="s">
        <v>371</v>
      </c>
      <c r="E993" s="9" t="s">
        <v>585</v>
      </c>
      <c r="F993" s="10" t="s">
        <v>2516</v>
      </c>
      <c r="G993" s="11">
        <v>45786</v>
      </c>
    </row>
    <row r="994" spans="1:7" ht="24.5" hidden="1" x14ac:dyDescent="0.35">
      <c r="A994" s="8">
        <v>8365</v>
      </c>
      <c r="B994" s="10" t="s">
        <v>3545</v>
      </c>
      <c r="C994" s="10" t="s">
        <v>104</v>
      </c>
      <c r="D994" s="9" t="s">
        <v>104</v>
      </c>
      <c r="E994" s="9" t="s">
        <v>1371</v>
      </c>
      <c r="F994" s="10" t="s">
        <v>2522</v>
      </c>
      <c r="G994" s="11">
        <v>45786</v>
      </c>
    </row>
    <row r="995" spans="1:7" ht="36.5" hidden="1" x14ac:dyDescent="0.35">
      <c r="A995" s="8">
        <v>8374</v>
      </c>
      <c r="B995" s="10" t="s">
        <v>3546</v>
      </c>
      <c r="C995" s="10" t="s">
        <v>21</v>
      </c>
      <c r="D995" s="9" t="s">
        <v>21</v>
      </c>
      <c r="E995" s="9" t="s">
        <v>819</v>
      </c>
      <c r="F995" s="10" t="s">
        <v>2516</v>
      </c>
      <c r="G995" s="11">
        <v>45787</v>
      </c>
    </row>
    <row r="996" spans="1:7" ht="24.5" hidden="1" x14ac:dyDescent="0.35">
      <c r="A996" s="8">
        <v>8367</v>
      </c>
      <c r="B996" s="10" t="s">
        <v>3547</v>
      </c>
      <c r="C996" s="10" t="s">
        <v>96</v>
      </c>
      <c r="D996" s="9" t="s">
        <v>96</v>
      </c>
      <c r="E996" s="9" t="s">
        <v>1179</v>
      </c>
      <c r="F996" s="10" t="s">
        <v>2540</v>
      </c>
      <c r="G996" s="11">
        <v>45786</v>
      </c>
    </row>
    <row r="997" spans="1:7" ht="36.5" hidden="1" x14ac:dyDescent="0.35">
      <c r="A997" s="8">
        <v>8369</v>
      </c>
      <c r="B997" s="10" t="s">
        <v>3548</v>
      </c>
      <c r="C997" s="10" t="s">
        <v>220</v>
      </c>
      <c r="D997" s="9" t="s">
        <v>220</v>
      </c>
      <c r="E997" s="9" t="s">
        <v>305</v>
      </c>
      <c r="F997" s="10" t="s">
        <v>2516</v>
      </c>
      <c r="G997" s="11">
        <v>45786</v>
      </c>
    </row>
    <row r="998" spans="1:7" ht="36.5" hidden="1" x14ac:dyDescent="0.35">
      <c r="A998" s="8">
        <v>8370</v>
      </c>
      <c r="B998" s="10" t="s">
        <v>3549</v>
      </c>
      <c r="C998" s="10" t="s">
        <v>371</v>
      </c>
      <c r="D998" s="9" t="s">
        <v>371</v>
      </c>
      <c r="E998" s="9" t="s">
        <v>585</v>
      </c>
      <c r="F998" s="10" t="s">
        <v>2525</v>
      </c>
      <c r="G998" s="11">
        <v>45786</v>
      </c>
    </row>
    <row r="999" spans="1:7" ht="24.5" hidden="1" x14ac:dyDescent="0.35">
      <c r="A999" s="8">
        <v>8372</v>
      </c>
      <c r="B999" s="10" t="s">
        <v>3550</v>
      </c>
      <c r="C999" s="10" t="s">
        <v>13</v>
      </c>
      <c r="D999" s="9" t="s">
        <v>234</v>
      </c>
      <c r="E999" s="9" t="s">
        <v>819</v>
      </c>
      <c r="F999" s="10" t="s">
        <v>2540</v>
      </c>
      <c r="G999" s="11">
        <v>45786</v>
      </c>
    </row>
    <row r="1000" spans="1:7" ht="24.5" hidden="1" x14ac:dyDescent="0.35">
      <c r="A1000" s="8">
        <v>8373</v>
      </c>
      <c r="B1000" s="10" t="s">
        <v>3551</v>
      </c>
      <c r="C1000" s="10" t="s">
        <v>196</v>
      </c>
      <c r="D1000" s="9" t="s">
        <v>196</v>
      </c>
      <c r="E1000" s="9" t="s">
        <v>595</v>
      </c>
      <c r="F1000" s="10" t="s">
        <v>2537</v>
      </c>
      <c r="G1000" s="11">
        <v>45786</v>
      </c>
    </row>
    <row r="1001" spans="1:7" ht="36.5" hidden="1" x14ac:dyDescent="0.35">
      <c r="A1001" s="8">
        <v>8380</v>
      </c>
      <c r="B1001" s="10" t="s">
        <v>3552</v>
      </c>
      <c r="C1001" s="10" t="s">
        <v>95</v>
      </c>
      <c r="D1001" s="9" t="s">
        <v>95</v>
      </c>
      <c r="E1001" s="9" t="s">
        <v>479</v>
      </c>
      <c r="F1001" s="10" t="s">
        <v>2516</v>
      </c>
      <c r="G1001" s="11">
        <v>45786</v>
      </c>
    </row>
    <row r="1002" spans="1:7" ht="48.5" hidden="1" x14ac:dyDescent="0.35">
      <c r="A1002" s="8">
        <v>8359</v>
      </c>
      <c r="B1002" s="10" t="s">
        <v>3553</v>
      </c>
      <c r="C1002" s="10" t="s">
        <v>190</v>
      </c>
      <c r="D1002" s="9" t="s">
        <v>95</v>
      </c>
      <c r="E1002" s="9" t="s">
        <v>866</v>
      </c>
      <c r="F1002" s="10" t="s">
        <v>2572</v>
      </c>
      <c r="G1002" s="11">
        <v>45786</v>
      </c>
    </row>
    <row r="1003" spans="1:7" ht="36.5" hidden="1" x14ac:dyDescent="0.35">
      <c r="A1003" s="8">
        <v>8376</v>
      </c>
      <c r="B1003" s="10" t="s">
        <v>3554</v>
      </c>
      <c r="C1003" s="10" t="s">
        <v>134</v>
      </c>
      <c r="D1003" s="9" t="s">
        <v>134</v>
      </c>
      <c r="E1003" s="9" t="s">
        <v>633</v>
      </c>
      <c r="F1003" s="10" t="s">
        <v>2516</v>
      </c>
      <c r="G1003" s="11">
        <v>45788</v>
      </c>
    </row>
    <row r="1004" spans="1:7" ht="36.5" hidden="1" x14ac:dyDescent="0.35">
      <c r="A1004" s="8">
        <v>8377</v>
      </c>
      <c r="B1004" s="10" t="s">
        <v>3555</v>
      </c>
      <c r="C1004" s="10" t="s">
        <v>220</v>
      </c>
      <c r="D1004" s="9" t="s">
        <v>371</v>
      </c>
      <c r="E1004" s="9" t="s">
        <v>1674</v>
      </c>
      <c r="F1004" s="10" t="s">
        <v>2530</v>
      </c>
      <c r="G1004" s="11">
        <v>45788</v>
      </c>
    </row>
    <row r="1005" spans="1:7" ht="36.5" hidden="1" x14ac:dyDescent="0.35">
      <c r="A1005" s="8">
        <v>8375</v>
      </c>
      <c r="B1005" s="10" t="s">
        <v>3556</v>
      </c>
      <c r="C1005" s="10" t="s">
        <v>196</v>
      </c>
      <c r="D1005" s="9" t="s">
        <v>196</v>
      </c>
      <c r="E1005" s="9" t="s">
        <v>1116</v>
      </c>
      <c r="F1005" s="10" t="s">
        <v>2516</v>
      </c>
      <c r="G1005" s="11">
        <v>45788</v>
      </c>
    </row>
    <row r="1006" spans="1:7" ht="48.5" hidden="1" x14ac:dyDescent="0.35">
      <c r="A1006" s="8">
        <v>8390</v>
      </c>
      <c r="B1006" s="10" t="s">
        <v>3557</v>
      </c>
      <c r="C1006" s="10" t="s">
        <v>278</v>
      </c>
      <c r="D1006" s="9" t="s">
        <v>278</v>
      </c>
      <c r="E1006" s="9" t="s">
        <v>982</v>
      </c>
      <c r="F1006" s="10" t="s">
        <v>2559</v>
      </c>
      <c r="G1006" s="11">
        <v>45789</v>
      </c>
    </row>
    <row r="1007" spans="1:7" ht="24.5" hidden="1" x14ac:dyDescent="0.35">
      <c r="A1007" s="8">
        <v>8389</v>
      </c>
      <c r="B1007" s="10" t="s">
        <v>3558</v>
      </c>
      <c r="C1007" s="10" t="s">
        <v>134</v>
      </c>
      <c r="D1007" s="9" t="s">
        <v>134</v>
      </c>
      <c r="E1007" s="9" t="s">
        <v>1692</v>
      </c>
      <c r="F1007" s="10" t="s">
        <v>2537</v>
      </c>
      <c r="G1007" s="11">
        <v>45789</v>
      </c>
    </row>
    <row r="1008" spans="1:7" ht="36.5" hidden="1" x14ac:dyDescent="0.35">
      <c r="A1008" s="8">
        <v>8388</v>
      </c>
      <c r="B1008" s="10" t="s">
        <v>3559</v>
      </c>
      <c r="C1008" s="10" t="s">
        <v>104</v>
      </c>
      <c r="D1008" s="9" t="s">
        <v>104</v>
      </c>
      <c r="E1008" s="9" t="s">
        <v>1371</v>
      </c>
      <c r="F1008" s="10" t="s">
        <v>2530</v>
      </c>
      <c r="G1008" s="11">
        <v>45789</v>
      </c>
    </row>
    <row r="1009" spans="1:7" ht="36.5" hidden="1" x14ac:dyDescent="0.35">
      <c r="A1009" s="8">
        <v>8387</v>
      </c>
      <c r="B1009" s="10" t="s">
        <v>3560</v>
      </c>
      <c r="C1009" s="10" t="s">
        <v>13</v>
      </c>
      <c r="D1009" s="9" t="s">
        <v>395</v>
      </c>
      <c r="E1009" s="9" t="s">
        <v>394</v>
      </c>
      <c r="F1009" s="10" t="s">
        <v>2540</v>
      </c>
      <c r="G1009" s="11">
        <v>45788</v>
      </c>
    </row>
    <row r="1010" spans="1:7" ht="36.5" hidden="1" x14ac:dyDescent="0.35">
      <c r="A1010" s="8">
        <v>8386</v>
      </c>
      <c r="B1010" s="10" t="s">
        <v>3561</v>
      </c>
      <c r="C1010" s="10" t="s">
        <v>26</v>
      </c>
      <c r="D1010" s="9" t="s">
        <v>395</v>
      </c>
      <c r="E1010" s="9" t="s">
        <v>394</v>
      </c>
      <c r="F1010" s="10" t="s">
        <v>2516</v>
      </c>
      <c r="G1010" s="11">
        <v>45788</v>
      </c>
    </row>
    <row r="1011" spans="1:7" ht="24.5" hidden="1" x14ac:dyDescent="0.35">
      <c r="A1011" s="8">
        <v>8385</v>
      </c>
      <c r="B1011" s="10" t="s">
        <v>3562</v>
      </c>
      <c r="C1011" s="10" t="s">
        <v>96</v>
      </c>
      <c r="D1011" s="9" t="s">
        <v>96</v>
      </c>
      <c r="E1011" s="9" t="s">
        <v>1065</v>
      </c>
      <c r="F1011" s="10" t="s">
        <v>2522</v>
      </c>
      <c r="G1011" s="11">
        <v>45786</v>
      </c>
    </row>
    <row r="1012" spans="1:7" ht="36.5" hidden="1" x14ac:dyDescent="0.35">
      <c r="A1012" s="8">
        <v>8384</v>
      </c>
      <c r="B1012" s="10" t="s">
        <v>3563</v>
      </c>
      <c r="C1012" s="10" t="s">
        <v>96</v>
      </c>
      <c r="D1012" s="9" t="s">
        <v>96</v>
      </c>
      <c r="E1012" s="9" t="s">
        <v>1065</v>
      </c>
      <c r="F1012" s="10" t="s">
        <v>2516</v>
      </c>
      <c r="G1012" s="11">
        <v>45786</v>
      </c>
    </row>
    <row r="1013" spans="1:7" ht="48.5" hidden="1" x14ac:dyDescent="0.35">
      <c r="A1013" s="8">
        <v>8383</v>
      </c>
      <c r="B1013" s="10" t="s">
        <v>3564</v>
      </c>
      <c r="C1013" s="10" t="s">
        <v>104</v>
      </c>
      <c r="D1013" s="9" t="s">
        <v>96</v>
      </c>
      <c r="E1013" s="9" t="s">
        <v>1065</v>
      </c>
      <c r="F1013" s="10" t="s">
        <v>2559</v>
      </c>
      <c r="G1013" s="11">
        <v>45786</v>
      </c>
    </row>
    <row r="1014" spans="1:7" ht="24.5" hidden="1" x14ac:dyDescent="0.35">
      <c r="A1014" s="8">
        <v>8392</v>
      </c>
      <c r="B1014" s="10" t="s">
        <v>3565</v>
      </c>
      <c r="C1014" s="10" t="s">
        <v>26</v>
      </c>
      <c r="D1014" s="9" t="s">
        <v>95</v>
      </c>
      <c r="E1014" s="9" t="s">
        <v>1316</v>
      </c>
      <c r="F1014" s="10" t="s">
        <v>2540</v>
      </c>
      <c r="G1014" s="11">
        <v>45789</v>
      </c>
    </row>
    <row r="1015" spans="1:7" ht="36.5" hidden="1" x14ac:dyDescent="0.35">
      <c r="A1015" s="8">
        <v>8396</v>
      </c>
      <c r="B1015" s="10" t="s">
        <v>3566</v>
      </c>
      <c r="C1015" s="10" t="s">
        <v>395</v>
      </c>
      <c r="D1015" s="9" t="s">
        <v>395</v>
      </c>
      <c r="E1015" s="9" t="s">
        <v>2440</v>
      </c>
      <c r="F1015" s="10" t="s">
        <v>2530</v>
      </c>
      <c r="G1015" s="11">
        <v>45790</v>
      </c>
    </row>
    <row r="1016" spans="1:7" ht="36.5" hidden="1" x14ac:dyDescent="0.35">
      <c r="A1016" s="8">
        <v>8402</v>
      </c>
      <c r="B1016" s="10" t="s">
        <v>3567</v>
      </c>
      <c r="C1016" s="10" t="s">
        <v>96</v>
      </c>
      <c r="D1016" s="9" t="s">
        <v>96</v>
      </c>
      <c r="E1016" s="9" t="s">
        <v>1179</v>
      </c>
      <c r="F1016" s="10" t="s">
        <v>2516</v>
      </c>
      <c r="G1016" s="11">
        <v>45789</v>
      </c>
    </row>
    <row r="1017" spans="1:7" ht="36.5" hidden="1" x14ac:dyDescent="0.35">
      <c r="A1017" s="8">
        <v>8403</v>
      </c>
      <c r="B1017" s="10" t="s">
        <v>3568</v>
      </c>
      <c r="C1017" s="10" t="s">
        <v>13</v>
      </c>
      <c r="D1017" s="9" t="s">
        <v>13</v>
      </c>
      <c r="E1017" s="9" t="s">
        <v>762</v>
      </c>
      <c r="F1017" s="10" t="s">
        <v>2572</v>
      </c>
      <c r="G1017" s="11">
        <v>45789</v>
      </c>
    </row>
    <row r="1018" spans="1:7" ht="36.5" hidden="1" x14ac:dyDescent="0.35">
      <c r="A1018" s="8">
        <v>8405</v>
      </c>
      <c r="B1018" s="10" t="s">
        <v>3569</v>
      </c>
      <c r="C1018" s="10" t="s">
        <v>96</v>
      </c>
      <c r="D1018" s="9" t="s">
        <v>395</v>
      </c>
      <c r="E1018" s="9" t="s">
        <v>1926</v>
      </c>
      <c r="F1018" s="10" t="s">
        <v>2525</v>
      </c>
      <c r="G1018" s="11">
        <v>45789</v>
      </c>
    </row>
    <row r="1019" spans="1:7" ht="48.5" hidden="1" x14ac:dyDescent="0.35">
      <c r="A1019" s="8">
        <v>8407</v>
      </c>
      <c r="B1019" s="10" t="s">
        <v>3570</v>
      </c>
      <c r="C1019" s="10" t="s">
        <v>96</v>
      </c>
      <c r="D1019" s="9" t="s">
        <v>395</v>
      </c>
      <c r="E1019" s="9" t="s">
        <v>2440</v>
      </c>
      <c r="F1019" s="10" t="s">
        <v>2559</v>
      </c>
      <c r="G1019" s="11">
        <v>45789</v>
      </c>
    </row>
    <row r="1020" spans="1:7" ht="24.5" hidden="1" x14ac:dyDescent="0.35">
      <c r="A1020" s="8">
        <v>8406</v>
      </c>
      <c r="B1020" s="10" t="s">
        <v>3571</v>
      </c>
      <c r="C1020" s="10" t="s">
        <v>134</v>
      </c>
      <c r="D1020" s="9" t="s">
        <v>395</v>
      </c>
      <c r="E1020" s="9" t="s">
        <v>2440</v>
      </c>
      <c r="F1020" s="10" t="s">
        <v>2834</v>
      </c>
      <c r="G1020" s="11">
        <v>45789</v>
      </c>
    </row>
    <row r="1021" spans="1:7" ht="36.5" hidden="1" x14ac:dyDescent="0.35">
      <c r="A1021" s="8">
        <v>8404</v>
      </c>
      <c r="B1021" s="10" t="s">
        <v>3572</v>
      </c>
      <c r="C1021" s="10" t="s">
        <v>96</v>
      </c>
      <c r="D1021" s="9" t="s">
        <v>395</v>
      </c>
      <c r="E1021" s="9" t="s">
        <v>1926</v>
      </c>
      <c r="F1021" s="10" t="s">
        <v>2525</v>
      </c>
      <c r="G1021" s="11">
        <v>45789</v>
      </c>
    </row>
    <row r="1022" spans="1:7" ht="36.5" hidden="1" x14ac:dyDescent="0.35">
      <c r="A1022" s="8">
        <v>8408</v>
      </c>
      <c r="B1022" s="10" t="s">
        <v>3573</v>
      </c>
      <c r="C1022" s="10" t="s">
        <v>21</v>
      </c>
      <c r="D1022" s="9" t="s">
        <v>21</v>
      </c>
      <c r="E1022" s="9" t="s">
        <v>819</v>
      </c>
      <c r="F1022" s="10" t="s">
        <v>2540</v>
      </c>
      <c r="G1022" s="11">
        <v>45789</v>
      </c>
    </row>
    <row r="1023" spans="1:7" ht="48.5" hidden="1" x14ac:dyDescent="0.35">
      <c r="A1023" s="8">
        <v>8416</v>
      </c>
      <c r="B1023" s="10" t="s">
        <v>3574</v>
      </c>
      <c r="C1023" s="10" t="s">
        <v>95</v>
      </c>
      <c r="D1023" s="9" t="s">
        <v>95</v>
      </c>
      <c r="E1023" s="9" t="s">
        <v>180</v>
      </c>
      <c r="F1023" s="10" t="s">
        <v>2834</v>
      </c>
      <c r="G1023" s="11">
        <v>45791</v>
      </c>
    </row>
    <row r="1024" spans="1:7" ht="36.5" hidden="1" x14ac:dyDescent="0.35">
      <c r="A1024" s="8">
        <v>8418</v>
      </c>
      <c r="B1024" s="10" t="s">
        <v>3575</v>
      </c>
      <c r="C1024" s="10" t="s">
        <v>250</v>
      </c>
      <c r="D1024" s="9" t="s">
        <v>395</v>
      </c>
      <c r="E1024" s="9" t="s">
        <v>1045</v>
      </c>
      <c r="F1024" s="10" t="s">
        <v>2525</v>
      </c>
      <c r="G1024" s="11">
        <v>45790</v>
      </c>
    </row>
    <row r="1025" spans="1:7" ht="48.5" hidden="1" x14ac:dyDescent="0.35">
      <c r="A1025" s="8">
        <v>8420</v>
      </c>
      <c r="B1025" s="10" t="s">
        <v>3576</v>
      </c>
      <c r="C1025" s="10" t="s">
        <v>96</v>
      </c>
      <c r="D1025" s="9" t="s">
        <v>96</v>
      </c>
      <c r="E1025" s="9" t="s">
        <v>1179</v>
      </c>
      <c r="F1025" s="10" t="s">
        <v>2559</v>
      </c>
      <c r="G1025" s="11">
        <v>45790</v>
      </c>
    </row>
    <row r="1026" spans="1:7" ht="36.5" hidden="1" x14ac:dyDescent="0.35">
      <c r="A1026" s="8">
        <v>8417</v>
      </c>
      <c r="B1026" s="10" t="s">
        <v>3577</v>
      </c>
      <c r="C1026" s="10" t="s">
        <v>13</v>
      </c>
      <c r="D1026" s="9" t="s">
        <v>13</v>
      </c>
      <c r="E1026" s="9" t="s">
        <v>1525</v>
      </c>
      <c r="F1026" s="10" t="s">
        <v>2516</v>
      </c>
      <c r="G1026" s="11">
        <v>45790</v>
      </c>
    </row>
    <row r="1027" spans="1:7" ht="60.5" hidden="1" x14ac:dyDescent="0.35">
      <c r="A1027" s="8">
        <v>8419</v>
      </c>
      <c r="B1027" s="10" t="s">
        <v>3578</v>
      </c>
      <c r="C1027" s="10" t="s">
        <v>13</v>
      </c>
      <c r="D1027" s="9" t="s">
        <v>13</v>
      </c>
      <c r="E1027" s="9" t="s">
        <v>633</v>
      </c>
      <c r="F1027" s="10" t="s">
        <v>2572</v>
      </c>
      <c r="G1027" s="11">
        <v>45790</v>
      </c>
    </row>
    <row r="1028" spans="1:7" ht="36.5" hidden="1" x14ac:dyDescent="0.35">
      <c r="A1028" s="8">
        <v>8421</v>
      </c>
      <c r="B1028" s="10" t="s">
        <v>3579</v>
      </c>
      <c r="C1028" s="10" t="s">
        <v>13</v>
      </c>
      <c r="D1028" s="9" t="s">
        <v>13</v>
      </c>
      <c r="E1028" s="9" t="s">
        <v>633</v>
      </c>
      <c r="F1028" s="10" t="s">
        <v>2516</v>
      </c>
      <c r="G1028" s="11">
        <v>45790</v>
      </c>
    </row>
    <row r="1029" spans="1:7" ht="36.5" hidden="1" x14ac:dyDescent="0.35">
      <c r="A1029" s="8">
        <v>8422</v>
      </c>
      <c r="B1029" s="10" t="s">
        <v>3580</v>
      </c>
      <c r="C1029" s="10" t="s">
        <v>13</v>
      </c>
      <c r="D1029" s="9" t="s">
        <v>13</v>
      </c>
      <c r="E1029" s="9" t="s">
        <v>633</v>
      </c>
      <c r="F1029" s="10" t="s">
        <v>2572</v>
      </c>
      <c r="G1029" s="11">
        <v>45790</v>
      </c>
    </row>
    <row r="1030" spans="1:7" ht="36.5" hidden="1" x14ac:dyDescent="0.35">
      <c r="A1030" s="8">
        <v>8423</v>
      </c>
      <c r="B1030" s="10" t="s">
        <v>3581</v>
      </c>
      <c r="C1030" s="10" t="s">
        <v>96</v>
      </c>
      <c r="D1030" s="9" t="s">
        <v>96</v>
      </c>
      <c r="E1030" s="9" t="s">
        <v>1055</v>
      </c>
      <c r="F1030" s="10" t="s">
        <v>2516</v>
      </c>
      <c r="G1030" s="11">
        <v>45790</v>
      </c>
    </row>
    <row r="1031" spans="1:7" ht="36.5" hidden="1" x14ac:dyDescent="0.35">
      <c r="A1031" s="8">
        <v>8424</v>
      </c>
      <c r="B1031" s="10" t="s">
        <v>3582</v>
      </c>
      <c r="C1031" s="10" t="s">
        <v>96</v>
      </c>
      <c r="D1031" s="9" t="s">
        <v>96</v>
      </c>
      <c r="E1031" s="9" t="s">
        <v>1055</v>
      </c>
      <c r="F1031" s="10" t="s">
        <v>2516</v>
      </c>
      <c r="G1031" s="11">
        <v>45790</v>
      </c>
    </row>
    <row r="1032" spans="1:7" ht="36.5" hidden="1" x14ac:dyDescent="0.35">
      <c r="A1032" s="8">
        <v>8425</v>
      </c>
      <c r="B1032" s="10" t="s">
        <v>3583</v>
      </c>
      <c r="C1032" s="10" t="s">
        <v>371</v>
      </c>
      <c r="D1032" s="9" t="s">
        <v>371</v>
      </c>
      <c r="E1032" s="9" t="s">
        <v>1674</v>
      </c>
      <c r="F1032" s="10" t="s">
        <v>2572</v>
      </c>
      <c r="G1032" s="11">
        <v>45790</v>
      </c>
    </row>
    <row r="1033" spans="1:7" ht="36.5" hidden="1" x14ac:dyDescent="0.35">
      <c r="A1033" s="8">
        <v>8426</v>
      </c>
      <c r="B1033" s="10" t="s">
        <v>3584</v>
      </c>
      <c r="C1033" s="10" t="s">
        <v>13</v>
      </c>
      <c r="D1033" s="9" t="s">
        <v>13</v>
      </c>
      <c r="E1033" s="9" t="s">
        <v>633</v>
      </c>
      <c r="F1033" s="10" t="s">
        <v>2516</v>
      </c>
      <c r="G1033" s="11">
        <v>45790</v>
      </c>
    </row>
    <row r="1034" spans="1:7" ht="24.5" hidden="1" x14ac:dyDescent="0.35">
      <c r="A1034" s="8">
        <v>8427</v>
      </c>
      <c r="B1034" s="10" t="s">
        <v>3585</v>
      </c>
      <c r="C1034" s="10" t="s">
        <v>220</v>
      </c>
      <c r="D1034" s="9" t="s">
        <v>220</v>
      </c>
      <c r="E1034" s="9" t="s">
        <v>305</v>
      </c>
      <c r="F1034" s="10" t="s">
        <v>2522</v>
      </c>
      <c r="G1034" s="11">
        <v>45790</v>
      </c>
    </row>
    <row r="1035" spans="1:7" ht="36.5" hidden="1" x14ac:dyDescent="0.35">
      <c r="A1035" s="8">
        <v>8428</v>
      </c>
      <c r="B1035" s="10" t="s">
        <v>3586</v>
      </c>
      <c r="C1035" s="10" t="s">
        <v>104</v>
      </c>
      <c r="D1035" s="9" t="s">
        <v>104</v>
      </c>
      <c r="E1035" s="9" t="s">
        <v>1371</v>
      </c>
      <c r="F1035" s="10" t="s">
        <v>2540</v>
      </c>
      <c r="G1035" s="11">
        <v>45791</v>
      </c>
    </row>
    <row r="1036" spans="1:7" ht="24.5" hidden="1" x14ac:dyDescent="0.35">
      <c r="A1036" s="8">
        <v>8429</v>
      </c>
      <c r="B1036" s="10" t="s">
        <v>3587</v>
      </c>
      <c r="C1036" s="10" t="s">
        <v>34</v>
      </c>
      <c r="D1036" s="9" t="s">
        <v>220</v>
      </c>
      <c r="E1036" s="9" t="s">
        <v>327</v>
      </c>
      <c r="F1036" s="10" t="s">
        <v>2522</v>
      </c>
      <c r="G1036" s="11">
        <v>45791</v>
      </c>
    </row>
    <row r="1037" spans="1:7" ht="36.5" hidden="1" x14ac:dyDescent="0.35">
      <c r="A1037" s="8">
        <v>8431</v>
      </c>
      <c r="B1037" s="10" t="s">
        <v>3588</v>
      </c>
      <c r="C1037" s="10" t="s">
        <v>220</v>
      </c>
      <c r="D1037" s="9" t="s">
        <v>220</v>
      </c>
      <c r="E1037" s="9" t="s">
        <v>327</v>
      </c>
      <c r="F1037" s="10" t="s">
        <v>2516</v>
      </c>
      <c r="G1037" s="11">
        <v>45791</v>
      </c>
    </row>
    <row r="1038" spans="1:7" ht="36.5" hidden="1" x14ac:dyDescent="0.35">
      <c r="A1038" s="8">
        <v>8432</v>
      </c>
      <c r="B1038" s="10" t="s">
        <v>3589</v>
      </c>
      <c r="C1038" s="10" t="s">
        <v>190</v>
      </c>
      <c r="D1038" s="9" t="s">
        <v>190</v>
      </c>
      <c r="E1038" s="9" t="s">
        <v>410</v>
      </c>
      <c r="F1038" s="10" t="s">
        <v>2516</v>
      </c>
      <c r="G1038" s="11">
        <v>45791</v>
      </c>
    </row>
    <row r="1039" spans="1:7" ht="24.5" hidden="1" x14ac:dyDescent="0.35">
      <c r="A1039" s="8">
        <v>8434</v>
      </c>
      <c r="B1039" s="10" t="s">
        <v>3590</v>
      </c>
      <c r="C1039" s="10" t="s">
        <v>190</v>
      </c>
      <c r="D1039" s="9" t="s">
        <v>190</v>
      </c>
      <c r="E1039" s="9" t="s">
        <v>410</v>
      </c>
      <c r="F1039" s="10" t="s">
        <v>2537</v>
      </c>
      <c r="G1039" s="11">
        <v>45791</v>
      </c>
    </row>
    <row r="1040" spans="1:7" ht="36.5" hidden="1" x14ac:dyDescent="0.35">
      <c r="A1040" s="8">
        <v>8435</v>
      </c>
      <c r="B1040" s="10" t="s">
        <v>3591</v>
      </c>
      <c r="C1040" s="10" t="s">
        <v>13</v>
      </c>
      <c r="D1040" s="9" t="s">
        <v>395</v>
      </c>
      <c r="E1040" s="9" t="s">
        <v>1926</v>
      </c>
      <c r="F1040" s="10" t="s">
        <v>2572</v>
      </c>
      <c r="G1040" s="11">
        <v>45791</v>
      </c>
    </row>
    <row r="1041" spans="1:7" ht="48.5" hidden="1" x14ac:dyDescent="0.35">
      <c r="A1041" s="8">
        <v>8433</v>
      </c>
      <c r="B1041" s="10" t="s">
        <v>3592</v>
      </c>
      <c r="C1041" s="10" t="s">
        <v>220</v>
      </c>
      <c r="D1041" s="9" t="s">
        <v>250</v>
      </c>
      <c r="E1041" s="9" t="s">
        <v>1807</v>
      </c>
      <c r="F1041" s="10" t="s">
        <v>2522</v>
      </c>
      <c r="G1041" s="11">
        <v>45791</v>
      </c>
    </row>
    <row r="1042" spans="1:7" ht="36.5" hidden="1" x14ac:dyDescent="0.35">
      <c r="A1042" s="8">
        <v>8436</v>
      </c>
      <c r="B1042" s="10" t="s">
        <v>3593</v>
      </c>
      <c r="C1042" s="10" t="s">
        <v>220</v>
      </c>
      <c r="D1042" s="9" t="s">
        <v>220</v>
      </c>
      <c r="E1042" s="9" t="s">
        <v>327</v>
      </c>
      <c r="F1042" s="10" t="s">
        <v>2516</v>
      </c>
      <c r="G1042" s="11">
        <v>45791</v>
      </c>
    </row>
    <row r="1043" spans="1:7" ht="48.5" hidden="1" x14ac:dyDescent="0.35">
      <c r="A1043" s="8">
        <v>8437</v>
      </c>
      <c r="B1043" s="10" t="s">
        <v>3594</v>
      </c>
      <c r="C1043" s="10" t="s">
        <v>250</v>
      </c>
      <c r="D1043" s="9" t="s">
        <v>250</v>
      </c>
      <c r="E1043" s="9" t="s">
        <v>592</v>
      </c>
      <c r="F1043" s="10" t="s">
        <v>2559</v>
      </c>
      <c r="G1043" s="11">
        <v>45791</v>
      </c>
    </row>
    <row r="1044" spans="1:7" ht="24.5" hidden="1" x14ac:dyDescent="0.35">
      <c r="A1044" s="8">
        <v>8439</v>
      </c>
      <c r="B1044" s="10" t="s">
        <v>3595</v>
      </c>
      <c r="C1044" s="10" t="s">
        <v>26</v>
      </c>
      <c r="D1044" s="9" t="s">
        <v>234</v>
      </c>
      <c r="E1044" s="9" t="s">
        <v>2336</v>
      </c>
      <c r="F1044" s="10" t="s">
        <v>2522</v>
      </c>
      <c r="G1044" s="11">
        <v>45791</v>
      </c>
    </row>
    <row r="1045" spans="1:7" ht="36.5" hidden="1" x14ac:dyDescent="0.35">
      <c r="A1045" s="8">
        <v>8440</v>
      </c>
      <c r="B1045" s="10" t="s">
        <v>3596</v>
      </c>
      <c r="C1045" s="10" t="s">
        <v>34</v>
      </c>
      <c r="D1045" s="9" t="s">
        <v>220</v>
      </c>
      <c r="E1045" s="9" t="s">
        <v>2845</v>
      </c>
      <c r="F1045" s="10" t="s">
        <v>2530</v>
      </c>
      <c r="G1045" s="11">
        <v>45792</v>
      </c>
    </row>
    <row r="1046" spans="1:7" ht="36.5" hidden="1" x14ac:dyDescent="0.35">
      <c r="A1046" s="8">
        <v>8441</v>
      </c>
      <c r="B1046" s="10" t="s">
        <v>3597</v>
      </c>
      <c r="C1046" s="10" t="s">
        <v>26</v>
      </c>
      <c r="D1046" s="9" t="s">
        <v>234</v>
      </c>
      <c r="E1046" s="9" t="s">
        <v>2336</v>
      </c>
      <c r="F1046" s="10" t="s">
        <v>2516</v>
      </c>
      <c r="G1046" s="11">
        <v>45791</v>
      </c>
    </row>
    <row r="1047" spans="1:7" ht="36.5" hidden="1" x14ac:dyDescent="0.35">
      <c r="A1047" s="8">
        <v>8443</v>
      </c>
      <c r="B1047" s="10" t="s">
        <v>3598</v>
      </c>
      <c r="C1047" s="10" t="s">
        <v>26</v>
      </c>
      <c r="D1047" s="9" t="s">
        <v>26</v>
      </c>
      <c r="E1047" s="9" t="s">
        <v>2336</v>
      </c>
      <c r="F1047" s="10" t="s">
        <v>2516</v>
      </c>
      <c r="G1047" s="11">
        <v>45791</v>
      </c>
    </row>
    <row r="1048" spans="1:7" ht="24.5" hidden="1" x14ac:dyDescent="0.35">
      <c r="A1048" s="8">
        <v>8444</v>
      </c>
      <c r="B1048" s="10" t="s">
        <v>3599</v>
      </c>
      <c r="C1048" s="10" t="s">
        <v>26</v>
      </c>
      <c r="D1048" s="9" t="s">
        <v>26</v>
      </c>
      <c r="E1048" s="9" t="s">
        <v>2845</v>
      </c>
      <c r="F1048" s="10" t="s">
        <v>2540</v>
      </c>
      <c r="G1048" s="11">
        <v>45791</v>
      </c>
    </row>
    <row r="1049" spans="1:7" ht="36.5" hidden="1" x14ac:dyDescent="0.35">
      <c r="A1049" s="8">
        <v>8442</v>
      </c>
      <c r="B1049" s="10" t="s">
        <v>3600</v>
      </c>
      <c r="C1049" s="10" t="s">
        <v>95</v>
      </c>
      <c r="D1049" s="9" t="s">
        <v>95</v>
      </c>
      <c r="E1049" s="9" t="s">
        <v>479</v>
      </c>
      <c r="F1049" s="10" t="s">
        <v>2530</v>
      </c>
      <c r="G1049" s="11">
        <v>45791</v>
      </c>
    </row>
    <row r="1050" spans="1:7" ht="24.5" hidden="1" x14ac:dyDescent="0.35">
      <c r="A1050" s="8">
        <v>8446</v>
      </c>
      <c r="B1050" s="10" t="s">
        <v>3601</v>
      </c>
      <c r="C1050" s="10" t="s">
        <v>395</v>
      </c>
      <c r="D1050" s="9" t="s">
        <v>220</v>
      </c>
      <c r="E1050" s="9" t="s">
        <v>327</v>
      </c>
      <c r="F1050" s="10" t="s">
        <v>2522</v>
      </c>
      <c r="G1050" s="11">
        <v>45792</v>
      </c>
    </row>
    <row r="1051" spans="1:7" ht="36.5" hidden="1" x14ac:dyDescent="0.35">
      <c r="A1051" s="8">
        <v>8448</v>
      </c>
      <c r="B1051" s="10" t="s">
        <v>3602</v>
      </c>
      <c r="C1051" s="10" t="s">
        <v>26</v>
      </c>
      <c r="D1051" s="9" t="s">
        <v>104</v>
      </c>
      <c r="E1051" s="9" t="s">
        <v>2336</v>
      </c>
      <c r="F1051" s="10" t="s">
        <v>2516</v>
      </c>
      <c r="G1051" s="11">
        <v>45791</v>
      </c>
    </row>
    <row r="1052" spans="1:7" ht="48.5" hidden="1" x14ac:dyDescent="0.35">
      <c r="A1052" s="8">
        <v>8445</v>
      </c>
      <c r="B1052" s="10" t="s">
        <v>3603</v>
      </c>
      <c r="C1052" s="10" t="s">
        <v>96</v>
      </c>
      <c r="D1052" s="9" t="s">
        <v>96</v>
      </c>
      <c r="E1052" s="9" t="s">
        <v>3604</v>
      </c>
      <c r="F1052" s="10" t="s">
        <v>2559</v>
      </c>
      <c r="G1052" s="11">
        <v>45791</v>
      </c>
    </row>
    <row r="1053" spans="1:7" ht="36.5" hidden="1" x14ac:dyDescent="0.35">
      <c r="A1053" s="8">
        <v>8447</v>
      </c>
      <c r="B1053" s="10" t="s">
        <v>3605</v>
      </c>
      <c r="C1053" s="10" t="s">
        <v>96</v>
      </c>
      <c r="D1053" s="9" t="s">
        <v>96</v>
      </c>
      <c r="E1053" s="9" t="s">
        <v>3604</v>
      </c>
      <c r="F1053" s="10" t="s">
        <v>2516</v>
      </c>
      <c r="G1053" s="11">
        <v>45791</v>
      </c>
    </row>
    <row r="1054" spans="1:7" ht="24.5" hidden="1" x14ac:dyDescent="0.35">
      <c r="A1054" s="8">
        <v>8449</v>
      </c>
      <c r="B1054" s="10" t="s">
        <v>3606</v>
      </c>
      <c r="C1054" s="10" t="s">
        <v>104</v>
      </c>
      <c r="D1054" s="9" t="s">
        <v>104</v>
      </c>
      <c r="E1054" s="9" t="s">
        <v>483</v>
      </c>
      <c r="F1054" s="10" t="s">
        <v>2522</v>
      </c>
      <c r="G1054" s="11">
        <v>45792</v>
      </c>
    </row>
    <row r="1055" spans="1:7" ht="36.5" hidden="1" x14ac:dyDescent="0.35">
      <c r="A1055" s="8">
        <v>8450</v>
      </c>
      <c r="B1055" s="10" t="s">
        <v>3607</v>
      </c>
      <c r="C1055" s="10" t="s">
        <v>278</v>
      </c>
      <c r="D1055" s="9" t="s">
        <v>95</v>
      </c>
      <c r="E1055" s="9" t="s">
        <v>1914</v>
      </c>
      <c r="F1055" s="10" t="s">
        <v>2516</v>
      </c>
      <c r="G1055" s="11">
        <v>45791</v>
      </c>
    </row>
    <row r="1056" spans="1:7" ht="36.5" hidden="1" x14ac:dyDescent="0.35">
      <c r="A1056" s="8">
        <v>8451</v>
      </c>
      <c r="B1056" s="10" t="s">
        <v>3608</v>
      </c>
      <c r="C1056" s="10" t="s">
        <v>13</v>
      </c>
      <c r="D1056" s="9" t="s">
        <v>395</v>
      </c>
      <c r="E1056" s="9" t="s">
        <v>1926</v>
      </c>
      <c r="F1056" s="10" t="s">
        <v>2516</v>
      </c>
      <c r="G1056" s="11">
        <v>45791</v>
      </c>
    </row>
    <row r="1057" spans="1:7" ht="36.5" hidden="1" x14ac:dyDescent="0.35">
      <c r="A1057" s="8">
        <v>8452</v>
      </c>
      <c r="B1057" s="10" t="s">
        <v>3609</v>
      </c>
      <c r="C1057" s="10" t="s">
        <v>278</v>
      </c>
      <c r="D1057" s="9" t="s">
        <v>95</v>
      </c>
      <c r="E1057" s="9" t="s">
        <v>1914</v>
      </c>
      <c r="F1057" s="10" t="s">
        <v>2516</v>
      </c>
      <c r="G1057" s="11">
        <v>45791</v>
      </c>
    </row>
    <row r="1058" spans="1:7" ht="48.5" hidden="1" x14ac:dyDescent="0.35">
      <c r="A1058" s="8">
        <v>8453</v>
      </c>
      <c r="B1058" s="10" t="s">
        <v>3610</v>
      </c>
      <c r="C1058" s="10" t="s">
        <v>34</v>
      </c>
      <c r="D1058" s="9" t="s">
        <v>250</v>
      </c>
      <c r="E1058" s="9" t="s">
        <v>592</v>
      </c>
      <c r="F1058" s="10" t="s">
        <v>2559</v>
      </c>
      <c r="G1058" s="11">
        <v>45791</v>
      </c>
    </row>
    <row r="1059" spans="1:7" ht="36.5" hidden="1" x14ac:dyDescent="0.35">
      <c r="A1059" s="8">
        <v>8454</v>
      </c>
      <c r="B1059" s="10" t="s">
        <v>3611</v>
      </c>
      <c r="C1059" s="10" t="s">
        <v>227</v>
      </c>
      <c r="D1059" s="9" t="s">
        <v>250</v>
      </c>
      <c r="E1059" s="9" t="s">
        <v>374</v>
      </c>
      <c r="F1059" s="10" t="s">
        <v>2525</v>
      </c>
      <c r="G1059" s="11">
        <v>45792</v>
      </c>
    </row>
    <row r="1060" spans="1:7" ht="36.5" hidden="1" x14ac:dyDescent="0.35">
      <c r="A1060" s="8">
        <v>8455</v>
      </c>
      <c r="B1060" s="10" t="s">
        <v>3612</v>
      </c>
      <c r="C1060" s="10" t="s">
        <v>26</v>
      </c>
      <c r="D1060" s="9" t="s">
        <v>134</v>
      </c>
      <c r="E1060" s="9" t="s">
        <v>2336</v>
      </c>
      <c r="F1060" s="10" t="s">
        <v>2516</v>
      </c>
      <c r="G1060" s="11">
        <v>45791</v>
      </c>
    </row>
    <row r="1061" spans="1:7" ht="36.5" hidden="1" x14ac:dyDescent="0.35">
      <c r="A1061" s="8">
        <v>8461</v>
      </c>
      <c r="B1061" s="10" t="s">
        <v>3613</v>
      </c>
      <c r="C1061" s="10" t="s">
        <v>34</v>
      </c>
      <c r="D1061" s="9" t="s">
        <v>134</v>
      </c>
      <c r="E1061" s="9" t="s">
        <v>1692</v>
      </c>
      <c r="F1061" s="10" t="s">
        <v>2516</v>
      </c>
      <c r="G1061" s="11">
        <v>45791</v>
      </c>
    </row>
    <row r="1062" spans="1:7" ht="48.5" hidden="1" x14ac:dyDescent="0.35">
      <c r="A1062" s="8">
        <v>8460</v>
      </c>
      <c r="B1062" s="10" t="s">
        <v>3614</v>
      </c>
      <c r="C1062" s="10" t="s">
        <v>96</v>
      </c>
      <c r="D1062" s="9" t="s">
        <v>371</v>
      </c>
      <c r="E1062" s="9" t="s">
        <v>1846</v>
      </c>
      <c r="F1062" s="10" t="s">
        <v>2559</v>
      </c>
      <c r="G1062" s="11">
        <v>45792</v>
      </c>
    </row>
    <row r="1063" spans="1:7" ht="48.5" hidden="1" x14ac:dyDescent="0.35">
      <c r="A1063" s="8">
        <v>8464</v>
      </c>
      <c r="B1063" s="10" t="s">
        <v>3615</v>
      </c>
      <c r="C1063" s="10" t="s">
        <v>26</v>
      </c>
      <c r="D1063" s="9" t="s">
        <v>13</v>
      </c>
      <c r="E1063" s="9" t="s">
        <v>819</v>
      </c>
      <c r="F1063" s="10" t="s">
        <v>2559</v>
      </c>
      <c r="G1063" s="11">
        <v>45792</v>
      </c>
    </row>
    <row r="1064" spans="1:7" ht="36.5" hidden="1" x14ac:dyDescent="0.35">
      <c r="A1064" s="8">
        <v>8458</v>
      </c>
      <c r="B1064" s="10" t="s">
        <v>3616</v>
      </c>
      <c r="C1064" s="10" t="s">
        <v>26</v>
      </c>
      <c r="D1064" s="9" t="s">
        <v>395</v>
      </c>
      <c r="E1064" s="9" t="s">
        <v>1045</v>
      </c>
      <c r="F1064" s="10" t="s">
        <v>2516</v>
      </c>
      <c r="G1064" s="11">
        <v>45791</v>
      </c>
    </row>
    <row r="1065" spans="1:7" ht="36.5" hidden="1" x14ac:dyDescent="0.35">
      <c r="A1065" s="8">
        <v>8462</v>
      </c>
      <c r="B1065" s="10" t="s">
        <v>3617</v>
      </c>
      <c r="C1065" s="10" t="s">
        <v>21</v>
      </c>
      <c r="D1065" s="9" t="s">
        <v>21</v>
      </c>
      <c r="E1065" s="9" t="s">
        <v>762</v>
      </c>
      <c r="F1065" s="10" t="s">
        <v>2540</v>
      </c>
      <c r="G1065" s="11">
        <v>45792</v>
      </c>
    </row>
    <row r="1066" spans="1:7" ht="36.5" hidden="1" x14ac:dyDescent="0.35">
      <c r="A1066" s="8">
        <v>8466</v>
      </c>
      <c r="B1066" s="10" t="s">
        <v>3618</v>
      </c>
      <c r="C1066" s="10" t="s">
        <v>134</v>
      </c>
      <c r="D1066" s="9" t="s">
        <v>134</v>
      </c>
      <c r="E1066" s="9" t="s">
        <v>1692</v>
      </c>
      <c r="F1066" s="10" t="s">
        <v>2516</v>
      </c>
      <c r="G1066" s="11">
        <v>45792</v>
      </c>
    </row>
    <row r="1067" spans="1:7" ht="24.5" hidden="1" x14ac:dyDescent="0.35">
      <c r="A1067" s="8">
        <v>8468</v>
      </c>
      <c r="B1067" s="10" t="s">
        <v>3619</v>
      </c>
      <c r="C1067" s="10" t="s">
        <v>21</v>
      </c>
      <c r="D1067" s="9" t="s">
        <v>21</v>
      </c>
      <c r="E1067" s="9" t="s">
        <v>819</v>
      </c>
      <c r="F1067" s="10" t="s">
        <v>2522</v>
      </c>
      <c r="G1067" s="11">
        <v>45792</v>
      </c>
    </row>
    <row r="1068" spans="1:7" ht="48.5" hidden="1" x14ac:dyDescent="0.35">
      <c r="A1068" s="8">
        <v>8465</v>
      </c>
      <c r="B1068" s="10" t="s">
        <v>3620</v>
      </c>
      <c r="C1068" s="10" t="s">
        <v>96</v>
      </c>
      <c r="D1068" s="9" t="s">
        <v>96</v>
      </c>
      <c r="E1068" s="9" t="s">
        <v>1055</v>
      </c>
      <c r="F1068" s="10" t="s">
        <v>2559</v>
      </c>
      <c r="G1068" s="11">
        <v>45792</v>
      </c>
    </row>
    <row r="1069" spans="1:7" ht="24.5" hidden="1" x14ac:dyDescent="0.35">
      <c r="A1069" s="8">
        <v>8467</v>
      </c>
      <c r="B1069" s="10" t="s">
        <v>3621</v>
      </c>
      <c r="C1069" s="10" t="s">
        <v>104</v>
      </c>
      <c r="D1069" s="9" t="s">
        <v>104</v>
      </c>
      <c r="E1069" s="9" t="s">
        <v>1371</v>
      </c>
      <c r="F1069" s="10" t="s">
        <v>2522</v>
      </c>
      <c r="G1069" s="11">
        <v>45792</v>
      </c>
    </row>
    <row r="1070" spans="1:7" ht="24.5" hidden="1" x14ac:dyDescent="0.35">
      <c r="A1070" s="8">
        <v>8471</v>
      </c>
      <c r="B1070" s="10" t="s">
        <v>3622</v>
      </c>
      <c r="C1070" s="10" t="s">
        <v>371</v>
      </c>
      <c r="D1070" s="9" t="s">
        <v>395</v>
      </c>
      <c r="E1070" s="9" t="s">
        <v>394</v>
      </c>
      <c r="F1070" s="10" t="s">
        <v>2522</v>
      </c>
      <c r="G1070" s="11">
        <v>45792</v>
      </c>
    </row>
    <row r="1071" spans="1:7" ht="60.5" hidden="1" x14ac:dyDescent="0.35">
      <c r="A1071" s="8">
        <v>8469</v>
      </c>
      <c r="B1071" s="10" t="s">
        <v>3623</v>
      </c>
      <c r="C1071" s="10" t="s">
        <v>21</v>
      </c>
      <c r="D1071" s="9" t="s">
        <v>95</v>
      </c>
      <c r="E1071" s="9" t="s">
        <v>426</v>
      </c>
      <c r="F1071" s="10" t="s">
        <v>2522</v>
      </c>
      <c r="G1071" s="11">
        <v>45792</v>
      </c>
    </row>
    <row r="1072" spans="1:7" ht="36.5" hidden="1" x14ac:dyDescent="0.35">
      <c r="A1072" s="8">
        <v>8470</v>
      </c>
      <c r="B1072" s="10" t="s">
        <v>3624</v>
      </c>
      <c r="C1072" s="10" t="s">
        <v>395</v>
      </c>
      <c r="D1072" s="9" t="s">
        <v>395</v>
      </c>
      <c r="E1072" s="9" t="s">
        <v>394</v>
      </c>
      <c r="F1072" s="10" t="s">
        <v>2525</v>
      </c>
      <c r="G1072" s="11">
        <v>45792</v>
      </c>
    </row>
    <row r="1073" spans="1:7" ht="36.5" hidden="1" x14ac:dyDescent="0.35">
      <c r="A1073" s="8">
        <v>8472</v>
      </c>
      <c r="B1073" s="10" t="s">
        <v>3625</v>
      </c>
      <c r="C1073" s="10" t="s">
        <v>395</v>
      </c>
      <c r="D1073" s="9" t="s">
        <v>395</v>
      </c>
      <c r="E1073" s="9" t="s">
        <v>394</v>
      </c>
      <c r="F1073" s="10" t="s">
        <v>2715</v>
      </c>
      <c r="G1073" s="11">
        <v>45792</v>
      </c>
    </row>
    <row r="1074" spans="1:7" ht="36.5" hidden="1" x14ac:dyDescent="0.35">
      <c r="A1074" s="8">
        <v>8473</v>
      </c>
      <c r="B1074" s="10" t="s">
        <v>3626</v>
      </c>
      <c r="C1074" s="10" t="s">
        <v>395</v>
      </c>
      <c r="D1074" s="9" t="s">
        <v>395</v>
      </c>
      <c r="E1074" s="9" t="s">
        <v>394</v>
      </c>
      <c r="F1074" s="10" t="s">
        <v>2715</v>
      </c>
      <c r="G1074" s="11">
        <v>45792</v>
      </c>
    </row>
    <row r="1075" spans="1:7" ht="36.5" hidden="1" x14ac:dyDescent="0.35">
      <c r="A1075" s="8">
        <v>8486</v>
      </c>
      <c r="B1075" s="10" t="s">
        <v>3627</v>
      </c>
      <c r="C1075" s="10" t="s">
        <v>278</v>
      </c>
      <c r="D1075" s="9" t="s">
        <v>395</v>
      </c>
      <c r="E1075" s="9" t="s">
        <v>3628</v>
      </c>
      <c r="F1075" s="10" t="s">
        <v>2522</v>
      </c>
      <c r="G1075" s="11">
        <v>45796</v>
      </c>
    </row>
    <row r="1076" spans="1:7" ht="48.5" hidden="1" x14ac:dyDescent="0.35">
      <c r="A1076" s="8">
        <v>8485</v>
      </c>
      <c r="B1076" s="10" t="s">
        <v>3629</v>
      </c>
      <c r="C1076" s="10" t="s">
        <v>21</v>
      </c>
      <c r="D1076" s="9" t="s">
        <v>395</v>
      </c>
      <c r="E1076" s="9" t="s">
        <v>3628</v>
      </c>
      <c r="F1076" s="10" t="s">
        <v>2516</v>
      </c>
      <c r="G1076" s="11">
        <v>45796</v>
      </c>
    </row>
    <row r="1077" spans="1:7" ht="36.5" hidden="1" x14ac:dyDescent="0.35">
      <c r="A1077" s="8">
        <v>8491</v>
      </c>
      <c r="B1077" s="10" t="s">
        <v>3630</v>
      </c>
      <c r="C1077" s="10" t="s">
        <v>395</v>
      </c>
      <c r="D1077" s="9" t="s">
        <v>395</v>
      </c>
      <c r="E1077" s="9" t="s">
        <v>2440</v>
      </c>
      <c r="F1077" s="10" t="s">
        <v>2715</v>
      </c>
      <c r="G1077" s="11">
        <v>45796</v>
      </c>
    </row>
    <row r="1078" spans="1:7" ht="36.5" hidden="1" x14ac:dyDescent="0.35">
      <c r="A1078" s="8">
        <v>8479</v>
      </c>
      <c r="B1078" s="10" t="s">
        <v>3631</v>
      </c>
      <c r="C1078" s="10" t="s">
        <v>21</v>
      </c>
      <c r="D1078" s="9" t="s">
        <v>21</v>
      </c>
      <c r="E1078" s="9" t="s">
        <v>819</v>
      </c>
      <c r="F1078" s="10" t="s">
        <v>2516</v>
      </c>
      <c r="G1078" s="11">
        <v>45792</v>
      </c>
    </row>
    <row r="1079" spans="1:7" ht="36.5" hidden="1" x14ac:dyDescent="0.35">
      <c r="A1079" s="8">
        <v>8480</v>
      </c>
      <c r="B1079" s="10" t="s">
        <v>3632</v>
      </c>
      <c r="C1079" s="10" t="s">
        <v>278</v>
      </c>
      <c r="D1079" s="9" t="s">
        <v>278</v>
      </c>
      <c r="E1079" s="9" t="s">
        <v>711</v>
      </c>
      <c r="F1079" s="10" t="s">
        <v>2530</v>
      </c>
      <c r="G1079" s="11">
        <v>45793</v>
      </c>
    </row>
    <row r="1080" spans="1:7" ht="24.5" hidden="1" x14ac:dyDescent="0.35">
      <c r="A1080" s="8">
        <v>8478</v>
      </c>
      <c r="B1080" s="10" t="s">
        <v>3633</v>
      </c>
      <c r="C1080" s="10" t="s">
        <v>13</v>
      </c>
      <c r="D1080" s="9" t="s">
        <v>13</v>
      </c>
      <c r="E1080" s="9" t="s">
        <v>819</v>
      </c>
      <c r="F1080" s="10" t="s">
        <v>2540</v>
      </c>
      <c r="G1080" s="11">
        <v>45792</v>
      </c>
    </row>
    <row r="1081" spans="1:7" ht="36.5" hidden="1" x14ac:dyDescent="0.35">
      <c r="A1081" s="8">
        <v>8481</v>
      </c>
      <c r="B1081" s="10" t="s">
        <v>3634</v>
      </c>
      <c r="C1081" s="10" t="s">
        <v>278</v>
      </c>
      <c r="D1081" s="9" t="s">
        <v>278</v>
      </c>
      <c r="E1081" s="9" t="s">
        <v>711</v>
      </c>
      <c r="F1081" s="10" t="s">
        <v>2530</v>
      </c>
      <c r="G1081" s="11">
        <v>45793</v>
      </c>
    </row>
    <row r="1082" spans="1:7" ht="48.5" hidden="1" x14ac:dyDescent="0.35">
      <c r="A1082" s="8">
        <v>8488</v>
      </c>
      <c r="B1082" s="10" t="s">
        <v>3635</v>
      </c>
      <c r="C1082" s="10" t="s">
        <v>96</v>
      </c>
      <c r="D1082" s="9" t="s">
        <v>96</v>
      </c>
      <c r="E1082" s="9" t="s">
        <v>3636</v>
      </c>
      <c r="F1082" s="10" t="s">
        <v>2559</v>
      </c>
      <c r="G1082" s="11">
        <v>45793</v>
      </c>
    </row>
    <row r="1083" spans="1:7" ht="24.5" hidden="1" x14ac:dyDescent="0.35">
      <c r="A1083" s="8">
        <v>8483</v>
      </c>
      <c r="B1083" s="10" t="s">
        <v>3637</v>
      </c>
      <c r="C1083" s="10" t="s">
        <v>250</v>
      </c>
      <c r="D1083" s="9" t="s">
        <v>395</v>
      </c>
      <c r="E1083" s="9" t="s">
        <v>2440</v>
      </c>
      <c r="F1083" s="10" t="s">
        <v>2540</v>
      </c>
      <c r="G1083" s="11">
        <v>45793</v>
      </c>
    </row>
    <row r="1084" spans="1:7" ht="36.5" hidden="1" x14ac:dyDescent="0.35">
      <c r="A1084" s="8">
        <v>8484</v>
      </c>
      <c r="B1084" s="10" t="s">
        <v>3638</v>
      </c>
      <c r="C1084" s="10" t="s">
        <v>21</v>
      </c>
      <c r="D1084" s="9" t="s">
        <v>190</v>
      </c>
      <c r="E1084" s="9" t="s">
        <v>418</v>
      </c>
      <c r="F1084" s="10" t="s">
        <v>2516</v>
      </c>
      <c r="G1084" s="11">
        <v>45793</v>
      </c>
    </row>
    <row r="1085" spans="1:7" ht="36.5" hidden="1" x14ac:dyDescent="0.35">
      <c r="A1085" s="8">
        <v>8490</v>
      </c>
      <c r="B1085" s="10" t="s">
        <v>3639</v>
      </c>
      <c r="C1085" s="10" t="s">
        <v>134</v>
      </c>
      <c r="D1085" s="9" t="s">
        <v>134</v>
      </c>
      <c r="E1085" s="9" t="s">
        <v>819</v>
      </c>
      <c r="F1085" s="10" t="s">
        <v>2516</v>
      </c>
      <c r="G1085" s="11">
        <v>45793</v>
      </c>
    </row>
    <row r="1086" spans="1:7" ht="36.5" hidden="1" x14ac:dyDescent="0.35">
      <c r="A1086" s="8">
        <v>8492</v>
      </c>
      <c r="B1086" s="10" t="s">
        <v>3640</v>
      </c>
      <c r="C1086" s="10" t="s">
        <v>21</v>
      </c>
      <c r="D1086" s="9" t="s">
        <v>21</v>
      </c>
      <c r="E1086" s="9" t="s">
        <v>819</v>
      </c>
      <c r="F1086" s="10" t="s">
        <v>2516</v>
      </c>
      <c r="G1086" s="11">
        <v>45793</v>
      </c>
    </row>
    <row r="1087" spans="1:7" ht="24.5" hidden="1" x14ac:dyDescent="0.35">
      <c r="A1087" s="8">
        <v>8495</v>
      </c>
      <c r="B1087" s="10" t="s">
        <v>3641</v>
      </c>
      <c r="C1087" s="10" t="s">
        <v>134</v>
      </c>
      <c r="D1087" s="9" t="s">
        <v>134</v>
      </c>
      <c r="E1087" s="9" t="s">
        <v>819</v>
      </c>
      <c r="F1087" s="10" t="s">
        <v>2834</v>
      </c>
      <c r="G1087" s="11">
        <v>45795</v>
      </c>
    </row>
    <row r="1088" spans="1:7" ht="48.5" hidden="1" x14ac:dyDescent="0.35">
      <c r="A1088" s="8">
        <v>8494</v>
      </c>
      <c r="B1088" s="10" t="s">
        <v>3642</v>
      </c>
      <c r="C1088" s="10" t="s">
        <v>13</v>
      </c>
      <c r="D1088" s="9" t="s">
        <v>13</v>
      </c>
      <c r="E1088" s="9" t="s">
        <v>762</v>
      </c>
      <c r="F1088" s="10" t="s">
        <v>2516</v>
      </c>
      <c r="G1088" s="11">
        <v>45794</v>
      </c>
    </row>
    <row r="1089" spans="1:7" ht="36.5" hidden="1" x14ac:dyDescent="0.35">
      <c r="A1089" s="8">
        <v>8497</v>
      </c>
      <c r="B1089" s="10" t="s">
        <v>3643</v>
      </c>
      <c r="C1089" s="10" t="s">
        <v>21</v>
      </c>
      <c r="D1089" s="9" t="s">
        <v>21</v>
      </c>
      <c r="E1089" s="9" t="s">
        <v>2440</v>
      </c>
      <c r="F1089" s="10" t="s">
        <v>2572</v>
      </c>
      <c r="G1089" s="11">
        <v>45795</v>
      </c>
    </row>
    <row r="1090" spans="1:7" ht="24.5" hidden="1" x14ac:dyDescent="0.35">
      <c r="A1090" s="8">
        <v>8496</v>
      </c>
      <c r="B1090" s="10" t="s">
        <v>3644</v>
      </c>
      <c r="C1090" s="10" t="s">
        <v>104</v>
      </c>
      <c r="D1090" s="9" t="s">
        <v>104</v>
      </c>
      <c r="E1090" s="9" t="s">
        <v>819</v>
      </c>
      <c r="F1090" s="10" t="s">
        <v>2522</v>
      </c>
      <c r="G1090" s="11">
        <v>45795</v>
      </c>
    </row>
    <row r="1091" spans="1:7" ht="48.5" hidden="1" x14ac:dyDescent="0.35">
      <c r="A1091" s="8">
        <v>8499</v>
      </c>
      <c r="B1091" s="10" t="s">
        <v>3645</v>
      </c>
      <c r="C1091" s="10" t="s">
        <v>104</v>
      </c>
      <c r="D1091" s="9" t="s">
        <v>104</v>
      </c>
      <c r="E1091" s="9" t="s">
        <v>1371</v>
      </c>
      <c r="F1091" s="10" t="s">
        <v>2559</v>
      </c>
      <c r="G1091" s="11">
        <v>45796</v>
      </c>
    </row>
    <row r="1092" spans="1:7" ht="48.5" hidden="1" x14ac:dyDescent="0.35">
      <c r="A1092" s="8">
        <v>8500</v>
      </c>
      <c r="B1092" s="10" t="s">
        <v>3646</v>
      </c>
      <c r="C1092" s="10" t="s">
        <v>104</v>
      </c>
      <c r="D1092" s="9" t="s">
        <v>104</v>
      </c>
      <c r="E1092" s="9" t="s">
        <v>1371</v>
      </c>
      <c r="F1092" s="10" t="s">
        <v>2559</v>
      </c>
      <c r="G1092" s="11">
        <v>45796</v>
      </c>
    </row>
    <row r="1093" spans="1:7" ht="24.5" hidden="1" x14ac:dyDescent="0.35">
      <c r="A1093" s="8">
        <v>8501</v>
      </c>
      <c r="B1093" s="10" t="s">
        <v>3647</v>
      </c>
      <c r="C1093" s="10" t="s">
        <v>134</v>
      </c>
      <c r="D1093" s="9" t="s">
        <v>134</v>
      </c>
      <c r="E1093" s="9" t="s">
        <v>1692</v>
      </c>
      <c r="F1093" s="10" t="s">
        <v>2522</v>
      </c>
      <c r="G1093" s="11">
        <v>45796</v>
      </c>
    </row>
    <row r="1094" spans="1:7" ht="48.5" hidden="1" x14ac:dyDescent="0.35">
      <c r="A1094" s="8">
        <v>8505</v>
      </c>
      <c r="B1094" s="10" t="s">
        <v>3648</v>
      </c>
      <c r="C1094" s="10" t="s">
        <v>227</v>
      </c>
      <c r="D1094" s="9" t="s">
        <v>250</v>
      </c>
      <c r="E1094" s="9" t="s">
        <v>1807</v>
      </c>
      <c r="F1094" s="10" t="s">
        <v>2559</v>
      </c>
      <c r="G1094" s="11">
        <v>45796</v>
      </c>
    </row>
    <row r="1095" spans="1:7" ht="24.5" hidden="1" x14ac:dyDescent="0.35">
      <c r="A1095" s="8">
        <v>8502</v>
      </c>
      <c r="B1095" s="10" t="s">
        <v>3649</v>
      </c>
      <c r="C1095" s="10" t="s">
        <v>134</v>
      </c>
      <c r="D1095" s="9" t="s">
        <v>134</v>
      </c>
      <c r="E1095" s="9" t="s">
        <v>1692</v>
      </c>
      <c r="F1095" s="10" t="s">
        <v>2522</v>
      </c>
      <c r="G1095" s="11">
        <v>45796</v>
      </c>
    </row>
    <row r="1096" spans="1:7" ht="36.5" hidden="1" x14ac:dyDescent="0.35">
      <c r="A1096" s="8">
        <v>8503</v>
      </c>
      <c r="B1096" s="10" t="s">
        <v>3650</v>
      </c>
      <c r="C1096" s="10" t="s">
        <v>371</v>
      </c>
      <c r="D1096" s="9" t="s">
        <v>371</v>
      </c>
      <c r="E1096" s="9" t="s">
        <v>2682</v>
      </c>
      <c r="F1096" s="10" t="s">
        <v>2516</v>
      </c>
      <c r="G1096" s="11">
        <v>45796</v>
      </c>
    </row>
    <row r="1097" spans="1:7" ht="36.5" hidden="1" x14ac:dyDescent="0.35">
      <c r="A1097" s="8">
        <v>8507</v>
      </c>
      <c r="B1097" s="10" t="s">
        <v>3651</v>
      </c>
      <c r="C1097" s="10" t="s">
        <v>250</v>
      </c>
      <c r="D1097" s="9" t="s">
        <v>193</v>
      </c>
      <c r="E1097" s="9" t="s">
        <v>1828</v>
      </c>
      <c r="F1097" s="10" t="s">
        <v>2516</v>
      </c>
      <c r="G1097" s="11">
        <v>45797</v>
      </c>
    </row>
    <row r="1098" spans="1:7" ht="36.5" hidden="1" x14ac:dyDescent="0.35">
      <c r="A1098" s="8">
        <v>8508</v>
      </c>
      <c r="B1098" s="10" t="s">
        <v>3652</v>
      </c>
      <c r="C1098" s="10" t="s">
        <v>21</v>
      </c>
      <c r="D1098" s="9" t="s">
        <v>395</v>
      </c>
      <c r="E1098" s="9" t="s">
        <v>394</v>
      </c>
      <c r="F1098" s="10" t="s">
        <v>2516</v>
      </c>
      <c r="G1098" s="11">
        <v>45797</v>
      </c>
    </row>
    <row r="1099" spans="1:7" ht="36.5" hidden="1" x14ac:dyDescent="0.35">
      <c r="A1099" s="8">
        <v>8512</v>
      </c>
      <c r="B1099" s="10" t="s">
        <v>3653</v>
      </c>
      <c r="C1099" s="10" t="s">
        <v>134</v>
      </c>
      <c r="D1099" s="9" t="s">
        <v>13</v>
      </c>
      <c r="E1099" s="9" t="s">
        <v>1391</v>
      </c>
      <c r="F1099" s="10" t="s">
        <v>2516</v>
      </c>
      <c r="G1099" s="11">
        <v>45797</v>
      </c>
    </row>
    <row r="1100" spans="1:7" ht="24.5" hidden="1" x14ac:dyDescent="0.35">
      <c r="A1100" s="8">
        <v>8513</v>
      </c>
      <c r="B1100" s="10" t="s">
        <v>3654</v>
      </c>
      <c r="C1100" s="10" t="s">
        <v>21</v>
      </c>
      <c r="D1100" s="9" t="s">
        <v>3655</v>
      </c>
      <c r="E1100" s="9" t="s">
        <v>1391</v>
      </c>
      <c r="F1100" s="10" t="s">
        <v>2540</v>
      </c>
      <c r="G1100" s="11">
        <v>45797</v>
      </c>
    </row>
    <row r="1101" spans="1:7" ht="24.5" hidden="1" x14ac:dyDescent="0.35">
      <c r="A1101" s="8">
        <v>8510</v>
      </c>
      <c r="B1101" s="10" t="s">
        <v>3656</v>
      </c>
      <c r="C1101" s="10" t="s">
        <v>220</v>
      </c>
      <c r="D1101" s="9" t="s">
        <v>220</v>
      </c>
      <c r="E1101" s="9" t="s">
        <v>305</v>
      </c>
      <c r="F1101" s="10" t="s">
        <v>2522</v>
      </c>
      <c r="G1101" s="11">
        <v>45797</v>
      </c>
    </row>
    <row r="1102" spans="1:7" ht="36.5" hidden="1" x14ac:dyDescent="0.35">
      <c r="A1102" s="8">
        <v>8509</v>
      </c>
      <c r="B1102" s="10" t="s">
        <v>3657</v>
      </c>
      <c r="C1102" s="10" t="s">
        <v>96</v>
      </c>
      <c r="D1102" s="9" t="s">
        <v>395</v>
      </c>
      <c r="E1102" s="9" t="s">
        <v>1037</v>
      </c>
      <c r="F1102" s="10" t="s">
        <v>2540</v>
      </c>
      <c r="G1102" s="11">
        <v>45797</v>
      </c>
    </row>
    <row r="1103" spans="1:7" ht="48.5" hidden="1" x14ac:dyDescent="0.35">
      <c r="A1103" s="8">
        <v>8514</v>
      </c>
      <c r="B1103" s="10" t="s">
        <v>3658</v>
      </c>
      <c r="C1103" s="10" t="s">
        <v>96</v>
      </c>
      <c r="D1103" s="9" t="s">
        <v>96</v>
      </c>
      <c r="E1103" s="9" t="s">
        <v>1179</v>
      </c>
      <c r="F1103" s="10" t="s">
        <v>2559</v>
      </c>
      <c r="G1103" s="11">
        <v>45797</v>
      </c>
    </row>
    <row r="1104" spans="1:7" ht="36.5" hidden="1" x14ac:dyDescent="0.35">
      <c r="A1104" s="8">
        <v>8511</v>
      </c>
      <c r="B1104" s="10" t="s">
        <v>3659</v>
      </c>
      <c r="C1104" s="10" t="s">
        <v>134</v>
      </c>
      <c r="D1104" s="9" t="s">
        <v>3655</v>
      </c>
      <c r="E1104" s="9" t="s">
        <v>1391</v>
      </c>
      <c r="F1104" s="10" t="s">
        <v>2516</v>
      </c>
      <c r="G1104" s="11">
        <v>45797</v>
      </c>
    </row>
    <row r="1105" spans="1:7" ht="36.5" hidden="1" x14ac:dyDescent="0.35">
      <c r="A1105" s="8">
        <v>8516</v>
      </c>
      <c r="B1105" s="10" t="s">
        <v>3660</v>
      </c>
      <c r="C1105" s="10" t="s">
        <v>937</v>
      </c>
      <c r="D1105" s="9" t="s">
        <v>395</v>
      </c>
      <c r="E1105" s="9" t="s">
        <v>1037</v>
      </c>
      <c r="F1105" s="10" t="s">
        <v>2516</v>
      </c>
      <c r="G1105" s="11">
        <v>45797</v>
      </c>
    </row>
    <row r="1106" spans="1:7" ht="36.5" hidden="1" x14ac:dyDescent="0.35">
      <c r="A1106" s="8">
        <v>8515</v>
      </c>
      <c r="B1106" s="10" t="s">
        <v>3661</v>
      </c>
      <c r="C1106" s="10" t="s">
        <v>96</v>
      </c>
      <c r="D1106" s="9" t="s">
        <v>96</v>
      </c>
      <c r="E1106" s="9" t="s">
        <v>1179</v>
      </c>
      <c r="F1106" s="10" t="s">
        <v>2516</v>
      </c>
      <c r="G1106" s="11">
        <v>45797</v>
      </c>
    </row>
    <row r="1107" spans="1:7" ht="36.5" hidden="1" x14ac:dyDescent="0.35">
      <c r="A1107" s="8">
        <v>8518</v>
      </c>
      <c r="B1107" s="10" t="s">
        <v>3662</v>
      </c>
      <c r="C1107" s="10" t="s">
        <v>104</v>
      </c>
      <c r="D1107" s="9" t="s">
        <v>95</v>
      </c>
      <c r="E1107" s="9" t="s">
        <v>1316</v>
      </c>
      <c r="F1107" s="10" t="s">
        <v>2516</v>
      </c>
      <c r="G1107" s="11">
        <v>45789</v>
      </c>
    </row>
    <row r="1108" spans="1:7" ht="36.5" hidden="1" x14ac:dyDescent="0.35">
      <c r="A1108" s="8">
        <v>8519</v>
      </c>
      <c r="B1108" s="10" t="s">
        <v>3663</v>
      </c>
      <c r="C1108" s="10" t="s">
        <v>34</v>
      </c>
      <c r="D1108" s="9" t="s">
        <v>395</v>
      </c>
      <c r="E1108" s="9" t="s">
        <v>394</v>
      </c>
      <c r="F1108" s="10" t="s">
        <v>2516</v>
      </c>
      <c r="G1108" s="11">
        <v>45797</v>
      </c>
    </row>
    <row r="1109" spans="1:7" ht="36.5" hidden="1" x14ac:dyDescent="0.35">
      <c r="A1109" s="8">
        <v>8520</v>
      </c>
      <c r="B1109" s="10" t="s">
        <v>3664</v>
      </c>
      <c r="C1109" s="10" t="s">
        <v>21</v>
      </c>
      <c r="D1109" s="9" t="s">
        <v>21</v>
      </c>
      <c r="E1109" s="9" t="s">
        <v>762</v>
      </c>
      <c r="F1109" s="10" t="s">
        <v>2540</v>
      </c>
      <c r="G1109" s="11">
        <v>45798</v>
      </c>
    </row>
    <row r="1110" spans="1:7" ht="36.5" hidden="1" x14ac:dyDescent="0.35">
      <c r="A1110" s="8">
        <v>8522</v>
      </c>
      <c r="B1110" s="10" t="s">
        <v>3665</v>
      </c>
      <c r="C1110" s="10" t="s">
        <v>96</v>
      </c>
      <c r="D1110" s="9" t="s">
        <v>193</v>
      </c>
      <c r="E1110" s="9" t="s">
        <v>3666</v>
      </c>
      <c r="F1110" s="10" t="s">
        <v>2537</v>
      </c>
      <c r="G1110" s="11">
        <v>45798</v>
      </c>
    </row>
    <row r="1111" spans="1:7" ht="36.5" hidden="1" x14ac:dyDescent="0.35">
      <c r="A1111" s="8">
        <v>8521</v>
      </c>
      <c r="B1111" s="10" t="s">
        <v>3667</v>
      </c>
      <c r="C1111" s="10" t="s">
        <v>13</v>
      </c>
      <c r="D1111" s="9" t="s">
        <v>13</v>
      </c>
      <c r="E1111" s="9" t="s">
        <v>1391</v>
      </c>
      <c r="F1111" s="10" t="s">
        <v>2516</v>
      </c>
      <c r="G1111" s="11">
        <v>45798</v>
      </c>
    </row>
    <row r="1112" spans="1:7" ht="36.5" hidden="1" x14ac:dyDescent="0.35">
      <c r="A1112" s="8">
        <v>8523</v>
      </c>
      <c r="B1112" s="10" t="s">
        <v>3668</v>
      </c>
      <c r="C1112" s="10" t="s">
        <v>95</v>
      </c>
      <c r="D1112" s="9" t="s">
        <v>95</v>
      </c>
      <c r="E1112" s="9" t="s">
        <v>1147</v>
      </c>
      <c r="F1112" s="10" t="s">
        <v>2530</v>
      </c>
      <c r="G1112" s="11">
        <v>45799</v>
      </c>
    </row>
    <row r="1113" spans="1:7" ht="36.5" hidden="1" x14ac:dyDescent="0.35">
      <c r="A1113" s="8">
        <v>8548</v>
      </c>
      <c r="B1113" s="10" t="s">
        <v>3669</v>
      </c>
      <c r="C1113" s="10" t="s">
        <v>96</v>
      </c>
      <c r="D1113" s="9" t="s">
        <v>96</v>
      </c>
      <c r="E1113" s="9" t="s">
        <v>1179</v>
      </c>
      <c r="F1113" s="10" t="s">
        <v>2525</v>
      </c>
      <c r="G1113" s="11">
        <v>45800</v>
      </c>
    </row>
    <row r="1114" spans="1:7" ht="24.5" hidden="1" x14ac:dyDescent="0.35">
      <c r="A1114" s="8">
        <v>8558</v>
      </c>
      <c r="B1114" s="10" t="s">
        <v>3670</v>
      </c>
      <c r="C1114" s="10" t="s">
        <v>96</v>
      </c>
      <c r="D1114" s="9" t="s">
        <v>96</v>
      </c>
      <c r="E1114" s="9" t="s">
        <v>368</v>
      </c>
      <c r="F1114" s="10" t="s">
        <v>2522</v>
      </c>
      <c r="G1114" s="11">
        <v>45802</v>
      </c>
    </row>
    <row r="1115" spans="1:7" ht="24.5" hidden="1" x14ac:dyDescent="0.35">
      <c r="A1115" s="8">
        <v>8556</v>
      </c>
      <c r="B1115" s="10" t="s">
        <v>3671</v>
      </c>
      <c r="C1115" s="10" t="s">
        <v>134</v>
      </c>
      <c r="D1115" s="9" t="s">
        <v>234</v>
      </c>
      <c r="E1115" s="9" t="s">
        <v>546</v>
      </c>
      <c r="F1115" s="10" t="s">
        <v>2522</v>
      </c>
      <c r="G1115" s="11">
        <v>45801</v>
      </c>
    </row>
    <row r="1116" spans="1:7" ht="48.5" hidden="1" x14ac:dyDescent="0.35">
      <c r="A1116" s="8">
        <v>8555</v>
      </c>
      <c r="B1116" s="10" t="s">
        <v>3672</v>
      </c>
      <c r="C1116" s="10" t="s">
        <v>96</v>
      </c>
      <c r="D1116" s="9" t="s">
        <v>96</v>
      </c>
      <c r="E1116" s="9" t="s">
        <v>1179</v>
      </c>
      <c r="F1116" s="10" t="s">
        <v>2559</v>
      </c>
      <c r="G1116" s="11">
        <v>45801</v>
      </c>
    </row>
    <row r="1117" spans="1:7" ht="36.5" hidden="1" x14ac:dyDescent="0.35">
      <c r="A1117" s="8">
        <v>8554</v>
      </c>
      <c r="B1117" s="10" t="s">
        <v>3673</v>
      </c>
      <c r="C1117" s="10" t="s">
        <v>371</v>
      </c>
      <c r="D1117" s="9" t="s">
        <v>371</v>
      </c>
      <c r="E1117" s="9" t="s">
        <v>1030</v>
      </c>
      <c r="F1117" s="10" t="s">
        <v>2516</v>
      </c>
      <c r="G1117" s="11">
        <v>45801</v>
      </c>
    </row>
    <row r="1118" spans="1:7" ht="48.5" hidden="1" x14ac:dyDescent="0.35">
      <c r="A1118" s="8">
        <v>8553</v>
      </c>
      <c r="B1118" s="10" t="s">
        <v>3674</v>
      </c>
      <c r="C1118" s="10" t="s">
        <v>21</v>
      </c>
      <c r="D1118" s="9" t="s">
        <v>21</v>
      </c>
      <c r="E1118" s="9" t="s">
        <v>819</v>
      </c>
      <c r="F1118" s="10" t="s">
        <v>2559</v>
      </c>
      <c r="G1118" s="11">
        <v>45801</v>
      </c>
    </row>
    <row r="1119" spans="1:7" ht="24.5" hidden="1" x14ac:dyDescent="0.35">
      <c r="A1119" s="8">
        <v>8557</v>
      </c>
      <c r="B1119" s="10" t="s">
        <v>3675</v>
      </c>
      <c r="C1119" s="10" t="s">
        <v>96</v>
      </c>
      <c r="D1119" s="9" t="s">
        <v>96</v>
      </c>
      <c r="E1119" s="9" t="s">
        <v>368</v>
      </c>
      <c r="F1119" s="10" t="s">
        <v>2522</v>
      </c>
      <c r="G1119" s="11">
        <v>45802</v>
      </c>
    </row>
    <row r="1120" spans="1:7" ht="48.5" hidden="1" x14ac:dyDescent="0.35">
      <c r="A1120" s="8">
        <v>8552</v>
      </c>
      <c r="B1120" s="10" t="s">
        <v>3676</v>
      </c>
      <c r="C1120" s="10" t="s">
        <v>13</v>
      </c>
      <c r="D1120" s="9" t="s">
        <v>13</v>
      </c>
      <c r="E1120" s="9" t="s">
        <v>819</v>
      </c>
      <c r="F1120" s="10" t="s">
        <v>2559</v>
      </c>
      <c r="G1120" s="11">
        <v>45800</v>
      </c>
    </row>
    <row r="1121" spans="1:7" ht="24.5" hidden="1" x14ac:dyDescent="0.35">
      <c r="A1121" s="8">
        <v>8551</v>
      </c>
      <c r="B1121" s="10" t="s">
        <v>3677</v>
      </c>
      <c r="C1121" s="10" t="s">
        <v>134</v>
      </c>
      <c r="D1121" s="9" t="s">
        <v>95</v>
      </c>
      <c r="E1121" s="9" t="s">
        <v>2863</v>
      </c>
      <c r="F1121" s="10" t="s">
        <v>2834</v>
      </c>
      <c r="G1121" s="11">
        <v>45802</v>
      </c>
    </row>
    <row r="1122" spans="1:7" ht="24.5" hidden="1" x14ac:dyDescent="0.35">
      <c r="A1122" s="8">
        <v>8547</v>
      </c>
      <c r="B1122" s="10" t="s">
        <v>3678</v>
      </c>
      <c r="C1122" s="10" t="s">
        <v>96</v>
      </c>
      <c r="D1122" s="9" t="s">
        <v>96</v>
      </c>
      <c r="E1122" s="9" t="s">
        <v>1179</v>
      </c>
      <c r="F1122" s="10" t="s">
        <v>2537</v>
      </c>
      <c r="G1122" s="11">
        <v>45800</v>
      </c>
    </row>
    <row r="1123" spans="1:7" ht="24.5" hidden="1" x14ac:dyDescent="0.35">
      <c r="A1123" s="8">
        <v>8546</v>
      </c>
      <c r="B1123" s="10" t="s">
        <v>3679</v>
      </c>
      <c r="C1123" s="10" t="s">
        <v>96</v>
      </c>
      <c r="D1123" s="9" t="s">
        <v>96</v>
      </c>
      <c r="E1123" s="9" t="s">
        <v>3680</v>
      </c>
      <c r="F1123" s="10" t="s">
        <v>2537</v>
      </c>
      <c r="G1123" s="11">
        <v>45800</v>
      </c>
    </row>
    <row r="1124" spans="1:7" ht="36.5" hidden="1" x14ac:dyDescent="0.35">
      <c r="A1124" s="8">
        <v>8528</v>
      </c>
      <c r="B1124" s="10" t="s">
        <v>3681</v>
      </c>
      <c r="C1124" s="10" t="s">
        <v>250</v>
      </c>
      <c r="D1124" s="9" t="s">
        <v>395</v>
      </c>
      <c r="E1124" s="9" t="s">
        <v>1926</v>
      </c>
      <c r="F1124" s="10" t="s">
        <v>2522</v>
      </c>
      <c r="G1124" s="11">
        <v>45798</v>
      </c>
    </row>
    <row r="1125" spans="1:7" ht="48.5" hidden="1" x14ac:dyDescent="0.35">
      <c r="A1125" s="8">
        <v>8544</v>
      </c>
      <c r="B1125" s="10" t="s">
        <v>3682</v>
      </c>
      <c r="C1125" s="10" t="s">
        <v>937</v>
      </c>
      <c r="D1125" s="9" t="s">
        <v>196</v>
      </c>
      <c r="E1125" s="9" t="s">
        <v>1653</v>
      </c>
      <c r="F1125" s="10" t="s">
        <v>2559</v>
      </c>
      <c r="G1125" s="11">
        <v>45800</v>
      </c>
    </row>
    <row r="1126" spans="1:7" ht="36.5" hidden="1" x14ac:dyDescent="0.35">
      <c r="A1126" s="8">
        <v>8542</v>
      </c>
      <c r="B1126" s="10" t="s">
        <v>3683</v>
      </c>
      <c r="C1126" s="10" t="s">
        <v>96</v>
      </c>
      <c r="D1126" s="9" t="s">
        <v>96</v>
      </c>
      <c r="E1126" s="9" t="s">
        <v>1179</v>
      </c>
      <c r="F1126" s="10" t="s">
        <v>2540</v>
      </c>
      <c r="G1126" s="11">
        <v>45800</v>
      </c>
    </row>
    <row r="1127" spans="1:7" ht="36.5" hidden="1" x14ac:dyDescent="0.35">
      <c r="A1127" s="8">
        <v>8543</v>
      </c>
      <c r="B1127" s="10" t="s">
        <v>3684</v>
      </c>
      <c r="C1127" s="10" t="s">
        <v>134</v>
      </c>
      <c r="D1127" s="9" t="s">
        <v>95</v>
      </c>
      <c r="E1127" s="9" t="s">
        <v>99</v>
      </c>
      <c r="F1127" s="10" t="s">
        <v>2516</v>
      </c>
      <c r="G1127" s="11">
        <v>45800</v>
      </c>
    </row>
    <row r="1128" spans="1:7" ht="24.5" hidden="1" x14ac:dyDescent="0.35">
      <c r="A1128" s="8">
        <v>8541</v>
      </c>
      <c r="B1128" s="10" t="s">
        <v>3685</v>
      </c>
      <c r="C1128" s="10" t="s">
        <v>278</v>
      </c>
      <c r="D1128" s="9" t="s">
        <v>278</v>
      </c>
      <c r="E1128" s="9" t="s">
        <v>711</v>
      </c>
      <c r="F1128" s="10" t="s">
        <v>2522</v>
      </c>
      <c r="G1128" s="11">
        <v>45800</v>
      </c>
    </row>
    <row r="1129" spans="1:7" ht="36.5" hidden="1" x14ac:dyDescent="0.35">
      <c r="A1129" s="8">
        <v>8540</v>
      </c>
      <c r="B1129" s="10" t="s">
        <v>3686</v>
      </c>
      <c r="C1129" s="10" t="s">
        <v>190</v>
      </c>
      <c r="D1129" s="9" t="s">
        <v>371</v>
      </c>
      <c r="E1129" s="9" t="s">
        <v>1030</v>
      </c>
      <c r="F1129" s="10" t="s">
        <v>2530</v>
      </c>
      <c r="G1129" s="11">
        <v>45799</v>
      </c>
    </row>
    <row r="1130" spans="1:7" ht="36.5" hidden="1" x14ac:dyDescent="0.35">
      <c r="A1130" s="8">
        <v>8533</v>
      </c>
      <c r="B1130" s="10" t="s">
        <v>3687</v>
      </c>
      <c r="C1130" s="10" t="s">
        <v>21</v>
      </c>
      <c r="D1130" s="9" t="s">
        <v>104</v>
      </c>
      <c r="E1130" s="9" t="s">
        <v>1371</v>
      </c>
      <c r="F1130" s="10" t="s">
        <v>2530</v>
      </c>
      <c r="G1130" s="11">
        <v>45799</v>
      </c>
    </row>
    <row r="1131" spans="1:7" ht="24.5" hidden="1" x14ac:dyDescent="0.35">
      <c r="A1131" s="8">
        <v>8532</v>
      </c>
      <c r="B1131" s="10" t="s">
        <v>3688</v>
      </c>
      <c r="C1131" s="10" t="s">
        <v>371</v>
      </c>
      <c r="D1131" s="9" t="s">
        <v>371</v>
      </c>
      <c r="E1131" s="9" t="s">
        <v>585</v>
      </c>
      <c r="F1131" s="10" t="s">
        <v>2522</v>
      </c>
      <c r="G1131" s="11">
        <v>45799</v>
      </c>
    </row>
    <row r="1132" spans="1:7" ht="36.5" hidden="1" x14ac:dyDescent="0.35">
      <c r="A1132" s="8">
        <v>8531</v>
      </c>
      <c r="B1132" s="10" t="s">
        <v>3689</v>
      </c>
      <c r="C1132" s="10" t="s">
        <v>250</v>
      </c>
      <c r="D1132" s="9" t="s">
        <v>371</v>
      </c>
      <c r="E1132" s="9" t="s">
        <v>1674</v>
      </c>
      <c r="F1132" s="10" t="s">
        <v>2530</v>
      </c>
      <c r="G1132" s="11">
        <v>45798</v>
      </c>
    </row>
    <row r="1133" spans="1:7" ht="36.5" hidden="1" x14ac:dyDescent="0.35">
      <c r="A1133" s="8">
        <v>8529</v>
      </c>
      <c r="B1133" s="10" t="s">
        <v>3690</v>
      </c>
      <c r="C1133" s="10" t="s">
        <v>250</v>
      </c>
      <c r="D1133" s="9" t="s">
        <v>395</v>
      </c>
      <c r="E1133" s="9" t="s">
        <v>1926</v>
      </c>
      <c r="F1133" s="10" t="s">
        <v>2516</v>
      </c>
      <c r="G1133" s="11">
        <v>45798</v>
      </c>
    </row>
    <row r="1134" spans="1:7" ht="48.5" hidden="1" x14ac:dyDescent="0.35">
      <c r="A1134" s="8">
        <v>8560</v>
      </c>
      <c r="B1134" s="10" t="s">
        <v>3691</v>
      </c>
      <c r="C1134" s="10" t="s">
        <v>13</v>
      </c>
      <c r="D1134" s="9" t="s">
        <v>395</v>
      </c>
      <c r="E1134" s="9" t="s">
        <v>1037</v>
      </c>
      <c r="F1134" s="10" t="s">
        <v>2516</v>
      </c>
      <c r="G1134" s="11">
        <v>45803</v>
      </c>
    </row>
    <row r="1135" spans="1:7" ht="24.5" hidden="1" x14ac:dyDescent="0.35">
      <c r="A1135" s="8">
        <v>8565</v>
      </c>
      <c r="B1135" s="10" t="s">
        <v>3692</v>
      </c>
      <c r="C1135" s="10" t="s">
        <v>278</v>
      </c>
      <c r="D1135" s="9" t="s">
        <v>278</v>
      </c>
      <c r="E1135" s="9" t="s">
        <v>3451</v>
      </c>
      <c r="F1135" s="10" t="s">
        <v>2522</v>
      </c>
      <c r="G1135" s="11">
        <v>45803</v>
      </c>
    </row>
    <row r="1136" spans="1:7" ht="24.5" hidden="1" x14ac:dyDescent="0.35">
      <c r="A1136" s="8">
        <v>8571</v>
      </c>
      <c r="B1136" s="10" t="s">
        <v>3693</v>
      </c>
      <c r="C1136" s="10" t="s">
        <v>21</v>
      </c>
      <c r="D1136" s="9" t="s">
        <v>21</v>
      </c>
      <c r="E1136" s="9" t="s">
        <v>633</v>
      </c>
      <c r="F1136" s="10" t="s">
        <v>2540</v>
      </c>
      <c r="G1136" s="11">
        <v>45803</v>
      </c>
    </row>
    <row r="1137" spans="1:7" ht="24.5" hidden="1" x14ac:dyDescent="0.35">
      <c r="A1137" s="8">
        <v>8564</v>
      </c>
      <c r="B1137" s="10" t="s">
        <v>3694</v>
      </c>
      <c r="C1137" s="10" t="s">
        <v>371</v>
      </c>
      <c r="D1137" s="9" t="s">
        <v>371</v>
      </c>
      <c r="E1137" s="9" t="s">
        <v>1030</v>
      </c>
      <c r="F1137" s="10" t="s">
        <v>2522</v>
      </c>
      <c r="G1137" s="11">
        <v>45803</v>
      </c>
    </row>
    <row r="1138" spans="1:7" ht="24.5" hidden="1" x14ac:dyDescent="0.35">
      <c r="A1138" s="8">
        <v>8569</v>
      </c>
      <c r="B1138" s="10" t="s">
        <v>3695</v>
      </c>
      <c r="C1138" s="10" t="s">
        <v>104</v>
      </c>
      <c r="D1138" s="9" t="s">
        <v>104</v>
      </c>
      <c r="E1138" s="9" t="s">
        <v>1371</v>
      </c>
      <c r="F1138" s="10" t="s">
        <v>2522</v>
      </c>
      <c r="G1138" s="11">
        <v>45803</v>
      </c>
    </row>
    <row r="1139" spans="1:7" ht="36.5" hidden="1" x14ac:dyDescent="0.35">
      <c r="A1139" s="8">
        <v>8568</v>
      </c>
      <c r="B1139" s="10" t="s">
        <v>3696</v>
      </c>
      <c r="C1139" s="10" t="s">
        <v>104</v>
      </c>
      <c r="D1139" s="9" t="s">
        <v>104</v>
      </c>
      <c r="E1139" s="9" t="s">
        <v>1371</v>
      </c>
      <c r="F1139" s="10" t="s">
        <v>2572</v>
      </c>
      <c r="G1139" s="11">
        <v>45803</v>
      </c>
    </row>
    <row r="1140" spans="1:7" ht="24.5" hidden="1" x14ac:dyDescent="0.35">
      <c r="A1140" s="8">
        <v>8573</v>
      </c>
      <c r="B1140" s="10" t="s">
        <v>3697</v>
      </c>
      <c r="C1140" s="10" t="s">
        <v>220</v>
      </c>
      <c r="D1140" s="9" t="s">
        <v>220</v>
      </c>
      <c r="E1140" s="9" t="s">
        <v>305</v>
      </c>
      <c r="F1140" s="10" t="s">
        <v>2522</v>
      </c>
      <c r="G1140" s="11">
        <v>45803</v>
      </c>
    </row>
    <row r="1141" spans="1:7" ht="36.5" hidden="1" x14ac:dyDescent="0.35">
      <c r="A1141" s="8">
        <v>8574</v>
      </c>
      <c r="B1141" s="10" t="s">
        <v>3698</v>
      </c>
      <c r="C1141" s="10" t="s">
        <v>278</v>
      </c>
      <c r="D1141" s="9" t="s">
        <v>395</v>
      </c>
      <c r="E1141" s="9" t="s">
        <v>394</v>
      </c>
      <c r="F1141" s="10" t="s">
        <v>2530</v>
      </c>
      <c r="G1141" s="11">
        <v>45803</v>
      </c>
    </row>
    <row r="1142" spans="1:7" ht="36.5" hidden="1" x14ac:dyDescent="0.35">
      <c r="A1142" s="8">
        <v>8572</v>
      </c>
      <c r="B1142" s="10" t="s">
        <v>3364</v>
      </c>
      <c r="C1142" s="10" t="s">
        <v>96</v>
      </c>
      <c r="D1142" s="9" t="s">
        <v>96</v>
      </c>
      <c r="E1142" s="9" t="s">
        <v>368</v>
      </c>
      <c r="F1142" s="10" t="s">
        <v>2516</v>
      </c>
      <c r="G1142" s="11">
        <v>45803</v>
      </c>
    </row>
    <row r="1143" spans="1:7" ht="36.5" hidden="1" x14ac:dyDescent="0.35">
      <c r="A1143" s="8">
        <v>8575</v>
      </c>
      <c r="B1143" s="10" t="s">
        <v>3699</v>
      </c>
      <c r="C1143" s="10" t="s">
        <v>104</v>
      </c>
      <c r="D1143" s="9" t="s">
        <v>395</v>
      </c>
      <c r="E1143" s="9" t="s">
        <v>394</v>
      </c>
      <c r="F1143" s="10" t="s">
        <v>2516</v>
      </c>
      <c r="G1143" s="11">
        <v>45803</v>
      </c>
    </row>
    <row r="1144" spans="1:7" ht="36.5" hidden="1" x14ac:dyDescent="0.35">
      <c r="A1144" s="8">
        <v>8576</v>
      </c>
      <c r="B1144" s="10" t="s">
        <v>3700</v>
      </c>
      <c r="C1144" s="10" t="s">
        <v>96</v>
      </c>
      <c r="D1144" s="9" t="s">
        <v>395</v>
      </c>
      <c r="E1144" s="9" t="s">
        <v>394</v>
      </c>
      <c r="F1144" s="10" t="s">
        <v>2530</v>
      </c>
      <c r="G1144" s="11">
        <v>45804</v>
      </c>
    </row>
    <row r="1145" spans="1:7" ht="36.5" hidden="1" x14ac:dyDescent="0.35">
      <c r="A1145" s="8">
        <v>8578</v>
      </c>
      <c r="B1145" s="10" t="s">
        <v>3701</v>
      </c>
      <c r="C1145" s="10" t="s">
        <v>26</v>
      </c>
      <c r="D1145" s="9" t="s">
        <v>95</v>
      </c>
      <c r="E1145" s="9" t="s">
        <v>657</v>
      </c>
      <c r="F1145" s="10" t="s">
        <v>2522</v>
      </c>
      <c r="G1145" s="11">
        <v>45804</v>
      </c>
    </row>
    <row r="1146" spans="1:7" ht="48.5" hidden="1" x14ac:dyDescent="0.35">
      <c r="A1146" s="8">
        <v>8585</v>
      </c>
      <c r="B1146" s="10" t="s">
        <v>3702</v>
      </c>
      <c r="C1146" s="10" t="s">
        <v>104</v>
      </c>
      <c r="D1146" s="9" t="s">
        <v>104</v>
      </c>
      <c r="E1146" s="9" t="s">
        <v>1371</v>
      </c>
      <c r="F1146" s="10" t="s">
        <v>2559</v>
      </c>
      <c r="G1146" s="11">
        <v>45804</v>
      </c>
    </row>
    <row r="1147" spans="1:7" ht="24.5" hidden="1" x14ac:dyDescent="0.35">
      <c r="A1147" s="8">
        <v>8584</v>
      </c>
      <c r="B1147" s="10" t="s">
        <v>3703</v>
      </c>
      <c r="C1147" s="10" t="s">
        <v>26</v>
      </c>
      <c r="D1147" s="9" t="s">
        <v>26</v>
      </c>
      <c r="E1147" s="9" t="s">
        <v>78</v>
      </c>
      <c r="F1147" s="10" t="s">
        <v>2540</v>
      </c>
      <c r="G1147" s="11">
        <v>45804</v>
      </c>
    </row>
    <row r="1148" spans="1:7" ht="24.5" hidden="1" x14ac:dyDescent="0.35">
      <c r="A1148" s="8">
        <v>8586</v>
      </c>
      <c r="B1148" s="10" t="s">
        <v>3704</v>
      </c>
      <c r="C1148" s="10" t="s">
        <v>96</v>
      </c>
      <c r="D1148" s="9" t="s">
        <v>395</v>
      </c>
      <c r="E1148" s="9" t="s">
        <v>1037</v>
      </c>
      <c r="F1148" s="10" t="s">
        <v>2537</v>
      </c>
      <c r="G1148" s="11">
        <v>45804</v>
      </c>
    </row>
    <row r="1149" spans="1:7" ht="24.5" hidden="1" x14ac:dyDescent="0.35">
      <c r="A1149" s="8">
        <v>8589</v>
      </c>
      <c r="B1149" s="10" t="s">
        <v>3705</v>
      </c>
      <c r="C1149" s="10" t="s">
        <v>96</v>
      </c>
      <c r="D1149" s="9" t="s">
        <v>96</v>
      </c>
      <c r="E1149" s="9" t="s">
        <v>1179</v>
      </c>
      <c r="F1149" s="10" t="s">
        <v>2537</v>
      </c>
      <c r="G1149" s="11">
        <v>45804</v>
      </c>
    </row>
    <row r="1150" spans="1:7" ht="48.5" hidden="1" x14ac:dyDescent="0.35">
      <c r="A1150" s="8">
        <v>8587</v>
      </c>
      <c r="B1150" s="10" t="s">
        <v>3706</v>
      </c>
      <c r="C1150" s="10" t="s">
        <v>13</v>
      </c>
      <c r="D1150" s="9" t="s">
        <v>220</v>
      </c>
      <c r="E1150" s="9" t="s">
        <v>327</v>
      </c>
      <c r="F1150" s="10" t="s">
        <v>2559</v>
      </c>
      <c r="G1150" s="11">
        <v>45804</v>
      </c>
    </row>
    <row r="1151" spans="1:7" ht="24.5" hidden="1" x14ac:dyDescent="0.35">
      <c r="A1151" s="8">
        <v>8588</v>
      </c>
      <c r="B1151" s="10" t="s">
        <v>3707</v>
      </c>
      <c r="C1151" s="10" t="s">
        <v>96</v>
      </c>
      <c r="D1151" s="9" t="s">
        <v>96</v>
      </c>
      <c r="E1151" s="9" t="s">
        <v>982</v>
      </c>
      <c r="F1151" s="10" t="s">
        <v>2540</v>
      </c>
      <c r="G1151" s="11">
        <v>45804</v>
      </c>
    </row>
    <row r="1152" spans="1:7" ht="24.5" hidden="1" x14ac:dyDescent="0.35">
      <c r="A1152" s="8">
        <v>8591</v>
      </c>
      <c r="B1152" s="10" t="s">
        <v>3475</v>
      </c>
      <c r="C1152" s="10" t="s">
        <v>96</v>
      </c>
      <c r="D1152" s="9" t="s">
        <v>96</v>
      </c>
      <c r="E1152" s="9" t="s">
        <v>368</v>
      </c>
      <c r="F1152" s="10" t="s">
        <v>2522</v>
      </c>
      <c r="G1152" s="11">
        <v>45805</v>
      </c>
    </row>
    <row r="1153" spans="1:7" ht="36.5" hidden="1" x14ac:dyDescent="0.35">
      <c r="A1153" s="8">
        <v>8590</v>
      </c>
      <c r="B1153" s="10" t="s">
        <v>3708</v>
      </c>
      <c r="C1153" s="10" t="s">
        <v>21</v>
      </c>
      <c r="D1153" s="9" t="s">
        <v>21</v>
      </c>
      <c r="E1153" s="9" t="s">
        <v>819</v>
      </c>
      <c r="F1153" s="10" t="s">
        <v>2516</v>
      </c>
      <c r="G1153" s="11">
        <v>45805</v>
      </c>
    </row>
    <row r="1154" spans="1:7" ht="48.5" hidden="1" x14ac:dyDescent="0.35">
      <c r="A1154" s="8">
        <v>8593</v>
      </c>
      <c r="B1154" s="10" t="s">
        <v>3709</v>
      </c>
      <c r="C1154" s="10" t="s">
        <v>96</v>
      </c>
      <c r="D1154" s="9" t="s">
        <v>95</v>
      </c>
      <c r="E1154" s="9" t="s">
        <v>1914</v>
      </c>
      <c r="F1154" s="10" t="s">
        <v>2522</v>
      </c>
      <c r="G1154" s="11">
        <v>45805</v>
      </c>
    </row>
    <row r="1155" spans="1:7" ht="36.5" hidden="1" x14ac:dyDescent="0.35">
      <c r="A1155" s="8">
        <v>8594</v>
      </c>
      <c r="B1155" s="10" t="s">
        <v>3710</v>
      </c>
      <c r="C1155" s="10" t="s">
        <v>96</v>
      </c>
      <c r="D1155" s="9" t="s">
        <v>95</v>
      </c>
      <c r="E1155" s="9" t="s">
        <v>1914</v>
      </c>
      <c r="F1155" s="10" t="s">
        <v>2715</v>
      </c>
      <c r="G1155" s="11">
        <v>45805</v>
      </c>
    </row>
    <row r="1156" spans="1:7" ht="36.5" hidden="1" x14ac:dyDescent="0.35">
      <c r="A1156" s="8">
        <v>8595</v>
      </c>
      <c r="B1156" s="10" t="s">
        <v>3453</v>
      </c>
      <c r="C1156" s="10" t="s">
        <v>96</v>
      </c>
      <c r="D1156" s="9" t="s">
        <v>96</v>
      </c>
      <c r="E1156" s="9" t="s">
        <v>368</v>
      </c>
      <c r="F1156" s="10" t="s">
        <v>2516</v>
      </c>
      <c r="G1156" s="11">
        <v>45805</v>
      </c>
    </row>
    <row r="1157" spans="1:7" ht="48.5" hidden="1" x14ac:dyDescent="0.35">
      <c r="A1157" s="8">
        <v>8597</v>
      </c>
      <c r="B1157" s="10" t="s">
        <v>3711</v>
      </c>
      <c r="C1157" s="10" t="s">
        <v>227</v>
      </c>
      <c r="D1157" s="9" t="s">
        <v>190</v>
      </c>
      <c r="E1157" s="9" t="s">
        <v>3712</v>
      </c>
      <c r="F1157" s="10" t="s">
        <v>2559</v>
      </c>
      <c r="G1157" s="11">
        <v>45805</v>
      </c>
    </row>
    <row r="1158" spans="1:7" ht="24.5" hidden="1" x14ac:dyDescent="0.35">
      <c r="A1158" s="8">
        <v>8599</v>
      </c>
      <c r="B1158" s="10" t="s">
        <v>3713</v>
      </c>
      <c r="C1158" s="10" t="s">
        <v>196</v>
      </c>
      <c r="D1158" s="9" t="s">
        <v>395</v>
      </c>
      <c r="E1158" s="9" t="s">
        <v>3628</v>
      </c>
      <c r="F1158" s="10" t="s">
        <v>2522</v>
      </c>
      <c r="G1158" s="11">
        <v>45805</v>
      </c>
    </row>
    <row r="1159" spans="1:7" ht="36.5" hidden="1" x14ac:dyDescent="0.35">
      <c r="A1159" s="8">
        <v>8598</v>
      </c>
      <c r="B1159" s="10" t="s">
        <v>3714</v>
      </c>
      <c r="C1159" s="10" t="s">
        <v>21</v>
      </c>
      <c r="D1159" s="9" t="s">
        <v>21</v>
      </c>
      <c r="E1159" s="9" t="s">
        <v>633</v>
      </c>
      <c r="F1159" s="10" t="s">
        <v>2516</v>
      </c>
      <c r="G1159" s="11">
        <v>45805</v>
      </c>
    </row>
    <row r="1160" spans="1:7" ht="36.5" hidden="1" x14ac:dyDescent="0.35">
      <c r="A1160" s="8">
        <v>8602</v>
      </c>
      <c r="B1160" s="10" t="s">
        <v>3715</v>
      </c>
      <c r="C1160" s="10" t="s">
        <v>104</v>
      </c>
      <c r="D1160" s="9" t="s">
        <v>21</v>
      </c>
      <c r="E1160" s="9" t="s">
        <v>333</v>
      </c>
      <c r="F1160" s="10" t="s">
        <v>2525</v>
      </c>
      <c r="G1160" s="11">
        <v>45806</v>
      </c>
    </row>
    <row r="1161" spans="1:7" ht="36.5" hidden="1" x14ac:dyDescent="0.35">
      <c r="A1161" s="8">
        <v>8601</v>
      </c>
      <c r="B1161" s="10" t="s">
        <v>3716</v>
      </c>
      <c r="C1161" s="10" t="s">
        <v>104</v>
      </c>
      <c r="D1161" s="9" t="s">
        <v>13</v>
      </c>
      <c r="E1161" s="9" t="s">
        <v>333</v>
      </c>
      <c r="F1161" s="10" t="s">
        <v>2572</v>
      </c>
      <c r="G1161" s="11">
        <v>45806</v>
      </c>
    </row>
    <row r="1162" spans="1:7" ht="36.5" hidden="1" x14ac:dyDescent="0.35">
      <c r="A1162" s="8">
        <v>8605</v>
      </c>
      <c r="B1162" s="10" t="s">
        <v>3717</v>
      </c>
      <c r="C1162" s="10" t="s">
        <v>196</v>
      </c>
      <c r="D1162" s="9" t="s">
        <v>395</v>
      </c>
      <c r="E1162" s="9" t="s">
        <v>1045</v>
      </c>
      <c r="F1162" s="10" t="s">
        <v>2516</v>
      </c>
      <c r="G1162" s="11">
        <v>45806</v>
      </c>
    </row>
    <row r="1163" spans="1:7" ht="36.5" hidden="1" x14ac:dyDescent="0.35">
      <c r="A1163" s="8">
        <v>8604</v>
      </c>
      <c r="B1163" s="10" t="s">
        <v>3718</v>
      </c>
      <c r="C1163" s="10" t="s">
        <v>96</v>
      </c>
      <c r="D1163" s="9" t="s">
        <v>395</v>
      </c>
      <c r="E1163" s="9" t="s">
        <v>1045</v>
      </c>
      <c r="F1163" s="10" t="s">
        <v>2715</v>
      </c>
      <c r="G1163" s="11">
        <v>45806</v>
      </c>
    </row>
    <row r="1164" spans="1:7" ht="24.5" hidden="1" x14ac:dyDescent="0.35">
      <c r="A1164" s="8">
        <v>8603</v>
      </c>
      <c r="B1164" s="10" t="s">
        <v>3719</v>
      </c>
      <c r="C1164" s="10" t="s">
        <v>134</v>
      </c>
      <c r="D1164" s="9" t="s">
        <v>395</v>
      </c>
      <c r="E1164" s="9" t="s">
        <v>1926</v>
      </c>
      <c r="F1164" s="10" t="s">
        <v>2522</v>
      </c>
      <c r="G1164" s="11">
        <v>45806</v>
      </c>
    </row>
    <row r="1165" spans="1:7" ht="48.5" hidden="1" x14ac:dyDescent="0.35">
      <c r="A1165" s="8">
        <v>8611</v>
      </c>
      <c r="B1165" s="10" t="s">
        <v>3720</v>
      </c>
      <c r="C1165" s="10" t="s">
        <v>95</v>
      </c>
      <c r="D1165" s="9" t="s">
        <v>95</v>
      </c>
      <c r="E1165" s="9" t="s">
        <v>657</v>
      </c>
      <c r="F1165" s="10" t="s">
        <v>2522</v>
      </c>
      <c r="G1165" s="11">
        <v>45807</v>
      </c>
    </row>
    <row r="1166" spans="1:7" ht="48.5" hidden="1" x14ac:dyDescent="0.35">
      <c r="A1166" s="8">
        <v>8612</v>
      </c>
      <c r="B1166" s="10" t="s">
        <v>3721</v>
      </c>
      <c r="C1166" s="10" t="s">
        <v>220</v>
      </c>
      <c r="D1166" s="9" t="s">
        <v>95</v>
      </c>
      <c r="E1166" s="9" t="s">
        <v>822</v>
      </c>
      <c r="F1166" s="10" t="s">
        <v>2559</v>
      </c>
      <c r="G1166" s="11">
        <v>45807</v>
      </c>
    </row>
    <row r="1167" spans="1:7" ht="36.5" hidden="1" x14ac:dyDescent="0.35">
      <c r="A1167" s="8">
        <v>8614</v>
      </c>
      <c r="B1167" s="10" t="s">
        <v>3722</v>
      </c>
      <c r="C1167" s="10" t="s">
        <v>95</v>
      </c>
      <c r="D1167" s="9" t="s">
        <v>95</v>
      </c>
      <c r="E1167" s="9" t="s">
        <v>1147</v>
      </c>
      <c r="F1167" s="10" t="s">
        <v>2530</v>
      </c>
      <c r="G1167" s="11">
        <v>45806</v>
      </c>
    </row>
    <row r="1168" spans="1:7" ht="48.5" hidden="1" x14ac:dyDescent="0.35">
      <c r="A1168" s="8">
        <v>8615</v>
      </c>
      <c r="B1168" s="10" t="s">
        <v>3723</v>
      </c>
      <c r="C1168" s="10" t="s">
        <v>26</v>
      </c>
      <c r="D1168" s="9" t="s">
        <v>95</v>
      </c>
      <c r="E1168" s="9" t="s">
        <v>1316</v>
      </c>
      <c r="F1168" s="10" t="s">
        <v>2540</v>
      </c>
      <c r="G1168" s="11">
        <v>45789</v>
      </c>
    </row>
    <row r="1169" spans="1:7" ht="24.5" hidden="1" x14ac:dyDescent="0.35">
      <c r="A1169" s="8">
        <v>8627</v>
      </c>
      <c r="B1169" s="10" t="s">
        <v>3724</v>
      </c>
      <c r="C1169" s="10" t="s">
        <v>134</v>
      </c>
      <c r="D1169" s="9" t="s">
        <v>134</v>
      </c>
      <c r="E1169" s="9" t="s">
        <v>1692</v>
      </c>
      <c r="F1169" s="10" t="s">
        <v>2522</v>
      </c>
      <c r="G1169" s="11">
        <v>45807</v>
      </c>
    </row>
    <row r="1170" spans="1:7" ht="24.5" hidden="1" x14ac:dyDescent="0.35">
      <c r="A1170" s="8">
        <v>8629</v>
      </c>
      <c r="B1170" s="10" t="s">
        <v>3725</v>
      </c>
      <c r="C1170" s="10" t="s">
        <v>34</v>
      </c>
      <c r="D1170" s="9" t="s">
        <v>34</v>
      </c>
      <c r="E1170" s="9" t="s">
        <v>78</v>
      </c>
      <c r="F1170" s="10" t="s">
        <v>2522</v>
      </c>
      <c r="G1170" s="11">
        <v>45807</v>
      </c>
    </row>
    <row r="1171" spans="1:7" ht="24.5" hidden="1" x14ac:dyDescent="0.35">
      <c r="A1171" s="8">
        <v>8626</v>
      </c>
      <c r="B1171" s="10" t="s">
        <v>3726</v>
      </c>
      <c r="C1171" s="10" t="s">
        <v>250</v>
      </c>
      <c r="D1171" s="9" t="s">
        <v>250</v>
      </c>
      <c r="E1171" s="9" t="s">
        <v>592</v>
      </c>
      <c r="F1171" s="10" t="s">
        <v>2522</v>
      </c>
      <c r="G1171" s="11">
        <v>45807</v>
      </c>
    </row>
    <row r="1172" spans="1:7" ht="24.5" hidden="1" x14ac:dyDescent="0.35">
      <c r="A1172" s="8">
        <v>8630</v>
      </c>
      <c r="B1172" s="10" t="s">
        <v>3727</v>
      </c>
      <c r="C1172" s="10" t="s">
        <v>26</v>
      </c>
      <c r="D1172" s="9" t="s">
        <v>26</v>
      </c>
      <c r="E1172" s="9" t="s">
        <v>78</v>
      </c>
      <c r="F1172" s="10" t="s">
        <v>2522</v>
      </c>
      <c r="G1172" s="11">
        <v>45807</v>
      </c>
    </row>
    <row r="1173" spans="1:7" ht="24.5" hidden="1" x14ac:dyDescent="0.35">
      <c r="A1173" s="8">
        <v>8631</v>
      </c>
      <c r="B1173" s="10" t="s">
        <v>3728</v>
      </c>
      <c r="C1173" s="10" t="s">
        <v>104</v>
      </c>
      <c r="D1173" s="9" t="s">
        <v>196</v>
      </c>
      <c r="E1173" s="9" t="s">
        <v>1116</v>
      </c>
      <c r="F1173" s="10" t="s">
        <v>2834</v>
      </c>
      <c r="G1173" s="11">
        <v>45806</v>
      </c>
    </row>
    <row r="1174" spans="1:7" ht="24.5" hidden="1" x14ac:dyDescent="0.35">
      <c r="A1174" s="8">
        <v>8628</v>
      </c>
      <c r="B1174" s="10" t="s">
        <v>3729</v>
      </c>
      <c r="C1174" s="10" t="s">
        <v>34</v>
      </c>
      <c r="D1174" s="9" t="s">
        <v>34</v>
      </c>
      <c r="E1174" s="9" t="s">
        <v>78</v>
      </c>
      <c r="F1174" s="10" t="s">
        <v>2522</v>
      </c>
      <c r="G1174" s="11">
        <v>45807</v>
      </c>
    </row>
    <row r="1175" spans="1:7" ht="24.5" hidden="1" x14ac:dyDescent="0.35">
      <c r="A1175" s="8">
        <v>8641</v>
      </c>
      <c r="B1175" s="10" t="s">
        <v>3730</v>
      </c>
      <c r="C1175" s="10" t="s">
        <v>96</v>
      </c>
      <c r="D1175" s="9" t="s">
        <v>395</v>
      </c>
      <c r="E1175" s="9" t="s">
        <v>2440</v>
      </c>
      <c r="F1175" s="10" t="s">
        <v>2834</v>
      </c>
      <c r="G1175" s="11">
        <v>45809</v>
      </c>
    </row>
    <row r="1176" spans="1:7" ht="36.5" hidden="1" x14ac:dyDescent="0.35">
      <c r="A1176" s="8">
        <v>8654</v>
      </c>
      <c r="B1176" s="10" t="s">
        <v>3731</v>
      </c>
      <c r="C1176" s="10" t="s">
        <v>96</v>
      </c>
      <c r="D1176" s="9" t="s">
        <v>371</v>
      </c>
      <c r="E1176" s="9" t="s">
        <v>1030</v>
      </c>
      <c r="F1176" s="10" t="s">
        <v>2516</v>
      </c>
      <c r="G1176" s="11">
        <v>45810</v>
      </c>
    </row>
    <row r="1177" spans="1:7" ht="36.5" hidden="1" x14ac:dyDescent="0.35">
      <c r="A1177" s="8">
        <v>8652</v>
      </c>
      <c r="B1177" s="10" t="s">
        <v>3732</v>
      </c>
      <c r="C1177" s="10" t="s">
        <v>96</v>
      </c>
      <c r="D1177" s="9" t="s">
        <v>96</v>
      </c>
      <c r="E1177" s="9" t="s">
        <v>982</v>
      </c>
      <c r="F1177" s="10" t="s">
        <v>2516</v>
      </c>
      <c r="G1177" s="11">
        <v>45810</v>
      </c>
    </row>
    <row r="1178" spans="1:7" ht="36.5" hidden="1" x14ac:dyDescent="0.35">
      <c r="A1178" s="8">
        <v>8653</v>
      </c>
      <c r="B1178" s="10" t="s">
        <v>3733</v>
      </c>
      <c r="C1178" s="10" t="s">
        <v>34</v>
      </c>
      <c r="D1178" s="9" t="s">
        <v>371</v>
      </c>
      <c r="E1178" s="9" t="s">
        <v>1846</v>
      </c>
      <c r="F1178" s="10" t="s">
        <v>2516</v>
      </c>
      <c r="G1178" s="11">
        <v>45810</v>
      </c>
    </row>
    <row r="1179" spans="1:7" ht="36.5" hidden="1" x14ac:dyDescent="0.35">
      <c r="A1179" s="8">
        <v>8651</v>
      </c>
      <c r="B1179" s="10" t="s">
        <v>3734</v>
      </c>
      <c r="C1179" s="10" t="s">
        <v>21</v>
      </c>
      <c r="D1179" s="9" t="s">
        <v>13</v>
      </c>
      <c r="E1179" s="9" t="s">
        <v>819</v>
      </c>
      <c r="F1179" s="10" t="s">
        <v>2516</v>
      </c>
      <c r="G1179" s="11">
        <v>45810</v>
      </c>
    </row>
    <row r="1180" spans="1:7" ht="24.5" hidden="1" x14ac:dyDescent="0.35">
      <c r="A1180" s="8">
        <v>8649</v>
      </c>
      <c r="B1180" s="10" t="s">
        <v>3735</v>
      </c>
      <c r="C1180" s="10" t="s">
        <v>250</v>
      </c>
      <c r="D1180" s="9" t="s">
        <v>250</v>
      </c>
      <c r="E1180" s="9" t="s">
        <v>592</v>
      </c>
      <c r="F1180" s="10" t="s">
        <v>2522</v>
      </c>
      <c r="G1180" s="11">
        <v>45810</v>
      </c>
    </row>
    <row r="1181" spans="1:7" ht="36.5" hidden="1" x14ac:dyDescent="0.35">
      <c r="A1181" s="8">
        <v>8647</v>
      </c>
      <c r="B1181" s="10" t="s">
        <v>3736</v>
      </c>
      <c r="C1181" s="10" t="s">
        <v>34</v>
      </c>
      <c r="D1181" s="9" t="s">
        <v>34</v>
      </c>
      <c r="E1181" s="9" t="s">
        <v>78</v>
      </c>
      <c r="F1181" s="10" t="s">
        <v>2516</v>
      </c>
      <c r="G1181" s="11">
        <v>45810</v>
      </c>
    </row>
    <row r="1182" spans="1:7" ht="24.5" hidden="1" x14ac:dyDescent="0.35">
      <c r="A1182" s="8">
        <v>8646</v>
      </c>
      <c r="B1182" s="10" t="s">
        <v>3737</v>
      </c>
      <c r="C1182" s="10" t="s">
        <v>220</v>
      </c>
      <c r="D1182" s="9" t="s">
        <v>134</v>
      </c>
      <c r="E1182" s="9" t="s">
        <v>1692</v>
      </c>
      <c r="F1182" s="10" t="s">
        <v>2540</v>
      </c>
      <c r="G1182" s="11">
        <v>45810</v>
      </c>
    </row>
    <row r="1183" spans="1:7" ht="24.5" hidden="1" x14ac:dyDescent="0.35">
      <c r="A1183" s="8">
        <v>8648</v>
      </c>
      <c r="B1183" s="10" t="s">
        <v>3738</v>
      </c>
      <c r="C1183" s="10" t="s">
        <v>250</v>
      </c>
      <c r="D1183" s="9" t="s">
        <v>250</v>
      </c>
      <c r="E1183" s="9" t="s">
        <v>592</v>
      </c>
      <c r="F1183" s="10" t="s">
        <v>2522</v>
      </c>
      <c r="G1183" s="11">
        <v>45810</v>
      </c>
    </row>
    <row r="1184" spans="1:7" ht="24.5" hidden="1" x14ac:dyDescent="0.35">
      <c r="A1184" s="8">
        <v>8645</v>
      </c>
      <c r="B1184" s="10" t="s">
        <v>3739</v>
      </c>
      <c r="C1184" s="10" t="s">
        <v>21</v>
      </c>
      <c r="D1184" s="9" t="s">
        <v>21</v>
      </c>
      <c r="E1184" s="9" t="s">
        <v>1525</v>
      </c>
      <c r="F1184" s="10" t="s">
        <v>2522</v>
      </c>
      <c r="G1184" s="11">
        <v>45810</v>
      </c>
    </row>
    <row r="1185" spans="1:7" ht="36.5" hidden="1" x14ac:dyDescent="0.35">
      <c r="A1185" s="8">
        <v>8644</v>
      </c>
      <c r="B1185" s="10" t="s">
        <v>3740</v>
      </c>
      <c r="C1185" s="10" t="s">
        <v>21</v>
      </c>
      <c r="D1185" s="9" t="s">
        <v>234</v>
      </c>
      <c r="E1185" s="9" t="s">
        <v>819</v>
      </c>
      <c r="F1185" s="10" t="s">
        <v>2522</v>
      </c>
      <c r="G1185" s="11">
        <v>45809</v>
      </c>
    </row>
    <row r="1186" spans="1:7" ht="24.5" hidden="1" x14ac:dyDescent="0.35">
      <c r="A1186" s="8">
        <v>8642</v>
      </c>
      <c r="B1186" s="10" t="s">
        <v>3741</v>
      </c>
      <c r="C1186" s="10" t="s">
        <v>196</v>
      </c>
      <c r="D1186" s="9" t="s">
        <v>196</v>
      </c>
      <c r="E1186" s="9" t="s">
        <v>595</v>
      </c>
      <c r="F1186" s="10" t="s">
        <v>2537</v>
      </c>
      <c r="G1186" s="11">
        <v>45809</v>
      </c>
    </row>
    <row r="1187" spans="1:7" ht="36.5" hidden="1" x14ac:dyDescent="0.35">
      <c r="A1187" s="8">
        <v>8643</v>
      </c>
      <c r="B1187" s="10" t="s">
        <v>3742</v>
      </c>
      <c r="C1187" s="10" t="s">
        <v>104</v>
      </c>
      <c r="D1187" s="9" t="s">
        <v>104</v>
      </c>
      <c r="E1187" s="9" t="s">
        <v>3743</v>
      </c>
      <c r="F1187" s="10" t="s">
        <v>2522</v>
      </c>
      <c r="G1187" s="11">
        <v>45809</v>
      </c>
    </row>
    <row r="1188" spans="1:7" ht="36.5" hidden="1" x14ac:dyDescent="0.35">
      <c r="A1188" s="8">
        <v>8633</v>
      </c>
      <c r="B1188" s="10" t="s">
        <v>3744</v>
      </c>
      <c r="C1188" s="10" t="s">
        <v>104</v>
      </c>
      <c r="D1188" s="9" t="s">
        <v>95</v>
      </c>
      <c r="E1188" s="9" t="s">
        <v>1836</v>
      </c>
      <c r="F1188" s="10" t="s">
        <v>2516</v>
      </c>
      <c r="G1188" s="11">
        <v>45809</v>
      </c>
    </row>
    <row r="1189" spans="1:7" ht="60.5" hidden="1" x14ac:dyDescent="0.35">
      <c r="A1189" s="8">
        <v>8636</v>
      </c>
      <c r="B1189" s="10" t="s">
        <v>3745</v>
      </c>
      <c r="C1189" s="10" t="s">
        <v>104</v>
      </c>
      <c r="D1189" s="9" t="s">
        <v>95</v>
      </c>
      <c r="E1189" s="9" t="s">
        <v>657</v>
      </c>
      <c r="F1189" s="10" t="s">
        <v>2572</v>
      </c>
      <c r="G1189" s="11">
        <v>45811</v>
      </c>
    </row>
    <row r="1190" spans="1:7" ht="24.5" hidden="1" x14ac:dyDescent="0.35">
      <c r="A1190" s="8">
        <v>8640</v>
      </c>
      <c r="B1190" s="10" t="s">
        <v>3746</v>
      </c>
      <c r="C1190" s="10" t="s">
        <v>95</v>
      </c>
      <c r="D1190" s="9" t="s">
        <v>95</v>
      </c>
      <c r="E1190" s="9" t="s">
        <v>657</v>
      </c>
      <c r="F1190" s="10" t="s">
        <v>2834</v>
      </c>
      <c r="G1190" s="11">
        <v>45812</v>
      </c>
    </row>
    <row r="1191" spans="1:7" ht="36.5" hidden="1" x14ac:dyDescent="0.35">
      <c r="A1191" s="8">
        <v>8662</v>
      </c>
      <c r="B1191" s="10" t="s">
        <v>3747</v>
      </c>
      <c r="C1191" s="10" t="s">
        <v>134</v>
      </c>
      <c r="D1191" s="9" t="s">
        <v>13</v>
      </c>
      <c r="E1191" s="9" t="s">
        <v>1484</v>
      </c>
      <c r="F1191" s="10" t="s">
        <v>2522</v>
      </c>
      <c r="G1191" s="11">
        <v>45811</v>
      </c>
    </row>
    <row r="1192" spans="1:7" ht="36.5" hidden="1" x14ac:dyDescent="0.35">
      <c r="A1192" s="8">
        <v>8661</v>
      </c>
      <c r="B1192" s="10" t="s">
        <v>3748</v>
      </c>
      <c r="C1192" s="10" t="s">
        <v>134</v>
      </c>
      <c r="D1192" s="9" t="s">
        <v>21</v>
      </c>
      <c r="E1192" s="9" t="s">
        <v>1484</v>
      </c>
      <c r="F1192" s="10" t="s">
        <v>2516</v>
      </c>
      <c r="G1192" s="11">
        <v>45811</v>
      </c>
    </row>
    <row r="1193" spans="1:7" ht="36.5" hidden="1" x14ac:dyDescent="0.35">
      <c r="A1193" s="8">
        <v>8664</v>
      </c>
      <c r="B1193" s="10" t="s">
        <v>3749</v>
      </c>
      <c r="C1193" s="10" t="s">
        <v>13</v>
      </c>
      <c r="D1193" s="9" t="s">
        <v>13</v>
      </c>
      <c r="E1193" s="9" t="s">
        <v>1484</v>
      </c>
      <c r="F1193" s="10" t="s">
        <v>2516</v>
      </c>
      <c r="G1193" s="11">
        <v>45811</v>
      </c>
    </row>
    <row r="1194" spans="1:7" ht="24.5" hidden="1" x14ac:dyDescent="0.35">
      <c r="A1194" s="8">
        <v>8666</v>
      </c>
      <c r="B1194" s="10" t="s">
        <v>3750</v>
      </c>
      <c r="C1194" s="10" t="s">
        <v>104</v>
      </c>
      <c r="D1194" s="9" t="s">
        <v>104</v>
      </c>
      <c r="E1194" s="9" t="s">
        <v>819</v>
      </c>
      <c r="F1194" s="10" t="s">
        <v>2522</v>
      </c>
      <c r="G1194" s="11">
        <v>45811</v>
      </c>
    </row>
    <row r="1195" spans="1:7" ht="36.5" hidden="1" x14ac:dyDescent="0.35">
      <c r="A1195" s="8">
        <v>8665</v>
      </c>
      <c r="B1195" s="10" t="s">
        <v>3751</v>
      </c>
      <c r="C1195" s="10" t="s">
        <v>13</v>
      </c>
      <c r="D1195" s="9" t="s">
        <v>13</v>
      </c>
      <c r="E1195" s="9" t="s">
        <v>1484</v>
      </c>
      <c r="F1195" s="10" t="s">
        <v>2516</v>
      </c>
      <c r="G1195" s="11">
        <v>45811</v>
      </c>
    </row>
    <row r="1196" spans="1:7" ht="48.5" hidden="1" x14ac:dyDescent="0.35">
      <c r="A1196" s="8">
        <v>8668</v>
      </c>
      <c r="B1196" s="10" t="s">
        <v>3752</v>
      </c>
      <c r="C1196" s="10" t="s">
        <v>278</v>
      </c>
      <c r="D1196" s="9" t="s">
        <v>278</v>
      </c>
      <c r="E1196" s="9" t="s">
        <v>1805</v>
      </c>
      <c r="F1196" s="10" t="s">
        <v>2559</v>
      </c>
      <c r="G1196" s="11">
        <v>45811</v>
      </c>
    </row>
    <row r="1197" spans="1:7" ht="36.5" hidden="1" x14ac:dyDescent="0.35">
      <c r="A1197" s="8">
        <v>8663</v>
      </c>
      <c r="B1197" s="10" t="s">
        <v>3753</v>
      </c>
      <c r="C1197" s="10" t="s">
        <v>134</v>
      </c>
      <c r="D1197" s="9" t="s">
        <v>13</v>
      </c>
      <c r="E1197" s="9" t="s">
        <v>1484</v>
      </c>
      <c r="F1197" s="10" t="s">
        <v>2530</v>
      </c>
      <c r="G1197" s="11">
        <v>45811</v>
      </c>
    </row>
    <row r="1198" spans="1:7" ht="24.5" hidden="1" x14ac:dyDescent="0.35">
      <c r="A1198" s="8">
        <v>8670</v>
      </c>
      <c r="B1198" s="10" t="s">
        <v>3754</v>
      </c>
      <c r="C1198" s="10" t="s">
        <v>134</v>
      </c>
      <c r="D1198" s="9" t="s">
        <v>134</v>
      </c>
      <c r="E1198" s="9" t="s">
        <v>1692</v>
      </c>
      <c r="F1198" s="10" t="s">
        <v>2522</v>
      </c>
      <c r="G1198" s="11">
        <v>45811</v>
      </c>
    </row>
    <row r="1199" spans="1:7" ht="36.5" hidden="1" x14ac:dyDescent="0.35">
      <c r="A1199" s="8">
        <v>8671</v>
      </c>
      <c r="B1199" s="10" t="s">
        <v>3755</v>
      </c>
      <c r="C1199" s="10" t="s">
        <v>104</v>
      </c>
      <c r="D1199" s="9" t="s">
        <v>104</v>
      </c>
      <c r="E1199" s="9" t="s">
        <v>1371</v>
      </c>
      <c r="F1199" s="10" t="s">
        <v>2516</v>
      </c>
      <c r="G1199" s="11">
        <v>45811</v>
      </c>
    </row>
    <row r="1200" spans="1:7" ht="24.5" hidden="1" x14ac:dyDescent="0.35">
      <c r="A1200" s="8">
        <v>8667</v>
      </c>
      <c r="B1200" s="10" t="s">
        <v>3756</v>
      </c>
      <c r="C1200" s="10" t="s">
        <v>104</v>
      </c>
      <c r="D1200" s="9" t="s">
        <v>134</v>
      </c>
      <c r="E1200" s="9" t="s">
        <v>819</v>
      </c>
      <c r="F1200" s="10" t="s">
        <v>2522</v>
      </c>
      <c r="G1200" s="11">
        <v>45811</v>
      </c>
    </row>
    <row r="1201" spans="1:7" ht="24.5" hidden="1" x14ac:dyDescent="0.35">
      <c r="A1201" s="8">
        <v>8669</v>
      </c>
      <c r="B1201" s="10" t="s">
        <v>3757</v>
      </c>
      <c r="C1201" s="10" t="s">
        <v>134</v>
      </c>
      <c r="D1201" s="9" t="s">
        <v>134</v>
      </c>
      <c r="E1201" s="9" t="s">
        <v>1692</v>
      </c>
      <c r="F1201" s="10" t="s">
        <v>2522</v>
      </c>
      <c r="G1201" s="11">
        <v>45811</v>
      </c>
    </row>
    <row r="1202" spans="1:7" ht="48.5" hidden="1" x14ac:dyDescent="0.35">
      <c r="A1202" s="8">
        <v>8676</v>
      </c>
      <c r="B1202" s="10" t="s">
        <v>3758</v>
      </c>
      <c r="C1202" s="10" t="s">
        <v>104</v>
      </c>
      <c r="D1202" s="9" t="s">
        <v>95</v>
      </c>
      <c r="E1202" s="9" t="s">
        <v>657</v>
      </c>
      <c r="F1202" s="10" t="s">
        <v>2540</v>
      </c>
      <c r="G1202" s="11">
        <v>45811</v>
      </c>
    </row>
    <row r="1203" spans="1:7" ht="24.5" hidden="1" x14ac:dyDescent="0.35">
      <c r="A1203" s="8">
        <v>8677</v>
      </c>
      <c r="B1203" s="10" t="s">
        <v>3759</v>
      </c>
      <c r="C1203" s="10" t="s">
        <v>96</v>
      </c>
      <c r="D1203" s="9" t="s">
        <v>96</v>
      </c>
      <c r="E1203" s="9" t="s">
        <v>1179</v>
      </c>
      <c r="F1203" s="10" t="s">
        <v>2540</v>
      </c>
      <c r="G1203" s="11">
        <v>45810</v>
      </c>
    </row>
    <row r="1204" spans="1:7" ht="36.5" hidden="1" x14ac:dyDescent="0.35">
      <c r="A1204" s="8">
        <v>8672</v>
      </c>
      <c r="B1204" s="10" t="s">
        <v>3760</v>
      </c>
      <c r="C1204" s="10" t="s">
        <v>95</v>
      </c>
      <c r="D1204" s="9" t="s">
        <v>95</v>
      </c>
      <c r="E1204" s="9" t="s">
        <v>657</v>
      </c>
      <c r="F1204" s="10" t="s">
        <v>2540</v>
      </c>
      <c r="G1204" s="11">
        <v>45814</v>
      </c>
    </row>
    <row r="1205" spans="1:7" ht="36.5" hidden="1" x14ac:dyDescent="0.35">
      <c r="A1205" s="8">
        <v>8680</v>
      </c>
      <c r="B1205" s="10" t="s">
        <v>3761</v>
      </c>
      <c r="C1205" s="10" t="s">
        <v>220</v>
      </c>
      <c r="D1205" s="9" t="s">
        <v>220</v>
      </c>
      <c r="E1205" s="9" t="s">
        <v>306</v>
      </c>
      <c r="F1205" s="10" t="s">
        <v>2516</v>
      </c>
      <c r="G1205" s="11">
        <v>45811</v>
      </c>
    </row>
    <row r="1206" spans="1:7" ht="24.5" hidden="1" x14ac:dyDescent="0.35">
      <c r="A1206" s="8">
        <v>8684</v>
      </c>
      <c r="B1206" s="10" t="s">
        <v>3762</v>
      </c>
      <c r="C1206" s="10" t="s">
        <v>21</v>
      </c>
      <c r="D1206" s="9" t="s">
        <v>395</v>
      </c>
      <c r="E1206" s="9" t="s">
        <v>1037</v>
      </c>
      <c r="F1206" s="10" t="s">
        <v>2522</v>
      </c>
      <c r="G1206" s="11">
        <v>45812</v>
      </c>
    </row>
    <row r="1207" spans="1:7" ht="36.5" hidden="1" x14ac:dyDescent="0.35">
      <c r="A1207" s="8">
        <v>8683</v>
      </c>
      <c r="B1207" s="10" t="s">
        <v>3763</v>
      </c>
      <c r="C1207" s="10" t="s">
        <v>21</v>
      </c>
      <c r="D1207" s="9" t="s">
        <v>395</v>
      </c>
      <c r="E1207" s="9" t="s">
        <v>1037</v>
      </c>
      <c r="F1207" s="10" t="s">
        <v>2516</v>
      </c>
      <c r="G1207" s="11">
        <v>45812</v>
      </c>
    </row>
    <row r="1208" spans="1:7" ht="24.5" hidden="1" x14ac:dyDescent="0.35">
      <c r="A1208" s="8">
        <v>8682</v>
      </c>
      <c r="B1208" s="10" t="s">
        <v>3764</v>
      </c>
      <c r="C1208" s="10" t="s">
        <v>104</v>
      </c>
      <c r="D1208" s="9" t="s">
        <v>104</v>
      </c>
      <c r="E1208" s="9" t="s">
        <v>1371</v>
      </c>
      <c r="F1208" s="10" t="s">
        <v>2522</v>
      </c>
      <c r="G1208" s="11">
        <v>45812</v>
      </c>
    </row>
    <row r="1209" spans="1:7" ht="24.5" hidden="1" x14ac:dyDescent="0.35">
      <c r="A1209" s="8">
        <v>8681</v>
      </c>
      <c r="B1209" s="10" t="s">
        <v>3765</v>
      </c>
      <c r="C1209" s="10" t="s">
        <v>104</v>
      </c>
      <c r="D1209" s="9" t="s">
        <v>104</v>
      </c>
      <c r="E1209" s="9" t="s">
        <v>1371</v>
      </c>
      <c r="F1209" s="10" t="s">
        <v>2522</v>
      </c>
      <c r="G1209" s="11">
        <v>45812</v>
      </c>
    </row>
    <row r="1210" spans="1:7" ht="48.5" hidden="1" x14ac:dyDescent="0.35">
      <c r="A1210" s="8">
        <v>8689</v>
      </c>
      <c r="B1210" s="10" t="s">
        <v>3766</v>
      </c>
      <c r="C1210" s="10" t="s">
        <v>250</v>
      </c>
      <c r="D1210" s="9" t="s">
        <v>220</v>
      </c>
      <c r="E1210" s="9" t="s">
        <v>306</v>
      </c>
      <c r="F1210" s="10" t="s">
        <v>2516</v>
      </c>
      <c r="G1210" s="11">
        <v>45812</v>
      </c>
    </row>
    <row r="1211" spans="1:7" ht="24.5" hidden="1" x14ac:dyDescent="0.35">
      <c r="A1211" s="8">
        <v>8688</v>
      </c>
      <c r="B1211" s="10" t="s">
        <v>3767</v>
      </c>
      <c r="C1211" s="10" t="s">
        <v>26</v>
      </c>
      <c r="D1211" s="9" t="s">
        <v>95</v>
      </c>
      <c r="E1211" s="9" t="s">
        <v>1914</v>
      </c>
      <c r="F1211" s="10" t="s">
        <v>2522</v>
      </c>
      <c r="G1211" s="11">
        <v>45812</v>
      </c>
    </row>
    <row r="1212" spans="1:7" ht="36.5" hidden="1" x14ac:dyDescent="0.35">
      <c r="A1212" s="8">
        <v>8690</v>
      </c>
      <c r="B1212" s="10" t="s">
        <v>3768</v>
      </c>
      <c r="C1212" s="10" t="s">
        <v>26</v>
      </c>
      <c r="D1212" s="9" t="s">
        <v>95</v>
      </c>
      <c r="E1212" s="9" t="s">
        <v>1914</v>
      </c>
      <c r="F1212" s="10" t="s">
        <v>2516</v>
      </c>
      <c r="G1212" s="11">
        <v>45812</v>
      </c>
    </row>
    <row r="1213" spans="1:7" ht="36.5" hidden="1" x14ac:dyDescent="0.35">
      <c r="A1213" s="8">
        <v>8691</v>
      </c>
      <c r="B1213" s="10" t="s">
        <v>3769</v>
      </c>
      <c r="C1213" s="10" t="s">
        <v>95</v>
      </c>
      <c r="D1213" s="9" t="s">
        <v>95</v>
      </c>
      <c r="E1213" s="9" t="s">
        <v>99</v>
      </c>
      <c r="F1213" s="10" t="s">
        <v>2516</v>
      </c>
      <c r="G1213" s="11">
        <v>45812</v>
      </c>
    </row>
    <row r="1214" spans="1:7" ht="36.5" hidden="1" x14ac:dyDescent="0.35">
      <c r="A1214" s="8">
        <v>8693</v>
      </c>
      <c r="B1214" s="10" t="s">
        <v>3770</v>
      </c>
      <c r="C1214" s="10" t="s">
        <v>220</v>
      </c>
      <c r="D1214" s="9" t="s">
        <v>220</v>
      </c>
      <c r="E1214" s="9" t="s">
        <v>306</v>
      </c>
      <c r="F1214" s="10" t="s">
        <v>2516</v>
      </c>
      <c r="G1214" s="11">
        <v>45812</v>
      </c>
    </row>
    <row r="1215" spans="1:7" ht="24.5" hidden="1" x14ac:dyDescent="0.35">
      <c r="A1215" s="8">
        <v>8692</v>
      </c>
      <c r="B1215" s="10" t="s">
        <v>3771</v>
      </c>
      <c r="C1215" s="10" t="s">
        <v>26</v>
      </c>
      <c r="D1215" s="9" t="s">
        <v>95</v>
      </c>
      <c r="E1215" s="9" t="s">
        <v>1914</v>
      </c>
      <c r="F1215" s="10" t="s">
        <v>2540</v>
      </c>
      <c r="G1215" s="11">
        <v>45812</v>
      </c>
    </row>
    <row r="1216" spans="1:7" ht="36.5" hidden="1" x14ac:dyDescent="0.35">
      <c r="A1216" s="8">
        <v>8695</v>
      </c>
      <c r="B1216" s="10" t="s">
        <v>3772</v>
      </c>
      <c r="C1216" s="10" t="s">
        <v>26</v>
      </c>
      <c r="D1216" s="9" t="s">
        <v>95</v>
      </c>
      <c r="E1216" s="9" t="s">
        <v>1914</v>
      </c>
      <c r="F1216" s="10" t="s">
        <v>2572</v>
      </c>
      <c r="G1216" s="11">
        <v>45812</v>
      </c>
    </row>
    <row r="1217" spans="1:7" ht="24.5" hidden="1" x14ac:dyDescent="0.35">
      <c r="A1217" s="8">
        <v>8694</v>
      </c>
      <c r="B1217" s="10" t="s">
        <v>3773</v>
      </c>
      <c r="C1217" s="10" t="s">
        <v>26</v>
      </c>
      <c r="D1217" s="9" t="s">
        <v>95</v>
      </c>
      <c r="E1217" s="9" t="s">
        <v>1914</v>
      </c>
      <c r="F1217" s="10" t="s">
        <v>2540</v>
      </c>
      <c r="G1217" s="11">
        <v>45812</v>
      </c>
    </row>
    <row r="1218" spans="1:7" ht="24.5" hidden="1" x14ac:dyDescent="0.35">
      <c r="A1218" s="8">
        <v>8696</v>
      </c>
      <c r="B1218" s="10" t="s">
        <v>3774</v>
      </c>
      <c r="C1218" s="10" t="s">
        <v>196</v>
      </c>
      <c r="D1218" s="9" t="s">
        <v>371</v>
      </c>
      <c r="E1218" s="9" t="s">
        <v>1846</v>
      </c>
      <c r="F1218" s="10" t="s">
        <v>2537</v>
      </c>
      <c r="G1218" s="11">
        <v>45812</v>
      </c>
    </row>
    <row r="1219" spans="1:7" ht="48.5" hidden="1" x14ac:dyDescent="0.35">
      <c r="A1219" s="8">
        <v>8700</v>
      </c>
      <c r="B1219" s="10" t="s">
        <v>3775</v>
      </c>
      <c r="C1219" s="10" t="s">
        <v>13</v>
      </c>
      <c r="D1219" s="9" t="s">
        <v>395</v>
      </c>
      <c r="E1219" s="9" t="s">
        <v>1037</v>
      </c>
      <c r="F1219" s="10" t="s">
        <v>2516</v>
      </c>
      <c r="G1219" s="11">
        <v>45812</v>
      </c>
    </row>
    <row r="1220" spans="1:7" ht="24.5" hidden="1" x14ac:dyDescent="0.35">
      <c r="A1220" s="8">
        <v>8709</v>
      </c>
      <c r="B1220" s="10" t="s">
        <v>3776</v>
      </c>
      <c r="C1220" s="10" t="s">
        <v>96</v>
      </c>
      <c r="D1220" s="9" t="s">
        <v>96</v>
      </c>
      <c r="E1220" s="9" t="s">
        <v>1055</v>
      </c>
      <c r="F1220" s="10" t="s">
        <v>2537</v>
      </c>
      <c r="G1220" s="11">
        <v>45812</v>
      </c>
    </row>
    <row r="1221" spans="1:7" ht="24.5" hidden="1" x14ac:dyDescent="0.35">
      <c r="A1221" s="8">
        <v>8701</v>
      </c>
      <c r="B1221" s="10" t="s">
        <v>3777</v>
      </c>
      <c r="C1221" s="10" t="s">
        <v>26</v>
      </c>
      <c r="D1221" s="9" t="s">
        <v>95</v>
      </c>
      <c r="E1221" s="9" t="s">
        <v>1914</v>
      </c>
      <c r="F1221" s="10" t="s">
        <v>2522</v>
      </c>
      <c r="G1221" s="11">
        <v>45812</v>
      </c>
    </row>
    <row r="1222" spans="1:7" ht="24.5" hidden="1" x14ac:dyDescent="0.35">
      <c r="A1222" s="8">
        <v>8711</v>
      </c>
      <c r="B1222" s="10" t="s">
        <v>3778</v>
      </c>
      <c r="C1222" s="10" t="s">
        <v>26</v>
      </c>
      <c r="D1222" s="9" t="s">
        <v>250</v>
      </c>
      <c r="E1222" s="9" t="s">
        <v>374</v>
      </c>
      <c r="F1222" s="10" t="s">
        <v>2522</v>
      </c>
      <c r="G1222" s="11">
        <v>45812</v>
      </c>
    </row>
    <row r="1223" spans="1:7" ht="24.5" hidden="1" x14ac:dyDescent="0.35">
      <c r="A1223" s="8">
        <v>8699</v>
      </c>
      <c r="B1223" s="10" t="s">
        <v>3779</v>
      </c>
      <c r="C1223" s="10" t="s">
        <v>96</v>
      </c>
      <c r="D1223" s="9" t="s">
        <v>371</v>
      </c>
      <c r="E1223" s="9" t="s">
        <v>2682</v>
      </c>
      <c r="F1223" s="10" t="s">
        <v>2522</v>
      </c>
      <c r="G1223" s="11">
        <v>45812</v>
      </c>
    </row>
    <row r="1224" spans="1:7" ht="36.5" hidden="1" x14ac:dyDescent="0.35">
      <c r="A1224" s="8">
        <v>8698</v>
      </c>
      <c r="B1224" s="10" t="s">
        <v>3780</v>
      </c>
      <c r="C1224" s="10" t="s">
        <v>96</v>
      </c>
      <c r="D1224" s="9" t="s">
        <v>371</v>
      </c>
      <c r="E1224" s="9" t="s">
        <v>2682</v>
      </c>
      <c r="F1224" s="10" t="s">
        <v>2516</v>
      </c>
      <c r="G1224" s="11">
        <v>45812</v>
      </c>
    </row>
    <row r="1225" spans="1:7" ht="36.5" hidden="1" x14ac:dyDescent="0.35">
      <c r="A1225" s="8">
        <v>8702</v>
      </c>
      <c r="B1225" s="10" t="s">
        <v>3781</v>
      </c>
      <c r="C1225" s="10" t="s">
        <v>21</v>
      </c>
      <c r="D1225" s="9" t="s">
        <v>395</v>
      </c>
      <c r="E1225" s="9" t="s">
        <v>1037</v>
      </c>
      <c r="F1225" s="10" t="s">
        <v>2516</v>
      </c>
      <c r="G1225" s="11">
        <v>45812</v>
      </c>
    </row>
    <row r="1226" spans="1:7" ht="36.5" hidden="1" x14ac:dyDescent="0.35">
      <c r="A1226" s="8">
        <v>8704</v>
      </c>
      <c r="B1226" s="10" t="s">
        <v>3782</v>
      </c>
      <c r="C1226" s="10" t="s">
        <v>21</v>
      </c>
      <c r="D1226" s="9" t="s">
        <v>395</v>
      </c>
      <c r="E1226" s="9" t="s">
        <v>1037</v>
      </c>
      <c r="F1226" s="10" t="s">
        <v>2522</v>
      </c>
      <c r="G1226" s="11">
        <v>45812</v>
      </c>
    </row>
    <row r="1227" spans="1:7" ht="24.5" hidden="1" x14ac:dyDescent="0.35">
      <c r="A1227" s="8">
        <v>8703</v>
      </c>
      <c r="B1227" s="10" t="s">
        <v>3783</v>
      </c>
      <c r="C1227" s="10" t="s">
        <v>134</v>
      </c>
      <c r="D1227" s="9" t="s">
        <v>395</v>
      </c>
      <c r="E1227" s="9" t="s">
        <v>1926</v>
      </c>
      <c r="F1227" s="10" t="s">
        <v>2522</v>
      </c>
      <c r="G1227" s="11">
        <v>45812</v>
      </c>
    </row>
    <row r="1228" spans="1:7" ht="36.5" hidden="1" x14ac:dyDescent="0.35">
      <c r="A1228" s="8">
        <v>8708</v>
      </c>
      <c r="B1228" s="10" t="s">
        <v>3784</v>
      </c>
      <c r="C1228" s="10" t="s">
        <v>21</v>
      </c>
      <c r="D1228" s="9" t="s">
        <v>395</v>
      </c>
      <c r="E1228" s="9" t="s">
        <v>1037</v>
      </c>
      <c r="F1228" s="10" t="s">
        <v>2572</v>
      </c>
      <c r="G1228" s="11">
        <v>45812</v>
      </c>
    </row>
    <row r="1229" spans="1:7" ht="24.5" hidden="1" x14ac:dyDescent="0.35">
      <c r="A1229" s="8">
        <v>8706</v>
      </c>
      <c r="B1229" s="10" t="s">
        <v>3785</v>
      </c>
      <c r="C1229" s="10" t="s">
        <v>134</v>
      </c>
      <c r="D1229" s="9" t="s">
        <v>395</v>
      </c>
      <c r="E1229" s="9" t="s">
        <v>1926</v>
      </c>
      <c r="F1229" s="10" t="s">
        <v>2522</v>
      </c>
      <c r="G1229" s="11">
        <v>45812</v>
      </c>
    </row>
    <row r="1230" spans="1:7" ht="36.5" hidden="1" x14ac:dyDescent="0.35">
      <c r="A1230" s="8">
        <v>8707</v>
      </c>
      <c r="B1230" s="10" t="s">
        <v>3786</v>
      </c>
      <c r="C1230" s="10" t="s">
        <v>134</v>
      </c>
      <c r="D1230" s="9" t="s">
        <v>395</v>
      </c>
      <c r="E1230" s="9" t="s">
        <v>1926</v>
      </c>
      <c r="F1230" s="10" t="s">
        <v>2525</v>
      </c>
      <c r="G1230" s="11">
        <v>45812</v>
      </c>
    </row>
    <row r="1231" spans="1:7" ht="24.5" hidden="1" x14ac:dyDescent="0.35">
      <c r="A1231" s="8">
        <v>8705</v>
      </c>
      <c r="B1231" s="10" t="s">
        <v>3787</v>
      </c>
      <c r="C1231" s="10" t="s">
        <v>395</v>
      </c>
      <c r="D1231" s="9" t="s">
        <v>278</v>
      </c>
      <c r="E1231" s="9" t="s">
        <v>1805</v>
      </c>
      <c r="F1231" s="10" t="s">
        <v>2522</v>
      </c>
      <c r="G1231" s="11">
        <v>45812</v>
      </c>
    </row>
    <row r="1232" spans="1:7" ht="24.5" hidden="1" x14ac:dyDescent="0.35">
      <c r="A1232" s="8">
        <v>8710</v>
      </c>
      <c r="B1232" s="10" t="s">
        <v>3788</v>
      </c>
      <c r="C1232" s="10" t="s">
        <v>26</v>
      </c>
      <c r="D1232" s="9" t="s">
        <v>196</v>
      </c>
      <c r="E1232" s="9" t="s">
        <v>1305</v>
      </c>
      <c r="F1232" s="10" t="s">
        <v>2540</v>
      </c>
      <c r="G1232" s="11">
        <v>45812</v>
      </c>
    </row>
    <row r="1233" spans="1:7" ht="24.5" hidden="1" x14ac:dyDescent="0.35">
      <c r="A1233" s="8">
        <v>8713</v>
      </c>
      <c r="B1233" s="10" t="s">
        <v>3789</v>
      </c>
      <c r="C1233" s="10" t="s">
        <v>278</v>
      </c>
      <c r="D1233" s="9" t="s">
        <v>13</v>
      </c>
      <c r="E1233" s="9" t="s">
        <v>1484</v>
      </c>
      <c r="F1233" s="10" t="s">
        <v>2522</v>
      </c>
      <c r="G1233" s="11">
        <v>45812</v>
      </c>
    </row>
    <row r="1234" spans="1:7" ht="24.5" hidden="1" x14ac:dyDescent="0.35">
      <c r="A1234" s="8">
        <v>8712</v>
      </c>
      <c r="B1234" s="10" t="s">
        <v>3790</v>
      </c>
      <c r="C1234" s="10" t="s">
        <v>278</v>
      </c>
      <c r="D1234" s="9" t="s">
        <v>21</v>
      </c>
      <c r="E1234" s="9" t="s">
        <v>1484</v>
      </c>
      <c r="F1234" s="10" t="s">
        <v>2522</v>
      </c>
      <c r="G1234" s="11">
        <v>45812</v>
      </c>
    </row>
    <row r="1235" spans="1:7" ht="36.5" hidden="1" x14ac:dyDescent="0.35">
      <c r="A1235" s="8">
        <v>8714</v>
      </c>
      <c r="B1235" s="10" t="s">
        <v>3791</v>
      </c>
      <c r="C1235" s="10" t="s">
        <v>13</v>
      </c>
      <c r="D1235" s="9" t="s">
        <v>13</v>
      </c>
      <c r="E1235" s="9" t="s">
        <v>1484</v>
      </c>
      <c r="F1235" s="10" t="s">
        <v>2572</v>
      </c>
      <c r="G1235" s="11">
        <v>45813</v>
      </c>
    </row>
    <row r="1236" spans="1:7" ht="24.5" hidden="1" x14ac:dyDescent="0.35">
      <c r="A1236" s="8">
        <v>8716</v>
      </c>
      <c r="B1236" s="10" t="s">
        <v>3792</v>
      </c>
      <c r="C1236" s="10" t="s">
        <v>104</v>
      </c>
      <c r="D1236" s="9" t="s">
        <v>104</v>
      </c>
      <c r="E1236" s="9" t="s">
        <v>1371</v>
      </c>
      <c r="F1236" s="10" t="s">
        <v>2522</v>
      </c>
      <c r="G1236" s="11">
        <v>45813</v>
      </c>
    </row>
    <row r="1237" spans="1:7" ht="36.5" hidden="1" x14ac:dyDescent="0.35">
      <c r="A1237" s="8">
        <v>8717</v>
      </c>
      <c r="B1237" s="10" t="s">
        <v>3793</v>
      </c>
      <c r="C1237" s="10" t="s">
        <v>104</v>
      </c>
      <c r="D1237" s="9" t="s">
        <v>104</v>
      </c>
      <c r="E1237" s="9" t="s">
        <v>1371</v>
      </c>
      <c r="F1237" s="10" t="s">
        <v>2715</v>
      </c>
      <c r="G1237" s="11">
        <v>45813</v>
      </c>
    </row>
    <row r="1238" spans="1:7" ht="24.5" hidden="1" x14ac:dyDescent="0.35">
      <c r="A1238" s="8">
        <v>8715</v>
      </c>
      <c r="B1238" s="10" t="s">
        <v>3794</v>
      </c>
      <c r="C1238" s="10" t="s">
        <v>196</v>
      </c>
      <c r="D1238" s="9" t="s">
        <v>371</v>
      </c>
      <c r="E1238" s="9" t="s">
        <v>1674</v>
      </c>
      <c r="F1238" s="10" t="s">
        <v>2522</v>
      </c>
      <c r="G1238" s="11">
        <v>45813</v>
      </c>
    </row>
    <row r="1239" spans="1:7" ht="36.5" hidden="1" x14ac:dyDescent="0.35">
      <c r="A1239" s="8">
        <v>8718</v>
      </c>
      <c r="B1239" s="10" t="s">
        <v>3795</v>
      </c>
      <c r="C1239" s="10" t="s">
        <v>96</v>
      </c>
      <c r="D1239" s="9" t="s">
        <v>96</v>
      </c>
      <c r="E1239" s="9" t="s">
        <v>1179</v>
      </c>
      <c r="F1239" s="10" t="s">
        <v>2530</v>
      </c>
      <c r="G1239" s="11">
        <v>45813</v>
      </c>
    </row>
    <row r="1240" spans="1:7" ht="24.5" hidden="1" x14ac:dyDescent="0.35">
      <c r="A1240" s="8">
        <v>8721</v>
      </c>
      <c r="B1240" s="10" t="s">
        <v>3796</v>
      </c>
      <c r="C1240" s="10" t="s">
        <v>104</v>
      </c>
      <c r="D1240" s="9" t="s">
        <v>234</v>
      </c>
      <c r="E1240" s="9" t="s">
        <v>819</v>
      </c>
      <c r="F1240" s="10" t="s">
        <v>2522</v>
      </c>
      <c r="G1240" s="11">
        <v>45813</v>
      </c>
    </row>
    <row r="1241" spans="1:7" ht="36.5" hidden="1" x14ac:dyDescent="0.35">
      <c r="A1241" s="8">
        <v>8719</v>
      </c>
      <c r="B1241" s="10" t="s">
        <v>3797</v>
      </c>
      <c r="C1241" s="10" t="s">
        <v>250</v>
      </c>
      <c r="D1241" s="9" t="s">
        <v>250</v>
      </c>
      <c r="E1241" s="9" t="s">
        <v>422</v>
      </c>
      <c r="F1241" s="10" t="s">
        <v>2572</v>
      </c>
      <c r="G1241" s="11">
        <v>45813</v>
      </c>
    </row>
    <row r="1242" spans="1:7" ht="48.5" hidden="1" x14ac:dyDescent="0.35">
      <c r="A1242" s="8">
        <v>8726</v>
      </c>
      <c r="B1242" s="10" t="s">
        <v>3798</v>
      </c>
      <c r="C1242" s="10" t="s">
        <v>21</v>
      </c>
      <c r="D1242" s="9" t="s">
        <v>95</v>
      </c>
      <c r="E1242" s="9" t="s">
        <v>183</v>
      </c>
      <c r="F1242" s="10" t="s">
        <v>2559</v>
      </c>
      <c r="G1242" s="11">
        <v>45814</v>
      </c>
    </row>
    <row r="1243" spans="1:7" ht="36.5" hidden="1" x14ac:dyDescent="0.35">
      <c r="A1243" s="8">
        <v>8722</v>
      </c>
      <c r="B1243" s="10" t="s">
        <v>3799</v>
      </c>
      <c r="C1243" s="10" t="s">
        <v>104</v>
      </c>
      <c r="D1243" s="9" t="s">
        <v>104</v>
      </c>
      <c r="E1243" s="9" t="s">
        <v>1371</v>
      </c>
      <c r="F1243" s="10" t="s">
        <v>2516</v>
      </c>
      <c r="G1243" s="11">
        <v>45814</v>
      </c>
    </row>
    <row r="1244" spans="1:7" ht="36.5" hidden="1" x14ac:dyDescent="0.35">
      <c r="A1244" s="8">
        <v>8723</v>
      </c>
      <c r="B1244" s="10" t="s">
        <v>3800</v>
      </c>
      <c r="C1244" s="10" t="s">
        <v>26</v>
      </c>
      <c r="D1244" s="9" t="s">
        <v>190</v>
      </c>
      <c r="E1244" s="9" t="s">
        <v>418</v>
      </c>
      <c r="F1244" s="10" t="s">
        <v>2540</v>
      </c>
      <c r="G1244" s="11">
        <v>45814</v>
      </c>
    </row>
    <row r="1245" spans="1:7" ht="24.5" hidden="1" x14ac:dyDescent="0.35">
      <c r="A1245" s="8">
        <v>8720</v>
      </c>
      <c r="B1245" s="10" t="s">
        <v>3801</v>
      </c>
      <c r="C1245" s="10" t="s">
        <v>250</v>
      </c>
      <c r="D1245" s="9" t="s">
        <v>26</v>
      </c>
      <c r="E1245" s="9" t="s">
        <v>36</v>
      </c>
      <c r="F1245" s="10" t="s">
        <v>2522</v>
      </c>
      <c r="G1245" s="11">
        <v>45814</v>
      </c>
    </row>
    <row r="1246" spans="1:7" ht="36.5" hidden="1" x14ac:dyDescent="0.35">
      <c r="A1246" s="8">
        <v>8724</v>
      </c>
      <c r="B1246" s="10" t="s">
        <v>3802</v>
      </c>
      <c r="C1246" s="10" t="s">
        <v>371</v>
      </c>
      <c r="D1246" s="9" t="s">
        <v>96</v>
      </c>
      <c r="E1246" s="9" t="s">
        <v>1179</v>
      </c>
      <c r="F1246" s="10" t="s">
        <v>2516</v>
      </c>
      <c r="G1246" s="11">
        <v>45814</v>
      </c>
    </row>
    <row r="1247" spans="1:7" ht="48.5" hidden="1" x14ac:dyDescent="0.35">
      <c r="A1247" s="8">
        <v>8725</v>
      </c>
      <c r="B1247" s="10" t="s">
        <v>3803</v>
      </c>
      <c r="C1247" s="10" t="s">
        <v>21</v>
      </c>
      <c r="D1247" s="9" t="s">
        <v>95</v>
      </c>
      <c r="E1247" s="9" t="s">
        <v>183</v>
      </c>
      <c r="F1247" s="10" t="s">
        <v>2559</v>
      </c>
      <c r="G1247" s="11">
        <v>45814</v>
      </c>
    </row>
    <row r="1248" spans="1:7" ht="36.5" hidden="1" x14ac:dyDescent="0.35">
      <c r="A1248" s="8">
        <v>8727</v>
      </c>
      <c r="B1248" s="10" t="s">
        <v>3804</v>
      </c>
      <c r="C1248" s="10" t="s">
        <v>278</v>
      </c>
      <c r="D1248" s="9" t="s">
        <v>190</v>
      </c>
      <c r="E1248" s="9" t="s">
        <v>418</v>
      </c>
      <c r="F1248" s="10" t="s">
        <v>2572</v>
      </c>
      <c r="G1248" s="11">
        <v>45815</v>
      </c>
    </row>
    <row r="1249" spans="1:7" ht="24.5" hidden="1" x14ac:dyDescent="0.35">
      <c r="A1249" s="8">
        <v>8728</v>
      </c>
      <c r="B1249" s="10" t="s">
        <v>3805</v>
      </c>
      <c r="C1249" s="10" t="s">
        <v>134</v>
      </c>
      <c r="D1249" s="9" t="s">
        <v>134</v>
      </c>
      <c r="E1249" s="9" t="s">
        <v>762</v>
      </c>
      <c r="F1249" s="10" t="s">
        <v>2522</v>
      </c>
      <c r="G1249" s="11">
        <v>45815</v>
      </c>
    </row>
    <row r="1250" spans="1:7" ht="24.5" hidden="1" x14ac:dyDescent="0.35">
      <c r="A1250" s="8">
        <v>8729</v>
      </c>
      <c r="B1250" s="10" t="s">
        <v>3806</v>
      </c>
      <c r="C1250" s="10" t="s">
        <v>196</v>
      </c>
      <c r="D1250" s="9" t="s">
        <v>196</v>
      </c>
      <c r="E1250" s="9" t="s">
        <v>1116</v>
      </c>
      <c r="F1250" s="10" t="s">
        <v>2537</v>
      </c>
      <c r="G1250" s="11">
        <v>45816</v>
      </c>
    </row>
    <row r="1251" spans="1:7" ht="36.5" hidden="1" x14ac:dyDescent="0.35">
      <c r="A1251" s="8">
        <v>8735</v>
      </c>
      <c r="B1251" s="10" t="s">
        <v>3807</v>
      </c>
      <c r="C1251" s="10" t="s">
        <v>937</v>
      </c>
      <c r="D1251" s="9" t="s">
        <v>395</v>
      </c>
      <c r="E1251" s="9" t="s">
        <v>394</v>
      </c>
      <c r="F1251" s="10" t="s">
        <v>2715</v>
      </c>
      <c r="G1251" s="11">
        <v>45817</v>
      </c>
    </row>
    <row r="1252" spans="1:7" ht="36.5" hidden="1" x14ac:dyDescent="0.35">
      <c r="A1252" s="8">
        <v>8737</v>
      </c>
      <c r="B1252" s="10" t="s">
        <v>3808</v>
      </c>
      <c r="C1252" s="10" t="s">
        <v>395</v>
      </c>
      <c r="D1252" s="9" t="s">
        <v>395</v>
      </c>
      <c r="E1252" s="9" t="s">
        <v>394</v>
      </c>
      <c r="F1252" s="10" t="s">
        <v>2715</v>
      </c>
      <c r="G1252" s="11">
        <v>45817</v>
      </c>
    </row>
    <row r="1253" spans="1:7" ht="36.5" hidden="1" x14ac:dyDescent="0.35">
      <c r="A1253" s="8">
        <v>8736</v>
      </c>
      <c r="B1253" s="10" t="s">
        <v>3809</v>
      </c>
      <c r="C1253" s="10" t="s">
        <v>395</v>
      </c>
      <c r="D1253" s="9" t="s">
        <v>395</v>
      </c>
      <c r="E1253" s="9" t="s">
        <v>394</v>
      </c>
      <c r="F1253" s="10" t="s">
        <v>2715</v>
      </c>
      <c r="G1253" s="11">
        <v>45817</v>
      </c>
    </row>
    <row r="1254" spans="1:7" ht="48.5" hidden="1" x14ac:dyDescent="0.35">
      <c r="A1254" s="8">
        <v>8739</v>
      </c>
      <c r="B1254" s="10" t="s">
        <v>3810</v>
      </c>
      <c r="C1254" s="10" t="s">
        <v>96</v>
      </c>
      <c r="D1254" s="9" t="s">
        <v>395</v>
      </c>
      <c r="E1254" s="9" t="s">
        <v>2440</v>
      </c>
      <c r="F1254" s="10" t="s">
        <v>2516</v>
      </c>
      <c r="G1254" s="11">
        <v>45817</v>
      </c>
    </row>
    <row r="1255" spans="1:7" ht="48.5" hidden="1" x14ac:dyDescent="0.35">
      <c r="A1255" s="8">
        <v>8740</v>
      </c>
      <c r="B1255" s="10" t="s">
        <v>3811</v>
      </c>
      <c r="C1255" s="10" t="s">
        <v>937</v>
      </c>
      <c r="D1255" s="9" t="s">
        <v>395</v>
      </c>
      <c r="E1255" s="9" t="s">
        <v>2440</v>
      </c>
      <c r="F1255" s="10" t="s">
        <v>2516</v>
      </c>
      <c r="G1255" s="11">
        <v>45817</v>
      </c>
    </row>
    <row r="1256" spans="1:7" ht="36.5" hidden="1" x14ac:dyDescent="0.35">
      <c r="A1256" s="8">
        <v>8747</v>
      </c>
      <c r="B1256" s="10" t="s">
        <v>3812</v>
      </c>
      <c r="C1256" s="10" t="s">
        <v>13</v>
      </c>
      <c r="D1256" s="9" t="s">
        <v>13</v>
      </c>
      <c r="E1256" s="9" t="s">
        <v>1484</v>
      </c>
      <c r="F1256" s="10" t="s">
        <v>2572</v>
      </c>
      <c r="G1256" s="11">
        <v>45818</v>
      </c>
    </row>
    <row r="1257" spans="1:7" ht="36.5" hidden="1" x14ac:dyDescent="0.35">
      <c r="A1257" s="8">
        <v>8744</v>
      </c>
      <c r="B1257" s="10" t="s">
        <v>3813</v>
      </c>
      <c r="C1257" s="10" t="s">
        <v>371</v>
      </c>
      <c r="D1257" s="9" t="s">
        <v>371</v>
      </c>
      <c r="E1257" s="9" t="s">
        <v>2682</v>
      </c>
      <c r="F1257" s="10" t="s">
        <v>2525</v>
      </c>
      <c r="G1257" s="11">
        <v>45815</v>
      </c>
    </row>
    <row r="1258" spans="1:7" ht="36.5" hidden="1" x14ac:dyDescent="0.35">
      <c r="A1258" s="8">
        <v>8746</v>
      </c>
      <c r="B1258" s="10" t="s">
        <v>3814</v>
      </c>
      <c r="C1258" s="10" t="s">
        <v>104</v>
      </c>
      <c r="D1258" s="9" t="s">
        <v>190</v>
      </c>
      <c r="E1258" s="9" t="s">
        <v>3815</v>
      </c>
      <c r="F1258" s="10" t="s">
        <v>2516</v>
      </c>
      <c r="G1258" s="11">
        <v>45818</v>
      </c>
    </row>
    <row r="1259" spans="1:7" ht="36.5" hidden="1" x14ac:dyDescent="0.35">
      <c r="A1259" s="8">
        <v>8753</v>
      </c>
      <c r="B1259" s="10" t="s">
        <v>3816</v>
      </c>
      <c r="C1259" s="10" t="s">
        <v>278</v>
      </c>
      <c r="D1259" s="9" t="s">
        <v>278</v>
      </c>
      <c r="E1259" s="9" t="s">
        <v>3451</v>
      </c>
      <c r="F1259" s="10" t="s">
        <v>2516</v>
      </c>
      <c r="G1259" s="11">
        <v>45817</v>
      </c>
    </row>
    <row r="1260" spans="1:7" ht="24.5" hidden="1" x14ac:dyDescent="0.35">
      <c r="A1260" s="8">
        <v>8754</v>
      </c>
      <c r="B1260" s="10" t="s">
        <v>3817</v>
      </c>
      <c r="C1260" s="10" t="s">
        <v>96</v>
      </c>
      <c r="D1260" s="9" t="s">
        <v>96</v>
      </c>
      <c r="E1260" s="9" t="s">
        <v>1055</v>
      </c>
      <c r="F1260" s="10" t="s">
        <v>2522</v>
      </c>
      <c r="G1260" s="11">
        <v>45817</v>
      </c>
    </row>
    <row r="1261" spans="1:7" ht="24.5" hidden="1" x14ac:dyDescent="0.35">
      <c r="A1261" s="8">
        <v>8755</v>
      </c>
      <c r="B1261" s="10" t="s">
        <v>3818</v>
      </c>
      <c r="C1261" s="10" t="s">
        <v>104</v>
      </c>
      <c r="D1261" s="9" t="s">
        <v>104</v>
      </c>
      <c r="E1261" s="9" t="s">
        <v>819</v>
      </c>
      <c r="F1261" s="10" t="s">
        <v>2522</v>
      </c>
      <c r="G1261" s="11">
        <v>45817</v>
      </c>
    </row>
    <row r="1262" spans="1:7" ht="36.5" hidden="1" x14ac:dyDescent="0.35">
      <c r="A1262" s="8">
        <v>8757</v>
      </c>
      <c r="B1262" s="10" t="s">
        <v>3819</v>
      </c>
      <c r="C1262" s="10" t="s">
        <v>278</v>
      </c>
      <c r="D1262" s="9" t="s">
        <v>278</v>
      </c>
      <c r="E1262" s="9" t="s">
        <v>3451</v>
      </c>
      <c r="F1262" s="10" t="s">
        <v>2516</v>
      </c>
      <c r="G1262" s="11">
        <v>45817</v>
      </c>
    </row>
    <row r="1263" spans="1:7" ht="24.5" hidden="1" x14ac:dyDescent="0.35">
      <c r="A1263" s="8">
        <v>8762</v>
      </c>
      <c r="B1263" s="10" t="s">
        <v>3820</v>
      </c>
      <c r="C1263" s="10" t="s">
        <v>250</v>
      </c>
      <c r="D1263" s="9" t="s">
        <v>250</v>
      </c>
      <c r="E1263" s="9" t="s">
        <v>592</v>
      </c>
      <c r="F1263" s="10" t="s">
        <v>2522</v>
      </c>
      <c r="G1263" s="11">
        <v>45817</v>
      </c>
    </row>
    <row r="1264" spans="1:7" ht="24.5" hidden="1" x14ac:dyDescent="0.35">
      <c r="A1264" s="8">
        <v>8758</v>
      </c>
      <c r="B1264" s="10" t="s">
        <v>3821</v>
      </c>
      <c r="C1264" s="10" t="s">
        <v>96</v>
      </c>
      <c r="D1264" s="9" t="s">
        <v>190</v>
      </c>
      <c r="E1264" s="9" t="s">
        <v>982</v>
      </c>
      <c r="F1264" s="10" t="s">
        <v>2522</v>
      </c>
      <c r="G1264" s="11">
        <v>45817</v>
      </c>
    </row>
    <row r="1265" spans="1:7" ht="36.5" hidden="1" x14ac:dyDescent="0.35">
      <c r="A1265" s="8">
        <v>8760</v>
      </c>
      <c r="B1265" s="10" t="s">
        <v>3822</v>
      </c>
      <c r="C1265" s="10" t="s">
        <v>220</v>
      </c>
      <c r="D1265" s="9" t="s">
        <v>95</v>
      </c>
      <c r="E1265" s="9" t="s">
        <v>1872</v>
      </c>
      <c r="F1265" s="10" t="s">
        <v>2516</v>
      </c>
      <c r="G1265" s="11">
        <v>45817</v>
      </c>
    </row>
    <row r="1266" spans="1:7" ht="36.5" hidden="1" x14ac:dyDescent="0.35">
      <c r="A1266" s="8">
        <v>8761</v>
      </c>
      <c r="B1266" s="10" t="s">
        <v>3823</v>
      </c>
      <c r="C1266" s="10" t="s">
        <v>134</v>
      </c>
      <c r="D1266" s="9" t="s">
        <v>95</v>
      </c>
      <c r="E1266" s="9" t="s">
        <v>1872</v>
      </c>
      <c r="F1266" s="10" t="s">
        <v>2516</v>
      </c>
      <c r="G1266" s="11">
        <v>45817</v>
      </c>
    </row>
    <row r="1267" spans="1:7" ht="24.5" hidden="1" x14ac:dyDescent="0.35">
      <c r="A1267" s="8">
        <v>8765</v>
      </c>
      <c r="B1267" s="10" t="s">
        <v>3824</v>
      </c>
      <c r="C1267" s="10" t="s">
        <v>13</v>
      </c>
      <c r="D1267" s="9" t="s">
        <v>13</v>
      </c>
      <c r="E1267" s="9" t="s">
        <v>1484</v>
      </c>
      <c r="F1267" s="10" t="s">
        <v>2522</v>
      </c>
      <c r="G1267" s="11">
        <v>45818</v>
      </c>
    </row>
    <row r="1268" spans="1:7" ht="48.5" hidden="1" x14ac:dyDescent="0.35">
      <c r="A1268" s="8">
        <v>8766</v>
      </c>
      <c r="B1268" s="10" t="s">
        <v>3825</v>
      </c>
      <c r="C1268" s="10" t="s">
        <v>104</v>
      </c>
      <c r="D1268" s="9" t="s">
        <v>104</v>
      </c>
      <c r="E1268" s="9" t="s">
        <v>1371</v>
      </c>
      <c r="F1268" s="10" t="s">
        <v>2559</v>
      </c>
      <c r="G1268" s="11">
        <v>45818</v>
      </c>
    </row>
    <row r="1269" spans="1:7" ht="24.5" hidden="1" x14ac:dyDescent="0.35">
      <c r="A1269" s="8">
        <v>8756</v>
      </c>
      <c r="B1269" s="10" t="s">
        <v>3826</v>
      </c>
      <c r="C1269" s="10" t="s">
        <v>104</v>
      </c>
      <c r="D1269" s="9" t="s">
        <v>104</v>
      </c>
      <c r="E1269" s="9" t="s">
        <v>819</v>
      </c>
      <c r="F1269" s="10" t="s">
        <v>2522</v>
      </c>
      <c r="G1269" s="11">
        <v>45817</v>
      </c>
    </row>
    <row r="1270" spans="1:7" ht="24.5" hidden="1" x14ac:dyDescent="0.35">
      <c r="A1270" s="8">
        <v>8759</v>
      </c>
      <c r="B1270" s="10" t="s">
        <v>3827</v>
      </c>
      <c r="C1270" s="10" t="s">
        <v>96</v>
      </c>
      <c r="D1270" s="9" t="s">
        <v>96</v>
      </c>
      <c r="E1270" s="9" t="s">
        <v>368</v>
      </c>
      <c r="F1270" s="10" t="s">
        <v>2522</v>
      </c>
      <c r="G1270" s="11">
        <v>45817</v>
      </c>
    </row>
    <row r="1271" spans="1:7" ht="36.5" hidden="1" x14ac:dyDescent="0.35">
      <c r="A1271" s="8">
        <v>8763</v>
      </c>
      <c r="B1271" s="10" t="s">
        <v>3828</v>
      </c>
      <c r="C1271" s="10" t="s">
        <v>196</v>
      </c>
      <c r="D1271" s="9" t="s">
        <v>95</v>
      </c>
      <c r="E1271" s="9" t="s">
        <v>3829</v>
      </c>
      <c r="F1271" s="10" t="s">
        <v>2516</v>
      </c>
      <c r="G1271" s="11">
        <v>45817</v>
      </c>
    </row>
    <row r="1272" spans="1:7" ht="48.5" hidden="1" x14ac:dyDescent="0.35">
      <c r="A1272" s="8">
        <v>8767</v>
      </c>
      <c r="B1272" s="10" t="s">
        <v>3830</v>
      </c>
      <c r="C1272" s="10" t="s">
        <v>96</v>
      </c>
      <c r="D1272" s="9" t="s">
        <v>96</v>
      </c>
      <c r="E1272" s="9" t="s">
        <v>1179</v>
      </c>
      <c r="F1272" s="10" t="s">
        <v>2559</v>
      </c>
      <c r="G1272" s="11">
        <v>45818</v>
      </c>
    </row>
    <row r="1273" spans="1:7" ht="24.5" hidden="1" x14ac:dyDescent="0.35">
      <c r="A1273" s="8">
        <v>8768</v>
      </c>
      <c r="B1273" s="10" t="s">
        <v>3831</v>
      </c>
      <c r="C1273" s="10" t="s">
        <v>96</v>
      </c>
      <c r="D1273" s="9" t="s">
        <v>96</v>
      </c>
      <c r="E1273" s="9" t="s">
        <v>368</v>
      </c>
      <c r="F1273" s="10" t="s">
        <v>2522</v>
      </c>
      <c r="G1273" s="11">
        <v>45818</v>
      </c>
    </row>
    <row r="1274" spans="1:7" ht="36.5" hidden="1" x14ac:dyDescent="0.35">
      <c r="A1274" s="8">
        <v>8773</v>
      </c>
      <c r="B1274" s="10" t="s">
        <v>3832</v>
      </c>
      <c r="C1274" s="10" t="s">
        <v>395</v>
      </c>
      <c r="D1274" s="9" t="s">
        <v>395</v>
      </c>
      <c r="E1274" s="9" t="s">
        <v>394</v>
      </c>
      <c r="F1274" s="10" t="s">
        <v>2525</v>
      </c>
      <c r="G1274" s="11">
        <v>45818</v>
      </c>
    </row>
    <row r="1275" spans="1:7" ht="24.5" hidden="1" x14ac:dyDescent="0.35">
      <c r="A1275" s="8">
        <v>8792</v>
      </c>
      <c r="B1275" s="10" t="s">
        <v>3833</v>
      </c>
      <c r="C1275" s="10" t="s">
        <v>234</v>
      </c>
      <c r="D1275" s="9" t="s">
        <v>395</v>
      </c>
      <c r="E1275" s="9" t="s">
        <v>2440</v>
      </c>
      <c r="F1275" s="10" t="s">
        <v>2522</v>
      </c>
      <c r="G1275" s="11">
        <v>45819</v>
      </c>
    </row>
    <row r="1276" spans="1:7" ht="24.5" hidden="1" x14ac:dyDescent="0.35">
      <c r="A1276" s="8">
        <v>8797</v>
      </c>
      <c r="B1276" s="10" t="s">
        <v>3834</v>
      </c>
      <c r="C1276" s="10" t="s">
        <v>134</v>
      </c>
      <c r="D1276" s="9" t="s">
        <v>134</v>
      </c>
      <c r="E1276" s="9" t="s">
        <v>819</v>
      </c>
      <c r="F1276" s="10" t="s">
        <v>2540</v>
      </c>
      <c r="G1276" s="11">
        <v>45819</v>
      </c>
    </row>
    <row r="1277" spans="1:7" ht="36.5" hidden="1" x14ac:dyDescent="0.35">
      <c r="A1277" s="8">
        <v>8802</v>
      </c>
      <c r="B1277" s="10" t="s">
        <v>3835</v>
      </c>
      <c r="C1277" s="10" t="s">
        <v>196</v>
      </c>
      <c r="D1277" s="9" t="s">
        <v>13</v>
      </c>
      <c r="E1277" s="9" t="s">
        <v>2336</v>
      </c>
      <c r="F1277" s="10" t="s">
        <v>2525</v>
      </c>
      <c r="G1277" s="11">
        <v>45819</v>
      </c>
    </row>
    <row r="1278" spans="1:7" ht="24.5" hidden="1" x14ac:dyDescent="0.35">
      <c r="A1278" s="8">
        <v>8770</v>
      </c>
      <c r="B1278" s="10" t="s">
        <v>3836</v>
      </c>
      <c r="C1278" s="10" t="s">
        <v>220</v>
      </c>
      <c r="D1278" s="9" t="s">
        <v>395</v>
      </c>
      <c r="E1278" s="9" t="s">
        <v>1037</v>
      </c>
      <c r="F1278" s="10" t="s">
        <v>2522</v>
      </c>
      <c r="G1278" s="11">
        <v>45818</v>
      </c>
    </row>
    <row r="1279" spans="1:7" ht="36.5" hidden="1" x14ac:dyDescent="0.35">
      <c r="A1279" s="8">
        <v>8769</v>
      </c>
      <c r="B1279" s="10" t="s">
        <v>3837</v>
      </c>
      <c r="C1279" s="10" t="s">
        <v>220</v>
      </c>
      <c r="D1279" s="9" t="s">
        <v>395</v>
      </c>
      <c r="E1279" s="9" t="s">
        <v>3838</v>
      </c>
      <c r="F1279" s="10" t="s">
        <v>2540</v>
      </c>
      <c r="G1279" s="11">
        <v>45818</v>
      </c>
    </row>
    <row r="1280" spans="1:7" ht="36.5" hidden="1" x14ac:dyDescent="0.35">
      <c r="A1280" s="8">
        <v>8782</v>
      </c>
      <c r="B1280" s="10" t="s">
        <v>3839</v>
      </c>
      <c r="C1280" s="10" t="s">
        <v>104</v>
      </c>
      <c r="D1280" s="9" t="s">
        <v>104</v>
      </c>
      <c r="E1280" s="9" t="s">
        <v>1371</v>
      </c>
      <c r="F1280" s="10" t="s">
        <v>2516</v>
      </c>
      <c r="G1280" s="11">
        <v>45819</v>
      </c>
    </row>
    <row r="1281" spans="1:7" ht="24.5" hidden="1" x14ac:dyDescent="0.35">
      <c r="A1281" s="8">
        <v>8771</v>
      </c>
      <c r="B1281" s="10" t="s">
        <v>3840</v>
      </c>
      <c r="C1281" s="10" t="s">
        <v>220</v>
      </c>
      <c r="D1281" s="9" t="s">
        <v>395</v>
      </c>
      <c r="E1281" s="9" t="s">
        <v>1037</v>
      </c>
      <c r="F1281" s="10" t="s">
        <v>2540</v>
      </c>
      <c r="G1281" s="11">
        <v>45818</v>
      </c>
    </row>
    <row r="1282" spans="1:7" ht="36.5" hidden="1" x14ac:dyDescent="0.35">
      <c r="A1282" s="8">
        <v>8772</v>
      </c>
      <c r="B1282" s="10" t="s">
        <v>3841</v>
      </c>
      <c r="C1282" s="10" t="s">
        <v>220</v>
      </c>
      <c r="D1282" s="9" t="s">
        <v>395</v>
      </c>
      <c r="E1282" s="9" t="s">
        <v>1037</v>
      </c>
      <c r="F1282" s="10" t="s">
        <v>2516</v>
      </c>
      <c r="G1282" s="11">
        <v>45818</v>
      </c>
    </row>
    <row r="1283" spans="1:7" ht="48.5" hidden="1" x14ac:dyDescent="0.35">
      <c r="A1283" s="8">
        <v>8774</v>
      </c>
      <c r="B1283" s="10" t="s">
        <v>3842</v>
      </c>
      <c r="C1283" s="10" t="s">
        <v>95</v>
      </c>
      <c r="D1283" s="9" t="s">
        <v>95</v>
      </c>
      <c r="E1283" s="9" t="s">
        <v>3843</v>
      </c>
      <c r="F1283" s="10" t="s">
        <v>2540</v>
      </c>
      <c r="G1283" s="11">
        <v>45818</v>
      </c>
    </row>
    <row r="1284" spans="1:7" ht="24.5" hidden="1" x14ac:dyDescent="0.35">
      <c r="A1284" s="8">
        <v>8775</v>
      </c>
      <c r="B1284" s="10" t="s">
        <v>3844</v>
      </c>
      <c r="C1284" s="10" t="s">
        <v>134</v>
      </c>
      <c r="D1284" s="9" t="s">
        <v>134</v>
      </c>
      <c r="E1284" s="9" t="s">
        <v>1692</v>
      </c>
      <c r="F1284" s="10" t="s">
        <v>2522</v>
      </c>
      <c r="G1284" s="11">
        <v>45818</v>
      </c>
    </row>
    <row r="1285" spans="1:7" ht="24.5" hidden="1" x14ac:dyDescent="0.35">
      <c r="A1285" s="8">
        <v>8784</v>
      </c>
      <c r="B1285" s="10" t="s">
        <v>3845</v>
      </c>
      <c r="C1285" s="10" t="s">
        <v>34</v>
      </c>
      <c r="D1285" s="9" t="s">
        <v>190</v>
      </c>
      <c r="E1285" s="9" t="s">
        <v>418</v>
      </c>
      <c r="F1285" s="10" t="s">
        <v>2522</v>
      </c>
      <c r="G1285" s="11">
        <v>45819</v>
      </c>
    </row>
    <row r="1286" spans="1:7" ht="24.5" hidden="1" x14ac:dyDescent="0.35">
      <c r="A1286" s="8">
        <v>8783</v>
      </c>
      <c r="B1286" s="10" t="s">
        <v>3846</v>
      </c>
      <c r="C1286" s="10" t="s">
        <v>34</v>
      </c>
      <c r="D1286" s="9" t="s">
        <v>371</v>
      </c>
      <c r="E1286" s="9" t="s">
        <v>1674</v>
      </c>
      <c r="F1286" s="10" t="s">
        <v>2522</v>
      </c>
      <c r="G1286" s="11">
        <v>45819</v>
      </c>
    </row>
    <row r="1287" spans="1:7" ht="36.5" hidden="1" x14ac:dyDescent="0.35">
      <c r="A1287" s="8">
        <v>8785</v>
      </c>
      <c r="B1287" s="10" t="s">
        <v>3847</v>
      </c>
      <c r="C1287" s="10" t="s">
        <v>34</v>
      </c>
      <c r="D1287" s="9" t="s">
        <v>371</v>
      </c>
      <c r="E1287" s="9" t="s">
        <v>1674</v>
      </c>
      <c r="F1287" s="10" t="s">
        <v>2572</v>
      </c>
      <c r="G1287" s="11">
        <v>45819</v>
      </c>
    </row>
    <row r="1288" spans="1:7" ht="24.5" hidden="1" x14ac:dyDescent="0.35">
      <c r="A1288" s="8">
        <v>8786</v>
      </c>
      <c r="B1288" s="10" t="s">
        <v>3848</v>
      </c>
      <c r="C1288" s="10" t="s">
        <v>96</v>
      </c>
      <c r="D1288" s="9" t="s">
        <v>227</v>
      </c>
      <c r="E1288" s="9" t="s">
        <v>230</v>
      </c>
      <c r="F1288" s="10" t="s">
        <v>2522</v>
      </c>
      <c r="G1288" s="11">
        <v>45819</v>
      </c>
    </row>
    <row r="1289" spans="1:7" ht="36.5" hidden="1" x14ac:dyDescent="0.35">
      <c r="A1289" s="8">
        <v>8776</v>
      </c>
      <c r="B1289" s="10" t="s">
        <v>3849</v>
      </c>
      <c r="C1289" s="10" t="s">
        <v>250</v>
      </c>
      <c r="D1289" s="9" t="s">
        <v>395</v>
      </c>
      <c r="E1289" s="9" t="s">
        <v>3850</v>
      </c>
      <c r="F1289" s="10" t="s">
        <v>2530</v>
      </c>
      <c r="G1289" s="11">
        <v>45818</v>
      </c>
    </row>
    <row r="1290" spans="1:7" ht="36.5" hidden="1" x14ac:dyDescent="0.35">
      <c r="A1290" s="8">
        <v>8777</v>
      </c>
      <c r="B1290" s="10" t="s">
        <v>3851</v>
      </c>
      <c r="C1290" s="10" t="s">
        <v>26</v>
      </c>
      <c r="D1290" s="9" t="s">
        <v>395</v>
      </c>
      <c r="E1290" s="9" t="s">
        <v>1926</v>
      </c>
      <c r="F1290" s="10" t="s">
        <v>2522</v>
      </c>
      <c r="G1290" s="11">
        <v>45818</v>
      </c>
    </row>
    <row r="1291" spans="1:7" ht="24.5" hidden="1" x14ac:dyDescent="0.35">
      <c r="A1291" s="8">
        <v>8778</v>
      </c>
      <c r="B1291" s="10" t="s">
        <v>3852</v>
      </c>
      <c r="C1291" s="10" t="s">
        <v>104</v>
      </c>
      <c r="D1291" s="9" t="s">
        <v>104</v>
      </c>
      <c r="E1291" s="9" t="s">
        <v>633</v>
      </c>
      <c r="F1291" s="10" t="s">
        <v>2522</v>
      </c>
      <c r="G1291" s="11">
        <v>45818</v>
      </c>
    </row>
    <row r="1292" spans="1:7" ht="36.5" hidden="1" x14ac:dyDescent="0.35">
      <c r="A1292" s="8">
        <v>8780</v>
      </c>
      <c r="B1292" s="10" t="s">
        <v>3853</v>
      </c>
      <c r="C1292" s="10" t="s">
        <v>371</v>
      </c>
      <c r="D1292" s="9" t="s">
        <v>371</v>
      </c>
      <c r="E1292" s="9" t="s">
        <v>1674</v>
      </c>
      <c r="F1292" s="10" t="s">
        <v>2516</v>
      </c>
      <c r="G1292" s="11">
        <v>45819</v>
      </c>
    </row>
    <row r="1293" spans="1:7" ht="36.5" hidden="1" x14ac:dyDescent="0.35">
      <c r="A1293" s="8">
        <v>8790</v>
      </c>
      <c r="B1293" s="10" t="s">
        <v>3854</v>
      </c>
      <c r="C1293" s="10" t="s">
        <v>26</v>
      </c>
      <c r="D1293" s="9" t="s">
        <v>395</v>
      </c>
      <c r="E1293" s="9" t="s">
        <v>1926</v>
      </c>
      <c r="F1293" s="10" t="s">
        <v>2572</v>
      </c>
      <c r="G1293" s="11">
        <v>45819</v>
      </c>
    </row>
    <row r="1294" spans="1:7" ht="24.5" hidden="1" x14ac:dyDescent="0.35">
      <c r="A1294" s="8">
        <v>8788</v>
      </c>
      <c r="B1294" s="10" t="s">
        <v>3855</v>
      </c>
      <c r="C1294" s="10" t="s">
        <v>26</v>
      </c>
      <c r="D1294" s="9" t="s">
        <v>395</v>
      </c>
      <c r="E1294" s="9" t="s">
        <v>1926</v>
      </c>
      <c r="F1294" s="10" t="s">
        <v>2522</v>
      </c>
      <c r="G1294" s="11">
        <v>45819</v>
      </c>
    </row>
    <row r="1295" spans="1:7" ht="24.5" hidden="1" x14ac:dyDescent="0.35">
      <c r="A1295" s="8">
        <v>8791</v>
      </c>
      <c r="B1295" s="10" t="s">
        <v>3856</v>
      </c>
      <c r="C1295" s="10" t="s">
        <v>34</v>
      </c>
      <c r="D1295" s="9" t="s">
        <v>250</v>
      </c>
      <c r="E1295" s="9" t="s">
        <v>418</v>
      </c>
      <c r="F1295" s="10" t="s">
        <v>2522</v>
      </c>
      <c r="G1295" s="11">
        <v>45819</v>
      </c>
    </row>
    <row r="1296" spans="1:7" ht="36.5" hidden="1" x14ac:dyDescent="0.35">
      <c r="A1296" s="8">
        <v>8795</v>
      </c>
      <c r="B1296" s="10" t="s">
        <v>3857</v>
      </c>
      <c r="C1296" s="10" t="s">
        <v>34</v>
      </c>
      <c r="D1296" s="9" t="s">
        <v>395</v>
      </c>
      <c r="E1296" s="9" t="s">
        <v>1926</v>
      </c>
      <c r="F1296" s="10" t="s">
        <v>2522</v>
      </c>
      <c r="G1296" s="11">
        <v>45819</v>
      </c>
    </row>
    <row r="1297" spans="1:7" ht="36.5" hidden="1" x14ac:dyDescent="0.35">
      <c r="A1297" s="8">
        <v>8794</v>
      </c>
      <c r="B1297" s="10" t="s">
        <v>3858</v>
      </c>
      <c r="C1297" s="10" t="s">
        <v>34</v>
      </c>
      <c r="D1297" s="9" t="s">
        <v>190</v>
      </c>
      <c r="E1297" s="9" t="s">
        <v>418</v>
      </c>
      <c r="F1297" s="10" t="s">
        <v>2530</v>
      </c>
      <c r="G1297" s="11">
        <v>45819</v>
      </c>
    </row>
    <row r="1298" spans="1:7" ht="24.5" hidden="1" x14ac:dyDescent="0.35">
      <c r="A1298" s="8">
        <v>8796</v>
      </c>
      <c r="B1298" s="10" t="s">
        <v>3859</v>
      </c>
      <c r="C1298" s="10" t="s">
        <v>96</v>
      </c>
      <c r="D1298" s="9" t="s">
        <v>96</v>
      </c>
      <c r="E1298" s="9" t="s">
        <v>230</v>
      </c>
      <c r="F1298" s="10" t="s">
        <v>2537</v>
      </c>
      <c r="G1298" s="11">
        <v>45819</v>
      </c>
    </row>
    <row r="1299" spans="1:7" ht="36.5" hidden="1" x14ac:dyDescent="0.35">
      <c r="A1299" s="8">
        <v>8781</v>
      </c>
      <c r="B1299" s="10" t="s">
        <v>3860</v>
      </c>
      <c r="C1299" s="10" t="s">
        <v>250</v>
      </c>
      <c r="D1299" s="9" t="s">
        <v>371</v>
      </c>
      <c r="E1299" s="9" t="s">
        <v>1674</v>
      </c>
      <c r="F1299" s="10" t="s">
        <v>2516</v>
      </c>
      <c r="G1299" s="11">
        <v>45819</v>
      </c>
    </row>
    <row r="1300" spans="1:7" ht="36.5" hidden="1" x14ac:dyDescent="0.35">
      <c r="A1300" s="8">
        <v>8799</v>
      </c>
      <c r="B1300" s="10" t="s">
        <v>3861</v>
      </c>
      <c r="C1300" s="10" t="s">
        <v>34</v>
      </c>
      <c r="D1300" s="9" t="s">
        <v>250</v>
      </c>
      <c r="E1300" s="9" t="s">
        <v>418</v>
      </c>
      <c r="F1300" s="10" t="s">
        <v>2516</v>
      </c>
      <c r="G1300" s="11">
        <v>45819</v>
      </c>
    </row>
    <row r="1301" spans="1:7" ht="36.5" hidden="1" x14ac:dyDescent="0.35">
      <c r="A1301" s="8">
        <v>8798</v>
      </c>
      <c r="B1301" s="10" t="s">
        <v>3862</v>
      </c>
      <c r="C1301" s="10" t="s">
        <v>34</v>
      </c>
      <c r="D1301" s="9" t="s">
        <v>371</v>
      </c>
      <c r="E1301" s="9" t="s">
        <v>1674</v>
      </c>
      <c r="F1301" s="10" t="s">
        <v>2540</v>
      </c>
      <c r="G1301" s="11">
        <v>45819</v>
      </c>
    </row>
    <row r="1302" spans="1:7" ht="36.5" hidden="1" x14ac:dyDescent="0.35">
      <c r="A1302" s="8">
        <v>8801</v>
      </c>
      <c r="B1302" s="10" t="s">
        <v>3863</v>
      </c>
      <c r="C1302" s="10" t="s">
        <v>34</v>
      </c>
      <c r="D1302" s="9" t="s">
        <v>371</v>
      </c>
      <c r="E1302" s="9" t="s">
        <v>1674</v>
      </c>
      <c r="F1302" s="10" t="s">
        <v>2516</v>
      </c>
      <c r="G1302" s="11">
        <v>45819</v>
      </c>
    </row>
    <row r="1303" spans="1:7" ht="36.5" hidden="1" x14ac:dyDescent="0.35">
      <c r="A1303" s="8">
        <v>8800</v>
      </c>
      <c r="B1303" s="10" t="s">
        <v>3864</v>
      </c>
      <c r="C1303" s="10" t="s">
        <v>96</v>
      </c>
      <c r="D1303" s="9" t="s">
        <v>96</v>
      </c>
      <c r="E1303" s="9" t="s">
        <v>230</v>
      </c>
      <c r="F1303" s="10" t="s">
        <v>2525</v>
      </c>
      <c r="G1303" s="11">
        <v>45819</v>
      </c>
    </row>
    <row r="1304" spans="1:7" ht="36.5" hidden="1" x14ac:dyDescent="0.35">
      <c r="A1304" s="8">
        <v>8803</v>
      </c>
      <c r="B1304" s="10" t="s">
        <v>3865</v>
      </c>
      <c r="C1304" s="10" t="s">
        <v>250</v>
      </c>
      <c r="D1304" s="9" t="s">
        <v>278</v>
      </c>
      <c r="E1304" s="9" t="s">
        <v>1805</v>
      </c>
      <c r="F1304" s="10" t="s">
        <v>2516</v>
      </c>
      <c r="G1304" s="11">
        <v>45819</v>
      </c>
    </row>
    <row r="1305" spans="1:7" ht="24.5" hidden="1" x14ac:dyDescent="0.35">
      <c r="A1305" s="8">
        <v>8804</v>
      </c>
      <c r="B1305" s="10" t="s">
        <v>3866</v>
      </c>
      <c r="C1305" s="10" t="s">
        <v>95</v>
      </c>
      <c r="D1305" s="9" t="s">
        <v>395</v>
      </c>
      <c r="E1305" s="9" t="s">
        <v>1037</v>
      </c>
      <c r="F1305" s="10" t="s">
        <v>2540</v>
      </c>
      <c r="G1305" s="11">
        <v>45819</v>
      </c>
    </row>
    <row r="1306" spans="1:7" ht="48.5" hidden="1" x14ac:dyDescent="0.35">
      <c r="A1306" s="8">
        <v>8807</v>
      </c>
      <c r="B1306" s="10" t="s">
        <v>3867</v>
      </c>
      <c r="C1306" s="10" t="s">
        <v>26</v>
      </c>
      <c r="D1306" s="9" t="s">
        <v>395</v>
      </c>
      <c r="E1306" s="9" t="s">
        <v>1926</v>
      </c>
      <c r="F1306" s="10" t="s">
        <v>2516</v>
      </c>
      <c r="G1306" s="11">
        <v>45819</v>
      </c>
    </row>
    <row r="1307" spans="1:7" ht="36.5" hidden="1" x14ac:dyDescent="0.35">
      <c r="A1307" s="8">
        <v>8805</v>
      </c>
      <c r="B1307" s="10" t="s">
        <v>3868</v>
      </c>
      <c r="C1307" s="10" t="s">
        <v>250</v>
      </c>
      <c r="D1307" s="9" t="s">
        <v>250</v>
      </c>
      <c r="E1307" s="9" t="s">
        <v>418</v>
      </c>
      <c r="F1307" s="10" t="s">
        <v>2516</v>
      </c>
      <c r="G1307" s="11">
        <v>45819</v>
      </c>
    </row>
    <row r="1308" spans="1:7" ht="36.5" hidden="1" x14ac:dyDescent="0.35">
      <c r="A1308" s="8">
        <v>8815</v>
      </c>
      <c r="B1308" s="10" t="s">
        <v>3869</v>
      </c>
      <c r="C1308" s="10" t="s">
        <v>104</v>
      </c>
      <c r="D1308" s="9" t="s">
        <v>95</v>
      </c>
      <c r="E1308" s="9" t="s">
        <v>183</v>
      </c>
      <c r="F1308" s="10" t="s">
        <v>2530</v>
      </c>
      <c r="G1308" s="11">
        <v>45820</v>
      </c>
    </row>
    <row r="1309" spans="1:7" ht="24.5" hidden="1" x14ac:dyDescent="0.35">
      <c r="A1309" s="8">
        <v>8814</v>
      </c>
      <c r="B1309" s="10" t="s">
        <v>3870</v>
      </c>
      <c r="C1309" s="10" t="s">
        <v>234</v>
      </c>
      <c r="D1309" s="9" t="s">
        <v>95</v>
      </c>
      <c r="E1309" s="9" t="s">
        <v>183</v>
      </c>
      <c r="F1309" s="10" t="s">
        <v>2522</v>
      </c>
      <c r="G1309" s="11">
        <v>45820</v>
      </c>
    </row>
    <row r="1310" spans="1:7" ht="24.5" hidden="1" x14ac:dyDescent="0.35">
      <c r="A1310" s="8">
        <v>8812</v>
      </c>
      <c r="B1310" s="10" t="s">
        <v>3871</v>
      </c>
      <c r="C1310" s="10" t="s">
        <v>196</v>
      </c>
      <c r="D1310" s="9" t="s">
        <v>196</v>
      </c>
      <c r="E1310" s="9" t="s">
        <v>947</v>
      </c>
      <c r="F1310" s="10" t="s">
        <v>2522</v>
      </c>
      <c r="G1310" s="11">
        <v>45819</v>
      </c>
    </row>
    <row r="1311" spans="1:7" ht="24.5" hidden="1" x14ac:dyDescent="0.35">
      <c r="A1311" s="8">
        <v>8811</v>
      </c>
      <c r="B1311" s="10" t="s">
        <v>3872</v>
      </c>
      <c r="C1311" s="10" t="s">
        <v>196</v>
      </c>
      <c r="D1311" s="9" t="s">
        <v>196</v>
      </c>
      <c r="E1311" s="9" t="s">
        <v>3873</v>
      </c>
      <c r="F1311" s="10" t="s">
        <v>2537</v>
      </c>
      <c r="G1311" s="11">
        <v>45819</v>
      </c>
    </row>
    <row r="1312" spans="1:7" ht="36.5" hidden="1" x14ac:dyDescent="0.35">
      <c r="A1312" s="8">
        <v>8821</v>
      </c>
      <c r="B1312" s="10" t="s">
        <v>3874</v>
      </c>
      <c r="C1312" s="10" t="s">
        <v>13</v>
      </c>
      <c r="D1312" s="9" t="s">
        <v>95</v>
      </c>
      <c r="E1312" s="9" t="s">
        <v>1914</v>
      </c>
      <c r="F1312" s="10" t="s">
        <v>2516</v>
      </c>
      <c r="G1312" s="11">
        <v>45819</v>
      </c>
    </row>
    <row r="1313" spans="1:7" ht="36.5" hidden="1" x14ac:dyDescent="0.35">
      <c r="A1313" s="8">
        <v>8822</v>
      </c>
      <c r="B1313" s="10" t="s">
        <v>3875</v>
      </c>
      <c r="C1313" s="10" t="s">
        <v>13</v>
      </c>
      <c r="D1313" s="9" t="s">
        <v>13</v>
      </c>
      <c r="E1313" s="9" t="s">
        <v>762</v>
      </c>
      <c r="F1313" s="10" t="s">
        <v>2516</v>
      </c>
      <c r="G1313" s="11">
        <v>45819</v>
      </c>
    </row>
    <row r="1314" spans="1:7" ht="36.5" hidden="1" x14ac:dyDescent="0.35">
      <c r="A1314" s="8">
        <v>8825</v>
      </c>
      <c r="B1314" s="10" t="s">
        <v>3876</v>
      </c>
      <c r="C1314" s="10" t="s">
        <v>937</v>
      </c>
      <c r="D1314" s="9" t="s">
        <v>95</v>
      </c>
      <c r="E1314" s="9" t="s">
        <v>1914</v>
      </c>
      <c r="F1314" s="10" t="s">
        <v>2516</v>
      </c>
      <c r="G1314" s="11">
        <v>45820</v>
      </c>
    </row>
    <row r="1315" spans="1:7" ht="24.5" hidden="1" x14ac:dyDescent="0.35">
      <c r="A1315" s="8">
        <v>8824</v>
      </c>
      <c r="B1315" s="10" t="s">
        <v>3877</v>
      </c>
      <c r="C1315" s="10" t="s">
        <v>96</v>
      </c>
      <c r="D1315" s="9" t="s">
        <v>95</v>
      </c>
      <c r="E1315" s="9" t="s">
        <v>1914</v>
      </c>
      <c r="F1315" s="10" t="s">
        <v>2537</v>
      </c>
      <c r="G1315" s="11">
        <v>45820</v>
      </c>
    </row>
    <row r="1316" spans="1:7" ht="36.5" hidden="1" x14ac:dyDescent="0.35">
      <c r="A1316" s="8">
        <v>8828</v>
      </c>
      <c r="B1316" s="10" t="s">
        <v>3878</v>
      </c>
      <c r="C1316" s="10" t="s">
        <v>134</v>
      </c>
      <c r="D1316" s="9" t="s">
        <v>134</v>
      </c>
      <c r="E1316" s="9" t="s">
        <v>1692</v>
      </c>
      <c r="F1316" s="10" t="s">
        <v>2516</v>
      </c>
      <c r="G1316" s="11">
        <v>45821</v>
      </c>
    </row>
    <row r="1317" spans="1:7" ht="24.5" hidden="1" x14ac:dyDescent="0.35">
      <c r="A1317" s="8">
        <v>8835</v>
      </c>
      <c r="B1317" s="10" t="s">
        <v>3879</v>
      </c>
      <c r="C1317" s="10" t="s">
        <v>371</v>
      </c>
      <c r="D1317" s="9" t="s">
        <v>371</v>
      </c>
      <c r="E1317" s="9" t="s">
        <v>1030</v>
      </c>
      <c r="F1317" s="10" t="s">
        <v>2522</v>
      </c>
      <c r="G1317" s="11">
        <v>45824</v>
      </c>
    </row>
    <row r="1318" spans="1:7" ht="24.5" hidden="1" x14ac:dyDescent="0.35">
      <c r="A1318" s="8">
        <v>8834</v>
      </c>
      <c r="B1318" s="10" t="s">
        <v>3880</v>
      </c>
      <c r="C1318" s="10" t="s">
        <v>21</v>
      </c>
      <c r="D1318" s="9" t="s">
        <v>95</v>
      </c>
      <c r="E1318" s="9" t="s">
        <v>694</v>
      </c>
      <c r="F1318" s="10" t="s">
        <v>2522</v>
      </c>
      <c r="G1318" s="11">
        <v>45821</v>
      </c>
    </row>
    <row r="1319" spans="1:7" ht="36.5" hidden="1" x14ac:dyDescent="0.35">
      <c r="A1319" s="8">
        <v>8833</v>
      </c>
      <c r="B1319" s="10" t="s">
        <v>3881</v>
      </c>
      <c r="C1319" s="10" t="s">
        <v>21</v>
      </c>
      <c r="D1319" s="9" t="s">
        <v>21</v>
      </c>
      <c r="E1319" s="9" t="s">
        <v>819</v>
      </c>
      <c r="F1319" s="10" t="s">
        <v>2516</v>
      </c>
      <c r="G1319" s="11">
        <v>45821</v>
      </c>
    </row>
    <row r="1320" spans="1:7" ht="24.5" hidden="1" x14ac:dyDescent="0.35">
      <c r="A1320" s="8">
        <v>8836</v>
      </c>
      <c r="B1320" s="10" t="s">
        <v>3882</v>
      </c>
      <c r="C1320" s="10" t="s">
        <v>104</v>
      </c>
      <c r="D1320" s="9" t="s">
        <v>104</v>
      </c>
      <c r="E1320" s="9" t="s">
        <v>1371</v>
      </c>
      <c r="F1320" s="10" t="s">
        <v>2522</v>
      </c>
      <c r="G1320" s="11">
        <v>45824</v>
      </c>
    </row>
    <row r="1321" spans="1:7" ht="48.5" hidden="1" x14ac:dyDescent="0.35">
      <c r="A1321" s="8">
        <v>8837</v>
      </c>
      <c r="B1321" s="10" t="s">
        <v>3883</v>
      </c>
      <c r="C1321" s="10" t="s">
        <v>96</v>
      </c>
      <c r="D1321" s="9" t="s">
        <v>96</v>
      </c>
      <c r="E1321" s="9" t="s">
        <v>368</v>
      </c>
      <c r="F1321" s="10" t="s">
        <v>2559</v>
      </c>
      <c r="G1321" s="11">
        <v>45824</v>
      </c>
    </row>
    <row r="1322" spans="1:7" ht="24.5" hidden="1" x14ac:dyDescent="0.35">
      <c r="A1322" s="8">
        <v>8827</v>
      </c>
      <c r="B1322" s="10" t="s">
        <v>3884</v>
      </c>
      <c r="C1322" s="10" t="s">
        <v>371</v>
      </c>
      <c r="D1322" s="9" t="s">
        <v>95</v>
      </c>
      <c r="E1322" s="9" t="s">
        <v>1872</v>
      </c>
      <c r="F1322" s="10" t="s">
        <v>2540</v>
      </c>
      <c r="G1322" s="11">
        <v>45820</v>
      </c>
    </row>
    <row r="1323" spans="1:7" ht="24.5" hidden="1" x14ac:dyDescent="0.35">
      <c r="A1323" s="8">
        <v>8823</v>
      </c>
      <c r="B1323" s="10" t="s">
        <v>3885</v>
      </c>
      <c r="C1323" s="10" t="s">
        <v>96</v>
      </c>
      <c r="D1323" s="9" t="s">
        <v>96</v>
      </c>
      <c r="E1323" s="9" t="s">
        <v>1055</v>
      </c>
      <c r="F1323" s="10" t="s">
        <v>2537</v>
      </c>
      <c r="G1323" s="11">
        <v>45820</v>
      </c>
    </row>
    <row r="1324" spans="1:7" ht="48.5" hidden="1" x14ac:dyDescent="0.35">
      <c r="A1324" s="8">
        <v>8829</v>
      </c>
      <c r="B1324" s="10" t="s">
        <v>3886</v>
      </c>
      <c r="C1324" s="10" t="s">
        <v>21</v>
      </c>
      <c r="D1324" s="9" t="s">
        <v>190</v>
      </c>
      <c r="E1324" s="9" t="s">
        <v>418</v>
      </c>
      <c r="F1324" s="10" t="s">
        <v>2559</v>
      </c>
      <c r="G1324" s="11">
        <v>45821</v>
      </c>
    </row>
    <row r="1325" spans="1:7" ht="36.5" hidden="1" x14ac:dyDescent="0.35">
      <c r="A1325" s="8">
        <v>8840</v>
      </c>
      <c r="B1325" s="10" t="s">
        <v>3887</v>
      </c>
      <c r="C1325" s="10" t="s">
        <v>96</v>
      </c>
      <c r="D1325" s="9" t="s">
        <v>395</v>
      </c>
      <c r="E1325" s="9" t="s">
        <v>2440</v>
      </c>
      <c r="F1325" s="10" t="s">
        <v>2516</v>
      </c>
      <c r="G1325" s="11">
        <v>45825</v>
      </c>
    </row>
    <row r="1326" spans="1:7" ht="48.5" hidden="1" x14ac:dyDescent="0.35">
      <c r="A1326" s="8">
        <v>8839</v>
      </c>
      <c r="B1326" s="10" t="s">
        <v>3888</v>
      </c>
      <c r="C1326" s="10" t="s">
        <v>96</v>
      </c>
      <c r="D1326" s="9" t="s">
        <v>96</v>
      </c>
      <c r="E1326" s="9" t="s">
        <v>1065</v>
      </c>
      <c r="F1326" s="10" t="s">
        <v>2559</v>
      </c>
      <c r="G1326" s="11">
        <v>45824</v>
      </c>
    </row>
    <row r="1327" spans="1:7" ht="36.5" hidden="1" x14ac:dyDescent="0.35">
      <c r="A1327" s="8">
        <v>8846</v>
      </c>
      <c r="B1327" s="10" t="s">
        <v>3889</v>
      </c>
      <c r="C1327" s="10" t="s">
        <v>220</v>
      </c>
      <c r="D1327" s="9" t="s">
        <v>104</v>
      </c>
      <c r="E1327" s="9" t="s">
        <v>483</v>
      </c>
      <c r="F1327" s="10" t="s">
        <v>2516</v>
      </c>
      <c r="G1327" s="11">
        <v>45824</v>
      </c>
    </row>
    <row r="1328" spans="1:7" ht="36.5" hidden="1" x14ac:dyDescent="0.35">
      <c r="A1328" s="8">
        <v>8848</v>
      </c>
      <c r="B1328" s="10" t="s">
        <v>3890</v>
      </c>
      <c r="C1328" s="10" t="s">
        <v>220</v>
      </c>
      <c r="D1328" s="9" t="s">
        <v>395</v>
      </c>
      <c r="E1328" s="9" t="s">
        <v>2440</v>
      </c>
      <c r="F1328" s="10" t="s">
        <v>2516</v>
      </c>
      <c r="G1328" s="11">
        <v>45824</v>
      </c>
    </row>
    <row r="1329" spans="1:7" ht="36.5" hidden="1" x14ac:dyDescent="0.35">
      <c r="A1329" s="8">
        <v>8849</v>
      </c>
      <c r="B1329" s="10" t="s">
        <v>3891</v>
      </c>
      <c r="C1329" s="10" t="s">
        <v>104</v>
      </c>
      <c r="D1329" s="9" t="s">
        <v>104</v>
      </c>
      <c r="E1329" s="9" t="s">
        <v>1371</v>
      </c>
      <c r="F1329" s="10" t="s">
        <v>2516</v>
      </c>
      <c r="G1329" s="11">
        <v>45826</v>
      </c>
    </row>
    <row r="1330" spans="1:7" ht="24.5" hidden="1" x14ac:dyDescent="0.35">
      <c r="A1330" s="8">
        <v>8850</v>
      </c>
      <c r="B1330" s="10" t="s">
        <v>3892</v>
      </c>
      <c r="C1330" s="10" t="s">
        <v>220</v>
      </c>
      <c r="D1330" s="9" t="s">
        <v>220</v>
      </c>
      <c r="E1330" s="9" t="s">
        <v>305</v>
      </c>
      <c r="F1330" s="10" t="s">
        <v>2522</v>
      </c>
      <c r="G1330" s="11">
        <v>45826</v>
      </c>
    </row>
    <row r="1331" spans="1:7" ht="24.5" hidden="1" x14ac:dyDescent="0.35">
      <c r="A1331" s="8">
        <v>8852</v>
      </c>
      <c r="B1331" s="10" t="s">
        <v>3893</v>
      </c>
      <c r="C1331" s="10" t="s">
        <v>26</v>
      </c>
      <c r="D1331" s="9" t="s">
        <v>26</v>
      </c>
      <c r="E1331" s="9" t="s">
        <v>2845</v>
      </c>
      <c r="F1331" s="10" t="s">
        <v>2522</v>
      </c>
      <c r="G1331" s="11">
        <v>45826</v>
      </c>
    </row>
    <row r="1332" spans="1:7" ht="24.5" hidden="1" x14ac:dyDescent="0.35">
      <c r="A1332" s="8">
        <v>8851</v>
      </c>
      <c r="B1332" s="10" t="s">
        <v>3894</v>
      </c>
      <c r="C1332" s="10" t="s">
        <v>104</v>
      </c>
      <c r="D1332" s="9" t="s">
        <v>104</v>
      </c>
      <c r="E1332" s="9" t="s">
        <v>1371</v>
      </c>
      <c r="F1332" s="10" t="s">
        <v>2522</v>
      </c>
      <c r="G1332" s="11">
        <v>45826</v>
      </c>
    </row>
    <row r="1333" spans="1:7" ht="24.5" hidden="1" x14ac:dyDescent="0.35">
      <c r="A1333" s="8">
        <v>8854</v>
      </c>
      <c r="B1333" s="10" t="s">
        <v>3895</v>
      </c>
      <c r="C1333" s="10" t="s">
        <v>34</v>
      </c>
      <c r="D1333" s="9" t="s">
        <v>371</v>
      </c>
      <c r="E1333" s="9" t="s">
        <v>1846</v>
      </c>
      <c r="F1333" s="10" t="s">
        <v>2522</v>
      </c>
      <c r="G1333" s="11">
        <v>45826</v>
      </c>
    </row>
    <row r="1334" spans="1:7" ht="24.5" hidden="1" x14ac:dyDescent="0.35">
      <c r="A1334" s="8">
        <v>8855</v>
      </c>
      <c r="B1334" s="10" t="s">
        <v>3896</v>
      </c>
      <c r="C1334" s="10" t="s">
        <v>34</v>
      </c>
      <c r="D1334" s="9" t="s">
        <v>371</v>
      </c>
      <c r="E1334" s="9" t="s">
        <v>1846</v>
      </c>
      <c r="F1334" s="10" t="s">
        <v>2522</v>
      </c>
      <c r="G1334" s="11">
        <v>45826</v>
      </c>
    </row>
    <row r="1335" spans="1:7" ht="24.5" hidden="1" x14ac:dyDescent="0.35">
      <c r="A1335" s="8">
        <v>8857</v>
      </c>
      <c r="B1335" s="10" t="s">
        <v>3897</v>
      </c>
      <c r="C1335" s="10" t="s">
        <v>190</v>
      </c>
      <c r="D1335" s="9" t="s">
        <v>395</v>
      </c>
      <c r="E1335" s="9" t="s">
        <v>1045</v>
      </c>
      <c r="F1335" s="10" t="s">
        <v>2522</v>
      </c>
      <c r="G1335" s="11">
        <v>45826</v>
      </c>
    </row>
    <row r="1336" spans="1:7" ht="24.5" hidden="1" x14ac:dyDescent="0.35">
      <c r="A1336" s="8">
        <v>8853</v>
      </c>
      <c r="B1336" s="10" t="s">
        <v>3898</v>
      </c>
      <c r="C1336" s="10" t="s">
        <v>371</v>
      </c>
      <c r="D1336" s="9" t="s">
        <v>371</v>
      </c>
      <c r="E1336" s="9" t="s">
        <v>373</v>
      </c>
      <c r="F1336" s="10" t="s">
        <v>2540</v>
      </c>
      <c r="G1336" s="11">
        <v>45826</v>
      </c>
    </row>
    <row r="1337" spans="1:7" ht="24.5" hidden="1" x14ac:dyDescent="0.35">
      <c r="A1337" s="8">
        <v>8856</v>
      </c>
      <c r="B1337" s="10" t="s">
        <v>3899</v>
      </c>
      <c r="C1337" s="10" t="s">
        <v>234</v>
      </c>
      <c r="D1337" s="9" t="s">
        <v>234</v>
      </c>
      <c r="E1337" s="9" t="s">
        <v>2336</v>
      </c>
      <c r="F1337" s="10" t="s">
        <v>2522</v>
      </c>
      <c r="G1337" s="11">
        <v>45826</v>
      </c>
    </row>
    <row r="1338" spans="1:7" ht="36.5" hidden="1" x14ac:dyDescent="0.35">
      <c r="A1338" s="8">
        <v>8858</v>
      </c>
      <c r="B1338" s="10" t="s">
        <v>3900</v>
      </c>
      <c r="C1338" s="10" t="s">
        <v>371</v>
      </c>
      <c r="D1338" s="9" t="s">
        <v>371</v>
      </c>
      <c r="E1338" s="9" t="s">
        <v>373</v>
      </c>
      <c r="F1338" s="10" t="s">
        <v>2530</v>
      </c>
      <c r="G1338" s="11">
        <v>45826</v>
      </c>
    </row>
    <row r="1339" spans="1:7" ht="36.5" hidden="1" x14ac:dyDescent="0.35">
      <c r="A1339" s="8">
        <v>8859</v>
      </c>
      <c r="B1339" s="10" t="s">
        <v>3901</v>
      </c>
      <c r="C1339" s="10" t="s">
        <v>395</v>
      </c>
      <c r="D1339" s="9" t="s">
        <v>95</v>
      </c>
      <c r="E1339" s="9" t="s">
        <v>1914</v>
      </c>
      <c r="F1339" s="10" t="s">
        <v>2525</v>
      </c>
      <c r="G1339" s="11">
        <v>45826</v>
      </c>
    </row>
    <row r="1340" spans="1:7" ht="36.5" hidden="1" x14ac:dyDescent="0.35">
      <c r="A1340" s="8">
        <v>8860</v>
      </c>
      <c r="B1340" s="10" t="s">
        <v>3902</v>
      </c>
      <c r="C1340" s="10" t="s">
        <v>234</v>
      </c>
      <c r="D1340" s="9" t="s">
        <v>234</v>
      </c>
      <c r="E1340" s="9" t="s">
        <v>2336</v>
      </c>
      <c r="F1340" s="10" t="s">
        <v>2525</v>
      </c>
      <c r="G1340" s="11">
        <v>45826</v>
      </c>
    </row>
    <row r="1341" spans="1:7" ht="24.5" hidden="1" x14ac:dyDescent="0.35">
      <c r="A1341" s="8">
        <v>8861</v>
      </c>
      <c r="B1341" s="10" t="s">
        <v>3903</v>
      </c>
      <c r="C1341" s="10" t="s">
        <v>26</v>
      </c>
      <c r="D1341" s="9" t="s">
        <v>220</v>
      </c>
      <c r="E1341" s="9" t="s">
        <v>3904</v>
      </c>
      <c r="F1341" s="10" t="s">
        <v>2540</v>
      </c>
      <c r="G1341" s="11">
        <v>45826</v>
      </c>
    </row>
    <row r="1342" spans="1:7" ht="36.5" hidden="1" x14ac:dyDescent="0.35">
      <c r="A1342" s="8">
        <v>8864</v>
      </c>
      <c r="B1342" s="10" t="s">
        <v>3905</v>
      </c>
      <c r="C1342" s="10" t="s">
        <v>21</v>
      </c>
      <c r="D1342" s="9" t="s">
        <v>21</v>
      </c>
      <c r="E1342" s="9" t="s">
        <v>819</v>
      </c>
      <c r="F1342" s="10" t="s">
        <v>2525</v>
      </c>
      <c r="G1342" s="11">
        <v>45826</v>
      </c>
    </row>
    <row r="1343" spans="1:7" ht="24.5" hidden="1" x14ac:dyDescent="0.35">
      <c r="A1343" s="8">
        <v>8863</v>
      </c>
      <c r="B1343" s="10" t="s">
        <v>3906</v>
      </c>
      <c r="C1343" s="10" t="s">
        <v>26</v>
      </c>
      <c r="D1343" s="9" t="s">
        <v>190</v>
      </c>
      <c r="E1343" s="9" t="s">
        <v>374</v>
      </c>
      <c r="F1343" s="10" t="s">
        <v>2522</v>
      </c>
      <c r="G1343" s="11">
        <v>45826</v>
      </c>
    </row>
    <row r="1344" spans="1:7" ht="24.5" hidden="1" x14ac:dyDescent="0.35">
      <c r="A1344" s="8">
        <v>8865</v>
      </c>
      <c r="B1344" s="10" t="s">
        <v>3907</v>
      </c>
      <c r="C1344" s="10" t="s">
        <v>220</v>
      </c>
      <c r="D1344" s="9" t="s">
        <v>220</v>
      </c>
      <c r="E1344" s="9" t="s">
        <v>305</v>
      </c>
      <c r="F1344" s="10" t="s">
        <v>2540</v>
      </c>
      <c r="G1344" s="11">
        <v>45826</v>
      </c>
    </row>
    <row r="1345" spans="1:7" ht="36.5" hidden="1" x14ac:dyDescent="0.35">
      <c r="A1345" s="8">
        <v>8868</v>
      </c>
      <c r="B1345" s="10" t="s">
        <v>3908</v>
      </c>
      <c r="C1345" s="10" t="s">
        <v>250</v>
      </c>
      <c r="D1345" s="9" t="s">
        <v>395</v>
      </c>
      <c r="E1345" s="9" t="s">
        <v>1926</v>
      </c>
      <c r="F1345" s="10" t="s">
        <v>2525</v>
      </c>
      <c r="G1345" s="11">
        <v>45826</v>
      </c>
    </row>
    <row r="1346" spans="1:7" ht="36.5" hidden="1" x14ac:dyDescent="0.35">
      <c r="A1346" s="8">
        <v>8867</v>
      </c>
      <c r="B1346" s="10" t="s">
        <v>3909</v>
      </c>
      <c r="C1346" s="10" t="s">
        <v>250</v>
      </c>
      <c r="D1346" s="9" t="s">
        <v>250</v>
      </c>
      <c r="E1346" s="9" t="s">
        <v>3815</v>
      </c>
      <c r="F1346" s="10" t="s">
        <v>2516</v>
      </c>
      <c r="G1346" s="11">
        <v>45826</v>
      </c>
    </row>
    <row r="1347" spans="1:7" ht="24.5" hidden="1" x14ac:dyDescent="0.35">
      <c r="A1347" s="8">
        <v>8870</v>
      </c>
      <c r="B1347" s="10" t="s">
        <v>3910</v>
      </c>
      <c r="C1347" s="10" t="s">
        <v>220</v>
      </c>
      <c r="D1347" s="9" t="s">
        <v>250</v>
      </c>
      <c r="E1347" s="9" t="s">
        <v>418</v>
      </c>
      <c r="F1347" s="10" t="s">
        <v>2522</v>
      </c>
      <c r="G1347" s="11">
        <v>45826</v>
      </c>
    </row>
    <row r="1348" spans="1:7" ht="36.5" hidden="1" x14ac:dyDescent="0.35">
      <c r="A1348" s="8">
        <v>8869</v>
      </c>
      <c r="B1348" s="10" t="s">
        <v>3911</v>
      </c>
      <c r="C1348" s="10" t="s">
        <v>250</v>
      </c>
      <c r="D1348" s="9" t="s">
        <v>395</v>
      </c>
      <c r="E1348" s="9" t="s">
        <v>1926</v>
      </c>
      <c r="F1348" s="10" t="s">
        <v>2572</v>
      </c>
      <c r="G1348" s="11">
        <v>45826</v>
      </c>
    </row>
    <row r="1349" spans="1:7" ht="24.5" hidden="1" x14ac:dyDescent="0.35">
      <c r="A1349" s="8">
        <v>8871</v>
      </c>
      <c r="B1349" s="10" t="s">
        <v>3912</v>
      </c>
      <c r="C1349" s="10" t="s">
        <v>96</v>
      </c>
      <c r="D1349" s="9" t="s">
        <v>96</v>
      </c>
      <c r="E1349" s="9" t="s">
        <v>1065</v>
      </c>
      <c r="F1349" s="10" t="s">
        <v>2537</v>
      </c>
      <c r="G1349" s="11">
        <v>45826</v>
      </c>
    </row>
    <row r="1350" spans="1:7" ht="24.5" hidden="1" x14ac:dyDescent="0.35">
      <c r="A1350" s="8">
        <v>8872</v>
      </c>
      <c r="B1350" s="10" t="s">
        <v>3913</v>
      </c>
      <c r="C1350" s="10" t="s">
        <v>220</v>
      </c>
      <c r="D1350" s="9" t="s">
        <v>95</v>
      </c>
      <c r="E1350" s="9" t="s">
        <v>1872</v>
      </c>
      <c r="F1350" s="10" t="s">
        <v>2522</v>
      </c>
      <c r="G1350" s="11">
        <v>45828</v>
      </c>
    </row>
    <row r="1351" spans="1:7" ht="24.5" hidden="1" x14ac:dyDescent="0.35">
      <c r="A1351" s="8">
        <v>8873</v>
      </c>
      <c r="B1351" s="10" t="s">
        <v>3914</v>
      </c>
      <c r="C1351" s="10" t="s">
        <v>196</v>
      </c>
      <c r="D1351" s="9" t="s">
        <v>96</v>
      </c>
      <c r="E1351" s="9" t="s">
        <v>1179</v>
      </c>
      <c r="F1351" s="10" t="s">
        <v>2537</v>
      </c>
      <c r="G1351" s="11">
        <v>45827</v>
      </c>
    </row>
    <row r="1352" spans="1:7" ht="24.5" hidden="1" x14ac:dyDescent="0.35">
      <c r="A1352" s="8">
        <v>8874</v>
      </c>
      <c r="B1352" s="10" t="s">
        <v>3915</v>
      </c>
      <c r="C1352" s="10" t="s">
        <v>96</v>
      </c>
      <c r="D1352" s="9" t="s">
        <v>96</v>
      </c>
      <c r="E1352" s="9" t="s">
        <v>1065</v>
      </c>
      <c r="F1352" s="10" t="s">
        <v>2537</v>
      </c>
      <c r="G1352" s="11">
        <v>45827</v>
      </c>
    </row>
    <row r="1353" spans="1:7" ht="24.5" hidden="1" x14ac:dyDescent="0.35">
      <c r="A1353" s="8">
        <v>8877</v>
      </c>
      <c r="B1353" s="10" t="s">
        <v>3916</v>
      </c>
      <c r="C1353" s="10" t="s">
        <v>196</v>
      </c>
      <c r="D1353" s="9" t="s">
        <v>196</v>
      </c>
      <c r="E1353" s="9" t="s">
        <v>595</v>
      </c>
      <c r="F1353" s="10" t="s">
        <v>2537</v>
      </c>
      <c r="G1353" s="11">
        <v>45827</v>
      </c>
    </row>
    <row r="1354" spans="1:7" ht="60.5" hidden="1" x14ac:dyDescent="0.35">
      <c r="A1354" s="8">
        <v>8876</v>
      </c>
      <c r="B1354" s="10" t="s">
        <v>3917</v>
      </c>
      <c r="C1354" s="10" t="s">
        <v>104</v>
      </c>
      <c r="D1354" s="9" t="s">
        <v>395</v>
      </c>
      <c r="E1354" s="9" t="s">
        <v>1926</v>
      </c>
      <c r="F1354" s="10" t="s">
        <v>2522</v>
      </c>
      <c r="G1354" s="11">
        <v>45827</v>
      </c>
    </row>
    <row r="1355" spans="1:7" ht="48.5" hidden="1" x14ac:dyDescent="0.35">
      <c r="A1355" s="8">
        <v>8878</v>
      </c>
      <c r="B1355" s="10" t="s">
        <v>3918</v>
      </c>
      <c r="C1355" s="10" t="s">
        <v>96</v>
      </c>
      <c r="D1355" s="9" t="s">
        <v>96</v>
      </c>
      <c r="E1355" s="9" t="s">
        <v>1065</v>
      </c>
      <c r="F1355" s="10" t="s">
        <v>2559</v>
      </c>
      <c r="G1355" s="11">
        <v>45827</v>
      </c>
    </row>
    <row r="1356" spans="1:7" ht="24.5" hidden="1" x14ac:dyDescent="0.35">
      <c r="A1356" s="8">
        <v>8879</v>
      </c>
      <c r="B1356" s="10" t="s">
        <v>3919</v>
      </c>
      <c r="C1356" s="10" t="s">
        <v>13</v>
      </c>
      <c r="D1356" s="9" t="s">
        <v>13</v>
      </c>
      <c r="E1356" s="9" t="s">
        <v>762</v>
      </c>
      <c r="F1356" s="10" t="s">
        <v>2522</v>
      </c>
      <c r="G1356" s="11">
        <v>45828</v>
      </c>
    </row>
    <row r="1357" spans="1:7" ht="48.5" hidden="1" x14ac:dyDescent="0.35">
      <c r="A1357" s="8">
        <v>8881</v>
      </c>
      <c r="B1357" s="10" t="s">
        <v>3920</v>
      </c>
      <c r="C1357" s="10" t="s">
        <v>13</v>
      </c>
      <c r="D1357" s="9" t="s">
        <v>13</v>
      </c>
      <c r="E1357" s="9" t="s">
        <v>1484</v>
      </c>
      <c r="F1357" s="10" t="s">
        <v>2530</v>
      </c>
      <c r="G1357" s="11">
        <v>45828</v>
      </c>
    </row>
    <row r="1358" spans="1:7" ht="24.5" hidden="1" x14ac:dyDescent="0.35">
      <c r="A1358" s="8">
        <v>8882</v>
      </c>
      <c r="B1358" s="10" t="s">
        <v>3921</v>
      </c>
      <c r="C1358" s="10" t="s">
        <v>21</v>
      </c>
      <c r="D1358" s="9" t="s">
        <v>21</v>
      </c>
      <c r="E1358" s="9" t="s">
        <v>1484</v>
      </c>
      <c r="F1358" s="10" t="s">
        <v>2522</v>
      </c>
      <c r="G1358" s="11">
        <v>45828</v>
      </c>
    </row>
    <row r="1359" spans="1:7" ht="24.5" hidden="1" x14ac:dyDescent="0.35">
      <c r="A1359" s="8">
        <v>8883</v>
      </c>
      <c r="B1359" s="10" t="s">
        <v>3922</v>
      </c>
      <c r="C1359" s="10" t="s">
        <v>104</v>
      </c>
      <c r="D1359" s="9" t="s">
        <v>104</v>
      </c>
      <c r="E1359" s="9" t="s">
        <v>1371</v>
      </c>
      <c r="F1359" s="10" t="s">
        <v>2522</v>
      </c>
      <c r="G1359" s="11">
        <v>45828</v>
      </c>
    </row>
    <row r="1360" spans="1:7" ht="36.5" hidden="1" x14ac:dyDescent="0.35">
      <c r="A1360" s="8">
        <v>8880</v>
      </c>
      <c r="B1360" s="10" t="s">
        <v>3923</v>
      </c>
      <c r="C1360" s="10" t="s">
        <v>190</v>
      </c>
      <c r="D1360" s="9" t="s">
        <v>250</v>
      </c>
      <c r="E1360" s="9" t="s">
        <v>418</v>
      </c>
      <c r="F1360" s="10" t="s">
        <v>2516</v>
      </c>
      <c r="G1360" s="11">
        <v>45828</v>
      </c>
    </row>
    <row r="1361" spans="1:7" ht="36.5" hidden="1" x14ac:dyDescent="0.35">
      <c r="A1361" s="8">
        <v>8884</v>
      </c>
      <c r="B1361" s="10" t="s">
        <v>3924</v>
      </c>
      <c r="C1361" s="10" t="s">
        <v>96</v>
      </c>
      <c r="D1361" s="9" t="s">
        <v>371</v>
      </c>
      <c r="E1361" s="9" t="s">
        <v>1846</v>
      </c>
      <c r="F1361" s="10" t="s">
        <v>2516</v>
      </c>
      <c r="G1361" s="11">
        <v>45828</v>
      </c>
    </row>
    <row r="1362" spans="1:7" ht="36.5" hidden="1" x14ac:dyDescent="0.35">
      <c r="A1362" s="8">
        <v>8889</v>
      </c>
      <c r="B1362" s="10" t="s">
        <v>3925</v>
      </c>
      <c r="C1362" s="10" t="s">
        <v>395</v>
      </c>
      <c r="D1362" s="9" t="s">
        <v>395</v>
      </c>
      <c r="E1362" s="9" t="s">
        <v>1045</v>
      </c>
      <c r="F1362" s="10" t="s">
        <v>2715</v>
      </c>
      <c r="G1362" s="11">
        <v>45828</v>
      </c>
    </row>
    <row r="1363" spans="1:7" ht="36.5" hidden="1" x14ac:dyDescent="0.35">
      <c r="A1363" s="8">
        <v>8892</v>
      </c>
      <c r="B1363" s="10" t="s">
        <v>3926</v>
      </c>
      <c r="C1363" s="10" t="s">
        <v>95</v>
      </c>
      <c r="D1363" s="9" t="s">
        <v>395</v>
      </c>
      <c r="E1363" s="9" t="s">
        <v>1045</v>
      </c>
      <c r="F1363" s="10" t="s">
        <v>2715</v>
      </c>
      <c r="G1363" s="11">
        <v>45828</v>
      </c>
    </row>
    <row r="1364" spans="1:7" ht="36.5" hidden="1" x14ac:dyDescent="0.35">
      <c r="A1364" s="8">
        <v>8891</v>
      </c>
      <c r="B1364" s="10" t="s">
        <v>3927</v>
      </c>
      <c r="C1364" s="10" t="s">
        <v>234</v>
      </c>
      <c r="D1364" s="9" t="s">
        <v>395</v>
      </c>
      <c r="E1364" s="9" t="s">
        <v>1045</v>
      </c>
      <c r="F1364" s="10" t="s">
        <v>2715</v>
      </c>
      <c r="G1364" s="11">
        <v>45828</v>
      </c>
    </row>
    <row r="1365" spans="1:7" ht="36.5" hidden="1" x14ac:dyDescent="0.35">
      <c r="A1365" s="8">
        <v>8894</v>
      </c>
      <c r="B1365" s="10" t="s">
        <v>3928</v>
      </c>
      <c r="C1365" s="10" t="s">
        <v>196</v>
      </c>
      <c r="D1365" s="9" t="s">
        <v>395</v>
      </c>
      <c r="E1365" s="9" t="s">
        <v>1045</v>
      </c>
      <c r="F1365" s="10" t="s">
        <v>2715</v>
      </c>
      <c r="G1365" s="11">
        <v>45828</v>
      </c>
    </row>
    <row r="1366" spans="1:7" ht="36.5" hidden="1" x14ac:dyDescent="0.35">
      <c r="A1366" s="8">
        <v>8896</v>
      </c>
      <c r="B1366" s="10" t="s">
        <v>3929</v>
      </c>
      <c r="C1366" s="10" t="s">
        <v>13</v>
      </c>
      <c r="D1366" s="9" t="s">
        <v>395</v>
      </c>
      <c r="E1366" s="9" t="s">
        <v>1045</v>
      </c>
      <c r="F1366" s="10" t="s">
        <v>2715</v>
      </c>
      <c r="G1366" s="11">
        <v>45828</v>
      </c>
    </row>
    <row r="1367" spans="1:7" ht="36.5" hidden="1" x14ac:dyDescent="0.35">
      <c r="A1367" s="8">
        <v>8893</v>
      </c>
      <c r="B1367" s="10" t="s">
        <v>3930</v>
      </c>
      <c r="C1367" s="10" t="s">
        <v>250</v>
      </c>
      <c r="D1367" s="9" t="s">
        <v>395</v>
      </c>
      <c r="E1367" s="9" t="s">
        <v>1045</v>
      </c>
      <c r="F1367" s="10" t="s">
        <v>2715</v>
      </c>
      <c r="G1367" s="11">
        <v>45828</v>
      </c>
    </row>
    <row r="1368" spans="1:7" ht="36.5" hidden="1" x14ac:dyDescent="0.35">
      <c r="A1368" s="8">
        <v>8898</v>
      </c>
      <c r="B1368" s="10" t="s">
        <v>3931</v>
      </c>
      <c r="C1368" s="10" t="s">
        <v>395</v>
      </c>
      <c r="D1368" s="9" t="s">
        <v>395</v>
      </c>
      <c r="E1368" s="9" t="s">
        <v>1045</v>
      </c>
      <c r="F1368" s="10" t="s">
        <v>2715</v>
      </c>
      <c r="G1368" s="11">
        <v>45828</v>
      </c>
    </row>
    <row r="1369" spans="1:7" ht="36.5" hidden="1" x14ac:dyDescent="0.35">
      <c r="A1369" s="8">
        <v>8895</v>
      </c>
      <c r="B1369" s="10" t="s">
        <v>3932</v>
      </c>
      <c r="C1369" s="10" t="s">
        <v>26</v>
      </c>
      <c r="D1369" s="9" t="s">
        <v>395</v>
      </c>
      <c r="E1369" s="9" t="s">
        <v>1045</v>
      </c>
      <c r="F1369" s="10" t="s">
        <v>2715</v>
      </c>
      <c r="G1369" s="11">
        <v>45828</v>
      </c>
    </row>
    <row r="1370" spans="1:7" ht="36.5" hidden="1" x14ac:dyDescent="0.35">
      <c r="A1370" s="8">
        <v>8900</v>
      </c>
      <c r="B1370" s="10" t="s">
        <v>3933</v>
      </c>
      <c r="C1370" s="10" t="s">
        <v>395</v>
      </c>
      <c r="D1370" s="9" t="s">
        <v>395</v>
      </c>
      <c r="E1370" s="9" t="s">
        <v>1045</v>
      </c>
      <c r="F1370" s="10" t="s">
        <v>2715</v>
      </c>
      <c r="G1370" s="11">
        <v>45828</v>
      </c>
    </row>
    <row r="1371" spans="1:7" ht="36.5" hidden="1" x14ac:dyDescent="0.35">
      <c r="A1371" s="8">
        <v>8899</v>
      </c>
      <c r="B1371" s="10" t="s">
        <v>3934</v>
      </c>
      <c r="C1371" s="10" t="s">
        <v>395</v>
      </c>
      <c r="D1371" s="9" t="s">
        <v>395</v>
      </c>
      <c r="E1371" s="9" t="s">
        <v>1045</v>
      </c>
      <c r="F1371" s="10" t="s">
        <v>2715</v>
      </c>
      <c r="G1371" s="11">
        <v>45828</v>
      </c>
    </row>
    <row r="1372" spans="1:7" ht="36.5" hidden="1" x14ac:dyDescent="0.35">
      <c r="A1372" s="8">
        <v>8897</v>
      </c>
      <c r="B1372" s="10" t="s">
        <v>3935</v>
      </c>
      <c r="C1372" s="10" t="s">
        <v>104</v>
      </c>
      <c r="D1372" s="9" t="s">
        <v>395</v>
      </c>
      <c r="E1372" s="9" t="s">
        <v>1045</v>
      </c>
      <c r="F1372" s="10" t="s">
        <v>2715</v>
      </c>
      <c r="G1372" s="11">
        <v>45828</v>
      </c>
    </row>
    <row r="1373" spans="1:7" ht="36.5" hidden="1" x14ac:dyDescent="0.35">
      <c r="A1373" s="8">
        <v>8902</v>
      </c>
      <c r="B1373" s="10" t="s">
        <v>3936</v>
      </c>
      <c r="C1373" s="10" t="s">
        <v>395</v>
      </c>
      <c r="D1373" s="9" t="s">
        <v>395</v>
      </c>
      <c r="E1373" s="9" t="s">
        <v>1045</v>
      </c>
      <c r="F1373" s="10" t="s">
        <v>2715</v>
      </c>
      <c r="G1373" s="11">
        <v>45828</v>
      </c>
    </row>
    <row r="1374" spans="1:7" ht="60.5" hidden="1" x14ac:dyDescent="0.35">
      <c r="A1374" s="8">
        <v>8901</v>
      </c>
      <c r="B1374" s="10" t="s">
        <v>3937</v>
      </c>
      <c r="C1374" s="10" t="s">
        <v>95</v>
      </c>
      <c r="D1374" s="9" t="s">
        <v>395</v>
      </c>
      <c r="E1374" s="9" t="s">
        <v>1045</v>
      </c>
      <c r="F1374" s="10" t="s">
        <v>2715</v>
      </c>
      <c r="G1374" s="11">
        <v>45828</v>
      </c>
    </row>
    <row r="1375" spans="1:7" ht="36.5" hidden="1" x14ac:dyDescent="0.35">
      <c r="A1375" s="8">
        <v>8903</v>
      </c>
      <c r="B1375" s="10" t="s">
        <v>3938</v>
      </c>
      <c r="C1375" s="10" t="s">
        <v>395</v>
      </c>
      <c r="D1375" s="9" t="s">
        <v>395</v>
      </c>
      <c r="E1375" s="9" t="s">
        <v>1045</v>
      </c>
      <c r="F1375" s="10" t="s">
        <v>2715</v>
      </c>
      <c r="G1375" s="11">
        <v>45828</v>
      </c>
    </row>
    <row r="1376" spans="1:7" ht="24.5" hidden="1" x14ac:dyDescent="0.35">
      <c r="A1376" s="8">
        <v>8911</v>
      </c>
      <c r="B1376" s="10" t="s">
        <v>3939</v>
      </c>
      <c r="C1376" s="10" t="s">
        <v>34</v>
      </c>
      <c r="D1376" s="9" t="s">
        <v>34</v>
      </c>
      <c r="E1376" s="9" t="s">
        <v>1525</v>
      </c>
      <c r="F1376" s="10" t="s">
        <v>2522</v>
      </c>
      <c r="G1376" s="11">
        <v>45828</v>
      </c>
    </row>
    <row r="1377" spans="1:7" ht="48.5" hidden="1" x14ac:dyDescent="0.35">
      <c r="A1377" s="8">
        <v>8913</v>
      </c>
      <c r="B1377" s="10" t="s">
        <v>3940</v>
      </c>
      <c r="C1377" s="10" t="s">
        <v>96</v>
      </c>
      <c r="D1377" s="9" t="s">
        <v>134</v>
      </c>
      <c r="E1377" s="9" t="s">
        <v>1692</v>
      </c>
      <c r="F1377" s="10" t="s">
        <v>2559</v>
      </c>
      <c r="G1377" s="11">
        <v>45828</v>
      </c>
    </row>
    <row r="1378" spans="1:7" ht="36.5" hidden="1" x14ac:dyDescent="0.35">
      <c r="A1378" s="8">
        <v>8915</v>
      </c>
      <c r="B1378" s="10" t="s">
        <v>3941</v>
      </c>
      <c r="C1378" s="10" t="s">
        <v>220</v>
      </c>
      <c r="D1378" s="9" t="s">
        <v>371</v>
      </c>
      <c r="E1378" s="9" t="s">
        <v>1674</v>
      </c>
      <c r="F1378" s="10" t="s">
        <v>2572</v>
      </c>
      <c r="G1378" s="11">
        <v>45828</v>
      </c>
    </row>
    <row r="1379" spans="1:7" ht="36.5" hidden="1" x14ac:dyDescent="0.35">
      <c r="A1379" s="8">
        <v>8912</v>
      </c>
      <c r="B1379" s="10" t="s">
        <v>3942</v>
      </c>
      <c r="C1379" s="10" t="s">
        <v>134</v>
      </c>
      <c r="D1379" s="9" t="s">
        <v>134</v>
      </c>
      <c r="E1379" s="9" t="s">
        <v>1692</v>
      </c>
      <c r="F1379" s="10" t="s">
        <v>2516</v>
      </c>
      <c r="G1379" s="11">
        <v>45828</v>
      </c>
    </row>
    <row r="1380" spans="1:7" ht="24.5" hidden="1" x14ac:dyDescent="0.35">
      <c r="A1380" s="8">
        <v>8917</v>
      </c>
      <c r="B1380" s="10" t="s">
        <v>3943</v>
      </c>
      <c r="C1380" s="10" t="s">
        <v>104</v>
      </c>
      <c r="D1380" s="9" t="s">
        <v>104</v>
      </c>
      <c r="E1380" s="9" t="s">
        <v>819</v>
      </c>
      <c r="F1380" s="10" t="s">
        <v>2522</v>
      </c>
      <c r="G1380" s="11">
        <v>45829</v>
      </c>
    </row>
    <row r="1381" spans="1:7" ht="48.5" hidden="1" x14ac:dyDescent="0.35">
      <c r="A1381" s="8">
        <v>8919</v>
      </c>
      <c r="B1381" s="10" t="s">
        <v>3944</v>
      </c>
      <c r="C1381" s="10" t="s">
        <v>96</v>
      </c>
      <c r="D1381" s="9" t="s">
        <v>190</v>
      </c>
      <c r="E1381" s="9" t="s">
        <v>1179</v>
      </c>
      <c r="F1381" s="10" t="s">
        <v>2559</v>
      </c>
      <c r="G1381" s="11">
        <v>45830</v>
      </c>
    </row>
    <row r="1382" spans="1:7" ht="36.5" hidden="1" x14ac:dyDescent="0.35">
      <c r="A1382" s="8">
        <v>8916</v>
      </c>
      <c r="B1382" s="10" t="s">
        <v>3945</v>
      </c>
      <c r="C1382" s="10" t="s">
        <v>21</v>
      </c>
      <c r="D1382" s="9" t="s">
        <v>21</v>
      </c>
      <c r="E1382" s="9" t="s">
        <v>819</v>
      </c>
      <c r="F1382" s="10" t="s">
        <v>2522</v>
      </c>
      <c r="G1382" s="11">
        <v>45829</v>
      </c>
    </row>
    <row r="1383" spans="1:7" ht="24.5" hidden="1" x14ac:dyDescent="0.35">
      <c r="A1383" s="8">
        <v>8921</v>
      </c>
      <c r="B1383" s="10" t="s">
        <v>3132</v>
      </c>
      <c r="C1383" s="10" t="s">
        <v>13</v>
      </c>
      <c r="D1383" s="9" t="s">
        <v>13</v>
      </c>
      <c r="E1383" s="9" t="s">
        <v>762</v>
      </c>
      <c r="F1383" s="10" t="s">
        <v>2522</v>
      </c>
      <c r="G1383" s="11">
        <v>45830</v>
      </c>
    </row>
    <row r="1384" spans="1:7" ht="24.5" hidden="1" x14ac:dyDescent="0.35">
      <c r="A1384" s="8">
        <v>8920</v>
      </c>
      <c r="B1384" s="10" t="s">
        <v>3245</v>
      </c>
      <c r="C1384" s="10" t="s">
        <v>21</v>
      </c>
      <c r="D1384" s="9" t="s">
        <v>21</v>
      </c>
      <c r="E1384" s="9" t="s">
        <v>762</v>
      </c>
      <c r="F1384" s="10" t="s">
        <v>2522</v>
      </c>
      <c r="G1384" s="11">
        <v>45830</v>
      </c>
    </row>
    <row r="1385" spans="1:7" ht="24.5" hidden="1" x14ac:dyDescent="0.35">
      <c r="A1385" s="8">
        <v>8923</v>
      </c>
      <c r="B1385" s="10" t="s">
        <v>3946</v>
      </c>
      <c r="C1385" s="10" t="s">
        <v>96</v>
      </c>
      <c r="D1385" s="9" t="s">
        <v>96</v>
      </c>
      <c r="E1385" s="9" t="s">
        <v>1065</v>
      </c>
      <c r="F1385" s="10" t="s">
        <v>2522</v>
      </c>
      <c r="G1385" s="11">
        <v>45831</v>
      </c>
    </row>
    <row r="1386" spans="1:7" ht="36.5" hidden="1" x14ac:dyDescent="0.35">
      <c r="A1386" s="8">
        <v>8925</v>
      </c>
      <c r="B1386" s="10" t="s">
        <v>3947</v>
      </c>
      <c r="C1386" s="10" t="s">
        <v>13</v>
      </c>
      <c r="D1386" s="9" t="s">
        <v>13</v>
      </c>
      <c r="E1386" s="9" t="s">
        <v>1484</v>
      </c>
      <c r="F1386" s="10" t="s">
        <v>2516</v>
      </c>
      <c r="G1386" s="11">
        <v>45831</v>
      </c>
    </row>
    <row r="1387" spans="1:7" ht="36.5" hidden="1" x14ac:dyDescent="0.35">
      <c r="A1387" s="8">
        <v>8922</v>
      </c>
      <c r="B1387" s="10" t="s">
        <v>3948</v>
      </c>
      <c r="C1387" s="10" t="s">
        <v>220</v>
      </c>
      <c r="D1387" s="9" t="s">
        <v>395</v>
      </c>
      <c r="E1387" s="9" t="s">
        <v>394</v>
      </c>
      <c r="F1387" s="10" t="s">
        <v>2516</v>
      </c>
      <c r="G1387" s="11">
        <v>45830</v>
      </c>
    </row>
    <row r="1388" spans="1:7" ht="36.5" hidden="1" x14ac:dyDescent="0.35">
      <c r="A1388" s="8">
        <v>8926</v>
      </c>
      <c r="B1388" s="10" t="s">
        <v>3949</v>
      </c>
      <c r="C1388" s="10" t="s">
        <v>21</v>
      </c>
      <c r="D1388" s="9" t="s">
        <v>21</v>
      </c>
      <c r="E1388" s="9" t="s">
        <v>1484</v>
      </c>
      <c r="F1388" s="10" t="s">
        <v>2516</v>
      </c>
      <c r="G1388" s="11">
        <v>45831</v>
      </c>
    </row>
    <row r="1389" spans="1:7" ht="24.5" hidden="1" x14ac:dyDescent="0.35">
      <c r="A1389" s="8">
        <v>8924</v>
      </c>
      <c r="B1389" s="10" t="s">
        <v>3950</v>
      </c>
      <c r="C1389" s="10" t="s">
        <v>134</v>
      </c>
      <c r="D1389" s="9" t="s">
        <v>134</v>
      </c>
      <c r="E1389" s="9" t="s">
        <v>762</v>
      </c>
      <c r="F1389" s="10" t="s">
        <v>2522</v>
      </c>
      <c r="G1389" s="11">
        <v>45831</v>
      </c>
    </row>
    <row r="1390" spans="1:7" ht="24.5" hidden="1" x14ac:dyDescent="0.35">
      <c r="A1390" s="8">
        <v>8927</v>
      </c>
      <c r="B1390" s="10" t="s">
        <v>3951</v>
      </c>
      <c r="C1390" s="10" t="s">
        <v>96</v>
      </c>
      <c r="D1390" s="9" t="s">
        <v>96</v>
      </c>
      <c r="E1390" s="9" t="s">
        <v>1055</v>
      </c>
      <c r="F1390" s="10" t="s">
        <v>2537</v>
      </c>
      <c r="G1390" s="11">
        <v>45831</v>
      </c>
    </row>
    <row r="1391" spans="1:7" ht="36.5" hidden="1" x14ac:dyDescent="0.35">
      <c r="A1391" s="8">
        <v>8928</v>
      </c>
      <c r="B1391" s="10" t="s">
        <v>3952</v>
      </c>
      <c r="C1391" s="10" t="s">
        <v>96</v>
      </c>
      <c r="D1391" s="9" t="s">
        <v>96</v>
      </c>
      <c r="E1391" s="9" t="s">
        <v>1179</v>
      </c>
      <c r="F1391" s="10" t="s">
        <v>2525</v>
      </c>
      <c r="G1391" s="11">
        <v>45831</v>
      </c>
    </row>
    <row r="1392" spans="1:7" ht="36.5" hidden="1" x14ac:dyDescent="0.35">
      <c r="A1392" s="8">
        <v>8904</v>
      </c>
      <c r="B1392" s="10" t="s">
        <v>3953</v>
      </c>
      <c r="C1392" s="10" t="s">
        <v>34</v>
      </c>
      <c r="D1392" s="9" t="s">
        <v>95</v>
      </c>
      <c r="E1392" s="9" t="s">
        <v>822</v>
      </c>
      <c r="F1392" s="10" t="s">
        <v>2530</v>
      </c>
      <c r="G1392" s="11">
        <v>45828</v>
      </c>
    </row>
    <row r="1393" spans="1:7" ht="36.5" hidden="1" x14ac:dyDescent="0.35">
      <c r="A1393" s="8">
        <v>8905</v>
      </c>
      <c r="B1393" s="10" t="s">
        <v>3954</v>
      </c>
      <c r="C1393" s="10" t="s">
        <v>234</v>
      </c>
      <c r="D1393" s="9" t="s">
        <v>95</v>
      </c>
      <c r="E1393" s="9" t="s">
        <v>822</v>
      </c>
      <c r="F1393" s="10" t="s">
        <v>2522</v>
      </c>
      <c r="G1393" s="11">
        <v>45828</v>
      </c>
    </row>
    <row r="1394" spans="1:7" ht="24.5" hidden="1" x14ac:dyDescent="0.35">
      <c r="A1394" s="8">
        <v>8906</v>
      </c>
      <c r="B1394" s="10" t="s">
        <v>3955</v>
      </c>
      <c r="C1394" s="10" t="s">
        <v>104</v>
      </c>
      <c r="D1394" s="9" t="s">
        <v>95</v>
      </c>
      <c r="E1394" s="9" t="s">
        <v>822</v>
      </c>
      <c r="F1394" s="10" t="s">
        <v>2522</v>
      </c>
      <c r="G1394" s="11">
        <v>45828</v>
      </c>
    </row>
    <row r="1395" spans="1:7" ht="48.5" hidden="1" x14ac:dyDescent="0.35">
      <c r="A1395" s="8">
        <v>8907</v>
      </c>
      <c r="B1395" s="10" t="s">
        <v>3956</v>
      </c>
      <c r="C1395" s="10" t="s">
        <v>234</v>
      </c>
      <c r="D1395" s="9" t="s">
        <v>95</v>
      </c>
      <c r="E1395" s="9" t="s">
        <v>822</v>
      </c>
      <c r="F1395" s="10" t="s">
        <v>2559</v>
      </c>
      <c r="G1395" s="11">
        <v>45828</v>
      </c>
    </row>
    <row r="1396" spans="1:7" ht="36.5" hidden="1" x14ac:dyDescent="0.35">
      <c r="A1396" s="8">
        <v>8939</v>
      </c>
      <c r="B1396" s="10" t="s">
        <v>3957</v>
      </c>
      <c r="C1396" s="10" t="s">
        <v>220</v>
      </c>
      <c r="D1396" s="9" t="s">
        <v>95</v>
      </c>
      <c r="E1396" s="9" t="s">
        <v>1872</v>
      </c>
      <c r="F1396" s="10" t="s">
        <v>2522</v>
      </c>
      <c r="G1396" s="11">
        <v>45833</v>
      </c>
    </row>
    <row r="1397" spans="1:7" ht="24.5" hidden="1" x14ac:dyDescent="0.35">
      <c r="A1397" s="8">
        <v>8936</v>
      </c>
      <c r="B1397" s="10" t="s">
        <v>3958</v>
      </c>
      <c r="C1397" s="10" t="s">
        <v>13</v>
      </c>
      <c r="D1397" s="9" t="s">
        <v>95</v>
      </c>
      <c r="E1397" s="9" t="s">
        <v>866</v>
      </c>
      <c r="F1397" s="10" t="s">
        <v>2540</v>
      </c>
      <c r="G1397" s="11">
        <v>45832</v>
      </c>
    </row>
    <row r="1398" spans="1:7" ht="24.5" hidden="1" x14ac:dyDescent="0.35">
      <c r="A1398" s="8">
        <v>8937</v>
      </c>
      <c r="B1398" s="10" t="s">
        <v>3959</v>
      </c>
      <c r="C1398" s="10" t="s">
        <v>134</v>
      </c>
      <c r="D1398" s="9" t="s">
        <v>134</v>
      </c>
      <c r="E1398" s="9" t="s">
        <v>762</v>
      </c>
      <c r="F1398" s="10" t="s">
        <v>2522</v>
      </c>
      <c r="G1398" s="11">
        <v>45831</v>
      </c>
    </row>
    <row r="1399" spans="1:7" ht="48.5" hidden="1" x14ac:dyDescent="0.35">
      <c r="A1399" s="8">
        <v>8938</v>
      </c>
      <c r="B1399" s="10" t="s">
        <v>3960</v>
      </c>
      <c r="C1399" s="10" t="s">
        <v>134</v>
      </c>
      <c r="D1399" s="9" t="s">
        <v>196</v>
      </c>
      <c r="E1399" s="9" t="s">
        <v>1305</v>
      </c>
      <c r="F1399" s="10" t="s">
        <v>2559</v>
      </c>
      <c r="G1399" s="11">
        <v>45831</v>
      </c>
    </row>
    <row r="1400" spans="1:7" ht="24.5" hidden="1" x14ac:dyDescent="0.35">
      <c r="A1400" s="8">
        <v>8940</v>
      </c>
      <c r="B1400" s="10" t="s">
        <v>3961</v>
      </c>
      <c r="C1400" s="10" t="s">
        <v>96</v>
      </c>
      <c r="D1400" s="9" t="s">
        <v>96</v>
      </c>
      <c r="E1400" s="9" t="s">
        <v>1065</v>
      </c>
      <c r="F1400" s="10" t="s">
        <v>2537</v>
      </c>
      <c r="G1400" s="11">
        <v>45832</v>
      </c>
    </row>
    <row r="1401" spans="1:7" ht="48.5" hidden="1" x14ac:dyDescent="0.35">
      <c r="A1401" s="8">
        <v>8941</v>
      </c>
      <c r="B1401" s="10" t="s">
        <v>3962</v>
      </c>
      <c r="C1401" s="10" t="s">
        <v>196</v>
      </c>
      <c r="D1401" s="9" t="s">
        <v>196</v>
      </c>
      <c r="E1401" s="9" t="s">
        <v>1305</v>
      </c>
      <c r="F1401" s="10" t="s">
        <v>2559</v>
      </c>
      <c r="G1401" s="11">
        <v>45832</v>
      </c>
    </row>
    <row r="1402" spans="1:7" ht="24.5" hidden="1" x14ac:dyDescent="0.35">
      <c r="A1402" s="8">
        <v>8944</v>
      </c>
      <c r="B1402" s="10" t="s">
        <v>3963</v>
      </c>
      <c r="C1402" s="10" t="s">
        <v>13</v>
      </c>
      <c r="D1402" s="9" t="s">
        <v>95</v>
      </c>
      <c r="E1402" s="9" t="s">
        <v>183</v>
      </c>
      <c r="F1402" s="10" t="s">
        <v>2522</v>
      </c>
      <c r="G1402" s="11">
        <v>45832</v>
      </c>
    </row>
    <row r="1403" spans="1:7" ht="24.5" hidden="1" x14ac:dyDescent="0.35">
      <c r="A1403" s="8">
        <v>8943</v>
      </c>
      <c r="B1403" s="10" t="s">
        <v>3964</v>
      </c>
      <c r="C1403" s="10" t="s">
        <v>104</v>
      </c>
      <c r="D1403" s="9" t="s">
        <v>104</v>
      </c>
      <c r="E1403" s="9" t="s">
        <v>107</v>
      </c>
      <c r="F1403" s="10" t="s">
        <v>2522</v>
      </c>
      <c r="G1403" s="11">
        <v>45832</v>
      </c>
    </row>
    <row r="1404" spans="1:7" ht="24.5" hidden="1" x14ac:dyDescent="0.35">
      <c r="A1404" s="8">
        <v>8946</v>
      </c>
      <c r="B1404" s="10" t="s">
        <v>3965</v>
      </c>
      <c r="C1404" s="10" t="s">
        <v>250</v>
      </c>
      <c r="D1404" s="9" t="s">
        <v>250</v>
      </c>
      <c r="E1404" s="9" t="s">
        <v>1807</v>
      </c>
      <c r="F1404" s="10" t="s">
        <v>2522</v>
      </c>
      <c r="G1404" s="11">
        <v>45832</v>
      </c>
    </row>
    <row r="1405" spans="1:7" ht="24.5" hidden="1" x14ac:dyDescent="0.35">
      <c r="A1405" s="8">
        <v>8942</v>
      </c>
      <c r="B1405" s="10" t="s">
        <v>3966</v>
      </c>
      <c r="C1405" s="10" t="s">
        <v>96</v>
      </c>
      <c r="D1405" s="9" t="s">
        <v>96</v>
      </c>
      <c r="E1405" s="9" t="s">
        <v>1065</v>
      </c>
      <c r="F1405" s="10" t="s">
        <v>2537</v>
      </c>
      <c r="G1405" s="11">
        <v>45832</v>
      </c>
    </row>
    <row r="1406" spans="1:7" ht="24.5" hidden="1" x14ac:dyDescent="0.35">
      <c r="A1406" s="8">
        <v>8945</v>
      </c>
      <c r="B1406" s="10" t="s">
        <v>3967</v>
      </c>
      <c r="C1406" s="10" t="s">
        <v>13</v>
      </c>
      <c r="D1406" s="9" t="s">
        <v>13</v>
      </c>
      <c r="E1406" s="9" t="s">
        <v>819</v>
      </c>
      <c r="F1406" s="10" t="s">
        <v>2540</v>
      </c>
      <c r="G1406" s="11">
        <v>45832</v>
      </c>
    </row>
    <row r="1407" spans="1:7" ht="36.5" hidden="1" x14ac:dyDescent="0.35">
      <c r="A1407" s="8">
        <v>8949</v>
      </c>
      <c r="B1407" s="10" t="s">
        <v>3968</v>
      </c>
      <c r="C1407" s="10" t="s">
        <v>278</v>
      </c>
      <c r="D1407" s="9" t="s">
        <v>395</v>
      </c>
      <c r="E1407" s="9" t="s">
        <v>1037</v>
      </c>
      <c r="F1407" s="10" t="s">
        <v>2530</v>
      </c>
      <c r="G1407" s="11">
        <v>45833</v>
      </c>
    </row>
    <row r="1408" spans="1:7" ht="36.5" hidden="1" x14ac:dyDescent="0.35">
      <c r="A1408" s="8">
        <v>8947</v>
      </c>
      <c r="B1408" s="10" t="s">
        <v>3969</v>
      </c>
      <c r="C1408" s="10" t="s">
        <v>21</v>
      </c>
      <c r="D1408" s="9" t="s">
        <v>21</v>
      </c>
      <c r="E1408" s="9" t="s">
        <v>819</v>
      </c>
      <c r="F1408" s="10" t="s">
        <v>2522</v>
      </c>
      <c r="G1408" s="11">
        <v>45833</v>
      </c>
    </row>
    <row r="1409" spans="1:7" ht="24.5" hidden="1" x14ac:dyDescent="0.35">
      <c r="A1409" s="8">
        <v>8948</v>
      </c>
      <c r="B1409" s="10" t="s">
        <v>3970</v>
      </c>
      <c r="C1409" s="10" t="s">
        <v>104</v>
      </c>
      <c r="D1409" s="9" t="s">
        <v>104</v>
      </c>
      <c r="E1409" s="9" t="s">
        <v>107</v>
      </c>
      <c r="F1409" s="10" t="s">
        <v>2522</v>
      </c>
      <c r="G1409" s="11">
        <v>45833</v>
      </c>
    </row>
    <row r="1410" spans="1:7" ht="24.5" hidden="1" x14ac:dyDescent="0.35">
      <c r="A1410" s="8">
        <v>8951</v>
      </c>
      <c r="B1410" s="10" t="s">
        <v>3971</v>
      </c>
      <c r="C1410" s="10" t="s">
        <v>26</v>
      </c>
      <c r="D1410" s="9" t="s">
        <v>134</v>
      </c>
      <c r="E1410" s="9" t="s">
        <v>1692</v>
      </c>
      <c r="F1410" s="10" t="s">
        <v>2522</v>
      </c>
      <c r="G1410" s="11">
        <v>45833</v>
      </c>
    </row>
    <row r="1411" spans="1:7" ht="36.5" hidden="1" x14ac:dyDescent="0.35">
      <c r="A1411" s="8">
        <v>8950</v>
      </c>
      <c r="B1411" s="10" t="s">
        <v>3972</v>
      </c>
      <c r="C1411" s="10" t="s">
        <v>26</v>
      </c>
      <c r="D1411" s="9" t="s">
        <v>395</v>
      </c>
      <c r="E1411" s="9" t="s">
        <v>1926</v>
      </c>
      <c r="F1411" s="10" t="s">
        <v>2522</v>
      </c>
      <c r="G1411" s="11">
        <v>45833</v>
      </c>
    </row>
    <row r="1412" spans="1:7" ht="36.5" hidden="1" x14ac:dyDescent="0.35">
      <c r="A1412" s="8">
        <v>8953</v>
      </c>
      <c r="B1412" s="10" t="s">
        <v>3973</v>
      </c>
      <c r="C1412" s="10" t="s">
        <v>26</v>
      </c>
      <c r="D1412" s="9" t="s">
        <v>134</v>
      </c>
      <c r="E1412" s="9" t="s">
        <v>1692</v>
      </c>
      <c r="F1412" s="10" t="s">
        <v>2516</v>
      </c>
      <c r="G1412" s="11">
        <v>45833</v>
      </c>
    </row>
    <row r="1413" spans="1:7" ht="36.5" hidden="1" x14ac:dyDescent="0.35">
      <c r="A1413" s="8">
        <v>8955</v>
      </c>
      <c r="B1413" s="10" t="s">
        <v>3974</v>
      </c>
      <c r="C1413" s="10" t="s">
        <v>26</v>
      </c>
      <c r="D1413" s="9" t="s">
        <v>134</v>
      </c>
      <c r="E1413" s="9" t="s">
        <v>1692</v>
      </c>
      <c r="F1413" s="10" t="s">
        <v>2516</v>
      </c>
      <c r="G1413" s="11">
        <v>45833</v>
      </c>
    </row>
    <row r="1414" spans="1:7" ht="24.5" hidden="1" x14ac:dyDescent="0.35">
      <c r="A1414" s="8">
        <v>8952</v>
      </c>
      <c r="B1414" s="10" t="s">
        <v>3975</v>
      </c>
      <c r="C1414" s="10" t="s">
        <v>196</v>
      </c>
      <c r="D1414" s="9" t="s">
        <v>227</v>
      </c>
      <c r="E1414" s="9" t="s">
        <v>230</v>
      </c>
      <c r="F1414" s="10" t="s">
        <v>2537</v>
      </c>
      <c r="G1414" s="11">
        <v>45833</v>
      </c>
    </row>
    <row r="1415" spans="1:7" ht="36.5" hidden="1" x14ac:dyDescent="0.35">
      <c r="A1415" s="8">
        <v>8954</v>
      </c>
      <c r="B1415" s="10" t="s">
        <v>3976</v>
      </c>
      <c r="C1415" s="10" t="s">
        <v>395</v>
      </c>
      <c r="D1415" s="9" t="s">
        <v>95</v>
      </c>
      <c r="E1415" s="9" t="s">
        <v>1914</v>
      </c>
      <c r="F1415" s="10" t="s">
        <v>2530</v>
      </c>
      <c r="G1415" s="11">
        <v>45833</v>
      </c>
    </row>
    <row r="1416" spans="1:7" ht="36.5" hidden="1" x14ac:dyDescent="0.35">
      <c r="A1416" s="8">
        <v>8957</v>
      </c>
      <c r="B1416" s="10" t="s">
        <v>3977</v>
      </c>
      <c r="C1416" s="10" t="s">
        <v>234</v>
      </c>
      <c r="D1416" s="9" t="s">
        <v>95</v>
      </c>
      <c r="E1416" s="9" t="s">
        <v>1316</v>
      </c>
      <c r="F1416" s="10" t="s">
        <v>2522</v>
      </c>
      <c r="G1416" s="11">
        <v>45833</v>
      </c>
    </row>
    <row r="1417" spans="1:7" ht="60.5" hidden="1" x14ac:dyDescent="0.35">
      <c r="A1417" s="8">
        <v>8956</v>
      </c>
      <c r="B1417" s="10" t="s">
        <v>3978</v>
      </c>
      <c r="C1417" s="10" t="s">
        <v>234</v>
      </c>
      <c r="D1417" s="9" t="s">
        <v>95</v>
      </c>
      <c r="E1417" s="9" t="s">
        <v>1316</v>
      </c>
      <c r="F1417" s="10" t="s">
        <v>2559</v>
      </c>
      <c r="G1417" s="11">
        <v>45833</v>
      </c>
    </row>
    <row r="1418" spans="1:7" ht="24.5" hidden="1" x14ac:dyDescent="0.35">
      <c r="A1418" s="8">
        <v>8965</v>
      </c>
      <c r="B1418" s="10" t="s">
        <v>3979</v>
      </c>
      <c r="C1418" s="10" t="s">
        <v>104</v>
      </c>
      <c r="D1418" s="9" t="s">
        <v>104</v>
      </c>
      <c r="E1418" s="9" t="s">
        <v>107</v>
      </c>
      <c r="F1418" s="10" t="s">
        <v>2522</v>
      </c>
      <c r="G1418" s="11">
        <v>45834</v>
      </c>
    </row>
    <row r="1419" spans="1:7" ht="36.5" hidden="1" x14ac:dyDescent="0.35">
      <c r="A1419" s="8">
        <v>8964</v>
      </c>
      <c r="B1419" s="10" t="s">
        <v>3980</v>
      </c>
      <c r="C1419" s="10" t="s">
        <v>96</v>
      </c>
      <c r="D1419" s="9" t="s">
        <v>96</v>
      </c>
      <c r="E1419" s="9" t="s">
        <v>1065</v>
      </c>
      <c r="F1419" s="10" t="s">
        <v>2516</v>
      </c>
      <c r="G1419" s="11">
        <v>45834</v>
      </c>
    </row>
    <row r="1420" spans="1:7" ht="36.5" hidden="1" x14ac:dyDescent="0.35">
      <c r="A1420" s="8">
        <v>8968</v>
      </c>
      <c r="B1420" s="10" t="s">
        <v>3981</v>
      </c>
      <c r="C1420" s="10" t="s">
        <v>26</v>
      </c>
      <c r="D1420" s="9" t="s">
        <v>26</v>
      </c>
      <c r="E1420" s="9" t="s">
        <v>1525</v>
      </c>
      <c r="F1420" s="10" t="s">
        <v>2516</v>
      </c>
      <c r="G1420" s="11">
        <v>45834</v>
      </c>
    </row>
    <row r="1421" spans="1:7" ht="24.5" hidden="1" x14ac:dyDescent="0.35">
      <c r="A1421" s="8">
        <v>8969</v>
      </c>
      <c r="B1421" s="10" t="s">
        <v>3982</v>
      </c>
      <c r="C1421" s="10" t="s">
        <v>34</v>
      </c>
      <c r="D1421" s="9" t="s">
        <v>34</v>
      </c>
      <c r="E1421" s="9" t="s">
        <v>1525</v>
      </c>
      <c r="F1421" s="10" t="s">
        <v>2522</v>
      </c>
      <c r="G1421" s="11">
        <v>45834</v>
      </c>
    </row>
    <row r="1422" spans="1:7" ht="48.5" hidden="1" x14ac:dyDescent="0.35">
      <c r="A1422" s="8">
        <v>8970</v>
      </c>
      <c r="B1422" s="10" t="s">
        <v>3983</v>
      </c>
      <c r="C1422" s="10" t="s">
        <v>395</v>
      </c>
      <c r="D1422" s="9" t="s">
        <v>395</v>
      </c>
      <c r="E1422" s="9" t="s">
        <v>2440</v>
      </c>
      <c r="F1422" s="10" t="s">
        <v>2516</v>
      </c>
      <c r="G1422" s="11">
        <v>45834</v>
      </c>
    </row>
    <row r="1423" spans="1:7" ht="48.5" hidden="1" x14ac:dyDescent="0.35">
      <c r="A1423" s="8">
        <v>8971</v>
      </c>
      <c r="B1423" s="10" t="s">
        <v>3984</v>
      </c>
      <c r="C1423" s="10" t="s">
        <v>395</v>
      </c>
      <c r="D1423" s="9" t="s">
        <v>395</v>
      </c>
      <c r="E1423" s="9" t="s">
        <v>2440</v>
      </c>
      <c r="F1423" s="10" t="s">
        <v>2516</v>
      </c>
      <c r="G1423" s="11">
        <v>45834</v>
      </c>
    </row>
    <row r="1424" spans="1:7" ht="48.5" hidden="1" x14ac:dyDescent="0.35">
      <c r="A1424" s="8">
        <v>8972</v>
      </c>
      <c r="B1424" s="10" t="s">
        <v>3985</v>
      </c>
      <c r="C1424" s="10" t="s">
        <v>395</v>
      </c>
      <c r="D1424" s="9" t="s">
        <v>395</v>
      </c>
      <c r="E1424" s="9" t="s">
        <v>2440</v>
      </c>
      <c r="F1424" s="10" t="s">
        <v>2516</v>
      </c>
      <c r="G1424" s="11">
        <v>45834</v>
      </c>
    </row>
    <row r="1425" spans="1:7" ht="36.5" hidden="1" x14ac:dyDescent="0.35">
      <c r="A1425" s="8">
        <v>8973</v>
      </c>
      <c r="B1425" s="10" t="s">
        <v>3986</v>
      </c>
      <c r="C1425" s="10" t="s">
        <v>250</v>
      </c>
      <c r="D1425" s="9" t="s">
        <v>395</v>
      </c>
      <c r="E1425" s="9" t="s">
        <v>2440</v>
      </c>
      <c r="F1425" s="10" t="s">
        <v>2522</v>
      </c>
      <c r="G1425" s="11">
        <v>45834</v>
      </c>
    </row>
    <row r="1426" spans="1:7" ht="48.5" hidden="1" x14ac:dyDescent="0.35">
      <c r="A1426" s="8">
        <v>8974</v>
      </c>
      <c r="B1426" s="10" t="s">
        <v>3987</v>
      </c>
      <c r="C1426" s="10" t="s">
        <v>395</v>
      </c>
      <c r="D1426" s="9" t="s">
        <v>395</v>
      </c>
      <c r="E1426" s="9" t="s">
        <v>2440</v>
      </c>
      <c r="F1426" s="10" t="s">
        <v>2522</v>
      </c>
      <c r="G1426" s="11">
        <v>45834</v>
      </c>
    </row>
    <row r="1427" spans="1:7" ht="24.5" hidden="1" x14ac:dyDescent="0.35">
      <c r="A1427" s="8">
        <v>8975</v>
      </c>
      <c r="B1427" s="10" t="s">
        <v>3127</v>
      </c>
      <c r="C1427" s="10" t="s">
        <v>196</v>
      </c>
      <c r="D1427" s="9" t="s">
        <v>196</v>
      </c>
      <c r="E1427" s="9" t="s">
        <v>595</v>
      </c>
      <c r="F1427" s="10" t="s">
        <v>2537</v>
      </c>
      <c r="G1427" s="11">
        <v>45835</v>
      </c>
    </row>
    <row r="1428" spans="1:7" ht="36.5" hidden="1" x14ac:dyDescent="0.35">
      <c r="A1428" s="8">
        <v>8977</v>
      </c>
      <c r="B1428" s="10" t="s">
        <v>3988</v>
      </c>
      <c r="C1428" s="10" t="s">
        <v>371</v>
      </c>
      <c r="D1428" s="9" t="s">
        <v>395</v>
      </c>
      <c r="E1428" s="9" t="s">
        <v>1926</v>
      </c>
      <c r="F1428" s="10" t="s">
        <v>2530</v>
      </c>
      <c r="G1428" s="11">
        <v>45835</v>
      </c>
    </row>
    <row r="1429" spans="1:7" ht="36.5" hidden="1" x14ac:dyDescent="0.35">
      <c r="A1429" s="8">
        <v>8980</v>
      </c>
      <c r="B1429" s="10" t="s">
        <v>3989</v>
      </c>
      <c r="C1429" s="10" t="s">
        <v>278</v>
      </c>
      <c r="D1429" s="9" t="s">
        <v>278</v>
      </c>
      <c r="E1429" s="9" t="s">
        <v>1805</v>
      </c>
      <c r="F1429" s="10" t="s">
        <v>2516</v>
      </c>
      <c r="G1429" s="11">
        <v>45834</v>
      </c>
    </row>
    <row r="1430" spans="1:7" ht="36.5" hidden="1" x14ac:dyDescent="0.35">
      <c r="A1430" s="8">
        <v>8978</v>
      </c>
      <c r="B1430" s="10" t="s">
        <v>3990</v>
      </c>
      <c r="C1430" s="10" t="s">
        <v>96</v>
      </c>
      <c r="D1430" s="9" t="s">
        <v>96</v>
      </c>
      <c r="E1430" s="9" t="s">
        <v>1179</v>
      </c>
      <c r="F1430" s="10" t="s">
        <v>2522</v>
      </c>
      <c r="G1430" s="11">
        <v>45835</v>
      </c>
    </row>
    <row r="1431" spans="1:7" ht="24.5" hidden="1" x14ac:dyDescent="0.35">
      <c r="A1431" s="8">
        <v>8981</v>
      </c>
      <c r="B1431" s="10" t="s">
        <v>3991</v>
      </c>
      <c r="C1431" s="10" t="s">
        <v>96</v>
      </c>
      <c r="D1431" s="9" t="s">
        <v>95</v>
      </c>
      <c r="E1431" s="9" t="s">
        <v>3829</v>
      </c>
      <c r="F1431" s="10" t="s">
        <v>2537</v>
      </c>
      <c r="G1431" s="11">
        <v>45834</v>
      </c>
    </row>
    <row r="1432" spans="1:7" ht="24.5" hidden="1" x14ac:dyDescent="0.35">
      <c r="A1432" s="8">
        <v>8983</v>
      </c>
      <c r="B1432" s="10" t="s">
        <v>3992</v>
      </c>
      <c r="C1432" s="10" t="s">
        <v>13</v>
      </c>
      <c r="D1432" s="9" t="s">
        <v>13</v>
      </c>
      <c r="E1432" s="9" t="s">
        <v>1484</v>
      </c>
      <c r="F1432" s="10" t="s">
        <v>2522</v>
      </c>
      <c r="G1432" s="11">
        <v>45835</v>
      </c>
    </row>
    <row r="1433" spans="1:7" ht="24.5" hidden="1" x14ac:dyDescent="0.35">
      <c r="A1433" s="8">
        <v>8982</v>
      </c>
      <c r="B1433" s="10" t="s">
        <v>3993</v>
      </c>
      <c r="C1433" s="10" t="s">
        <v>250</v>
      </c>
      <c r="D1433" s="9" t="s">
        <v>250</v>
      </c>
      <c r="E1433" s="9" t="s">
        <v>1037</v>
      </c>
      <c r="F1433" s="10" t="s">
        <v>2834</v>
      </c>
      <c r="G1433" s="11">
        <v>45834</v>
      </c>
    </row>
    <row r="1434" spans="1:7" ht="36.5" hidden="1" x14ac:dyDescent="0.35">
      <c r="A1434" s="8">
        <v>8979</v>
      </c>
      <c r="B1434" s="10" t="s">
        <v>3994</v>
      </c>
      <c r="C1434" s="10" t="s">
        <v>21</v>
      </c>
      <c r="D1434" s="9" t="s">
        <v>21</v>
      </c>
      <c r="E1434" s="9" t="s">
        <v>1484</v>
      </c>
      <c r="F1434" s="10" t="s">
        <v>2540</v>
      </c>
      <c r="G1434" s="11">
        <v>45835</v>
      </c>
    </row>
    <row r="1435" spans="1:7" ht="24.5" hidden="1" x14ac:dyDescent="0.35">
      <c r="A1435" s="8">
        <v>8984</v>
      </c>
      <c r="B1435" s="10" t="s">
        <v>3995</v>
      </c>
      <c r="C1435" s="10" t="s">
        <v>196</v>
      </c>
      <c r="D1435" s="9" t="s">
        <v>196</v>
      </c>
      <c r="E1435" s="9" t="s">
        <v>595</v>
      </c>
      <c r="F1435" s="10" t="s">
        <v>2537</v>
      </c>
      <c r="G1435" s="11">
        <v>45835</v>
      </c>
    </row>
    <row r="1436" spans="1:7" ht="36.5" hidden="1" x14ac:dyDescent="0.35">
      <c r="A1436" s="8">
        <v>8986</v>
      </c>
      <c r="B1436" s="10" t="s">
        <v>3996</v>
      </c>
      <c r="C1436" s="10" t="s">
        <v>21</v>
      </c>
      <c r="D1436" s="9" t="s">
        <v>395</v>
      </c>
      <c r="E1436" s="9" t="s">
        <v>394</v>
      </c>
      <c r="F1436" s="10" t="s">
        <v>2522</v>
      </c>
      <c r="G1436" s="11">
        <v>45835</v>
      </c>
    </row>
    <row r="1437" spans="1:7" ht="36.5" hidden="1" x14ac:dyDescent="0.35">
      <c r="A1437" s="8">
        <v>8985</v>
      </c>
      <c r="B1437" s="10" t="s">
        <v>3997</v>
      </c>
      <c r="C1437" s="10" t="s">
        <v>134</v>
      </c>
      <c r="D1437" s="9" t="s">
        <v>395</v>
      </c>
      <c r="E1437" s="9" t="s">
        <v>394</v>
      </c>
      <c r="F1437" s="10" t="s">
        <v>2522</v>
      </c>
      <c r="G1437" s="11">
        <v>45835</v>
      </c>
    </row>
    <row r="1438" spans="1:7" ht="48.5" hidden="1" x14ac:dyDescent="0.35">
      <c r="A1438" s="8">
        <v>8989</v>
      </c>
      <c r="B1438" s="10" t="s">
        <v>3998</v>
      </c>
      <c r="C1438" s="10" t="s">
        <v>395</v>
      </c>
      <c r="D1438" s="9" t="s">
        <v>395</v>
      </c>
      <c r="E1438" s="9" t="s">
        <v>2440</v>
      </c>
      <c r="F1438" s="10" t="s">
        <v>2715</v>
      </c>
      <c r="G1438" s="11">
        <v>45835</v>
      </c>
    </row>
    <row r="1439" spans="1:7" ht="36.5" hidden="1" x14ac:dyDescent="0.35">
      <c r="A1439" s="8">
        <v>8995</v>
      </c>
      <c r="B1439" s="10" t="s">
        <v>3999</v>
      </c>
      <c r="C1439" s="10" t="s">
        <v>34</v>
      </c>
      <c r="D1439" s="9" t="s">
        <v>395</v>
      </c>
      <c r="E1439" s="9" t="s">
        <v>3628</v>
      </c>
      <c r="F1439" s="10" t="s">
        <v>2516</v>
      </c>
      <c r="G1439" s="11">
        <v>45835</v>
      </c>
    </row>
    <row r="1440" spans="1:7" ht="36.5" hidden="1" x14ac:dyDescent="0.35">
      <c r="A1440" s="8">
        <v>8996</v>
      </c>
      <c r="B1440" s="10" t="s">
        <v>4000</v>
      </c>
      <c r="C1440" s="10" t="s">
        <v>250</v>
      </c>
      <c r="D1440" s="9" t="s">
        <v>395</v>
      </c>
      <c r="E1440" s="9" t="s">
        <v>3628</v>
      </c>
      <c r="F1440" s="10" t="s">
        <v>2516</v>
      </c>
      <c r="G1440" s="11">
        <v>45835</v>
      </c>
    </row>
    <row r="1441" spans="1:7" ht="36.5" hidden="1" x14ac:dyDescent="0.35">
      <c r="A1441" s="8">
        <v>8997</v>
      </c>
      <c r="B1441" s="10" t="s">
        <v>4001</v>
      </c>
      <c r="C1441" s="10" t="s">
        <v>395</v>
      </c>
      <c r="D1441" s="9" t="s">
        <v>395</v>
      </c>
      <c r="E1441" s="9" t="s">
        <v>3628</v>
      </c>
      <c r="F1441" s="10" t="s">
        <v>2715</v>
      </c>
      <c r="G1441" s="11">
        <v>45835</v>
      </c>
    </row>
    <row r="1442" spans="1:7" ht="48.5" hidden="1" x14ac:dyDescent="0.35">
      <c r="A1442" s="8">
        <v>8999</v>
      </c>
      <c r="B1442" s="10" t="s">
        <v>4002</v>
      </c>
      <c r="C1442" s="10" t="s">
        <v>220</v>
      </c>
      <c r="D1442" s="9" t="s">
        <v>95</v>
      </c>
      <c r="E1442" s="9" t="s">
        <v>1872</v>
      </c>
      <c r="F1442" s="10" t="s">
        <v>2516</v>
      </c>
      <c r="G1442" s="11">
        <v>45835</v>
      </c>
    </row>
    <row r="1443" spans="1:7" ht="36.5" hidden="1" x14ac:dyDescent="0.35">
      <c r="A1443" s="8">
        <v>9000</v>
      </c>
      <c r="B1443" s="10" t="s">
        <v>4003</v>
      </c>
      <c r="C1443" s="10" t="s">
        <v>104</v>
      </c>
      <c r="D1443" s="9" t="s">
        <v>95</v>
      </c>
      <c r="E1443" s="9" t="s">
        <v>1147</v>
      </c>
      <c r="F1443" s="10" t="s">
        <v>2522</v>
      </c>
      <c r="G1443" s="11">
        <v>45837</v>
      </c>
    </row>
    <row r="1444" spans="1:7" ht="48.5" hidden="1" x14ac:dyDescent="0.35">
      <c r="A1444" s="8">
        <v>9001</v>
      </c>
      <c r="B1444" s="10" t="s">
        <v>4004</v>
      </c>
      <c r="C1444" s="10" t="s">
        <v>96</v>
      </c>
      <c r="D1444" s="9" t="s">
        <v>95</v>
      </c>
      <c r="E1444" s="9" t="s">
        <v>1147</v>
      </c>
      <c r="F1444" s="10" t="s">
        <v>2559</v>
      </c>
      <c r="G1444" s="11">
        <v>45835</v>
      </c>
    </row>
    <row r="1445" spans="1:7" ht="48.5" hidden="1" x14ac:dyDescent="0.35">
      <c r="A1445" s="8">
        <v>9002</v>
      </c>
      <c r="B1445" s="10" t="s">
        <v>4005</v>
      </c>
      <c r="C1445" s="10" t="s">
        <v>96</v>
      </c>
      <c r="D1445" s="9" t="s">
        <v>95</v>
      </c>
      <c r="E1445" s="9" t="s">
        <v>1147</v>
      </c>
      <c r="F1445" s="10" t="s">
        <v>2559</v>
      </c>
      <c r="G1445" s="11">
        <v>45835</v>
      </c>
    </row>
    <row r="1446" spans="1:7" ht="48.5" hidden="1" x14ac:dyDescent="0.35">
      <c r="A1446" s="8">
        <v>9005</v>
      </c>
      <c r="B1446" s="10" t="s">
        <v>4006</v>
      </c>
      <c r="C1446" s="10" t="s">
        <v>104</v>
      </c>
      <c r="D1446" s="9" t="s">
        <v>95</v>
      </c>
      <c r="E1446" s="9" t="s">
        <v>1092</v>
      </c>
      <c r="F1446" s="10" t="s">
        <v>2522</v>
      </c>
      <c r="G1446" s="11">
        <v>45838</v>
      </c>
    </row>
    <row r="1447" spans="1:7" ht="36.5" hidden="1" x14ac:dyDescent="0.35">
      <c r="A1447" s="8">
        <v>9017</v>
      </c>
      <c r="B1447" s="10" t="s">
        <v>4007</v>
      </c>
      <c r="C1447" s="10" t="s">
        <v>26</v>
      </c>
      <c r="D1447" s="9" t="s">
        <v>34</v>
      </c>
      <c r="E1447" s="9" t="s">
        <v>1525</v>
      </c>
      <c r="F1447" s="10" t="s">
        <v>2572</v>
      </c>
      <c r="G1447" s="11">
        <v>45835</v>
      </c>
    </row>
    <row r="1448" spans="1:7" ht="48.5" hidden="1" x14ac:dyDescent="0.35">
      <c r="A1448" s="8">
        <v>9016</v>
      </c>
      <c r="B1448" s="10" t="s">
        <v>4008</v>
      </c>
      <c r="C1448" s="10" t="s">
        <v>26</v>
      </c>
      <c r="D1448" s="9" t="s">
        <v>26</v>
      </c>
      <c r="E1448" s="9" t="s">
        <v>1525</v>
      </c>
      <c r="F1448" s="10" t="s">
        <v>2559</v>
      </c>
      <c r="G1448" s="11">
        <v>45835</v>
      </c>
    </row>
    <row r="1449" spans="1:7" ht="48.5" hidden="1" x14ac:dyDescent="0.35">
      <c r="A1449" s="8">
        <v>8650</v>
      </c>
      <c r="B1449" s="10" t="s">
        <v>4009</v>
      </c>
      <c r="C1449" s="10" t="s">
        <v>4010</v>
      </c>
      <c r="D1449" s="9" t="s">
        <v>4010</v>
      </c>
      <c r="E1449" s="9" t="s">
        <v>1037</v>
      </c>
      <c r="F1449" s="10" t="s">
        <v>2559</v>
      </c>
      <c r="G1449" s="11">
        <v>45810</v>
      </c>
    </row>
    <row r="1450" spans="1:7" ht="48.5" hidden="1" x14ac:dyDescent="0.35">
      <c r="A1450" s="8">
        <v>8697</v>
      </c>
      <c r="B1450" s="10" t="s">
        <v>4011</v>
      </c>
      <c r="C1450" s="10" t="s">
        <v>4010</v>
      </c>
      <c r="D1450" s="9" t="s">
        <v>4010</v>
      </c>
      <c r="E1450" s="9" t="s">
        <v>1484</v>
      </c>
      <c r="F1450" s="10" t="s">
        <v>2559</v>
      </c>
      <c r="G1450" s="11">
        <v>45812</v>
      </c>
    </row>
    <row r="1451" spans="1:7" ht="48.5" hidden="1" x14ac:dyDescent="0.35">
      <c r="A1451" s="8">
        <v>8741</v>
      </c>
      <c r="B1451" s="10" t="s">
        <v>4012</v>
      </c>
      <c r="C1451" s="10" t="s">
        <v>4010</v>
      </c>
      <c r="D1451" s="9" t="s">
        <v>4010</v>
      </c>
      <c r="E1451" s="9" t="s">
        <v>2845</v>
      </c>
      <c r="F1451" s="10" t="s">
        <v>2559</v>
      </c>
      <c r="G1451" s="11">
        <v>45813</v>
      </c>
    </row>
    <row r="1452" spans="1:7" ht="48.5" hidden="1" x14ac:dyDescent="0.35">
      <c r="A1452" s="8">
        <v>8742</v>
      </c>
      <c r="B1452" s="10" t="s">
        <v>4013</v>
      </c>
      <c r="C1452" s="10" t="s">
        <v>4010</v>
      </c>
      <c r="D1452" s="9" t="s">
        <v>4010</v>
      </c>
      <c r="E1452" s="9" t="s">
        <v>633</v>
      </c>
      <c r="F1452" s="10" t="s">
        <v>2559</v>
      </c>
      <c r="G1452" s="11">
        <v>45814</v>
      </c>
    </row>
    <row r="1453" spans="1:7" ht="48.5" hidden="1" x14ac:dyDescent="0.35">
      <c r="A1453" s="8">
        <v>8745</v>
      </c>
      <c r="B1453" s="10" t="s">
        <v>4014</v>
      </c>
      <c r="C1453" s="10" t="s">
        <v>4010</v>
      </c>
      <c r="D1453" s="9" t="s">
        <v>4010</v>
      </c>
      <c r="E1453" s="9" t="s">
        <v>633</v>
      </c>
      <c r="F1453" s="10" t="s">
        <v>2559</v>
      </c>
      <c r="G1453" s="11">
        <v>45818</v>
      </c>
    </row>
    <row r="1454" spans="1:7" ht="48.5" hidden="1" x14ac:dyDescent="0.35">
      <c r="A1454" s="8">
        <v>8826</v>
      </c>
      <c r="B1454" s="10" t="s">
        <v>4015</v>
      </c>
      <c r="C1454" s="10" t="s">
        <v>4010</v>
      </c>
      <c r="D1454" s="9" t="s">
        <v>4010</v>
      </c>
      <c r="E1454" s="9" t="s">
        <v>762</v>
      </c>
      <c r="F1454" s="10" t="s">
        <v>2559</v>
      </c>
      <c r="G1454" s="11">
        <v>45820</v>
      </c>
    </row>
    <row r="1455" spans="1:7" ht="48.5" hidden="1" x14ac:dyDescent="0.35">
      <c r="A1455" s="8">
        <v>8862</v>
      </c>
      <c r="B1455" s="10" t="s">
        <v>4016</v>
      </c>
      <c r="C1455" s="10" t="s">
        <v>4010</v>
      </c>
      <c r="D1455" s="9" t="s">
        <v>4010</v>
      </c>
      <c r="E1455" s="9" t="s">
        <v>1037</v>
      </c>
      <c r="F1455" s="10" t="s">
        <v>2559</v>
      </c>
      <c r="G1455" s="11">
        <v>45826</v>
      </c>
    </row>
    <row r="1456" spans="1:7" ht="24.5" hidden="1" x14ac:dyDescent="0.35">
      <c r="A1456" s="8">
        <v>9010</v>
      </c>
      <c r="B1456" s="10" t="s">
        <v>4017</v>
      </c>
      <c r="C1456" s="10" t="s">
        <v>95</v>
      </c>
      <c r="D1456" s="9" t="s">
        <v>95</v>
      </c>
      <c r="E1456" s="9" t="str">
        <f>_xlfn.TEXTAFTER(Condiciones_acumuladas[[#This Row],[Descripción]], " ", -2)</f>
        <v>Gerson Castañeda</v>
      </c>
      <c r="F1456" s="10" t="s">
        <v>2834</v>
      </c>
      <c r="G1456" s="11">
        <v>45839</v>
      </c>
    </row>
    <row r="1457" spans="1:7" ht="36.5" hidden="1" x14ac:dyDescent="0.35">
      <c r="A1457" s="8">
        <v>9031</v>
      </c>
      <c r="B1457" s="10" t="s">
        <v>4018</v>
      </c>
      <c r="C1457" s="10" t="s">
        <v>104</v>
      </c>
      <c r="D1457" s="9" t="s">
        <v>104</v>
      </c>
      <c r="E1457" s="9" t="str">
        <f>_xlfn.TEXTAFTER(Condiciones_acumuladas[[#This Row],[Descripción]], " ", -2)</f>
        <v>Alfonso Guatzin</v>
      </c>
      <c r="F1457" s="10" t="s">
        <v>2572</v>
      </c>
      <c r="G1457" s="11">
        <v>45839</v>
      </c>
    </row>
    <row r="1458" spans="1:7" ht="24.5" hidden="1" x14ac:dyDescent="0.35">
      <c r="A1458" s="8">
        <v>9032</v>
      </c>
      <c r="B1458" s="10" t="s">
        <v>4019</v>
      </c>
      <c r="C1458" s="10" t="s">
        <v>96</v>
      </c>
      <c r="D1458" s="9" t="s">
        <v>96</v>
      </c>
      <c r="E1458" s="9" t="str">
        <f>_xlfn.TEXTAFTER(Condiciones_acumuladas[[#This Row],[Descripción]], " ", -2)</f>
        <v>Jimmy Velasquez</v>
      </c>
      <c r="F1458" s="10" t="s">
        <v>2540</v>
      </c>
      <c r="G1458" s="11">
        <v>45839</v>
      </c>
    </row>
    <row r="1459" spans="1:7" ht="36.5" hidden="1" x14ac:dyDescent="0.35">
      <c r="A1459" s="8">
        <v>9033</v>
      </c>
      <c r="B1459" s="10" t="s">
        <v>4020</v>
      </c>
      <c r="C1459" s="10" t="s">
        <v>937</v>
      </c>
      <c r="D1459" s="9" t="s">
        <v>371</v>
      </c>
      <c r="E1459" s="9" t="str">
        <f>_xlfn.TEXTAFTER(Condiciones_acumuladas[[#This Row],[Descripción]], " ", -2)</f>
        <v>Vinicio Mendoza</v>
      </c>
      <c r="F1459" s="10" t="s">
        <v>2516</v>
      </c>
      <c r="G1459" s="11">
        <v>45839</v>
      </c>
    </row>
    <row r="1460" spans="1:7" ht="36.5" hidden="1" x14ac:dyDescent="0.35">
      <c r="A1460" s="8">
        <v>9043</v>
      </c>
      <c r="B1460" s="10" t="s">
        <v>4021</v>
      </c>
      <c r="C1460" s="10" t="s">
        <v>96</v>
      </c>
      <c r="D1460" s="9" t="s">
        <v>395</v>
      </c>
      <c r="E1460" s="9" t="str">
        <f>_xlfn.TEXTAFTER(Condiciones_acumuladas[[#This Row],[Descripción]], " ", -2)</f>
        <v>Karla Hintz</v>
      </c>
      <c r="F1460" s="10" t="s">
        <v>2525</v>
      </c>
      <c r="G1460" s="11">
        <v>45840</v>
      </c>
    </row>
    <row r="1461" spans="1:7" ht="36.5" hidden="1" x14ac:dyDescent="0.35">
      <c r="A1461" s="8">
        <v>9036</v>
      </c>
      <c r="B1461" s="10" t="s">
        <v>4022</v>
      </c>
      <c r="C1461" s="10" t="s">
        <v>104</v>
      </c>
      <c r="D1461" s="9" t="s">
        <v>104</v>
      </c>
      <c r="E1461" s="9" t="str">
        <f>_xlfn.TEXTAFTER(Condiciones_acumuladas[[#This Row],[Descripción]], " ", -2)</f>
        <v>Alfonso Guatzin</v>
      </c>
      <c r="F1461" s="10" t="s">
        <v>2516</v>
      </c>
      <c r="G1461" s="11">
        <v>45840</v>
      </c>
    </row>
    <row r="1462" spans="1:7" ht="36.5" hidden="1" x14ac:dyDescent="0.35">
      <c r="A1462" s="8">
        <v>9035</v>
      </c>
      <c r="B1462" s="10" t="s">
        <v>4023</v>
      </c>
      <c r="C1462" s="10" t="s">
        <v>96</v>
      </c>
      <c r="D1462" s="9" t="s">
        <v>96</v>
      </c>
      <c r="E1462" s="9" t="str">
        <f>_xlfn.TEXTAFTER(Condiciones_acumuladas[[#This Row],[Descripción]], " ", -2)</f>
        <v>Bladimir López</v>
      </c>
      <c r="F1462" s="10" t="s">
        <v>2516</v>
      </c>
      <c r="G1462" s="11">
        <v>45840</v>
      </c>
    </row>
    <row r="1463" spans="1:7" ht="24.5" hidden="1" x14ac:dyDescent="0.35">
      <c r="A1463" s="8">
        <v>9044</v>
      </c>
      <c r="B1463" s="10" t="s">
        <v>4024</v>
      </c>
      <c r="C1463" s="10" t="s">
        <v>250</v>
      </c>
      <c r="D1463" s="9" t="s">
        <v>395</v>
      </c>
      <c r="E1463" s="9" t="str">
        <f>_xlfn.TEXTAFTER(Condiciones_acumuladas[[#This Row],[Descripción]], " ", -2)</f>
        <v>Josue Vasquez</v>
      </c>
      <c r="F1463" s="10" t="s">
        <v>2537</v>
      </c>
      <c r="G1463" s="11">
        <v>45840</v>
      </c>
    </row>
    <row r="1464" spans="1:7" ht="24.5" hidden="1" x14ac:dyDescent="0.35">
      <c r="A1464" s="8">
        <v>9038</v>
      </c>
      <c r="B1464" s="10" t="s">
        <v>4025</v>
      </c>
      <c r="C1464" s="10" t="s">
        <v>234</v>
      </c>
      <c r="D1464" s="9" t="s">
        <v>227</v>
      </c>
      <c r="E1464" s="9" t="str">
        <f>_xlfn.TEXTAFTER(Condiciones_acumuladas[[#This Row],[Descripción]], " ", -2)</f>
        <v>Astrid Macario</v>
      </c>
      <c r="F1464" s="10" t="s">
        <v>2522</v>
      </c>
      <c r="G1464" s="11">
        <v>45840</v>
      </c>
    </row>
    <row r="1465" spans="1:7" ht="36.5" hidden="1" x14ac:dyDescent="0.35">
      <c r="A1465" s="8">
        <v>9045</v>
      </c>
      <c r="B1465" s="10" t="s">
        <v>4026</v>
      </c>
      <c r="C1465" s="10" t="s">
        <v>250</v>
      </c>
      <c r="D1465" s="9" t="s">
        <v>395</v>
      </c>
      <c r="E1465" s="9" t="str">
        <f>_xlfn.TEXTAFTER(Condiciones_acumuladas[[#This Row],[Descripción]], " ", -2)</f>
        <v>Josue Vasquez</v>
      </c>
      <c r="F1465" s="10" t="s">
        <v>2540</v>
      </c>
      <c r="G1465" s="11">
        <v>45840</v>
      </c>
    </row>
    <row r="1466" spans="1:7" ht="36.5" hidden="1" x14ac:dyDescent="0.35">
      <c r="A1466" s="8">
        <v>9046</v>
      </c>
      <c r="B1466" s="10" t="s">
        <v>4027</v>
      </c>
      <c r="C1466" s="10" t="s">
        <v>134</v>
      </c>
      <c r="D1466" s="9" t="s">
        <v>95</v>
      </c>
      <c r="E1466" s="9" t="str">
        <f>_xlfn.TEXTAFTER(Condiciones_acumuladas[[#This Row],[Descripción]], " ", -2)</f>
        <v>Alejandro Martinez</v>
      </c>
      <c r="F1466" s="10" t="s">
        <v>2530</v>
      </c>
      <c r="G1466" s="11">
        <v>45840</v>
      </c>
    </row>
    <row r="1467" spans="1:7" ht="36.5" hidden="1" x14ac:dyDescent="0.35">
      <c r="A1467" s="8">
        <v>9042</v>
      </c>
      <c r="B1467" s="10" t="s">
        <v>4028</v>
      </c>
      <c r="C1467" s="10" t="s">
        <v>34</v>
      </c>
      <c r="D1467" s="9" t="s">
        <v>196</v>
      </c>
      <c r="E1467" s="9" t="str">
        <f>_xlfn.TEXTAFTER(Condiciones_acumuladas[[#This Row],[Descripción]], " ", -2)</f>
        <v>Jaime Chex</v>
      </c>
      <c r="F1467" s="10" t="s">
        <v>2516</v>
      </c>
      <c r="G1467" s="11">
        <v>45840</v>
      </c>
    </row>
    <row r="1468" spans="1:7" ht="36.5" hidden="1" x14ac:dyDescent="0.35">
      <c r="A1468" s="8">
        <v>9048</v>
      </c>
      <c r="B1468" s="10" t="s">
        <v>4029</v>
      </c>
      <c r="C1468" s="10" t="s">
        <v>395</v>
      </c>
      <c r="D1468" s="9" t="s">
        <v>96</v>
      </c>
      <c r="E1468" s="9" t="str">
        <f>_xlfn.TEXTAFTER(Condiciones_acumuladas[[#This Row],[Descripción]], " ", -2)</f>
        <v>Astrid Macario</v>
      </c>
      <c r="F1468" s="10" t="s">
        <v>2525</v>
      </c>
      <c r="G1468" s="11">
        <v>45840</v>
      </c>
    </row>
    <row r="1469" spans="1:7" ht="36.5" hidden="1" x14ac:dyDescent="0.35">
      <c r="A1469" s="8">
        <v>9047</v>
      </c>
      <c r="B1469" s="10" t="s">
        <v>4030</v>
      </c>
      <c r="C1469" s="10" t="s">
        <v>95</v>
      </c>
      <c r="D1469" s="9" t="s">
        <v>95</v>
      </c>
      <c r="E1469" s="9" t="str">
        <f>_xlfn.TEXTAFTER(Condiciones_acumuladas[[#This Row],[Descripción]], " ", -2)</f>
        <v>Alejandro Martinez</v>
      </c>
      <c r="F1469" s="10" t="s">
        <v>2530</v>
      </c>
      <c r="G1469" s="11">
        <v>45840</v>
      </c>
    </row>
    <row r="1470" spans="1:7" ht="36.5" hidden="1" x14ac:dyDescent="0.35">
      <c r="A1470" s="8">
        <v>9050</v>
      </c>
      <c r="B1470" s="10" t="s">
        <v>4031</v>
      </c>
      <c r="C1470" s="10" t="s">
        <v>13</v>
      </c>
      <c r="D1470" s="9" t="s">
        <v>395</v>
      </c>
      <c r="E1470" s="9" t="str">
        <f>_xlfn.TEXTAFTER(Condiciones_acumuladas[[#This Row],[Descripción]], " ", -2)</f>
        <v>Karla Hintz</v>
      </c>
      <c r="F1470" s="10" t="s">
        <v>2525</v>
      </c>
      <c r="G1470" s="11">
        <v>45840</v>
      </c>
    </row>
    <row r="1471" spans="1:7" ht="24.5" hidden="1" x14ac:dyDescent="0.35">
      <c r="A1471" s="8">
        <v>9049</v>
      </c>
      <c r="B1471" s="10" t="s">
        <v>4032</v>
      </c>
      <c r="C1471" s="10" t="s">
        <v>196</v>
      </c>
      <c r="D1471" s="9" t="s">
        <v>95</v>
      </c>
      <c r="E1471" s="9" t="str">
        <f>_xlfn.TEXTAFTER(Condiciones_acumuladas[[#This Row],[Descripción]], " ", -2)</f>
        <v>Alejandro Martinez</v>
      </c>
      <c r="F1471" s="10" t="s">
        <v>2537</v>
      </c>
      <c r="G1471" s="11">
        <v>45840</v>
      </c>
    </row>
    <row r="1472" spans="1:7" ht="24.5" hidden="1" x14ac:dyDescent="0.35">
      <c r="A1472" s="8">
        <v>9053</v>
      </c>
      <c r="B1472" s="10" t="s">
        <v>4033</v>
      </c>
      <c r="C1472" s="10" t="s">
        <v>21</v>
      </c>
      <c r="D1472" s="9" t="s">
        <v>395</v>
      </c>
      <c r="E1472" s="9" t="str">
        <f>_xlfn.TEXTAFTER(Condiciones_acumuladas[[#This Row],[Descripción]], " ", -2)</f>
        <v>Antony Ramos</v>
      </c>
      <c r="F1472" s="10" t="s">
        <v>2834</v>
      </c>
      <c r="G1472" s="11">
        <v>45840</v>
      </c>
    </row>
    <row r="1473" spans="1:7" ht="24.5" hidden="1" x14ac:dyDescent="0.35">
      <c r="A1473" s="8">
        <v>9051</v>
      </c>
      <c r="B1473" s="10" t="s">
        <v>4034</v>
      </c>
      <c r="C1473" s="10" t="s">
        <v>13</v>
      </c>
      <c r="D1473" s="9" t="s">
        <v>395</v>
      </c>
      <c r="E1473" s="9" t="str">
        <f>_xlfn.TEXTAFTER(Condiciones_acumuladas[[#This Row],[Descripción]], " ", -2)</f>
        <v>Karla Hintz</v>
      </c>
      <c r="F1473" s="10" t="s">
        <v>2540</v>
      </c>
      <c r="G1473" s="11">
        <v>45840</v>
      </c>
    </row>
    <row r="1474" spans="1:7" ht="24.5" hidden="1" x14ac:dyDescent="0.35">
      <c r="A1474" s="8">
        <v>9054</v>
      </c>
      <c r="B1474" s="10" t="s">
        <v>4035</v>
      </c>
      <c r="C1474" s="10" t="s">
        <v>96</v>
      </c>
      <c r="D1474" s="9" t="s">
        <v>96</v>
      </c>
      <c r="E1474" s="9" t="str">
        <f>_xlfn.TEXTAFTER(Condiciones_acumuladas[[#This Row],[Descripción]], " ", -2)</f>
        <v>Kelly Calderon</v>
      </c>
      <c r="F1474" s="10" t="s">
        <v>2537</v>
      </c>
      <c r="G1474" s="11">
        <v>45841</v>
      </c>
    </row>
    <row r="1475" spans="1:7" ht="36.5" hidden="1" x14ac:dyDescent="0.35">
      <c r="A1475" s="8">
        <v>9052</v>
      </c>
      <c r="B1475" s="10" t="s">
        <v>4036</v>
      </c>
      <c r="C1475" s="10" t="s">
        <v>234</v>
      </c>
      <c r="D1475" s="9" t="s">
        <v>193</v>
      </c>
      <c r="E1475" s="9" t="str">
        <f>_xlfn.TEXTAFTER(Condiciones_acumuladas[[#This Row],[Descripción]], " ", -2)</f>
        <v>Selvin Perez</v>
      </c>
      <c r="F1475" s="10" t="s">
        <v>2530</v>
      </c>
      <c r="G1475" s="11">
        <v>45840</v>
      </c>
    </row>
    <row r="1476" spans="1:7" ht="36.5" hidden="1" x14ac:dyDescent="0.35">
      <c r="A1476" s="8">
        <v>9055</v>
      </c>
      <c r="B1476" s="10" t="s">
        <v>4037</v>
      </c>
      <c r="C1476" s="10" t="s">
        <v>250</v>
      </c>
      <c r="D1476" s="9" t="s">
        <v>190</v>
      </c>
      <c r="E1476" s="9" t="str">
        <f>_xlfn.TEXTAFTER(Condiciones_acumuladas[[#This Row],[Descripción]], " ", -2)</f>
        <v>Elvis Oliva</v>
      </c>
      <c r="F1476" s="10" t="s">
        <v>2540</v>
      </c>
      <c r="G1476" s="11">
        <v>45841</v>
      </c>
    </row>
    <row r="1477" spans="1:7" ht="24.5" hidden="1" x14ac:dyDescent="0.35">
      <c r="A1477" s="8">
        <v>9057</v>
      </c>
      <c r="B1477" s="10" t="s">
        <v>4038</v>
      </c>
      <c r="C1477" s="10" t="s">
        <v>104</v>
      </c>
      <c r="D1477" s="9" t="s">
        <v>134</v>
      </c>
      <c r="E1477" s="9" t="str">
        <f>_xlfn.TEXTAFTER(Condiciones_acumuladas[[#This Row],[Descripción]], " ", -2)</f>
        <v>Gustavo Hernandez</v>
      </c>
      <c r="F1477" s="10" t="s">
        <v>2540</v>
      </c>
      <c r="G1477" s="11">
        <v>45842</v>
      </c>
    </row>
    <row r="1478" spans="1:7" ht="36.5" hidden="1" x14ac:dyDescent="0.35">
      <c r="A1478" s="8">
        <v>9056</v>
      </c>
      <c r="B1478" s="10" t="s">
        <v>4039</v>
      </c>
      <c r="C1478" s="10" t="s">
        <v>134</v>
      </c>
      <c r="D1478" s="9" t="s">
        <v>234</v>
      </c>
      <c r="E1478" s="9" t="str">
        <f>_xlfn.TEXTAFTER(Condiciones_acumuladas[[#This Row],[Descripción]], " ", -2)</f>
        <v>Amilcar Ralda</v>
      </c>
      <c r="F1478" s="10" t="s">
        <v>2530</v>
      </c>
      <c r="G1478" s="11">
        <v>45841</v>
      </c>
    </row>
    <row r="1479" spans="1:7" ht="24.5" hidden="1" x14ac:dyDescent="0.35">
      <c r="A1479" s="8">
        <v>9059</v>
      </c>
      <c r="B1479" s="10" t="s">
        <v>4040</v>
      </c>
      <c r="C1479" s="10" t="s">
        <v>134</v>
      </c>
      <c r="D1479" s="9" t="s">
        <v>134</v>
      </c>
      <c r="E1479" s="9" t="str">
        <f>_xlfn.TEXTAFTER(Condiciones_acumuladas[[#This Row],[Descripción]], " ", -2)</f>
        <v>Gustavo Hernandez</v>
      </c>
      <c r="F1479" s="10" t="s">
        <v>2522</v>
      </c>
      <c r="G1479" s="11">
        <v>45842</v>
      </c>
    </row>
    <row r="1480" spans="1:7" ht="24.5" hidden="1" x14ac:dyDescent="0.35">
      <c r="A1480" s="8">
        <v>9058</v>
      </c>
      <c r="B1480" s="10" t="s">
        <v>4041</v>
      </c>
      <c r="C1480" s="10" t="s">
        <v>134</v>
      </c>
      <c r="D1480" s="9" t="s">
        <v>134</v>
      </c>
      <c r="E1480" s="9" t="str">
        <f>_xlfn.TEXTAFTER(Condiciones_acumuladas[[#This Row],[Descripción]], " ", -2)</f>
        <v>Gustavo Hernandez</v>
      </c>
      <c r="F1480" s="10" t="s">
        <v>2522</v>
      </c>
      <c r="G1480" s="11">
        <v>45842</v>
      </c>
    </row>
    <row r="1481" spans="1:7" ht="24.5" hidden="1" x14ac:dyDescent="0.35">
      <c r="A1481" s="8">
        <v>9062</v>
      </c>
      <c r="B1481" s="10" t="s">
        <v>4042</v>
      </c>
      <c r="C1481" s="10" t="s">
        <v>96</v>
      </c>
      <c r="D1481" s="9" t="s">
        <v>96</v>
      </c>
      <c r="E1481" s="9" t="str">
        <f>_xlfn.TEXTAFTER(Condiciones_acumuladas[[#This Row],[Descripción]], " ", -2)</f>
        <v>Santos Hernandez</v>
      </c>
      <c r="F1481" s="10" t="s">
        <v>2522</v>
      </c>
      <c r="G1481" s="11">
        <v>45843</v>
      </c>
    </row>
    <row r="1482" spans="1:7" ht="48.5" hidden="1" x14ac:dyDescent="0.35">
      <c r="A1482" s="8">
        <v>9060</v>
      </c>
      <c r="B1482" s="10" t="s">
        <v>4043</v>
      </c>
      <c r="C1482" s="10" t="s">
        <v>96</v>
      </c>
      <c r="D1482" s="9" t="s">
        <v>96</v>
      </c>
      <c r="E1482" s="9" t="str">
        <f>_xlfn.TEXTAFTER(Condiciones_acumuladas[[#This Row],[Descripción]], " ", -2)</f>
        <v>Luis Perez</v>
      </c>
      <c r="F1482" s="10" t="s">
        <v>2559</v>
      </c>
      <c r="G1482" s="11">
        <v>45842</v>
      </c>
    </row>
    <row r="1483" spans="1:7" ht="24.5" hidden="1" x14ac:dyDescent="0.35">
      <c r="A1483" s="8">
        <v>9066</v>
      </c>
      <c r="B1483" s="10" t="s">
        <v>4044</v>
      </c>
      <c r="C1483" s="10" t="s">
        <v>220</v>
      </c>
      <c r="D1483" s="9" t="s">
        <v>278</v>
      </c>
      <c r="E1483" s="9" t="str">
        <f>_xlfn.TEXTAFTER(Condiciones_acumuladas[[#This Row],[Descripción]], " ", -2)</f>
        <v>Gover Sologaistoa</v>
      </c>
      <c r="F1483" s="10" t="s">
        <v>2834</v>
      </c>
      <c r="G1483" s="11">
        <v>45843</v>
      </c>
    </row>
    <row r="1484" spans="1:7" ht="24.5" hidden="1" x14ac:dyDescent="0.35">
      <c r="A1484" s="8">
        <v>9061</v>
      </c>
      <c r="B1484" s="10" t="s">
        <v>4045</v>
      </c>
      <c r="C1484" s="10" t="s">
        <v>96</v>
      </c>
      <c r="D1484" s="9" t="s">
        <v>96</v>
      </c>
      <c r="E1484" s="9" t="str">
        <f>_xlfn.TEXTAFTER(Condiciones_acumuladas[[#This Row],[Descripción]], " ", -2)</f>
        <v>Carlos Poz</v>
      </c>
      <c r="F1484" s="10" t="s">
        <v>2537</v>
      </c>
      <c r="G1484" s="11">
        <v>45842</v>
      </c>
    </row>
    <row r="1485" spans="1:7" ht="36.5" hidden="1" x14ac:dyDescent="0.35">
      <c r="A1485" s="8">
        <v>9063</v>
      </c>
      <c r="B1485" s="10" t="s">
        <v>4046</v>
      </c>
      <c r="C1485" s="10" t="s">
        <v>96</v>
      </c>
      <c r="D1485" s="9" t="s">
        <v>96</v>
      </c>
      <c r="E1485" s="9" t="str">
        <f>_xlfn.TEXTAFTER(Condiciones_acumuladas[[#This Row],[Descripción]], " ", -2)</f>
        <v>Santos Hernandez</v>
      </c>
      <c r="F1485" s="10" t="s">
        <v>2530</v>
      </c>
      <c r="G1485" s="11">
        <v>45843</v>
      </c>
    </row>
    <row r="1486" spans="1:7" ht="60.5" hidden="1" x14ac:dyDescent="0.35">
      <c r="A1486" s="8">
        <v>9064</v>
      </c>
      <c r="B1486" s="10" t="s">
        <v>4047</v>
      </c>
      <c r="C1486" s="10" t="s">
        <v>371</v>
      </c>
      <c r="D1486" s="9" t="s">
        <v>395</v>
      </c>
      <c r="E1486" s="9" t="str">
        <f>_xlfn.TEXTAFTER(Condiciones_acumuladas[[#This Row],[Descripción]], " ", -2)</f>
        <v>Antony Ramos</v>
      </c>
      <c r="F1486" s="10" t="s">
        <v>2516</v>
      </c>
      <c r="G1486" s="11">
        <v>45843</v>
      </c>
    </row>
    <row r="1487" spans="1:7" ht="24.5" hidden="1" x14ac:dyDescent="0.35">
      <c r="A1487" s="8">
        <v>9065</v>
      </c>
      <c r="B1487" s="10" t="s">
        <v>4048</v>
      </c>
      <c r="C1487" s="10" t="s">
        <v>96</v>
      </c>
      <c r="D1487" s="9" t="s">
        <v>96</v>
      </c>
      <c r="E1487" s="9" t="str">
        <f>_xlfn.TEXTAFTER(Condiciones_acumuladas[[#This Row],[Descripción]], " ", -2)</f>
        <v>Santos Hernandez</v>
      </c>
      <c r="F1487" s="10" t="s">
        <v>2537</v>
      </c>
      <c r="G1487" s="11">
        <v>45843</v>
      </c>
    </row>
    <row r="1488" spans="1:7" ht="36.5" hidden="1" x14ac:dyDescent="0.35">
      <c r="A1488" s="8">
        <v>9068</v>
      </c>
      <c r="B1488" s="10" t="s">
        <v>4049</v>
      </c>
      <c r="C1488" s="10" t="s">
        <v>196</v>
      </c>
      <c r="D1488" s="9" t="s">
        <v>395</v>
      </c>
      <c r="E1488" s="9" t="str">
        <f>_xlfn.TEXTAFTER(Condiciones_acumuladas[[#This Row],[Descripción]], " ", -2)</f>
        <v>Daniel Pineda</v>
      </c>
      <c r="F1488" s="10" t="s">
        <v>2540</v>
      </c>
      <c r="G1488" s="11">
        <v>45844</v>
      </c>
    </row>
    <row r="1489" spans="1:7" ht="36.5" hidden="1" x14ac:dyDescent="0.35">
      <c r="A1489" s="8">
        <v>9067</v>
      </c>
      <c r="B1489" s="10" t="s">
        <v>4050</v>
      </c>
      <c r="C1489" s="10" t="s">
        <v>134</v>
      </c>
      <c r="D1489" s="9" t="s">
        <v>95</v>
      </c>
      <c r="E1489" s="9" t="str">
        <f>_xlfn.TEXTAFTER(Condiciones_acumuladas[[#This Row],[Descripción]], " ", -2)</f>
        <v>Efrain Valux</v>
      </c>
      <c r="F1489" s="10" t="s">
        <v>2516</v>
      </c>
      <c r="G1489" s="11">
        <v>45844</v>
      </c>
    </row>
    <row r="1490" spans="1:7" ht="36.5" hidden="1" x14ac:dyDescent="0.35">
      <c r="A1490" s="8">
        <v>9069</v>
      </c>
      <c r="B1490" s="10" t="s">
        <v>4051</v>
      </c>
      <c r="C1490" s="10" t="s">
        <v>250</v>
      </c>
      <c r="D1490" s="9" t="s">
        <v>395</v>
      </c>
      <c r="E1490" s="9" t="str">
        <f>_xlfn.TEXTAFTER(Condiciones_acumuladas[[#This Row],[Descripción]], " ", -2)</f>
        <v>Daniel Pineda</v>
      </c>
      <c r="F1490" s="10" t="s">
        <v>2516</v>
      </c>
      <c r="G1490" s="11">
        <v>45844</v>
      </c>
    </row>
    <row r="1491" spans="1:7" ht="36.5" hidden="1" x14ac:dyDescent="0.35">
      <c r="A1491" s="8">
        <v>9070</v>
      </c>
      <c r="B1491" s="10" t="s">
        <v>4052</v>
      </c>
      <c r="C1491" s="10" t="s">
        <v>96</v>
      </c>
      <c r="D1491" s="9" t="s">
        <v>395</v>
      </c>
      <c r="E1491" s="9" t="str">
        <f>_xlfn.TEXTAFTER(Condiciones_acumuladas[[#This Row],[Descripción]], " ", -2)</f>
        <v>Daniel Pineda</v>
      </c>
      <c r="F1491" s="10" t="s">
        <v>2530</v>
      </c>
      <c r="G1491" s="11">
        <v>45844</v>
      </c>
    </row>
    <row r="1492" spans="1:7" ht="36.5" hidden="1" x14ac:dyDescent="0.35">
      <c r="A1492" s="8">
        <v>9014</v>
      </c>
      <c r="B1492" s="10" t="s">
        <v>4053</v>
      </c>
      <c r="C1492" s="10" t="s">
        <v>395</v>
      </c>
      <c r="D1492" s="9" t="s">
        <v>395</v>
      </c>
      <c r="E1492" s="9" t="str">
        <f>_xlfn.TEXTAFTER(Condiciones_acumuladas[[#This Row],[Descripción]], " ", -2)</f>
        <v>Daniel Pineda</v>
      </c>
      <c r="F1492" s="10" t="s">
        <v>2715</v>
      </c>
      <c r="G1492" s="11">
        <v>45839</v>
      </c>
    </row>
    <row r="1493" spans="1:7" ht="24.5" hidden="1" x14ac:dyDescent="0.35">
      <c r="A1493" s="8">
        <v>9034</v>
      </c>
      <c r="B1493" s="10" t="s">
        <v>4054</v>
      </c>
      <c r="C1493" s="10" t="s">
        <v>371</v>
      </c>
      <c r="D1493" s="9" t="s">
        <v>371</v>
      </c>
      <c r="E1493" s="9" t="str">
        <f>_xlfn.TEXTAFTER(Condiciones_acumuladas[[#This Row],[Descripción]], " ", -2)</f>
        <v>Josué Lepe</v>
      </c>
      <c r="F1493" s="10" t="s">
        <v>2522</v>
      </c>
      <c r="G1493" s="11">
        <v>45839</v>
      </c>
    </row>
    <row r="1494" spans="1:7" ht="24.5" hidden="1" x14ac:dyDescent="0.35">
      <c r="A1494" s="8">
        <v>9040</v>
      </c>
      <c r="B1494" s="10" t="s">
        <v>4055</v>
      </c>
      <c r="C1494" s="10" t="s">
        <v>34</v>
      </c>
      <c r="D1494" s="9" t="s">
        <v>196</v>
      </c>
      <c r="E1494" s="9" t="str">
        <f>_xlfn.TEXTAFTER(Condiciones_acumuladas[[#This Row],[Descripción]], " ", -2)</f>
        <v>Jaime Chex</v>
      </c>
      <c r="F1494" s="10" t="s">
        <v>2522</v>
      </c>
      <c r="G1494" s="11">
        <v>45840</v>
      </c>
    </row>
    <row r="1495" spans="1:7" ht="24.5" hidden="1" x14ac:dyDescent="0.35">
      <c r="A1495" s="8">
        <v>9041</v>
      </c>
      <c r="B1495" s="10" t="s">
        <v>4056</v>
      </c>
      <c r="C1495" s="10" t="s">
        <v>96</v>
      </c>
      <c r="D1495" s="9" t="s">
        <v>96</v>
      </c>
      <c r="E1495" s="9" t="str">
        <f>_xlfn.TEXTAFTER(Condiciones_acumuladas[[#This Row],[Descripción]], " ", -2)</f>
        <v>Luis Perez</v>
      </c>
      <c r="F1495" s="10" t="s">
        <v>2537</v>
      </c>
      <c r="G1495" s="11">
        <v>45840</v>
      </c>
    </row>
    <row r="1496" spans="1:7" ht="48.5" hidden="1" x14ac:dyDescent="0.35">
      <c r="A1496" s="8">
        <v>9030</v>
      </c>
      <c r="B1496" s="10" t="s">
        <v>4057</v>
      </c>
      <c r="C1496" s="10" t="s">
        <v>13</v>
      </c>
      <c r="D1496" s="9" t="s">
        <v>95</v>
      </c>
      <c r="E1496" s="9" t="str">
        <f>_xlfn.TEXTAFTER(Condiciones_acumuladas[[#This Row],[Descripción]], " ", -2)</f>
        <v>Leidy Camey</v>
      </c>
      <c r="F1496" s="10" t="s">
        <v>2559</v>
      </c>
      <c r="G1496" s="11">
        <v>45841</v>
      </c>
    </row>
    <row r="1497" spans="1:7" ht="24.5" hidden="1" x14ac:dyDescent="0.35">
      <c r="A1497" s="8">
        <v>9037</v>
      </c>
      <c r="B1497" s="10" t="s">
        <v>4058</v>
      </c>
      <c r="C1497" s="10" t="s">
        <v>220</v>
      </c>
      <c r="D1497" s="9" t="s">
        <v>220</v>
      </c>
      <c r="E1497" s="9" t="str">
        <f>_xlfn.TEXTAFTER(Condiciones_acumuladas[[#This Row],[Descripción]], " ", -2)</f>
        <v>Carlos Chavez</v>
      </c>
      <c r="F1497" s="10" t="s">
        <v>2522</v>
      </c>
      <c r="G1497" s="11">
        <v>45840</v>
      </c>
    </row>
    <row r="1498" spans="1:7" ht="24.5" hidden="1" x14ac:dyDescent="0.35">
      <c r="A1498" s="8">
        <v>9039</v>
      </c>
      <c r="B1498" s="10" t="s">
        <v>4059</v>
      </c>
      <c r="C1498" s="10" t="s">
        <v>96</v>
      </c>
      <c r="D1498" s="9" t="s">
        <v>96</v>
      </c>
      <c r="E1498" s="9" t="str">
        <f>_xlfn.TEXTAFTER(Condiciones_acumuladas[[#This Row],[Descripción]], " ", -2)</f>
        <v>Luis Perez</v>
      </c>
      <c r="F1498" s="10" t="s">
        <v>2537</v>
      </c>
      <c r="G1498" s="11">
        <v>45840</v>
      </c>
    </row>
    <row r="1499" spans="1:7" ht="36.5" hidden="1" x14ac:dyDescent="0.35">
      <c r="A1499" s="8">
        <v>9007</v>
      </c>
      <c r="B1499" s="10" t="s">
        <v>4060</v>
      </c>
      <c r="C1499" s="10" t="s">
        <v>190</v>
      </c>
      <c r="D1499" s="9" t="s">
        <v>220</v>
      </c>
      <c r="E1499" s="9" t="str">
        <f>_xlfn.TEXTAFTER(Condiciones_acumuladas[[#This Row],[Descripción]], " ", -2)</f>
        <v>Jorge Ixtacuy</v>
      </c>
      <c r="F1499" s="10" t="s">
        <v>2516</v>
      </c>
      <c r="G1499" s="11">
        <v>45839</v>
      </c>
    </row>
    <row r="1500" spans="1:7" ht="24.5" hidden="1" x14ac:dyDescent="0.35">
      <c r="A1500" s="8">
        <v>9074</v>
      </c>
      <c r="B1500" s="10" t="s">
        <v>4061</v>
      </c>
      <c r="C1500" s="10" t="s">
        <v>250</v>
      </c>
      <c r="D1500" s="9" t="s">
        <v>278</v>
      </c>
      <c r="E1500" s="9" t="str">
        <f>_xlfn.TEXTAFTER(Condiciones_acumuladas[[#This Row],[Descripción]], " ", -2)</f>
        <v>Fredy Fuentes</v>
      </c>
      <c r="F1500" s="10" t="s">
        <v>2522</v>
      </c>
      <c r="G1500" s="11">
        <v>45845</v>
      </c>
    </row>
    <row r="1501" spans="1:7" ht="24.5" hidden="1" x14ac:dyDescent="0.35">
      <c r="A1501" s="8">
        <v>9076</v>
      </c>
      <c r="B1501" s="10" t="s">
        <v>4062</v>
      </c>
      <c r="C1501" s="10" t="s">
        <v>96</v>
      </c>
      <c r="D1501" s="9" t="s">
        <v>96</v>
      </c>
      <c r="E1501" s="9" t="str">
        <f>_xlfn.TEXTAFTER(Condiciones_acumuladas[[#This Row],[Descripción]], " ", -2)</f>
        <v>Bladimir López</v>
      </c>
      <c r="F1501" s="10" t="s">
        <v>2537</v>
      </c>
      <c r="G1501" s="11">
        <v>45845</v>
      </c>
    </row>
    <row r="1502" spans="1:7" ht="36.5" hidden="1" x14ac:dyDescent="0.35">
      <c r="A1502" s="8">
        <v>9078</v>
      </c>
      <c r="B1502" s="10" t="s">
        <v>4063</v>
      </c>
      <c r="C1502" s="10" t="s">
        <v>34</v>
      </c>
      <c r="D1502" s="9" t="s">
        <v>395</v>
      </c>
      <c r="E1502" s="9" t="str">
        <f>_xlfn.TEXTAFTER(Condiciones_acumuladas[[#This Row],[Descripción]], " ", -2)</f>
        <v>Yessi Guarcas</v>
      </c>
      <c r="F1502" s="10" t="s">
        <v>2516</v>
      </c>
      <c r="G1502" s="11">
        <v>45845</v>
      </c>
    </row>
    <row r="1503" spans="1:7" ht="24.5" hidden="1" x14ac:dyDescent="0.35">
      <c r="A1503" s="8">
        <v>9080</v>
      </c>
      <c r="B1503" s="10" t="s">
        <v>4064</v>
      </c>
      <c r="C1503" s="10" t="s">
        <v>96</v>
      </c>
      <c r="D1503" s="9" t="s">
        <v>395</v>
      </c>
      <c r="E1503" s="9" t="str">
        <f>_xlfn.TEXTAFTER(Condiciones_acumuladas[[#This Row],[Descripción]], " ", -2)</f>
        <v>Abraham Tahual</v>
      </c>
      <c r="F1503" s="10" t="s">
        <v>2537</v>
      </c>
      <c r="G1503" s="11">
        <v>45845</v>
      </c>
    </row>
    <row r="1504" spans="1:7" ht="36.5" hidden="1" x14ac:dyDescent="0.35">
      <c r="A1504" s="8">
        <v>9077</v>
      </c>
      <c r="B1504" s="10" t="s">
        <v>4065</v>
      </c>
      <c r="C1504" s="10" t="s">
        <v>21</v>
      </c>
      <c r="D1504" s="9" t="s">
        <v>21</v>
      </c>
      <c r="E1504" s="9" t="str">
        <f>_xlfn.TEXTAFTER(Condiciones_acumuladas[[#This Row],[Descripción]], " ", -2)</f>
        <v>Oscar Ramirez</v>
      </c>
      <c r="F1504" s="10" t="s">
        <v>2525</v>
      </c>
      <c r="G1504" s="11">
        <v>45845</v>
      </c>
    </row>
    <row r="1505" spans="1:7" ht="48.5" hidden="1" x14ac:dyDescent="0.35">
      <c r="A1505" s="8">
        <v>9081</v>
      </c>
      <c r="B1505" s="10" t="s">
        <v>4066</v>
      </c>
      <c r="C1505" s="10" t="s">
        <v>96</v>
      </c>
      <c r="D1505" s="9" t="s">
        <v>395</v>
      </c>
      <c r="E1505" s="9" t="str">
        <f>_xlfn.TEXTAFTER(Condiciones_acumuladas[[#This Row],[Descripción]], " ", -2)</f>
        <v>Abraham Tahual</v>
      </c>
      <c r="F1505" s="10" t="s">
        <v>2559</v>
      </c>
      <c r="G1505" s="11">
        <v>45845</v>
      </c>
    </row>
    <row r="1506" spans="1:7" ht="24.5" hidden="1" x14ac:dyDescent="0.35">
      <c r="A1506" s="8">
        <v>9079</v>
      </c>
      <c r="B1506" s="10" t="s">
        <v>4067</v>
      </c>
      <c r="C1506" s="10" t="s">
        <v>134</v>
      </c>
      <c r="D1506" s="9" t="s">
        <v>134</v>
      </c>
      <c r="E1506" s="9" t="str">
        <f>_xlfn.TEXTAFTER(Condiciones_acumuladas[[#This Row],[Descripción]], " ", -2)</f>
        <v>Roger Rivas</v>
      </c>
      <c r="F1506" s="10" t="s">
        <v>2522</v>
      </c>
      <c r="G1506" s="11">
        <v>45845</v>
      </c>
    </row>
    <row r="1507" spans="1:7" ht="48.5" hidden="1" x14ac:dyDescent="0.35">
      <c r="A1507" s="8">
        <v>9086</v>
      </c>
      <c r="B1507" s="10" t="s">
        <v>4068</v>
      </c>
      <c r="C1507" s="10" t="s">
        <v>13</v>
      </c>
      <c r="D1507" s="9" t="s">
        <v>13</v>
      </c>
      <c r="E1507" s="9" t="str">
        <f>_xlfn.TEXTAFTER(Condiciones_acumuladas[[#This Row],[Descripción]], " ", -2)</f>
        <v>Mario Ramos</v>
      </c>
      <c r="F1507" s="10" t="s">
        <v>2559</v>
      </c>
      <c r="G1507" s="11">
        <v>45845</v>
      </c>
    </row>
    <row r="1508" spans="1:7" ht="24.5" hidden="1" x14ac:dyDescent="0.35">
      <c r="A1508" s="8">
        <v>9097</v>
      </c>
      <c r="B1508" s="10" t="s">
        <v>4069</v>
      </c>
      <c r="C1508" s="10" t="s">
        <v>26</v>
      </c>
      <c r="D1508" s="9" t="s">
        <v>95</v>
      </c>
      <c r="E1508" s="9" t="str">
        <f>_xlfn.TEXTAFTER(Condiciones_acumuladas[[#This Row],[Descripción]], " ", -2)</f>
        <v>Edgar Coti</v>
      </c>
      <c r="F1508" s="10" t="s">
        <v>2540</v>
      </c>
      <c r="G1508" s="11">
        <v>45846</v>
      </c>
    </row>
    <row r="1509" spans="1:7" ht="36.5" hidden="1" x14ac:dyDescent="0.35">
      <c r="A1509" s="8">
        <v>9096</v>
      </c>
      <c r="B1509" s="10" t="s">
        <v>4070</v>
      </c>
      <c r="C1509" s="10" t="s">
        <v>34</v>
      </c>
      <c r="D1509" s="9" t="s">
        <v>95</v>
      </c>
      <c r="E1509" s="9" t="str">
        <f>_xlfn.TEXTAFTER(Condiciones_acumuladas[[#This Row],[Descripción]], " ", -2)</f>
        <v>William Galindo</v>
      </c>
      <c r="F1509" s="10" t="s">
        <v>2522</v>
      </c>
      <c r="G1509" s="11">
        <v>45846</v>
      </c>
    </row>
    <row r="1510" spans="1:7" ht="24.5" hidden="1" x14ac:dyDescent="0.35">
      <c r="A1510" s="8">
        <v>9095</v>
      </c>
      <c r="B1510" s="10" t="s">
        <v>4071</v>
      </c>
      <c r="C1510" s="10" t="s">
        <v>34</v>
      </c>
      <c r="D1510" s="9" t="s">
        <v>95</v>
      </c>
      <c r="E1510" s="9" t="str">
        <f>_xlfn.TEXTAFTER(Condiciones_acumuladas[[#This Row],[Descripción]], " ", -2)</f>
        <v>William Galindo</v>
      </c>
      <c r="F1510" s="10" t="s">
        <v>2540</v>
      </c>
      <c r="G1510" s="11">
        <v>45846</v>
      </c>
    </row>
    <row r="1511" spans="1:7" ht="36.5" hidden="1" x14ac:dyDescent="0.35">
      <c r="A1511" s="8">
        <v>9114</v>
      </c>
      <c r="B1511" s="10" t="s">
        <v>4072</v>
      </c>
      <c r="C1511" s="10" t="s">
        <v>196</v>
      </c>
      <c r="D1511" s="9" t="s">
        <v>395</v>
      </c>
      <c r="E1511" s="9" t="str">
        <f>_xlfn.TEXTAFTER(Condiciones_acumuladas[[#This Row],[Descripción]], " ", -2)</f>
        <v>Karla Hintz</v>
      </c>
      <c r="F1511" s="10" t="s">
        <v>2525</v>
      </c>
      <c r="G1511" s="11">
        <v>45847</v>
      </c>
    </row>
    <row r="1512" spans="1:7" ht="36.5" hidden="1" x14ac:dyDescent="0.35">
      <c r="A1512" s="8">
        <v>9113</v>
      </c>
      <c r="B1512" s="10" t="s">
        <v>4073</v>
      </c>
      <c r="C1512" s="10" t="s">
        <v>196</v>
      </c>
      <c r="D1512" s="9" t="s">
        <v>196</v>
      </c>
      <c r="E1512" s="9" t="str">
        <f>_xlfn.TEXTAFTER(Condiciones_acumuladas[[#This Row],[Descripción]], " ", -2)</f>
        <v>Miguel Godinez</v>
      </c>
      <c r="F1512" s="10" t="s">
        <v>2525</v>
      </c>
      <c r="G1512" s="11">
        <v>45847</v>
      </c>
    </row>
    <row r="1513" spans="1:7" ht="36.5" hidden="1" x14ac:dyDescent="0.35">
      <c r="A1513" s="8">
        <v>9112</v>
      </c>
      <c r="B1513" s="10" t="s">
        <v>4074</v>
      </c>
      <c r="C1513" s="10" t="s">
        <v>13</v>
      </c>
      <c r="D1513" s="9" t="s">
        <v>395</v>
      </c>
      <c r="E1513" s="9" t="str">
        <f>_xlfn.TEXTAFTER(Condiciones_acumuladas[[#This Row],[Descripción]], " ", -2)</f>
        <v>Karla Hintz</v>
      </c>
      <c r="F1513" s="10" t="s">
        <v>2525</v>
      </c>
      <c r="G1513" s="11">
        <v>45847</v>
      </c>
    </row>
    <row r="1514" spans="1:7" ht="24.5" hidden="1" x14ac:dyDescent="0.35">
      <c r="A1514" s="8">
        <v>9111</v>
      </c>
      <c r="B1514" s="10" t="s">
        <v>4075</v>
      </c>
      <c r="C1514" s="10" t="s">
        <v>21</v>
      </c>
      <c r="D1514" s="9" t="s">
        <v>190</v>
      </c>
      <c r="E1514" s="9" t="str">
        <f>_xlfn.TEXTAFTER(Condiciones_acumuladas[[#This Row],[Descripción]], " ", -2)</f>
        <v>Roy Loarca</v>
      </c>
      <c r="F1514" s="10" t="s">
        <v>2540</v>
      </c>
      <c r="G1514" s="11">
        <v>45846</v>
      </c>
    </row>
    <row r="1515" spans="1:7" ht="36.5" hidden="1" x14ac:dyDescent="0.35">
      <c r="A1515" s="8">
        <v>9110</v>
      </c>
      <c r="B1515" s="10" t="s">
        <v>4076</v>
      </c>
      <c r="C1515" s="10" t="s">
        <v>104</v>
      </c>
      <c r="D1515" s="9" t="s">
        <v>278</v>
      </c>
      <c r="E1515" s="9" t="str">
        <f>_xlfn.TEXTAFTER(Condiciones_acumuladas[[#This Row],[Descripción]], " ", -2)</f>
        <v>Fredy Fuentes</v>
      </c>
      <c r="F1515" s="10" t="s">
        <v>2516</v>
      </c>
      <c r="G1515" s="11">
        <v>45847</v>
      </c>
    </row>
    <row r="1516" spans="1:7" ht="36.5" hidden="1" x14ac:dyDescent="0.35">
      <c r="A1516" s="8">
        <v>9108</v>
      </c>
      <c r="B1516" s="10" t="s">
        <v>4077</v>
      </c>
      <c r="C1516" s="10" t="s">
        <v>104</v>
      </c>
      <c r="D1516" s="9" t="s">
        <v>278</v>
      </c>
      <c r="E1516" s="9" t="str">
        <f>_xlfn.TEXTAFTER(Condiciones_acumuladas[[#This Row],[Descripción]], " ", -2)</f>
        <v>Fredy Fuentes</v>
      </c>
      <c r="F1516" s="10" t="s">
        <v>2572</v>
      </c>
      <c r="G1516" s="11">
        <v>45847</v>
      </c>
    </row>
    <row r="1517" spans="1:7" ht="24.5" hidden="1" x14ac:dyDescent="0.35">
      <c r="A1517" s="8">
        <v>9109</v>
      </c>
      <c r="B1517" s="10" t="s">
        <v>4078</v>
      </c>
      <c r="C1517" s="10" t="s">
        <v>104</v>
      </c>
      <c r="D1517" s="9" t="s">
        <v>278</v>
      </c>
      <c r="E1517" s="9" t="str">
        <f>_xlfn.TEXTAFTER(Condiciones_acumuladas[[#This Row],[Descripción]], " ", -2)</f>
        <v>Fredy Fuentes</v>
      </c>
      <c r="F1517" s="10" t="s">
        <v>2522</v>
      </c>
      <c r="G1517" s="11">
        <v>45847</v>
      </c>
    </row>
    <row r="1518" spans="1:7" ht="36.5" hidden="1" x14ac:dyDescent="0.35">
      <c r="A1518" s="8">
        <v>9107</v>
      </c>
      <c r="B1518" s="10" t="s">
        <v>4079</v>
      </c>
      <c r="C1518" s="10" t="s">
        <v>96</v>
      </c>
      <c r="D1518" s="9" t="s">
        <v>395</v>
      </c>
      <c r="E1518" s="9" t="str">
        <f>_xlfn.TEXTAFTER(Condiciones_acumuladas[[#This Row],[Descripción]], " ", -2)</f>
        <v>Josue Vasquez</v>
      </c>
      <c r="F1518" s="10" t="s">
        <v>2525</v>
      </c>
      <c r="G1518" s="11">
        <v>45847</v>
      </c>
    </row>
    <row r="1519" spans="1:7" ht="36.5" hidden="1" x14ac:dyDescent="0.35">
      <c r="A1519" s="8">
        <v>9106</v>
      </c>
      <c r="B1519" s="10" t="s">
        <v>4080</v>
      </c>
      <c r="C1519" s="10" t="s">
        <v>250</v>
      </c>
      <c r="D1519" s="9" t="s">
        <v>395</v>
      </c>
      <c r="E1519" s="9" t="str">
        <f>_xlfn.TEXTAFTER(Condiciones_acumuladas[[#This Row],[Descripción]], " ", -2)</f>
        <v>Genesis Santos</v>
      </c>
      <c r="F1519" s="10" t="s">
        <v>2516</v>
      </c>
      <c r="G1519" s="11">
        <v>45847</v>
      </c>
    </row>
    <row r="1520" spans="1:7" ht="24.5" hidden="1" x14ac:dyDescent="0.35">
      <c r="A1520" s="8">
        <v>9104</v>
      </c>
      <c r="B1520" s="10" t="s">
        <v>4081</v>
      </c>
      <c r="C1520" s="10" t="s">
        <v>250</v>
      </c>
      <c r="D1520" s="9" t="s">
        <v>395</v>
      </c>
      <c r="E1520" s="9" t="str">
        <f>_xlfn.TEXTAFTER(Condiciones_acumuladas[[#This Row],[Descripción]], " ", -2)</f>
        <v>Genesis Santos</v>
      </c>
      <c r="F1520" s="10" t="s">
        <v>2522</v>
      </c>
      <c r="G1520" s="11">
        <v>45847</v>
      </c>
    </row>
    <row r="1521" spans="1:7" ht="24.5" hidden="1" x14ac:dyDescent="0.35">
      <c r="A1521" s="8">
        <v>9121</v>
      </c>
      <c r="B1521" s="10" t="s">
        <v>4082</v>
      </c>
      <c r="C1521" s="10" t="s">
        <v>371</v>
      </c>
      <c r="D1521" s="9" t="s">
        <v>193</v>
      </c>
      <c r="E1521" s="9" t="str">
        <f>_xlfn.TEXTAFTER(Condiciones_acumuladas[[#This Row],[Descripción]], " ", -2)</f>
        <v>Selvin Perez</v>
      </c>
      <c r="F1521" s="10" t="s">
        <v>2522</v>
      </c>
      <c r="G1521" s="11">
        <v>45847</v>
      </c>
    </row>
    <row r="1522" spans="1:7" ht="36.5" hidden="1" x14ac:dyDescent="0.35">
      <c r="A1522" s="8">
        <v>9118</v>
      </c>
      <c r="B1522" s="10" t="s">
        <v>4083</v>
      </c>
      <c r="C1522" s="10" t="s">
        <v>21</v>
      </c>
      <c r="D1522" s="9" t="s">
        <v>395</v>
      </c>
      <c r="E1522" s="9" t="str">
        <f>_xlfn.TEXTAFTER(Condiciones_acumuladas[[#This Row],[Descripción]], " ", -2)</f>
        <v>Yessi Guarcas</v>
      </c>
      <c r="F1522" s="10" t="s">
        <v>2516</v>
      </c>
      <c r="G1522" s="11">
        <v>45847</v>
      </c>
    </row>
    <row r="1523" spans="1:7" ht="36.5" hidden="1" x14ac:dyDescent="0.35">
      <c r="A1523" s="8">
        <v>9120</v>
      </c>
      <c r="B1523" s="10" t="s">
        <v>4084</v>
      </c>
      <c r="C1523" s="10" t="s">
        <v>96</v>
      </c>
      <c r="D1523" s="9" t="s">
        <v>196</v>
      </c>
      <c r="E1523" s="9" t="str">
        <f>_xlfn.TEXTAFTER(Condiciones_acumuladas[[#This Row],[Descripción]], " ", -2)</f>
        <v>Jaime Chex</v>
      </c>
      <c r="F1523" s="10" t="s">
        <v>2530</v>
      </c>
      <c r="G1523" s="11">
        <v>45847</v>
      </c>
    </row>
    <row r="1524" spans="1:7" ht="36.5" hidden="1" x14ac:dyDescent="0.35">
      <c r="A1524" s="8">
        <v>9119</v>
      </c>
      <c r="B1524" s="10" t="s">
        <v>4085</v>
      </c>
      <c r="C1524" s="10" t="s">
        <v>21</v>
      </c>
      <c r="D1524" s="9" t="s">
        <v>395</v>
      </c>
      <c r="E1524" s="9" t="str">
        <f>_xlfn.TEXTAFTER(Condiciones_acumuladas[[#This Row],[Descripción]], " ", -2)</f>
        <v>Yessi Guarcas</v>
      </c>
      <c r="F1524" s="10" t="s">
        <v>2530</v>
      </c>
      <c r="G1524" s="11">
        <v>45847</v>
      </c>
    </row>
    <row r="1525" spans="1:7" ht="60.5" hidden="1" x14ac:dyDescent="0.35">
      <c r="A1525" s="8">
        <v>9122</v>
      </c>
      <c r="B1525" s="10" t="s">
        <v>4086</v>
      </c>
      <c r="C1525" s="10" t="s">
        <v>371</v>
      </c>
      <c r="D1525" s="9" t="s">
        <v>193</v>
      </c>
      <c r="E1525" s="9" t="str">
        <f>_xlfn.TEXTAFTER(Condiciones_acumuladas[[#This Row],[Descripción]], " ", -2)</f>
        <v>Selvin Perez</v>
      </c>
      <c r="F1525" s="10" t="s">
        <v>2715</v>
      </c>
      <c r="G1525" s="11">
        <v>45847</v>
      </c>
    </row>
    <row r="1526" spans="1:7" ht="24.5" hidden="1" x14ac:dyDescent="0.35">
      <c r="A1526" s="8">
        <v>9125</v>
      </c>
      <c r="B1526" s="10" t="s">
        <v>4087</v>
      </c>
      <c r="C1526" s="10" t="s">
        <v>96</v>
      </c>
      <c r="D1526" s="9" t="s">
        <v>96</v>
      </c>
      <c r="E1526" s="9" t="str">
        <f>_xlfn.TEXTAFTER(Condiciones_acumuladas[[#This Row],[Descripción]], " ", -2)</f>
        <v>Carlos Poz</v>
      </c>
      <c r="F1526" s="10" t="s">
        <v>2522</v>
      </c>
      <c r="G1526" s="11">
        <v>45848</v>
      </c>
    </row>
    <row r="1527" spans="1:7" ht="24.5" hidden="1" x14ac:dyDescent="0.35">
      <c r="A1527" s="8">
        <v>9124</v>
      </c>
      <c r="B1527" s="10" t="s">
        <v>4088</v>
      </c>
      <c r="C1527" s="10" t="s">
        <v>96</v>
      </c>
      <c r="D1527" s="9" t="s">
        <v>96</v>
      </c>
      <c r="E1527" s="9" t="str">
        <f>_xlfn.TEXTAFTER(Condiciones_acumuladas[[#This Row],[Descripción]], " ", -2)</f>
        <v>Isabel Saquila</v>
      </c>
      <c r="F1527" s="10" t="s">
        <v>2537</v>
      </c>
      <c r="G1527" s="11">
        <v>45848</v>
      </c>
    </row>
    <row r="1528" spans="1:7" ht="24.5" hidden="1" x14ac:dyDescent="0.35">
      <c r="A1528" s="8">
        <v>9123</v>
      </c>
      <c r="B1528" s="10" t="s">
        <v>4089</v>
      </c>
      <c r="C1528" s="10" t="s">
        <v>96</v>
      </c>
      <c r="D1528" s="9" t="s">
        <v>395</v>
      </c>
      <c r="E1528" s="9" t="str">
        <f>_xlfn.TEXTAFTER(Condiciones_acumuladas[[#This Row],[Descripción]], " ", -2)</f>
        <v>Abraham Tahual</v>
      </c>
      <c r="F1528" s="10" t="s">
        <v>2537</v>
      </c>
      <c r="G1528" s="11">
        <v>45848</v>
      </c>
    </row>
    <row r="1529" spans="1:7" ht="24.5" hidden="1" x14ac:dyDescent="0.35">
      <c r="A1529" s="8">
        <v>9127</v>
      </c>
      <c r="B1529" s="10" t="s">
        <v>4090</v>
      </c>
      <c r="C1529" s="10" t="s">
        <v>134</v>
      </c>
      <c r="D1529" s="9" t="s">
        <v>134</v>
      </c>
      <c r="E1529" s="9" t="str">
        <f>_xlfn.TEXTAFTER(Condiciones_acumuladas[[#This Row],[Descripción]], " ", -2)</f>
        <v>Gustavo Hernandez</v>
      </c>
      <c r="F1529" s="10" t="s">
        <v>2522</v>
      </c>
      <c r="G1529" s="11">
        <v>45848</v>
      </c>
    </row>
    <row r="1530" spans="1:7" ht="24.5" hidden="1" x14ac:dyDescent="0.35">
      <c r="A1530" s="8">
        <v>9126</v>
      </c>
      <c r="B1530" s="10" t="s">
        <v>4091</v>
      </c>
      <c r="C1530" s="10" t="s">
        <v>104</v>
      </c>
      <c r="D1530" s="9" t="s">
        <v>104</v>
      </c>
      <c r="E1530" s="9" t="str">
        <f>_xlfn.TEXTAFTER(Condiciones_acumuladas[[#This Row],[Descripción]], " ", -2)</f>
        <v>Gustavo Hernandez</v>
      </c>
      <c r="F1530" s="10" t="s">
        <v>2522</v>
      </c>
      <c r="G1530" s="11">
        <v>45848</v>
      </c>
    </row>
    <row r="1531" spans="1:7" ht="48.5" hidden="1" x14ac:dyDescent="0.35">
      <c r="A1531" s="8">
        <v>9128</v>
      </c>
      <c r="B1531" s="10" t="s">
        <v>4092</v>
      </c>
      <c r="C1531" s="10" t="s">
        <v>134</v>
      </c>
      <c r="D1531" s="9" t="s">
        <v>95</v>
      </c>
      <c r="E1531" s="9" t="str">
        <f>_xlfn.TEXTAFTER(Condiciones_acumuladas[[#This Row],[Descripción]], " ", -2)</f>
        <v>Efrain Valux</v>
      </c>
      <c r="F1531" s="10" t="s">
        <v>2559</v>
      </c>
      <c r="G1531" s="11">
        <v>45848</v>
      </c>
    </row>
    <row r="1532" spans="1:7" ht="24.5" hidden="1" x14ac:dyDescent="0.35">
      <c r="A1532" s="8">
        <v>9129</v>
      </c>
      <c r="B1532" s="10" t="s">
        <v>4093</v>
      </c>
      <c r="C1532" s="10" t="s">
        <v>134</v>
      </c>
      <c r="D1532" s="9" t="s">
        <v>95</v>
      </c>
      <c r="E1532" s="9" t="str">
        <f>_xlfn.TEXTAFTER(Condiciones_acumuladas[[#This Row],[Descripción]], " ", -2)</f>
        <v>Efrain Valux</v>
      </c>
      <c r="F1532" s="10" t="s">
        <v>2522</v>
      </c>
      <c r="G1532" s="11">
        <v>45848</v>
      </c>
    </row>
    <row r="1533" spans="1:7" ht="36.5" hidden="1" x14ac:dyDescent="0.35">
      <c r="A1533" s="8">
        <v>9130</v>
      </c>
      <c r="B1533" s="10" t="s">
        <v>4094</v>
      </c>
      <c r="C1533" s="10" t="s">
        <v>13</v>
      </c>
      <c r="D1533" s="9" t="s">
        <v>13</v>
      </c>
      <c r="E1533" s="9" t="str">
        <f>_xlfn.TEXTAFTER(Condiciones_acumuladas[[#This Row],[Descripción]], " ", -2)</f>
        <v>Oscar Ramirez</v>
      </c>
      <c r="F1533" s="10" t="s">
        <v>2516</v>
      </c>
      <c r="G1533" s="11">
        <v>45848</v>
      </c>
    </row>
    <row r="1534" spans="1:7" ht="36.5" hidden="1" x14ac:dyDescent="0.35">
      <c r="A1534" s="8">
        <v>9103</v>
      </c>
      <c r="B1534" s="10" t="s">
        <v>4095</v>
      </c>
      <c r="C1534" s="10" t="s">
        <v>220</v>
      </c>
      <c r="D1534" s="9" t="s">
        <v>220</v>
      </c>
      <c r="E1534" s="9" t="str">
        <f>_xlfn.TEXTAFTER(Condiciones_acumuladas[[#This Row],[Descripción]], " ", -2)</f>
        <v>Carlos Chavez</v>
      </c>
      <c r="F1534" s="10" t="s">
        <v>2530</v>
      </c>
      <c r="G1534" s="11">
        <v>45842</v>
      </c>
    </row>
    <row r="1535" spans="1:7" ht="36.5" hidden="1" x14ac:dyDescent="0.35">
      <c r="A1535" s="8">
        <v>9098</v>
      </c>
      <c r="B1535" s="10" t="s">
        <v>4096</v>
      </c>
      <c r="C1535" s="10" t="s">
        <v>196</v>
      </c>
      <c r="D1535" s="9" t="s">
        <v>95</v>
      </c>
      <c r="E1535" s="9" t="str">
        <f>_xlfn.TEXTAFTER(Condiciones_acumuladas[[#This Row],[Descripción]], " ", -2)</f>
        <v>Luis Cabrera</v>
      </c>
      <c r="F1535" s="10" t="s">
        <v>2516</v>
      </c>
      <c r="G1535" s="11">
        <v>45846</v>
      </c>
    </row>
    <row r="1536" spans="1:7" ht="24.5" hidden="1" x14ac:dyDescent="0.35">
      <c r="A1536" s="8">
        <v>9100</v>
      </c>
      <c r="B1536" s="10" t="s">
        <v>4097</v>
      </c>
      <c r="C1536" s="10" t="s">
        <v>96</v>
      </c>
      <c r="D1536" s="9" t="s">
        <v>96</v>
      </c>
      <c r="E1536" s="9" t="str">
        <f>_xlfn.TEXTAFTER(Condiciones_acumuladas[[#This Row],[Descripción]], " ", -2)</f>
        <v>Bladimir López</v>
      </c>
      <c r="F1536" s="10" t="s">
        <v>2537</v>
      </c>
      <c r="G1536" s="11">
        <v>45846</v>
      </c>
    </row>
    <row r="1537" spans="1:7" ht="24.5" hidden="1" x14ac:dyDescent="0.35">
      <c r="A1537" s="8">
        <v>9101</v>
      </c>
      <c r="B1537" s="10" t="s">
        <v>4098</v>
      </c>
      <c r="C1537" s="10" t="s">
        <v>26</v>
      </c>
      <c r="D1537" s="9" t="s">
        <v>26</v>
      </c>
      <c r="E1537" s="9" t="str">
        <f>_xlfn.TEXTAFTER(Condiciones_acumuladas[[#This Row],[Descripción]], " ", -2)</f>
        <v>Oscar Ramos</v>
      </c>
      <c r="F1537" s="10" t="s">
        <v>2834</v>
      </c>
      <c r="G1537" s="11">
        <v>45846</v>
      </c>
    </row>
    <row r="1538" spans="1:7" ht="24.5" hidden="1" x14ac:dyDescent="0.35">
      <c r="A1538" s="8">
        <v>9102</v>
      </c>
      <c r="B1538" s="10" t="s">
        <v>4099</v>
      </c>
      <c r="C1538" s="10" t="s">
        <v>26</v>
      </c>
      <c r="D1538" s="9" t="s">
        <v>34</v>
      </c>
      <c r="E1538" s="9" t="str">
        <f>_xlfn.TEXTAFTER(Condiciones_acumuladas[[#This Row],[Descripción]], " ", -2)</f>
        <v>Oscar Ramos</v>
      </c>
      <c r="F1538" s="10" t="s">
        <v>2522</v>
      </c>
      <c r="G1538" s="11">
        <v>45846</v>
      </c>
    </row>
    <row r="1539" spans="1:7" ht="24.5" hidden="1" x14ac:dyDescent="0.35">
      <c r="A1539" s="8">
        <v>9099</v>
      </c>
      <c r="B1539" s="10" t="s">
        <v>4100</v>
      </c>
      <c r="C1539" s="10" t="s">
        <v>196</v>
      </c>
      <c r="D1539" s="9" t="s">
        <v>95</v>
      </c>
      <c r="E1539" s="9" t="str">
        <f>_xlfn.TEXTAFTER(Condiciones_acumuladas[[#This Row],[Descripción]], " ", -2)</f>
        <v>Edgar Coti</v>
      </c>
      <c r="F1539" s="10" t="s">
        <v>2522</v>
      </c>
      <c r="G1539" s="11">
        <v>45846</v>
      </c>
    </row>
    <row r="1540" spans="1:7" ht="24.5" hidden="1" x14ac:dyDescent="0.35">
      <c r="A1540" s="8">
        <v>9092</v>
      </c>
      <c r="B1540" s="10" t="s">
        <v>4101</v>
      </c>
      <c r="C1540" s="10" t="s">
        <v>21</v>
      </c>
      <c r="D1540" s="9" t="s">
        <v>21</v>
      </c>
      <c r="E1540" s="9" t="str">
        <f>_xlfn.TEXTAFTER(Condiciones_acumuladas[[#This Row],[Descripción]], " ", -2)</f>
        <v>Oscar Ramirez</v>
      </c>
      <c r="F1540" s="10" t="s">
        <v>2540</v>
      </c>
      <c r="G1540" s="11">
        <v>45846</v>
      </c>
    </row>
    <row r="1541" spans="1:7" ht="24.5" hidden="1" x14ac:dyDescent="0.35">
      <c r="A1541" s="8">
        <v>9094</v>
      </c>
      <c r="B1541" s="10" t="s">
        <v>4102</v>
      </c>
      <c r="C1541" s="10" t="s">
        <v>234</v>
      </c>
      <c r="D1541" s="9" t="s">
        <v>95</v>
      </c>
      <c r="E1541" s="9" t="str">
        <f>_xlfn.TEXTAFTER(Condiciones_acumuladas[[#This Row],[Descripción]], " ", -2)</f>
        <v>Edgar Coti</v>
      </c>
      <c r="F1541" s="10" t="s">
        <v>2522</v>
      </c>
      <c r="G1541" s="11">
        <v>45846</v>
      </c>
    </row>
    <row r="1542" spans="1:7" ht="48.5" hidden="1" x14ac:dyDescent="0.35">
      <c r="A1542" s="8">
        <v>9093</v>
      </c>
      <c r="B1542" s="10" t="s">
        <v>4103</v>
      </c>
      <c r="C1542" s="10" t="s">
        <v>234</v>
      </c>
      <c r="D1542" s="9" t="s">
        <v>95</v>
      </c>
      <c r="E1542" s="9" t="str">
        <f>_xlfn.TEXTAFTER(Condiciones_acumuladas[[#This Row],[Descripción]], " ", -2)</f>
        <v>Edgar Coti</v>
      </c>
      <c r="F1542" s="10" t="s">
        <v>2559</v>
      </c>
      <c r="G1542" s="11">
        <v>45846</v>
      </c>
    </row>
    <row r="1543" spans="1:7" ht="48.5" hidden="1" x14ac:dyDescent="0.35">
      <c r="A1543" s="8">
        <v>9091</v>
      </c>
      <c r="B1543" s="10" t="s">
        <v>4104</v>
      </c>
      <c r="C1543" s="10" t="s">
        <v>234</v>
      </c>
      <c r="D1543" s="9" t="s">
        <v>95</v>
      </c>
      <c r="E1543" s="9" t="str">
        <f>_xlfn.TEXTAFTER(Condiciones_acumuladas[[#This Row],[Descripción]], " ", -2)</f>
        <v>Ana Sanchez</v>
      </c>
      <c r="F1543" s="10" t="s">
        <v>2559</v>
      </c>
      <c r="G1543" s="11">
        <v>45848</v>
      </c>
    </row>
    <row r="1544" spans="1:7" ht="36.5" hidden="1" x14ac:dyDescent="0.35">
      <c r="A1544" s="8">
        <v>9090</v>
      </c>
      <c r="B1544" s="10" t="s">
        <v>4105</v>
      </c>
      <c r="C1544" s="10" t="s">
        <v>104</v>
      </c>
      <c r="D1544" s="9" t="s">
        <v>95</v>
      </c>
      <c r="E1544" s="9" t="str">
        <f>_xlfn.TEXTAFTER(Condiciones_acumuladas[[#This Row],[Descripción]], " ", -2)</f>
        <v>Andrea Gonzalez</v>
      </c>
      <c r="F1544" s="10" t="s">
        <v>2530</v>
      </c>
      <c r="G1544" s="11">
        <v>45848</v>
      </c>
    </row>
    <row r="1545" spans="1:7" ht="36.5" hidden="1" x14ac:dyDescent="0.35">
      <c r="A1545" s="8">
        <v>9139</v>
      </c>
      <c r="B1545" s="10" t="s">
        <v>4106</v>
      </c>
      <c r="C1545" s="10" t="s">
        <v>134</v>
      </c>
      <c r="D1545" s="9" t="s">
        <v>134</v>
      </c>
      <c r="E1545" s="9" t="str">
        <f>_xlfn.TEXTAFTER(Condiciones_acumuladas[[#This Row],[Descripción]], " ", -2)</f>
        <v>Roger Rivas</v>
      </c>
      <c r="F1545" s="10" t="s">
        <v>2530</v>
      </c>
      <c r="G1545" s="11">
        <v>45848</v>
      </c>
    </row>
    <row r="1546" spans="1:7" ht="36.5" hidden="1" x14ac:dyDescent="0.35">
      <c r="A1546" s="8">
        <v>9144</v>
      </c>
      <c r="B1546" s="10" t="s">
        <v>4107</v>
      </c>
      <c r="C1546" s="10" t="s">
        <v>96</v>
      </c>
      <c r="D1546" s="9" t="s">
        <v>96</v>
      </c>
      <c r="E1546" s="9" t="str">
        <f>_xlfn.TEXTAFTER(Condiciones_acumuladas[[#This Row],[Descripción]], " ", -2)</f>
        <v>Isabel Saquila</v>
      </c>
      <c r="F1546" s="10" t="s">
        <v>2530</v>
      </c>
      <c r="G1546" s="11">
        <v>45850</v>
      </c>
    </row>
    <row r="1547" spans="1:7" ht="36.5" hidden="1" x14ac:dyDescent="0.35">
      <c r="A1547" s="8">
        <v>9143</v>
      </c>
      <c r="B1547" s="10" t="s">
        <v>4108</v>
      </c>
      <c r="C1547" s="10" t="s">
        <v>220</v>
      </c>
      <c r="D1547" s="9" t="s">
        <v>220</v>
      </c>
      <c r="E1547" s="9" t="str">
        <f>_xlfn.TEXTAFTER(Condiciones_acumuladas[[#This Row],[Descripción]], " ", -2)</f>
        <v>Carlos Coc</v>
      </c>
      <c r="F1547" s="10" t="s">
        <v>2516</v>
      </c>
      <c r="G1547" s="11">
        <v>45849</v>
      </c>
    </row>
    <row r="1548" spans="1:7" ht="36.5" hidden="1" x14ac:dyDescent="0.35">
      <c r="A1548" s="8">
        <v>9142</v>
      </c>
      <c r="B1548" s="10" t="s">
        <v>4108</v>
      </c>
      <c r="C1548" s="10" t="s">
        <v>220</v>
      </c>
      <c r="D1548" s="9" t="s">
        <v>220</v>
      </c>
      <c r="E1548" s="9" t="str">
        <f>_xlfn.TEXTAFTER(Condiciones_acumuladas[[#This Row],[Descripción]], " ", -2)</f>
        <v>Carlos Coc</v>
      </c>
      <c r="F1548" s="10" t="s">
        <v>2516</v>
      </c>
      <c r="G1548" s="11">
        <v>45849</v>
      </c>
    </row>
    <row r="1549" spans="1:7" ht="36.5" hidden="1" x14ac:dyDescent="0.35">
      <c r="A1549" s="8">
        <v>9141</v>
      </c>
      <c r="B1549" s="10" t="s">
        <v>4109</v>
      </c>
      <c r="C1549" s="10" t="s">
        <v>190</v>
      </c>
      <c r="D1549" s="9" t="s">
        <v>395</v>
      </c>
      <c r="E1549" s="9" t="str">
        <f>_xlfn.TEXTAFTER(Condiciones_acumuladas[[#This Row],[Descripción]], " ", -2)</f>
        <v>Daniel Pineda</v>
      </c>
      <c r="F1549" s="10" t="s">
        <v>2572</v>
      </c>
      <c r="G1549" s="11">
        <v>45849</v>
      </c>
    </row>
    <row r="1550" spans="1:7" ht="48.5" hidden="1" x14ac:dyDescent="0.35">
      <c r="A1550" s="8">
        <v>9145</v>
      </c>
      <c r="B1550" s="10" t="s">
        <v>4110</v>
      </c>
      <c r="C1550" s="10" t="s">
        <v>96</v>
      </c>
      <c r="D1550" s="9" t="s">
        <v>395</v>
      </c>
      <c r="E1550" s="9" t="str">
        <f>_xlfn.TEXTAFTER(Condiciones_acumuladas[[#This Row],[Descripción]], " ", -2)</f>
        <v>Abraham Tahual</v>
      </c>
      <c r="F1550" s="10" t="s">
        <v>2559</v>
      </c>
      <c r="G1550" s="11">
        <v>45851</v>
      </c>
    </row>
    <row r="1551" spans="1:7" ht="24.5" hidden="1" x14ac:dyDescent="0.35">
      <c r="A1551" s="8">
        <v>9147</v>
      </c>
      <c r="B1551" s="10" t="s">
        <v>4111</v>
      </c>
      <c r="C1551" s="10" t="s">
        <v>21</v>
      </c>
      <c r="D1551" s="9" t="s">
        <v>21</v>
      </c>
      <c r="E1551" s="9" t="str">
        <f>_xlfn.TEXTAFTER(Condiciones_acumuladas[[#This Row],[Descripción]], " ", -2)</f>
        <v>Abel Aguilar</v>
      </c>
      <c r="F1551" s="10" t="s">
        <v>2522</v>
      </c>
      <c r="G1551" s="11">
        <v>45852</v>
      </c>
    </row>
    <row r="1552" spans="1:7" ht="36.5" hidden="1" x14ac:dyDescent="0.35">
      <c r="A1552" s="8">
        <v>9140</v>
      </c>
      <c r="B1552" s="10" t="s">
        <v>4112</v>
      </c>
      <c r="C1552" s="10" t="s">
        <v>395</v>
      </c>
      <c r="D1552" s="9" t="s">
        <v>190</v>
      </c>
      <c r="E1552" s="9" t="str">
        <f>_xlfn.TEXTAFTER(Condiciones_acumuladas[[#This Row],[Descripción]], " ", -2)</f>
        <v>Elvis Oliva</v>
      </c>
      <c r="F1552" s="10" t="s">
        <v>2530</v>
      </c>
      <c r="G1552" s="11">
        <v>45848</v>
      </c>
    </row>
    <row r="1553" spans="1:7" ht="36.5" hidden="1" x14ac:dyDescent="0.35">
      <c r="A1553" s="8">
        <v>9149</v>
      </c>
      <c r="B1553" s="10" t="s">
        <v>4113</v>
      </c>
      <c r="C1553" s="10" t="s">
        <v>220</v>
      </c>
      <c r="D1553" s="9" t="s">
        <v>395</v>
      </c>
      <c r="E1553" s="9" t="str">
        <f>_xlfn.TEXTAFTER(Condiciones_acumuladas[[#This Row],[Descripción]], " ", -2)</f>
        <v>Yessi Guarcas</v>
      </c>
      <c r="F1553" s="10" t="s">
        <v>2572</v>
      </c>
      <c r="G1553" s="11">
        <v>45852</v>
      </c>
    </row>
    <row r="1554" spans="1:7" ht="36.5" hidden="1" x14ac:dyDescent="0.35">
      <c r="A1554" s="8">
        <v>9148</v>
      </c>
      <c r="B1554" s="10" t="s">
        <v>4114</v>
      </c>
      <c r="C1554" s="10" t="s">
        <v>13</v>
      </c>
      <c r="D1554" s="9" t="s">
        <v>13</v>
      </c>
      <c r="E1554" s="9" t="str">
        <f>_xlfn.TEXTAFTER(Condiciones_acumuladas[[#This Row],[Descripción]], " ", -2)</f>
        <v>Abel Aguilar</v>
      </c>
      <c r="F1554" s="10" t="s">
        <v>2530</v>
      </c>
      <c r="G1554" s="11">
        <v>45852</v>
      </c>
    </row>
    <row r="1555" spans="1:7" ht="36.5" hidden="1" x14ac:dyDescent="0.35">
      <c r="A1555" s="8">
        <v>9135</v>
      </c>
      <c r="B1555" s="10" t="s">
        <v>4115</v>
      </c>
      <c r="C1555" s="10" t="s">
        <v>190</v>
      </c>
      <c r="D1555" s="9" t="s">
        <v>95</v>
      </c>
      <c r="E1555" s="9" t="str">
        <f>_xlfn.TEXTAFTER(Condiciones_acumuladas[[#This Row],[Descripción]], " ", -2)</f>
        <v>Hellen Consuelo</v>
      </c>
      <c r="F1555" s="10" t="s">
        <v>2522</v>
      </c>
      <c r="G1555" s="11">
        <v>45848</v>
      </c>
    </row>
    <row r="1556" spans="1:7" ht="36.5" hidden="1" x14ac:dyDescent="0.35">
      <c r="A1556" s="8">
        <v>9151</v>
      </c>
      <c r="B1556" s="10" t="s">
        <v>4116</v>
      </c>
      <c r="C1556" s="10" t="s">
        <v>26</v>
      </c>
      <c r="D1556" s="9" t="s">
        <v>34</v>
      </c>
      <c r="E1556" s="9" t="str">
        <f>_xlfn.TEXTAFTER(Condiciones_acumuladas[[#This Row],[Descripción]], " ", -2)</f>
        <v>Oscar Ramos</v>
      </c>
      <c r="F1556" s="10" t="s">
        <v>2522</v>
      </c>
      <c r="G1556" s="11">
        <v>45852</v>
      </c>
    </row>
    <row r="1557" spans="1:7" ht="24.5" hidden="1" x14ac:dyDescent="0.35">
      <c r="A1557" s="8">
        <v>9152</v>
      </c>
      <c r="B1557" s="10" t="s">
        <v>4117</v>
      </c>
      <c r="C1557" s="10" t="s">
        <v>26</v>
      </c>
      <c r="D1557" s="9" t="s">
        <v>26</v>
      </c>
      <c r="E1557" s="9" t="str">
        <f>_xlfn.TEXTAFTER(Condiciones_acumuladas[[#This Row],[Descripción]], " ", -2)</f>
        <v>Oscar Ramos</v>
      </c>
      <c r="F1557" s="10" t="s">
        <v>2522</v>
      </c>
      <c r="G1557" s="11">
        <v>45852</v>
      </c>
    </row>
    <row r="1558" spans="1:7" ht="36.5" hidden="1" x14ac:dyDescent="0.35">
      <c r="A1558" s="8">
        <v>9162</v>
      </c>
      <c r="B1558" s="10" t="s">
        <v>4118</v>
      </c>
      <c r="C1558" s="10" t="s">
        <v>34</v>
      </c>
      <c r="D1558" s="9" t="s">
        <v>395</v>
      </c>
      <c r="E1558" s="9" t="str">
        <f>_xlfn.TEXTAFTER(Condiciones_acumuladas[[#This Row],[Descripción]], " ", -2)</f>
        <v>Oscar Ramos</v>
      </c>
      <c r="F1558" s="10" t="s">
        <v>2572</v>
      </c>
      <c r="G1558" s="11">
        <v>45849</v>
      </c>
    </row>
    <row r="1559" spans="1:7" ht="36.5" hidden="1" x14ac:dyDescent="0.35">
      <c r="A1559" s="8">
        <v>9160</v>
      </c>
      <c r="B1559" s="10" t="s">
        <v>4119</v>
      </c>
      <c r="C1559" s="10" t="s">
        <v>34</v>
      </c>
      <c r="D1559" s="9" t="s">
        <v>395</v>
      </c>
      <c r="E1559" s="9" t="str">
        <f>_xlfn.TEXTAFTER(Condiciones_acumuladas[[#This Row],[Descripción]], " ", -2)</f>
        <v>Oscar Ramos</v>
      </c>
      <c r="F1559" s="10" t="s">
        <v>2572</v>
      </c>
      <c r="G1559" s="11">
        <v>45849</v>
      </c>
    </row>
    <row r="1560" spans="1:7" ht="24.5" hidden="1" x14ac:dyDescent="0.35">
      <c r="A1560" s="8">
        <v>9161</v>
      </c>
      <c r="B1560" s="10" t="s">
        <v>4120</v>
      </c>
      <c r="C1560" s="10" t="s">
        <v>34</v>
      </c>
      <c r="D1560" s="9" t="s">
        <v>395</v>
      </c>
      <c r="E1560" s="9" t="str">
        <f>_xlfn.TEXTAFTER(Condiciones_acumuladas[[#This Row],[Descripción]], " ", -2)</f>
        <v>Oscar Ramos</v>
      </c>
      <c r="F1560" s="10" t="s">
        <v>2522</v>
      </c>
      <c r="G1560" s="11">
        <v>45849</v>
      </c>
    </row>
    <row r="1561" spans="1:7" ht="36.5" hidden="1" x14ac:dyDescent="0.35">
      <c r="A1561" s="8">
        <v>9159</v>
      </c>
      <c r="B1561" s="10" t="s">
        <v>4121</v>
      </c>
      <c r="C1561" s="10" t="s">
        <v>96</v>
      </c>
      <c r="D1561" s="9" t="s">
        <v>395</v>
      </c>
      <c r="E1561" s="9" t="str">
        <f>_xlfn.TEXTAFTER(Condiciones_acumuladas[[#This Row],[Descripción]], " ", -2)</f>
        <v>Jimmy Velasquez</v>
      </c>
      <c r="F1561" s="10" t="s">
        <v>2525</v>
      </c>
      <c r="G1561" s="11">
        <v>45846</v>
      </c>
    </row>
    <row r="1562" spans="1:7" ht="36.5" hidden="1" x14ac:dyDescent="0.35">
      <c r="A1562" s="8">
        <v>9158</v>
      </c>
      <c r="B1562" s="10" t="s">
        <v>4122</v>
      </c>
      <c r="C1562" s="10" t="s">
        <v>96</v>
      </c>
      <c r="D1562" s="9" t="s">
        <v>395</v>
      </c>
      <c r="E1562" s="9" t="str">
        <f>_xlfn.TEXTAFTER(Condiciones_acumuladas[[#This Row],[Descripción]], " ", -2)</f>
        <v>Jimmy Velasquez</v>
      </c>
      <c r="F1562" s="10" t="s">
        <v>2530</v>
      </c>
      <c r="G1562" s="11">
        <v>45846</v>
      </c>
    </row>
    <row r="1563" spans="1:7" ht="24.5" hidden="1" x14ac:dyDescent="0.35">
      <c r="A1563" s="8">
        <v>9156</v>
      </c>
      <c r="B1563" s="10" t="s">
        <v>4123</v>
      </c>
      <c r="C1563" s="10" t="s">
        <v>96</v>
      </c>
      <c r="D1563" s="9" t="s">
        <v>395</v>
      </c>
      <c r="E1563" s="9" t="str">
        <f>_xlfn.TEXTAFTER(Condiciones_acumuladas[[#This Row],[Descripción]], " ", -2)</f>
        <v>Jimmy Velasquez</v>
      </c>
      <c r="F1563" s="10" t="s">
        <v>2522</v>
      </c>
      <c r="G1563" s="11">
        <v>45846</v>
      </c>
    </row>
    <row r="1564" spans="1:7" ht="48.5" hidden="1" x14ac:dyDescent="0.35">
      <c r="A1564" s="8">
        <v>9157</v>
      </c>
      <c r="B1564" s="10" t="s">
        <v>4124</v>
      </c>
      <c r="C1564" s="10" t="s">
        <v>96</v>
      </c>
      <c r="D1564" s="9" t="s">
        <v>395</v>
      </c>
      <c r="E1564" s="9" t="str">
        <f>_xlfn.TEXTAFTER(Condiciones_acumuladas[[#This Row],[Descripción]], " ", -2)</f>
        <v>Jimmy Velasquez</v>
      </c>
      <c r="F1564" s="10" t="s">
        <v>2559</v>
      </c>
      <c r="G1564" s="11">
        <v>45846</v>
      </c>
    </row>
    <row r="1565" spans="1:7" ht="36.5" hidden="1" x14ac:dyDescent="0.35">
      <c r="A1565" s="8">
        <v>9163</v>
      </c>
      <c r="B1565" s="10" t="s">
        <v>4125</v>
      </c>
      <c r="C1565" s="10" t="s">
        <v>96</v>
      </c>
      <c r="D1565" s="9" t="s">
        <v>395</v>
      </c>
      <c r="E1565" s="9" t="str">
        <f>_xlfn.TEXTAFTER(Condiciones_acumuladas[[#This Row],[Descripción]], " ", -2)</f>
        <v>Jimmy Velasquez</v>
      </c>
      <c r="F1565" s="10" t="s">
        <v>2540</v>
      </c>
      <c r="G1565" s="11">
        <v>45839</v>
      </c>
    </row>
    <row r="1566" spans="1:7" ht="24.5" hidden="1" x14ac:dyDescent="0.35">
      <c r="A1566" s="8">
        <v>9164</v>
      </c>
      <c r="B1566" s="10" t="s">
        <v>4126</v>
      </c>
      <c r="C1566" s="10" t="s">
        <v>96</v>
      </c>
      <c r="D1566" s="9" t="s">
        <v>395</v>
      </c>
      <c r="E1566" s="9" t="str">
        <f>_xlfn.TEXTAFTER(Condiciones_acumuladas[[#This Row],[Descripción]], " ", -2)</f>
        <v>Jimmy Velasquez</v>
      </c>
      <c r="F1566" s="10" t="s">
        <v>2522</v>
      </c>
      <c r="G1566" s="11">
        <v>45839</v>
      </c>
    </row>
    <row r="1567" spans="1:7" ht="36.5" hidden="1" x14ac:dyDescent="0.35">
      <c r="A1567" s="8">
        <v>9166</v>
      </c>
      <c r="B1567" s="10" t="s">
        <v>4127</v>
      </c>
      <c r="C1567" s="10" t="s">
        <v>96</v>
      </c>
      <c r="D1567" s="9" t="s">
        <v>395</v>
      </c>
      <c r="E1567" s="9" t="str">
        <f>_xlfn.TEXTAFTER(Condiciones_acumuladas[[#This Row],[Descripción]], " ", -2)</f>
        <v>Jimmy Velasquez</v>
      </c>
      <c r="F1567" s="10" t="s">
        <v>2516</v>
      </c>
      <c r="G1567" s="11">
        <v>45839</v>
      </c>
    </row>
    <row r="1568" spans="1:7" ht="48.5" hidden="1" x14ac:dyDescent="0.35">
      <c r="A1568" s="8">
        <v>9167</v>
      </c>
      <c r="B1568" s="10" t="s">
        <v>4128</v>
      </c>
      <c r="C1568" s="10" t="s">
        <v>96</v>
      </c>
      <c r="D1568" s="9" t="s">
        <v>395</v>
      </c>
      <c r="E1568" s="9" t="str">
        <f>_xlfn.TEXTAFTER(Condiciones_acumuladas[[#This Row],[Descripción]], " ", -2)</f>
        <v>Jimmy Velasquez</v>
      </c>
      <c r="F1568" s="10" t="s">
        <v>2516</v>
      </c>
      <c r="G1568" s="11">
        <v>45839</v>
      </c>
    </row>
    <row r="1569" spans="1:7" ht="48.5" hidden="1" x14ac:dyDescent="0.35">
      <c r="A1569" s="8">
        <v>9168</v>
      </c>
      <c r="B1569" s="10" t="s">
        <v>4129</v>
      </c>
      <c r="C1569" s="10" t="s">
        <v>96</v>
      </c>
      <c r="D1569" s="9" t="s">
        <v>395</v>
      </c>
      <c r="E1569" s="9" t="str">
        <f>_xlfn.TEXTAFTER(Condiciones_acumuladas[[#This Row],[Descripción]], " ", -2)</f>
        <v>Jimmy Velasquez</v>
      </c>
      <c r="F1569" s="10" t="s">
        <v>2516</v>
      </c>
      <c r="G1569" s="11">
        <v>45839</v>
      </c>
    </row>
    <row r="1570" spans="1:7" ht="36.5" hidden="1" x14ac:dyDescent="0.35">
      <c r="A1570" s="8">
        <v>9165</v>
      </c>
      <c r="B1570" s="10" t="s">
        <v>4130</v>
      </c>
      <c r="C1570" s="10" t="s">
        <v>96</v>
      </c>
      <c r="D1570" s="9" t="s">
        <v>395</v>
      </c>
      <c r="E1570" s="9" t="str">
        <f>_xlfn.TEXTAFTER(Condiciones_acumuladas[[#This Row],[Descripción]], " ", -2)</f>
        <v>Jimmy Velasquez</v>
      </c>
      <c r="F1570" s="10" t="s">
        <v>2522</v>
      </c>
      <c r="G1570" s="11">
        <v>45839</v>
      </c>
    </row>
    <row r="1571" spans="1:7" ht="48.5" hidden="1" x14ac:dyDescent="0.35">
      <c r="A1571" s="8">
        <v>9171</v>
      </c>
      <c r="B1571" s="10" t="s">
        <v>4131</v>
      </c>
      <c r="C1571" s="10" t="s">
        <v>13</v>
      </c>
      <c r="D1571" s="9" t="s">
        <v>13</v>
      </c>
      <c r="E1571" s="9" t="str">
        <f>_xlfn.TEXTAFTER(Condiciones_acumuladas[[#This Row],[Descripción]], " ", -2)</f>
        <v>Wilber López</v>
      </c>
      <c r="F1571" s="10" t="s">
        <v>2516</v>
      </c>
      <c r="G1571" s="11">
        <v>45849</v>
      </c>
    </row>
    <row r="1572" spans="1:7" ht="36.5" hidden="1" x14ac:dyDescent="0.35">
      <c r="A1572" s="8">
        <v>9173</v>
      </c>
      <c r="B1572" s="10" t="s">
        <v>4132</v>
      </c>
      <c r="C1572" s="10" t="s">
        <v>196</v>
      </c>
      <c r="D1572" s="9" t="s">
        <v>96</v>
      </c>
      <c r="E1572" s="9" t="str">
        <f>_xlfn.TEXTAFTER(Condiciones_acumuladas[[#This Row],[Descripción]], " ", -2)</f>
        <v>Luis Perez</v>
      </c>
      <c r="F1572" s="10" t="s">
        <v>2525</v>
      </c>
      <c r="G1572" s="11">
        <v>45853</v>
      </c>
    </row>
    <row r="1573" spans="1:7" ht="36.5" hidden="1" x14ac:dyDescent="0.35">
      <c r="A1573" s="8">
        <v>9177</v>
      </c>
      <c r="B1573" s="10" t="s">
        <v>4133</v>
      </c>
      <c r="C1573" s="10" t="s">
        <v>250</v>
      </c>
      <c r="D1573" s="9" t="s">
        <v>278</v>
      </c>
      <c r="E1573" s="9" t="str">
        <f>_xlfn.TEXTAFTER(Condiciones_acumuladas[[#This Row],[Descripción]], " ", -2)</f>
        <v>Fredy Fuentes</v>
      </c>
      <c r="F1573" s="10" t="s">
        <v>2516</v>
      </c>
      <c r="G1573" s="11">
        <v>45855</v>
      </c>
    </row>
    <row r="1574" spans="1:7" ht="24.5" hidden="1" x14ac:dyDescent="0.35">
      <c r="A1574" s="8">
        <v>9194</v>
      </c>
      <c r="B1574" s="10" t="s">
        <v>4134</v>
      </c>
      <c r="C1574" s="10" t="s">
        <v>96</v>
      </c>
      <c r="D1574" s="9" t="s">
        <v>96</v>
      </c>
      <c r="E1574" s="9" t="str">
        <f>_xlfn.TEXTAFTER(Condiciones_acumuladas[[#This Row],[Descripción]], " ", -2)</f>
        <v>Bladimir López</v>
      </c>
      <c r="F1574" s="10" t="s">
        <v>2537</v>
      </c>
      <c r="G1574" s="11">
        <v>45854</v>
      </c>
    </row>
    <row r="1575" spans="1:7" ht="48.5" hidden="1" x14ac:dyDescent="0.35">
      <c r="A1575" s="8">
        <v>9182</v>
      </c>
      <c r="B1575" s="10" t="s">
        <v>4135</v>
      </c>
      <c r="C1575" s="10" t="s">
        <v>96</v>
      </c>
      <c r="D1575" s="9" t="s">
        <v>96</v>
      </c>
      <c r="E1575" s="9" t="str">
        <f>_xlfn.TEXTAFTER(Condiciones_acumuladas[[#This Row],[Descripción]], " ", -2)</f>
        <v>Isabel Saquila</v>
      </c>
      <c r="F1575" s="10" t="s">
        <v>2559</v>
      </c>
      <c r="G1575" s="11">
        <v>45852</v>
      </c>
    </row>
    <row r="1576" spans="1:7" ht="24.5" hidden="1" x14ac:dyDescent="0.35">
      <c r="A1576" s="8">
        <v>9184</v>
      </c>
      <c r="B1576" s="10" t="s">
        <v>4136</v>
      </c>
      <c r="C1576" s="10" t="s">
        <v>134</v>
      </c>
      <c r="D1576" s="9" t="s">
        <v>196</v>
      </c>
      <c r="E1576" s="9" t="str">
        <f>_xlfn.TEXTAFTER(Condiciones_acumuladas[[#This Row],[Descripción]], " ", -2)</f>
        <v>Luis Angel</v>
      </c>
      <c r="F1576" s="10" t="s">
        <v>2522</v>
      </c>
      <c r="G1576" s="11">
        <v>45853</v>
      </c>
    </row>
    <row r="1577" spans="1:7" ht="24.5" hidden="1" x14ac:dyDescent="0.35">
      <c r="A1577" s="8">
        <v>9198</v>
      </c>
      <c r="B1577" s="10" t="s">
        <v>4137</v>
      </c>
      <c r="C1577" s="10" t="s">
        <v>134</v>
      </c>
      <c r="D1577" s="9" t="s">
        <v>134</v>
      </c>
      <c r="E1577" s="9" t="str">
        <f>_xlfn.TEXTAFTER(Condiciones_acumuladas[[#This Row],[Descripción]], " ", -2)</f>
        <v>Gustavo Hernandez</v>
      </c>
      <c r="F1577" s="10" t="s">
        <v>2522</v>
      </c>
      <c r="G1577" s="11">
        <v>45854</v>
      </c>
    </row>
    <row r="1578" spans="1:7" ht="24.5" hidden="1" x14ac:dyDescent="0.35">
      <c r="A1578" s="8">
        <v>9196</v>
      </c>
      <c r="B1578" s="10" t="s">
        <v>4138</v>
      </c>
      <c r="C1578" s="10" t="s">
        <v>134</v>
      </c>
      <c r="D1578" s="9" t="s">
        <v>134</v>
      </c>
      <c r="E1578" s="9" t="str">
        <f>_xlfn.TEXTAFTER(Condiciones_acumuladas[[#This Row],[Descripción]], " ", -2)</f>
        <v>Gustavo Hernandez</v>
      </c>
      <c r="F1578" s="10" t="s">
        <v>2522</v>
      </c>
      <c r="G1578" s="11">
        <v>45854</v>
      </c>
    </row>
    <row r="1579" spans="1:7" ht="24.5" hidden="1" x14ac:dyDescent="0.35">
      <c r="A1579" s="8">
        <v>9197</v>
      </c>
      <c r="B1579" s="10" t="s">
        <v>4139</v>
      </c>
      <c r="C1579" s="10" t="s">
        <v>134</v>
      </c>
      <c r="D1579" s="9" t="s">
        <v>234</v>
      </c>
      <c r="E1579" s="9" t="str">
        <f>_xlfn.TEXTAFTER(Condiciones_acumuladas[[#This Row],[Descripción]], " ", -2)</f>
        <v>Gustavo Hernandez</v>
      </c>
      <c r="F1579" s="10" t="s">
        <v>2522</v>
      </c>
      <c r="G1579" s="11">
        <v>45854</v>
      </c>
    </row>
    <row r="1580" spans="1:7" ht="36.5" hidden="1" x14ac:dyDescent="0.35">
      <c r="A1580" s="8">
        <v>9190</v>
      </c>
      <c r="B1580" s="10" t="s">
        <v>4140</v>
      </c>
      <c r="C1580" s="10" t="s">
        <v>21</v>
      </c>
      <c r="D1580" s="9" t="s">
        <v>134</v>
      </c>
      <c r="E1580" s="9" t="str">
        <f>_xlfn.TEXTAFTER(Condiciones_acumuladas[[#This Row],[Descripción]], " ", -2)</f>
        <v>Roger Rivas</v>
      </c>
      <c r="F1580" s="10" t="s">
        <v>2516</v>
      </c>
      <c r="G1580" s="11">
        <v>45854</v>
      </c>
    </row>
    <row r="1581" spans="1:7" ht="36.5" hidden="1" x14ac:dyDescent="0.35">
      <c r="A1581" s="8">
        <v>9195</v>
      </c>
      <c r="B1581" s="10" t="s">
        <v>4141</v>
      </c>
      <c r="C1581" s="10" t="s">
        <v>13</v>
      </c>
      <c r="D1581" s="9" t="s">
        <v>250</v>
      </c>
      <c r="E1581" s="9" t="str">
        <f>_xlfn.TEXTAFTER(Condiciones_acumuladas[[#This Row],[Descripción]], " ", -2)</f>
        <v>Edson Bonifacio</v>
      </c>
      <c r="F1581" s="10" t="s">
        <v>2530</v>
      </c>
      <c r="G1581" s="11">
        <v>45854</v>
      </c>
    </row>
    <row r="1582" spans="1:7" ht="24.5" hidden="1" x14ac:dyDescent="0.35">
      <c r="A1582" s="8">
        <v>9193</v>
      </c>
      <c r="B1582" s="10" t="s">
        <v>4142</v>
      </c>
      <c r="C1582" s="10" t="s">
        <v>134</v>
      </c>
      <c r="D1582" s="9" t="s">
        <v>395</v>
      </c>
      <c r="E1582" s="9" t="str">
        <f>_xlfn.TEXTAFTER(Condiciones_acumuladas[[#This Row],[Descripción]], " ", -2)</f>
        <v>Josue Vasquez</v>
      </c>
      <c r="F1582" s="10" t="s">
        <v>2522</v>
      </c>
      <c r="G1582" s="11">
        <v>45854</v>
      </c>
    </row>
    <row r="1583" spans="1:7" ht="24.5" hidden="1" x14ac:dyDescent="0.35">
      <c r="A1583" s="8">
        <v>9192</v>
      </c>
      <c r="B1583" s="10" t="s">
        <v>4143</v>
      </c>
      <c r="C1583" s="10" t="s">
        <v>21</v>
      </c>
      <c r="D1583" s="9" t="s">
        <v>134</v>
      </c>
      <c r="E1583" s="9" t="str">
        <f>_xlfn.TEXTAFTER(Condiciones_acumuladas[[#This Row],[Descripción]], " ", -2)</f>
        <v>Roger Rivas</v>
      </c>
      <c r="F1583" s="10" t="s">
        <v>2540</v>
      </c>
      <c r="G1583" s="11">
        <v>45854</v>
      </c>
    </row>
    <row r="1584" spans="1:7" ht="24.5" hidden="1" x14ac:dyDescent="0.35">
      <c r="A1584" s="8">
        <v>9191</v>
      </c>
      <c r="B1584" s="10" t="s">
        <v>4144</v>
      </c>
      <c r="C1584" s="10" t="s">
        <v>21</v>
      </c>
      <c r="D1584" s="9" t="s">
        <v>134</v>
      </c>
      <c r="E1584" s="9" t="str">
        <f>_xlfn.TEXTAFTER(Condiciones_acumuladas[[#This Row],[Descripción]], " ", -2)</f>
        <v>Roger Rivas</v>
      </c>
      <c r="F1584" s="10" t="s">
        <v>2522</v>
      </c>
      <c r="G1584" s="11">
        <v>45854</v>
      </c>
    </row>
    <row r="1585" spans="1:7" ht="24.5" hidden="1" x14ac:dyDescent="0.35">
      <c r="A1585" s="8">
        <v>9189</v>
      </c>
      <c r="B1585" s="10" t="s">
        <v>4145</v>
      </c>
      <c r="C1585" s="10" t="s">
        <v>26</v>
      </c>
      <c r="D1585" s="9" t="s">
        <v>371</v>
      </c>
      <c r="E1585" s="9" t="str">
        <f>_xlfn.TEXTAFTER(Condiciones_acumuladas[[#This Row],[Descripción]], " ", -2)</f>
        <v>Vinicio Mendoza</v>
      </c>
      <c r="F1585" s="10" t="s">
        <v>2522</v>
      </c>
      <c r="G1585" s="11">
        <v>45854</v>
      </c>
    </row>
    <row r="1586" spans="1:7" ht="36.5" hidden="1" x14ac:dyDescent="0.35">
      <c r="A1586" s="8">
        <v>9188</v>
      </c>
      <c r="B1586" s="10" t="s">
        <v>4146</v>
      </c>
      <c r="C1586" s="10" t="s">
        <v>96</v>
      </c>
      <c r="D1586" s="9" t="s">
        <v>395</v>
      </c>
      <c r="E1586" s="9" t="str">
        <f>_xlfn.TEXTAFTER(Condiciones_acumuladas[[#This Row],[Descripción]], " ", -2)</f>
        <v>Yessi Guarcas</v>
      </c>
      <c r="F1586" s="10" t="s">
        <v>2525</v>
      </c>
      <c r="G1586" s="11">
        <v>45854</v>
      </c>
    </row>
    <row r="1587" spans="1:7" ht="36.5" hidden="1" x14ac:dyDescent="0.35">
      <c r="A1587" s="8">
        <v>9187</v>
      </c>
      <c r="B1587" s="10" t="s">
        <v>4147</v>
      </c>
      <c r="C1587" s="10" t="s">
        <v>395</v>
      </c>
      <c r="D1587" s="9" t="s">
        <v>196</v>
      </c>
      <c r="E1587" s="9" t="str">
        <f>_xlfn.TEXTAFTER(Condiciones_acumuladas[[#This Row],[Descripción]], " ", -2)</f>
        <v>Jaime Chex</v>
      </c>
      <c r="F1587" s="10" t="s">
        <v>2525</v>
      </c>
      <c r="G1587" s="11">
        <v>45854</v>
      </c>
    </row>
    <row r="1588" spans="1:7" ht="24.5" hidden="1" x14ac:dyDescent="0.35">
      <c r="A1588" s="8">
        <v>9185</v>
      </c>
      <c r="B1588" s="10" t="s">
        <v>4148</v>
      </c>
      <c r="C1588" s="10" t="s">
        <v>26</v>
      </c>
      <c r="D1588" s="9" t="s">
        <v>371</v>
      </c>
      <c r="E1588" s="9" t="str">
        <f>_xlfn.TEXTAFTER(Condiciones_acumuladas[[#This Row],[Descripción]], " ", -2)</f>
        <v>Vinicio Mendoza</v>
      </c>
      <c r="F1588" s="10" t="s">
        <v>2522</v>
      </c>
      <c r="G1588" s="11">
        <v>45854</v>
      </c>
    </row>
    <row r="1589" spans="1:7" ht="36.5" hidden="1" x14ac:dyDescent="0.35">
      <c r="A1589" s="8">
        <v>9186</v>
      </c>
      <c r="B1589" s="10" t="s">
        <v>4149</v>
      </c>
      <c r="C1589" s="10" t="s">
        <v>196</v>
      </c>
      <c r="D1589" s="9" t="s">
        <v>190</v>
      </c>
      <c r="E1589" s="9" t="str">
        <f>_xlfn.TEXTAFTER(Condiciones_acumuladas[[#This Row],[Descripción]], " ", -2)</f>
        <v>Edson Bonifacio</v>
      </c>
      <c r="F1589" s="10" t="s">
        <v>2516</v>
      </c>
      <c r="G1589" s="11">
        <v>45854</v>
      </c>
    </row>
    <row r="1590" spans="1:7" ht="36.5" hidden="1" x14ac:dyDescent="0.35">
      <c r="A1590" s="8">
        <v>9183</v>
      </c>
      <c r="B1590" s="10" t="s">
        <v>4150</v>
      </c>
      <c r="C1590" s="10" t="s">
        <v>134</v>
      </c>
      <c r="D1590" s="9" t="s">
        <v>134</v>
      </c>
      <c r="E1590" s="9" t="str">
        <f>_xlfn.TEXTAFTER(Condiciones_acumuladas[[#This Row],[Descripción]], " ", -2)</f>
        <v>Mario Ramos</v>
      </c>
      <c r="F1590" s="10" t="s">
        <v>2516</v>
      </c>
      <c r="G1590" s="11">
        <v>45852</v>
      </c>
    </row>
    <row r="1591" spans="1:7" ht="24.5" hidden="1" x14ac:dyDescent="0.35">
      <c r="A1591" s="8">
        <v>9202</v>
      </c>
      <c r="B1591" s="10" t="s">
        <v>4151</v>
      </c>
      <c r="C1591" s="10" t="s">
        <v>95</v>
      </c>
      <c r="D1591" s="9" t="s">
        <v>95</v>
      </c>
      <c r="E1591" s="9" t="str">
        <f>_xlfn.TEXTAFTER(Condiciones_acumuladas[[#This Row],[Descripción]], " ", -2)</f>
        <v>Gerson Castañeda</v>
      </c>
      <c r="F1591" s="10" t="s">
        <v>2834</v>
      </c>
      <c r="G1591" s="11">
        <v>45859</v>
      </c>
    </row>
    <row r="1592" spans="1:7" ht="36.5" hidden="1" x14ac:dyDescent="0.35">
      <c r="A1592" s="8">
        <v>9203</v>
      </c>
      <c r="B1592" s="10" t="s">
        <v>4152</v>
      </c>
      <c r="C1592" s="10" t="s">
        <v>95</v>
      </c>
      <c r="D1592" s="9" t="s">
        <v>95</v>
      </c>
      <c r="E1592" s="9" t="str">
        <f>_xlfn.TEXTAFTER(Condiciones_acumuladas[[#This Row],[Descripción]], " ", -2)</f>
        <v>Hellen consuelo</v>
      </c>
      <c r="F1592" s="10" t="s">
        <v>2834</v>
      </c>
      <c r="G1592" s="11">
        <v>45859</v>
      </c>
    </row>
    <row r="1593" spans="1:7" ht="24.5" hidden="1" x14ac:dyDescent="0.35">
      <c r="A1593" s="8">
        <v>9209</v>
      </c>
      <c r="B1593" s="10" t="s">
        <v>4153</v>
      </c>
      <c r="C1593" s="10" t="s">
        <v>196</v>
      </c>
      <c r="D1593" s="9" t="s">
        <v>196</v>
      </c>
      <c r="E1593" s="9" t="str">
        <f>_xlfn.TEXTAFTER(Condiciones_acumuladas[[#This Row],[Descripción]], " ", -2)</f>
        <v>Jason Calderón</v>
      </c>
      <c r="F1593" s="10" t="s">
        <v>2537</v>
      </c>
      <c r="G1593" s="11">
        <v>45859</v>
      </c>
    </row>
    <row r="1594" spans="1:7" ht="36.5" hidden="1" x14ac:dyDescent="0.35">
      <c r="A1594" s="8">
        <v>9204</v>
      </c>
      <c r="B1594" s="10" t="s">
        <v>4154</v>
      </c>
      <c r="C1594" s="10" t="s">
        <v>134</v>
      </c>
      <c r="D1594" s="9" t="s">
        <v>134</v>
      </c>
      <c r="E1594" s="9" t="str">
        <f>_xlfn.TEXTAFTER(Condiciones_acumuladas[[#This Row],[Descripción]], " ", -2)</f>
        <v>Gustavo Hernandez</v>
      </c>
      <c r="F1594" s="10" t="s">
        <v>2530</v>
      </c>
      <c r="G1594" s="11">
        <v>45856</v>
      </c>
    </row>
    <row r="1595" spans="1:7" ht="24.5" hidden="1" x14ac:dyDescent="0.35">
      <c r="A1595" s="8">
        <v>9205</v>
      </c>
      <c r="B1595" s="10" t="s">
        <v>4155</v>
      </c>
      <c r="C1595" s="10" t="s">
        <v>96</v>
      </c>
      <c r="D1595" s="9" t="s">
        <v>96</v>
      </c>
      <c r="E1595" s="9" t="str">
        <f>_xlfn.TEXTAFTER(Condiciones_acumuladas[[#This Row],[Descripción]], " ", -2)</f>
        <v>Jimmy Velasquez</v>
      </c>
      <c r="F1595" s="10" t="s">
        <v>2537</v>
      </c>
      <c r="G1595" s="11">
        <v>45856</v>
      </c>
    </row>
    <row r="1596" spans="1:7" ht="24.5" hidden="1" x14ac:dyDescent="0.35">
      <c r="A1596" s="8">
        <v>9206</v>
      </c>
      <c r="B1596" s="10" t="s">
        <v>4156</v>
      </c>
      <c r="C1596" s="10" t="s">
        <v>96</v>
      </c>
      <c r="D1596" s="9" t="s">
        <v>96</v>
      </c>
      <c r="E1596" s="9" t="str">
        <f>_xlfn.TEXTAFTER(Condiciones_acumuladas[[#This Row],[Descripción]], " ", -2)</f>
        <v>Jimmy Velasquez</v>
      </c>
      <c r="F1596" s="10" t="s">
        <v>2537</v>
      </c>
      <c r="G1596" s="11">
        <v>45856</v>
      </c>
    </row>
    <row r="1597" spans="1:7" ht="36.5" hidden="1" x14ac:dyDescent="0.35">
      <c r="A1597" s="8">
        <v>9207</v>
      </c>
      <c r="B1597" s="10" t="s">
        <v>4157</v>
      </c>
      <c r="C1597" s="10" t="s">
        <v>26</v>
      </c>
      <c r="D1597" s="9" t="s">
        <v>234</v>
      </c>
      <c r="E1597" s="9" t="str">
        <f>_xlfn.TEXTAFTER(Condiciones_acumuladas[[#This Row],[Descripción]], " ", -2)</f>
        <v>Gustavo Hernandez</v>
      </c>
      <c r="F1597" s="10" t="s">
        <v>2530</v>
      </c>
      <c r="G1597" s="11">
        <v>45856</v>
      </c>
    </row>
    <row r="1598" spans="1:7" ht="48.5" hidden="1" x14ac:dyDescent="0.35">
      <c r="A1598" s="8">
        <v>9208</v>
      </c>
      <c r="B1598" s="10" t="s">
        <v>4158</v>
      </c>
      <c r="C1598" s="10" t="s">
        <v>96</v>
      </c>
      <c r="D1598" s="9" t="s">
        <v>96</v>
      </c>
      <c r="E1598" s="9" t="str">
        <f>_xlfn.TEXTAFTER(Condiciones_acumuladas[[#This Row],[Descripción]], " ", -2)</f>
        <v>Isabel Saquila</v>
      </c>
      <c r="F1598" s="10" t="s">
        <v>2559</v>
      </c>
      <c r="G1598" s="11">
        <v>45856</v>
      </c>
    </row>
    <row r="1599" spans="1:7" ht="48.5" hidden="1" x14ac:dyDescent="0.35">
      <c r="A1599" s="8">
        <v>9211</v>
      </c>
      <c r="B1599" s="10" t="s">
        <v>4159</v>
      </c>
      <c r="C1599" s="10" t="s">
        <v>220</v>
      </c>
      <c r="D1599" s="9" t="s">
        <v>278</v>
      </c>
      <c r="E1599" s="9" t="str">
        <f>_xlfn.TEXTAFTER(Condiciones_acumuladas[[#This Row],[Descripción]], " ", -2)</f>
        <v>Gover Sologaistoa</v>
      </c>
      <c r="F1599" s="10" t="s">
        <v>2522</v>
      </c>
      <c r="G1599" s="11">
        <v>45857</v>
      </c>
    </row>
    <row r="1600" spans="1:7" ht="24.5" hidden="1" x14ac:dyDescent="0.35">
      <c r="A1600" s="8">
        <v>9210</v>
      </c>
      <c r="B1600" s="10" t="s">
        <v>4160</v>
      </c>
      <c r="C1600" s="10" t="s">
        <v>96</v>
      </c>
      <c r="D1600" s="9" t="s">
        <v>96</v>
      </c>
      <c r="E1600" s="9" t="str">
        <f>_xlfn.TEXTAFTER(Condiciones_acumuladas[[#This Row],[Descripción]], " ", -2)</f>
        <v>Isabel Saquila</v>
      </c>
      <c r="F1600" s="10" t="s">
        <v>2537</v>
      </c>
      <c r="G1600" s="11">
        <v>45857</v>
      </c>
    </row>
    <row r="1601" spans="1:7" ht="24.5" hidden="1" x14ac:dyDescent="0.35">
      <c r="A1601" s="8">
        <v>9214</v>
      </c>
      <c r="B1601" s="10" t="s">
        <v>4161</v>
      </c>
      <c r="C1601" s="10" t="s">
        <v>34</v>
      </c>
      <c r="D1601" s="9" t="s">
        <v>190</v>
      </c>
      <c r="E1601" s="9" t="str">
        <f>_xlfn.TEXTAFTER(Condiciones_acumuladas[[#This Row],[Descripción]], " ", -2)</f>
        <v>Jorge Ixtacuy</v>
      </c>
      <c r="F1601" s="10" t="s">
        <v>2540</v>
      </c>
      <c r="G1601" s="11">
        <v>45857</v>
      </c>
    </row>
    <row r="1602" spans="1:7" ht="24.5" hidden="1" x14ac:dyDescent="0.35">
      <c r="A1602" s="8">
        <v>9217</v>
      </c>
      <c r="B1602" s="10" t="s">
        <v>4162</v>
      </c>
      <c r="C1602" s="10" t="s">
        <v>96</v>
      </c>
      <c r="D1602" s="9" t="s">
        <v>96</v>
      </c>
      <c r="E1602" s="9" t="str">
        <f>_xlfn.TEXTAFTER(Condiciones_acumuladas[[#This Row],[Descripción]], " ", -2)</f>
        <v>Luis Perez</v>
      </c>
      <c r="F1602" s="10" t="s">
        <v>2537</v>
      </c>
      <c r="G1602" s="11">
        <v>45859</v>
      </c>
    </row>
    <row r="1603" spans="1:7" ht="48.5" hidden="1" x14ac:dyDescent="0.35">
      <c r="A1603" s="8">
        <v>9215</v>
      </c>
      <c r="B1603" s="10" t="s">
        <v>4163</v>
      </c>
      <c r="C1603" s="10" t="s">
        <v>190</v>
      </c>
      <c r="D1603" s="9" t="s">
        <v>371</v>
      </c>
      <c r="E1603" s="9" t="str">
        <f>_xlfn.TEXTAFTER(Condiciones_acumuladas[[#This Row],[Descripción]], " ", -2)</f>
        <v>Emilio Cux</v>
      </c>
      <c r="F1603" s="10" t="s">
        <v>2572</v>
      </c>
      <c r="G1603" s="11">
        <v>45859</v>
      </c>
    </row>
    <row r="1604" spans="1:7" ht="24.5" hidden="1" x14ac:dyDescent="0.35">
      <c r="A1604" s="8">
        <v>9216</v>
      </c>
      <c r="B1604" s="10" t="s">
        <v>4164</v>
      </c>
      <c r="C1604" s="10" t="s">
        <v>21</v>
      </c>
      <c r="D1604" s="9" t="s">
        <v>21</v>
      </c>
      <c r="E1604" s="9" t="str">
        <f>_xlfn.TEXTAFTER(Condiciones_acumuladas[[#This Row],[Descripción]], " ", -2)</f>
        <v>Abel Aguilar</v>
      </c>
      <c r="F1604" s="10" t="s">
        <v>2540</v>
      </c>
      <c r="G1604" s="11">
        <v>45859</v>
      </c>
    </row>
    <row r="1605" spans="1:7" ht="24.5" hidden="1" x14ac:dyDescent="0.35">
      <c r="A1605" s="8">
        <v>9220</v>
      </c>
      <c r="B1605" s="10" t="s">
        <v>4165</v>
      </c>
      <c r="C1605" s="10" t="s">
        <v>13</v>
      </c>
      <c r="D1605" s="9" t="s">
        <v>13</v>
      </c>
      <c r="E1605" s="9" t="str">
        <f>_xlfn.TEXTAFTER(Condiciones_acumuladas[[#This Row],[Descripción]], " ", -2)</f>
        <v>Abel Aguilar</v>
      </c>
      <c r="F1605" s="10" t="s">
        <v>2522</v>
      </c>
      <c r="G1605" s="11">
        <v>45859</v>
      </c>
    </row>
    <row r="1606" spans="1:7" ht="24.5" hidden="1" x14ac:dyDescent="0.35">
      <c r="A1606" s="8">
        <v>9219</v>
      </c>
      <c r="B1606" s="10" t="s">
        <v>4166</v>
      </c>
      <c r="C1606" s="10" t="s">
        <v>104</v>
      </c>
      <c r="D1606" s="9" t="s">
        <v>104</v>
      </c>
      <c r="E1606" s="9" t="str">
        <f>_xlfn.TEXTAFTER(Condiciones_acumuladas[[#This Row],[Descripción]], " ", -2)</f>
        <v>Alfonso Guatzin</v>
      </c>
      <c r="F1606" s="10" t="s">
        <v>2522</v>
      </c>
      <c r="G1606" s="11">
        <v>45859</v>
      </c>
    </row>
    <row r="1607" spans="1:7" ht="48.5" hidden="1" x14ac:dyDescent="0.35">
      <c r="A1607" s="8">
        <v>9218</v>
      </c>
      <c r="B1607" s="10" t="s">
        <v>4167</v>
      </c>
      <c r="C1607" s="10" t="s">
        <v>96</v>
      </c>
      <c r="D1607" s="9" t="s">
        <v>96</v>
      </c>
      <c r="E1607" s="9" t="str">
        <f>_xlfn.TEXTAFTER(Condiciones_acumuladas[[#This Row],[Descripción]], " ", -2)</f>
        <v>Luis Perez</v>
      </c>
      <c r="F1607" s="10" t="s">
        <v>2559</v>
      </c>
      <c r="G1607" s="11">
        <v>45859</v>
      </c>
    </row>
    <row r="1608" spans="1:7" ht="36.5" hidden="1" x14ac:dyDescent="0.35">
      <c r="A1608" s="8">
        <v>9221</v>
      </c>
      <c r="B1608" s="10" t="s">
        <v>4168</v>
      </c>
      <c r="C1608" s="10" t="s">
        <v>134</v>
      </c>
      <c r="D1608" s="9" t="s">
        <v>134</v>
      </c>
      <c r="E1608" s="9" t="str">
        <f>_xlfn.TEXTAFTER(Condiciones_acumuladas[[#This Row],[Descripción]], " ", -2)</f>
        <v>Roger Rivas</v>
      </c>
      <c r="F1608" s="10" t="s">
        <v>2525</v>
      </c>
      <c r="G1608" s="11">
        <v>45859</v>
      </c>
    </row>
    <row r="1609" spans="1:7" ht="24.5" hidden="1" x14ac:dyDescent="0.35">
      <c r="A1609" s="8">
        <v>9222</v>
      </c>
      <c r="B1609" s="10" t="s">
        <v>4169</v>
      </c>
      <c r="C1609" s="10" t="s">
        <v>134</v>
      </c>
      <c r="D1609" s="9" t="s">
        <v>134</v>
      </c>
      <c r="E1609" s="9" t="str">
        <f>_xlfn.TEXTAFTER(Condiciones_acumuladas[[#This Row],[Descripción]], " ", -2)</f>
        <v>Roger Rivas</v>
      </c>
      <c r="F1609" s="10" t="s">
        <v>2522</v>
      </c>
      <c r="G1609" s="11">
        <v>45859</v>
      </c>
    </row>
    <row r="1610" spans="1:7" ht="48.5" hidden="1" x14ac:dyDescent="0.35">
      <c r="A1610" s="8">
        <v>9251</v>
      </c>
      <c r="B1610" s="10" t="s">
        <v>4170</v>
      </c>
      <c r="C1610" s="10" t="s">
        <v>371</v>
      </c>
      <c r="D1610" s="9" t="s">
        <v>395</v>
      </c>
      <c r="E1610" s="9" t="str">
        <f>_xlfn.TEXTAFTER(Condiciones_acumuladas[[#This Row],[Descripción]], " ", -2)</f>
        <v>Selvin Perez</v>
      </c>
      <c r="F1610" s="10" t="s">
        <v>2522</v>
      </c>
      <c r="G1610" s="11">
        <v>45861</v>
      </c>
    </row>
    <row r="1611" spans="1:7" ht="36.5" hidden="1" x14ac:dyDescent="0.35">
      <c r="A1611" s="8">
        <v>9226</v>
      </c>
      <c r="B1611" s="10" t="s">
        <v>4171</v>
      </c>
      <c r="C1611" s="10" t="s">
        <v>220</v>
      </c>
      <c r="D1611" s="9" t="s">
        <v>395</v>
      </c>
      <c r="E1611" s="9" t="str">
        <f>_xlfn.TEXTAFTER(Condiciones_acumuladas[[#This Row],[Descripción]], " ", -2)</f>
        <v>Karla Hintz</v>
      </c>
      <c r="F1611" s="10" t="s">
        <v>2516</v>
      </c>
      <c r="G1611" s="11">
        <v>45861</v>
      </c>
    </row>
    <row r="1612" spans="1:7" ht="24.5" hidden="1" x14ac:dyDescent="0.35">
      <c r="A1612" s="8">
        <v>9227</v>
      </c>
      <c r="B1612" s="10" t="s">
        <v>4172</v>
      </c>
      <c r="C1612" s="10" t="s">
        <v>220</v>
      </c>
      <c r="D1612" s="9" t="s">
        <v>95</v>
      </c>
      <c r="E1612" s="9" t="str">
        <f>_xlfn.TEXTAFTER(Condiciones_acumuladas[[#This Row],[Descripción]], " ", -2)</f>
        <v>Edgar Coti</v>
      </c>
      <c r="F1612" s="10" t="s">
        <v>2540</v>
      </c>
      <c r="G1612" s="11">
        <v>45859</v>
      </c>
    </row>
    <row r="1613" spans="1:7" ht="24.5" hidden="1" x14ac:dyDescent="0.35">
      <c r="A1613" s="8">
        <v>9228</v>
      </c>
      <c r="B1613" s="10" t="s">
        <v>4173</v>
      </c>
      <c r="C1613" s="10" t="s">
        <v>134</v>
      </c>
      <c r="D1613" s="9" t="s">
        <v>395</v>
      </c>
      <c r="E1613" s="9" t="str">
        <f>_xlfn.TEXTAFTER(Condiciones_acumuladas[[#This Row],[Descripción]], " ", -2)</f>
        <v>Abraham Tahual</v>
      </c>
      <c r="F1613" s="10" t="s">
        <v>2540</v>
      </c>
      <c r="G1613" s="11">
        <v>45860</v>
      </c>
    </row>
    <row r="1614" spans="1:7" ht="36.5" hidden="1" x14ac:dyDescent="0.35">
      <c r="A1614" s="8">
        <v>9229</v>
      </c>
      <c r="B1614" s="10" t="s">
        <v>4174</v>
      </c>
      <c r="C1614" s="10" t="s">
        <v>21</v>
      </c>
      <c r="D1614" s="9" t="s">
        <v>21</v>
      </c>
      <c r="E1614" s="9" t="str">
        <f>_xlfn.TEXTAFTER(Condiciones_acumuladas[[#This Row],[Descripción]], " ", -2)</f>
        <v>Oscar Ramirez</v>
      </c>
      <c r="F1614" s="10" t="s">
        <v>2516</v>
      </c>
      <c r="G1614" s="11">
        <v>45860</v>
      </c>
    </row>
    <row r="1615" spans="1:7" ht="48.5" hidden="1" x14ac:dyDescent="0.35">
      <c r="A1615" s="8">
        <v>9231</v>
      </c>
      <c r="B1615" s="10" t="s">
        <v>4175</v>
      </c>
      <c r="C1615" s="10" t="s">
        <v>196</v>
      </c>
      <c r="D1615" s="9" t="s">
        <v>196</v>
      </c>
      <c r="E1615" s="9" t="str">
        <f>_xlfn.TEXTAFTER(Condiciones_acumuladas[[#This Row],[Descripción]], " ", -2)</f>
        <v>Jaime Chex</v>
      </c>
      <c r="F1615" s="10" t="s">
        <v>2559</v>
      </c>
      <c r="G1615" s="11">
        <v>45860</v>
      </c>
    </row>
    <row r="1616" spans="1:7" ht="24.5" hidden="1" x14ac:dyDescent="0.35">
      <c r="A1616" s="8">
        <v>9233</v>
      </c>
      <c r="B1616" s="10" t="s">
        <v>4176</v>
      </c>
      <c r="C1616" s="10" t="s">
        <v>134</v>
      </c>
      <c r="D1616" s="9" t="s">
        <v>134</v>
      </c>
      <c r="E1616" s="9" t="str">
        <f>_xlfn.TEXTAFTER(Condiciones_acumuladas[[#This Row],[Descripción]], " ", -2)</f>
        <v>Gustavo Hernandez</v>
      </c>
      <c r="F1616" s="10" t="s">
        <v>2522</v>
      </c>
      <c r="G1616" s="11">
        <v>45861</v>
      </c>
    </row>
    <row r="1617" spans="1:7" ht="36.5" hidden="1" x14ac:dyDescent="0.35">
      <c r="A1617" s="8">
        <v>9236</v>
      </c>
      <c r="B1617" s="10" t="s">
        <v>4177</v>
      </c>
      <c r="C1617" s="10" t="s">
        <v>13</v>
      </c>
      <c r="D1617" s="9" t="s">
        <v>13</v>
      </c>
      <c r="E1617" s="9" t="str">
        <f>_xlfn.TEXTAFTER(Condiciones_acumuladas[[#This Row],[Descripción]], " ", -2)</f>
        <v>Abel Aguilar</v>
      </c>
      <c r="F1617" s="10" t="s">
        <v>2525</v>
      </c>
      <c r="G1617" s="11">
        <v>45861</v>
      </c>
    </row>
    <row r="1618" spans="1:7" ht="48.5" hidden="1" x14ac:dyDescent="0.35">
      <c r="A1618" s="8">
        <v>9232</v>
      </c>
      <c r="B1618" s="10" t="s">
        <v>4178</v>
      </c>
      <c r="C1618" s="10" t="s">
        <v>96</v>
      </c>
      <c r="D1618" s="9" t="s">
        <v>134</v>
      </c>
      <c r="E1618" s="9" t="str">
        <f>_xlfn.TEXTAFTER(Condiciones_acumuladas[[#This Row],[Descripción]], " ", -2)</f>
        <v>Roger Rivas</v>
      </c>
      <c r="F1618" s="10" t="s">
        <v>2559</v>
      </c>
      <c r="G1618" s="11">
        <v>45861</v>
      </c>
    </row>
    <row r="1619" spans="1:7" ht="36.5" hidden="1" x14ac:dyDescent="0.35">
      <c r="A1619" s="8">
        <v>9234</v>
      </c>
      <c r="B1619" s="10" t="s">
        <v>4177</v>
      </c>
      <c r="C1619" s="10" t="s">
        <v>13</v>
      </c>
      <c r="D1619" s="9" t="s">
        <v>13</v>
      </c>
      <c r="E1619" s="9" t="str">
        <f>_xlfn.TEXTAFTER(Condiciones_acumuladas[[#This Row],[Descripción]], " ", -2)</f>
        <v>Abel Aguilar</v>
      </c>
      <c r="F1619" s="10" t="s">
        <v>2525</v>
      </c>
      <c r="G1619" s="11">
        <v>45861</v>
      </c>
    </row>
    <row r="1620" spans="1:7" ht="24.5" hidden="1" x14ac:dyDescent="0.35">
      <c r="A1620" s="8">
        <v>9244</v>
      </c>
      <c r="B1620" s="10" t="s">
        <v>4179</v>
      </c>
      <c r="C1620" s="10" t="s">
        <v>26</v>
      </c>
      <c r="D1620" s="9" t="s">
        <v>395</v>
      </c>
      <c r="E1620" s="9" t="str">
        <f>_xlfn.TEXTAFTER(Condiciones_acumuladas[[#This Row],[Descripción]], " ", -2)</f>
        <v>Josue Vasquez</v>
      </c>
      <c r="F1620" s="10" t="s">
        <v>2540</v>
      </c>
      <c r="G1620" s="11">
        <v>45861</v>
      </c>
    </row>
    <row r="1621" spans="1:7" ht="24.5" hidden="1" x14ac:dyDescent="0.35">
      <c r="A1621" s="8">
        <v>9242</v>
      </c>
      <c r="B1621" s="10" t="s">
        <v>4180</v>
      </c>
      <c r="C1621" s="10" t="s">
        <v>220</v>
      </c>
      <c r="D1621" s="9" t="s">
        <v>95</v>
      </c>
      <c r="E1621" s="9" t="str">
        <f>_xlfn.TEXTAFTER(Condiciones_acumuladas[[#This Row],[Descripción]], " ", -2)</f>
        <v>Jessica Loarca</v>
      </c>
      <c r="F1621" s="10" t="s">
        <v>2522</v>
      </c>
      <c r="G1621" s="11">
        <v>45861</v>
      </c>
    </row>
    <row r="1622" spans="1:7" ht="36.5" hidden="1" x14ac:dyDescent="0.35">
      <c r="A1622" s="8">
        <v>9230</v>
      </c>
      <c r="B1622" s="10" t="s">
        <v>4181</v>
      </c>
      <c r="C1622" s="10" t="s">
        <v>196</v>
      </c>
      <c r="D1622" s="9" t="s">
        <v>196</v>
      </c>
      <c r="E1622" s="9" t="str">
        <f>_xlfn.TEXTAFTER(Condiciones_acumuladas[[#This Row],[Descripción]], " ", -2)</f>
        <v>Jaime Chex</v>
      </c>
      <c r="F1622" s="10" t="s">
        <v>2516</v>
      </c>
      <c r="G1622" s="11">
        <v>45860</v>
      </c>
    </row>
    <row r="1623" spans="1:7" ht="36.5" hidden="1" x14ac:dyDescent="0.35">
      <c r="A1623" s="8">
        <v>9237</v>
      </c>
      <c r="B1623" s="10" t="s">
        <v>4182</v>
      </c>
      <c r="C1623" s="10" t="s">
        <v>96</v>
      </c>
      <c r="D1623" s="9" t="s">
        <v>96</v>
      </c>
      <c r="E1623" s="9" t="str">
        <f>_xlfn.TEXTAFTER(Condiciones_acumuladas[[#This Row],[Descripción]], " ", -2)</f>
        <v>Carlos Poz</v>
      </c>
      <c r="F1623" s="10" t="s">
        <v>2525</v>
      </c>
      <c r="G1623" s="11">
        <v>45861</v>
      </c>
    </row>
    <row r="1624" spans="1:7" ht="24.5" hidden="1" x14ac:dyDescent="0.35">
      <c r="A1624" s="8">
        <v>9239</v>
      </c>
      <c r="B1624" s="10" t="s">
        <v>4183</v>
      </c>
      <c r="C1624" s="10" t="s">
        <v>134</v>
      </c>
      <c r="D1624" s="9" t="s">
        <v>134</v>
      </c>
      <c r="E1624" s="9" t="str">
        <f>_xlfn.TEXTAFTER(Condiciones_acumuladas[[#This Row],[Descripción]], " ", -2)</f>
        <v>Jaime Chilel</v>
      </c>
      <c r="F1624" s="10" t="s">
        <v>2540</v>
      </c>
      <c r="G1624" s="11">
        <v>45861</v>
      </c>
    </row>
    <row r="1625" spans="1:7" ht="36.5" hidden="1" x14ac:dyDescent="0.35">
      <c r="A1625" s="8">
        <v>9241</v>
      </c>
      <c r="B1625" s="10" t="s">
        <v>4184</v>
      </c>
      <c r="C1625" s="10" t="s">
        <v>134</v>
      </c>
      <c r="D1625" s="9" t="s">
        <v>134</v>
      </c>
      <c r="E1625" s="9" t="str">
        <f>_xlfn.TEXTAFTER(Condiciones_acumuladas[[#This Row],[Descripción]], " ", -2)</f>
        <v>Jaime Chilel</v>
      </c>
      <c r="F1625" s="10" t="s">
        <v>2530</v>
      </c>
      <c r="G1625" s="11">
        <v>45861</v>
      </c>
    </row>
    <row r="1626" spans="1:7" ht="48.5" hidden="1" x14ac:dyDescent="0.35">
      <c r="A1626" s="8">
        <v>9249</v>
      </c>
      <c r="B1626" s="10" t="s">
        <v>4185</v>
      </c>
      <c r="C1626" s="10" t="s">
        <v>26</v>
      </c>
      <c r="D1626" s="9" t="s">
        <v>395</v>
      </c>
      <c r="E1626" s="9" t="str">
        <f>_xlfn.TEXTAFTER(Condiciones_acumuladas[[#This Row],[Descripción]], " ", -2)</f>
        <v>Josue Vasquez</v>
      </c>
      <c r="F1626" s="10" t="s">
        <v>2715</v>
      </c>
      <c r="G1626" s="11">
        <v>45861</v>
      </c>
    </row>
    <row r="1627" spans="1:7" ht="24.5" hidden="1" x14ac:dyDescent="0.35">
      <c r="A1627" s="8">
        <v>9250</v>
      </c>
      <c r="B1627" s="10" t="s">
        <v>4186</v>
      </c>
      <c r="C1627" s="10" t="s">
        <v>13</v>
      </c>
      <c r="D1627" s="9" t="s">
        <v>250</v>
      </c>
      <c r="E1627" s="9" t="str">
        <f>_xlfn.TEXTAFTER(Condiciones_acumuladas[[#This Row],[Descripción]], " ", -2)</f>
        <v>Pablo Donis</v>
      </c>
      <c r="F1627" s="10" t="s">
        <v>2522</v>
      </c>
      <c r="G1627" s="11">
        <v>45861</v>
      </c>
    </row>
    <row r="1628" spans="1:7" ht="24.5" hidden="1" x14ac:dyDescent="0.35">
      <c r="A1628" s="8">
        <v>9247</v>
      </c>
      <c r="B1628" s="10" t="s">
        <v>4187</v>
      </c>
      <c r="C1628" s="10" t="s">
        <v>250</v>
      </c>
      <c r="D1628" s="9" t="s">
        <v>395</v>
      </c>
      <c r="E1628" s="9" t="str">
        <f>_xlfn.TEXTAFTER(Condiciones_acumuladas[[#This Row],[Descripción]], " ", -2)</f>
        <v>Yessi Guarcas</v>
      </c>
      <c r="F1628" s="10" t="s">
        <v>2522</v>
      </c>
      <c r="G1628" s="11">
        <v>45861</v>
      </c>
    </row>
    <row r="1629" spans="1:7" ht="36.5" hidden="1" x14ac:dyDescent="0.35">
      <c r="A1629" s="8">
        <v>9248</v>
      </c>
      <c r="B1629" s="10" t="s">
        <v>4188</v>
      </c>
      <c r="C1629" s="10" t="s">
        <v>250</v>
      </c>
      <c r="D1629" s="9" t="s">
        <v>395</v>
      </c>
      <c r="E1629" s="9" t="str">
        <f>_xlfn.TEXTAFTER(Condiciones_acumuladas[[#This Row],[Descripción]], " ", -2)</f>
        <v>Yessi Guarcas</v>
      </c>
      <c r="F1629" s="10" t="s">
        <v>2522</v>
      </c>
      <c r="G1629" s="11">
        <v>45861</v>
      </c>
    </row>
    <row r="1630" spans="1:7" ht="36.5" hidden="1" x14ac:dyDescent="0.35">
      <c r="A1630" s="8">
        <v>9246</v>
      </c>
      <c r="B1630" s="10" t="s">
        <v>4189</v>
      </c>
      <c r="C1630" s="10" t="s">
        <v>96</v>
      </c>
      <c r="D1630" s="9" t="s">
        <v>96</v>
      </c>
      <c r="E1630" s="9" t="str">
        <f>_xlfn.TEXTAFTER(Condiciones_acumuladas[[#This Row],[Descripción]], " ", -2)</f>
        <v>Luis Perez</v>
      </c>
      <c r="F1630" s="10" t="s">
        <v>2530</v>
      </c>
      <c r="G1630" s="11">
        <v>45861</v>
      </c>
    </row>
    <row r="1631" spans="1:7" ht="24.5" hidden="1" x14ac:dyDescent="0.35">
      <c r="A1631" s="8">
        <v>9240</v>
      </c>
      <c r="B1631" s="10" t="s">
        <v>4190</v>
      </c>
      <c r="C1631" s="10" t="s">
        <v>26</v>
      </c>
      <c r="D1631" s="9" t="s">
        <v>26</v>
      </c>
      <c r="E1631" s="9" t="str">
        <f>_xlfn.TEXTAFTER(Condiciones_acumuladas[[#This Row],[Descripción]], " ", -2)</f>
        <v>Amilcar Ralda</v>
      </c>
      <c r="F1631" s="10" t="s">
        <v>2522</v>
      </c>
      <c r="G1631" s="11">
        <v>45861</v>
      </c>
    </row>
    <row r="1632" spans="1:7" ht="36.5" hidden="1" x14ac:dyDescent="0.35">
      <c r="A1632" s="8">
        <v>9238</v>
      </c>
      <c r="B1632" s="10" t="s">
        <v>4191</v>
      </c>
      <c r="C1632" s="10" t="s">
        <v>21</v>
      </c>
      <c r="D1632" s="9" t="s">
        <v>21</v>
      </c>
      <c r="E1632" s="9" t="str">
        <f>_xlfn.TEXTAFTER(Condiciones_acumuladas[[#This Row],[Descripción]], " ", -2)</f>
        <v>Antony Ramos</v>
      </c>
      <c r="F1632" s="10" t="s">
        <v>2516</v>
      </c>
      <c r="G1632" s="11">
        <v>45861</v>
      </c>
    </row>
    <row r="1633" spans="1:7" ht="36.5" hidden="1" x14ac:dyDescent="0.35">
      <c r="A1633" s="8">
        <v>9235</v>
      </c>
      <c r="B1633" s="10" t="s">
        <v>4192</v>
      </c>
      <c r="C1633" s="10" t="s">
        <v>371</v>
      </c>
      <c r="D1633" s="9" t="s">
        <v>371</v>
      </c>
      <c r="E1633" s="9" t="str">
        <f>_xlfn.TEXTAFTER(Condiciones_acumuladas[[#This Row],[Descripción]], " ", -2)</f>
        <v>Rodrigo Galindo</v>
      </c>
      <c r="F1633" s="10" t="s">
        <v>2572</v>
      </c>
      <c r="G1633" s="11">
        <v>45861</v>
      </c>
    </row>
    <row r="1634" spans="1:7" ht="36.5" hidden="1" x14ac:dyDescent="0.35">
      <c r="A1634" s="8">
        <v>9225</v>
      </c>
      <c r="B1634" s="10" t="s">
        <v>4193</v>
      </c>
      <c r="C1634" s="10" t="s">
        <v>234</v>
      </c>
      <c r="D1634" s="9" t="s">
        <v>95</v>
      </c>
      <c r="E1634" s="9" t="str">
        <f>_xlfn.TEXTAFTER(Condiciones_acumuladas[[#This Row],[Descripción]], " ", -2)</f>
        <v>Andrea Gonzalez</v>
      </c>
      <c r="F1634" s="10" t="s">
        <v>2530</v>
      </c>
      <c r="G1634" s="11">
        <v>45860</v>
      </c>
    </row>
    <row r="1635" spans="1:7" ht="48.5" hidden="1" x14ac:dyDescent="0.35">
      <c r="A1635" s="8">
        <v>9224</v>
      </c>
      <c r="B1635" s="10" t="s">
        <v>4194</v>
      </c>
      <c r="C1635" s="10" t="s">
        <v>234</v>
      </c>
      <c r="D1635" s="9" t="s">
        <v>95</v>
      </c>
      <c r="E1635" s="9" t="str">
        <f>_xlfn.TEXTAFTER(Condiciones_acumuladas[[#This Row],[Descripción]], " ", -2)</f>
        <v>Andrea Gonzalez</v>
      </c>
      <c r="F1635" s="10" t="s">
        <v>2559</v>
      </c>
      <c r="G1635" s="11">
        <v>45860</v>
      </c>
    </row>
    <row r="1636" spans="1:7" ht="36.5" hidden="1" x14ac:dyDescent="0.35">
      <c r="A1636" s="8">
        <v>9256</v>
      </c>
      <c r="B1636" s="10" t="s">
        <v>4195</v>
      </c>
      <c r="C1636" s="10" t="s">
        <v>134</v>
      </c>
      <c r="D1636" s="9" t="s">
        <v>395</v>
      </c>
      <c r="E1636" s="9" t="str">
        <f>_xlfn.TEXTAFTER(Condiciones_acumuladas[[#This Row],[Descripción]], " ", -2)</f>
        <v>Karla Hintz</v>
      </c>
      <c r="F1636" s="10" t="s">
        <v>2530</v>
      </c>
      <c r="G1636" s="11">
        <v>45861</v>
      </c>
    </row>
    <row r="1637" spans="1:7" ht="48.5" hidden="1" x14ac:dyDescent="0.35">
      <c r="A1637" s="8">
        <v>9262</v>
      </c>
      <c r="B1637" s="10" t="s">
        <v>4196</v>
      </c>
      <c r="C1637" s="10" t="s">
        <v>96</v>
      </c>
      <c r="D1637" s="9" t="s">
        <v>395</v>
      </c>
      <c r="E1637" s="9" t="str">
        <f>_xlfn.TEXTAFTER(Condiciones_acumuladas[[#This Row],[Descripción]], " ", -2)</f>
        <v>Antony Ramos</v>
      </c>
      <c r="F1637" s="10" t="s">
        <v>2559</v>
      </c>
      <c r="G1637" s="11">
        <v>45861</v>
      </c>
    </row>
    <row r="1638" spans="1:7" ht="48.5" hidden="1" x14ac:dyDescent="0.35">
      <c r="A1638" s="8">
        <v>9261</v>
      </c>
      <c r="B1638" s="10" t="s">
        <v>4197</v>
      </c>
      <c r="C1638" s="10" t="s">
        <v>395</v>
      </c>
      <c r="D1638" s="9" t="s">
        <v>234</v>
      </c>
      <c r="E1638" s="9" t="str">
        <f>_xlfn.TEXTAFTER(Condiciones_acumuladas[[#This Row],[Descripción]], " ", -2)</f>
        <v>Jaime Chilel</v>
      </c>
      <c r="F1638" s="10" t="s">
        <v>2715</v>
      </c>
      <c r="G1638" s="11">
        <v>45856</v>
      </c>
    </row>
    <row r="1639" spans="1:7" ht="24.5" hidden="1" x14ac:dyDescent="0.35">
      <c r="A1639" s="8">
        <v>9264</v>
      </c>
      <c r="B1639" s="10" t="s">
        <v>4198</v>
      </c>
      <c r="C1639" s="10" t="s">
        <v>21</v>
      </c>
      <c r="D1639" s="9" t="s">
        <v>395</v>
      </c>
      <c r="E1639" s="9" t="str">
        <f>_xlfn.TEXTAFTER(Condiciones_acumuladas[[#This Row],[Descripción]], " ", -2)</f>
        <v>Karla Hintz</v>
      </c>
      <c r="F1639" s="10" t="s">
        <v>2540</v>
      </c>
      <c r="G1639" s="11">
        <v>45861</v>
      </c>
    </row>
    <row r="1640" spans="1:7" ht="24.5" hidden="1" x14ac:dyDescent="0.35">
      <c r="A1640" s="8">
        <v>9267</v>
      </c>
      <c r="B1640" s="10" t="s">
        <v>4199</v>
      </c>
      <c r="C1640" s="10" t="s">
        <v>13</v>
      </c>
      <c r="D1640" s="9" t="s">
        <v>13</v>
      </c>
      <c r="E1640" s="9" t="str">
        <f>_xlfn.TEXTAFTER(Condiciones_acumuladas[[#This Row],[Descripción]], " ", -2)</f>
        <v>Oscar Ramirez</v>
      </c>
      <c r="F1640" s="10" t="s">
        <v>2540</v>
      </c>
      <c r="G1640" s="11">
        <v>45862</v>
      </c>
    </row>
    <row r="1641" spans="1:7" ht="36.5" hidden="1" x14ac:dyDescent="0.35">
      <c r="A1641" s="8">
        <v>9263</v>
      </c>
      <c r="B1641" s="10" t="s">
        <v>4200</v>
      </c>
      <c r="C1641" s="10" t="s">
        <v>21</v>
      </c>
      <c r="D1641" s="9" t="s">
        <v>21</v>
      </c>
      <c r="E1641" s="9" t="str">
        <f>_xlfn.TEXTAFTER(Condiciones_acumuladas[[#This Row],[Descripción]], " ", -2)</f>
        <v>Karla Hintz</v>
      </c>
      <c r="F1641" s="10" t="s">
        <v>2516</v>
      </c>
      <c r="G1641" s="11">
        <v>45861</v>
      </c>
    </row>
    <row r="1642" spans="1:7" ht="36.5" hidden="1" x14ac:dyDescent="0.35">
      <c r="A1642" s="8">
        <v>9266</v>
      </c>
      <c r="B1642" s="10" t="s">
        <v>4201</v>
      </c>
      <c r="C1642" s="10" t="s">
        <v>96</v>
      </c>
      <c r="D1642" s="9" t="s">
        <v>395</v>
      </c>
      <c r="E1642" s="9" t="str">
        <f>_xlfn.TEXTAFTER(Condiciones_acumuladas[[#This Row],[Descripción]], " ", -2)</f>
        <v>Yessi Guarcas</v>
      </c>
      <c r="F1642" s="10" t="s">
        <v>2516</v>
      </c>
      <c r="G1642" s="11">
        <v>45861</v>
      </c>
    </row>
    <row r="1643" spans="1:7" ht="36.5" hidden="1" x14ac:dyDescent="0.35">
      <c r="A1643" s="8">
        <v>9269</v>
      </c>
      <c r="B1643" s="10" t="s">
        <v>4202</v>
      </c>
      <c r="C1643" s="10" t="s">
        <v>395</v>
      </c>
      <c r="D1643" s="9" t="s">
        <v>395</v>
      </c>
      <c r="E1643" s="9" t="str">
        <f>_xlfn.TEXTAFTER(Condiciones_acumuladas[[#This Row],[Descripción]], " ", -2)</f>
        <v>Antony Ramos</v>
      </c>
      <c r="F1643" s="10" t="s">
        <v>2522</v>
      </c>
      <c r="G1643" s="11">
        <v>45863</v>
      </c>
    </row>
    <row r="1644" spans="1:7" ht="48.5" hidden="1" x14ac:dyDescent="0.35">
      <c r="A1644" s="8">
        <v>9270</v>
      </c>
      <c r="B1644" s="10" t="s">
        <v>4203</v>
      </c>
      <c r="C1644" s="10" t="s">
        <v>234</v>
      </c>
      <c r="D1644" s="9" t="s">
        <v>95</v>
      </c>
      <c r="E1644" s="9" t="str">
        <f>_xlfn.TEXTAFTER(Condiciones_acumuladas[[#This Row],[Descripción]], " ", -2)</f>
        <v>Nelson Godinez</v>
      </c>
      <c r="F1644" s="10" t="s">
        <v>2559</v>
      </c>
      <c r="G1644" s="11">
        <v>45864</v>
      </c>
    </row>
    <row r="1645" spans="1:7" ht="36.5" hidden="1" x14ac:dyDescent="0.35">
      <c r="A1645" s="8">
        <v>9279</v>
      </c>
      <c r="B1645" s="10" t="s">
        <v>4204</v>
      </c>
      <c r="C1645" s="10" t="s">
        <v>196</v>
      </c>
      <c r="D1645" s="9" t="s">
        <v>95</v>
      </c>
      <c r="E1645" s="9" t="str">
        <f>_xlfn.TEXTAFTER(Condiciones_acumuladas[[#This Row],[Descripción]], " ", -2)</f>
        <v>Edgar Coti</v>
      </c>
      <c r="F1645" s="10" t="s">
        <v>2516</v>
      </c>
      <c r="G1645" s="11">
        <v>45862</v>
      </c>
    </row>
    <row r="1646" spans="1:7" ht="48.5" hidden="1" x14ac:dyDescent="0.35">
      <c r="A1646" s="8">
        <v>9281</v>
      </c>
      <c r="B1646" s="10" t="s">
        <v>4205</v>
      </c>
      <c r="C1646" s="10" t="s">
        <v>250</v>
      </c>
      <c r="D1646" s="9" t="s">
        <v>96</v>
      </c>
      <c r="E1646" s="9" t="str">
        <f>_xlfn.TEXTAFTER(Condiciones_acumuladas[[#This Row],[Descripción]], " ", -2)</f>
        <v>Miguel Yes</v>
      </c>
      <c r="F1646" s="10" t="s">
        <v>2559</v>
      </c>
      <c r="G1646" s="11">
        <v>45863</v>
      </c>
    </row>
    <row r="1647" spans="1:7" ht="24.5" hidden="1" x14ac:dyDescent="0.35">
      <c r="A1647" s="8">
        <v>9293</v>
      </c>
      <c r="B1647" s="10" t="s">
        <v>4206</v>
      </c>
      <c r="C1647" s="10" t="s">
        <v>13</v>
      </c>
      <c r="D1647" s="9" t="s">
        <v>13</v>
      </c>
      <c r="E1647" s="9" t="str">
        <f>_xlfn.TEXTAFTER(Condiciones_acumuladas[[#This Row],[Descripción]], " ", -2)</f>
        <v>Gustavo Hernandez</v>
      </c>
      <c r="F1647" s="10" t="s">
        <v>2522</v>
      </c>
      <c r="G1647" s="11">
        <v>45867</v>
      </c>
    </row>
    <row r="1648" spans="1:7" ht="48.5" hidden="1" x14ac:dyDescent="0.35">
      <c r="A1648" s="8">
        <v>9282</v>
      </c>
      <c r="B1648" s="10" t="s">
        <v>4207</v>
      </c>
      <c r="C1648" s="10" t="s">
        <v>937</v>
      </c>
      <c r="D1648" s="9" t="s">
        <v>190</v>
      </c>
      <c r="E1648" s="9" t="str">
        <f>_xlfn.TEXTAFTER(Condiciones_acumuladas[[#This Row],[Descripción]], " ", -2)</f>
        <v>Elvis Oliva</v>
      </c>
      <c r="F1648" s="10" t="s">
        <v>2559</v>
      </c>
      <c r="G1648" s="11">
        <v>45866</v>
      </c>
    </row>
    <row r="1649" spans="1:7" ht="36.5" hidden="1" x14ac:dyDescent="0.35">
      <c r="A1649" s="8">
        <v>9286</v>
      </c>
      <c r="B1649" s="10" t="s">
        <v>4208</v>
      </c>
      <c r="C1649" s="10" t="s">
        <v>95</v>
      </c>
      <c r="D1649" s="9" t="s">
        <v>134</v>
      </c>
      <c r="E1649" s="9" t="str">
        <f>_xlfn.TEXTAFTER(Condiciones_acumuladas[[#This Row],[Descripción]], " ", -2)</f>
        <v>Gustavo Hernandez</v>
      </c>
      <c r="F1649" s="10" t="s">
        <v>2516</v>
      </c>
      <c r="G1649" s="11">
        <v>45866</v>
      </c>
    </row>
    <row r="1650" spans="1:7" ht="36.5" hidden="1" x14ac:dyDescent="0.35">
      <c r="A1650" s="8">
        <v>9283</v>
      </c>
      <c r="B1650" s="10" t="s">
        <v>4209</v>
      </c>
      <c r="C1650" s="10" t="s">
        <v>21</v>
      </c>
      <c r="D1650" s="9" t="s">
        <v>21</v>
      </c>
      <c r="E1650" s="9" t="str">
        <f>_xlfn.TEXTAFTER(Condiciones_acumuladas[[#This Row],[Descripción]], " ", -2)</f>
        <v>Gustavo Hernandez</v>
      </c>
      <c r="F1650" s="10" t="s">
        <v>2516</v>
      </c>
      <c r="G1650" s="11">
        <v>45866</v>
      </c>
    </row>
    <row r="1651" spans="1:7" ht="48.5" hidden="1" x14ac:dyDescent="0.35">
      <c r="A1651" s="8">
        <v>9292</v>
      </c>
      <c r="B1651" s="10" t="s">
        <v>4210</v>
      </c>
      <c r="C1651" s="10" t="s">
        <v>96</v>
      </c>
      <c r="D1651" s="9" t="s">
        <v>104</v>
      </c>
      <c r="E1651" s="9" t="str">
        <f>_xlfn.TEXTAFTER(Condiciones_acumuladas[[#This Row],[Descripción]], " ", -2)</f>
        <v>Haydée Martínez</v>
      </c>
      <c r="F1651" s="10" t="s">
        <v>2559</v>
      </c>
      <c r="G1651" s="11">
        <v>45867</v>
      </c>
    </row>
    <row r="1652" spans="1:7" ht="24.5" hidden="1" x14ac:dyDescent="0.35">
      <c r="A1652" s="8">
        <v>9294</v>
      </c>
      <c r="B1652" s="10" t="s">
        <v>4211</v>
      </c>
      <c r="C1652" s="10" t="s">
        <v>13</v>
      </c>
      <c r="D1652" s="9" t="s">
        <v>13</v>
      </c>
      <c r="E1652" s="9" t="str">
        <f>_xlfn.TEXTAFTER(Condiciones_acumuladas[[#This Row],[Descripción]], " ", -2)</f>
        <v>Gustavo Hernandez</v>
      </c>
      <c r="F1652" s="10" t="s">
        <v>2522</v>
      </c>
      <c r="G1652" s="11">
        <v>45867</v>
      </c>
    </row>
    <row r="1653" spans="1:7" ht="24.5" hidden="1" x14ac:dyDescent="0.35">
      <c r="A1653" s="8">
        <v>9287</v>
      </c>
      <c r="B1653" s="10" t="s">
        <v>4212</v>
      </c>
      <c r="C1653" s="10" t="s">
        <v>13</v>
      </c>
      <c r="D1653" s="9" t="s">
        <v>13</v>
      </c>
      <c r="E1653" s="9" t="str">
        <f>_xlfn.TEXTAFTER(Condiciones_acumuladas[[#This Row],[Descripción]], " ", -2)</f>
        <v>Gustavo Hernandez</v>
      </c>
      <c r="F1653" s="10" t="s">
        <v>2522</v>
      </c>
      <c r="G1653" s="11">
        <v>45866</v>
      </c>
    </row>
    <row r="1654" spans="1:7" ht="24.5" hidden="1" x14ac:dyDescent="0.35">
      <c r="A1654" s="8">
        <v>9291</v>
      </c>
      <c r="B1654" s="10" t="s">
        <v>4213</v>
      </c>
      <c r="C1654" s="10" t="s">
        <v>134</v>
      </c>
      <c r="D1654" s="9" t="s">
        <v>134</v>
      </c>
      <c r="E1654" s="9" t="str">
        <f>_xlfn.TEXTAFTER(Condiciones_acumuladas[[#This Row],[Descripción]], " ", -2)</f>
        <v>Gustavo Hernandez</v>
      </c>
      <c r="F1654" s="10" t="s">
        <v>2522</v>
      </c>
      <c r="G1654" s="11">
        <v>45866</v>
      </c>
    </row>
    <row r="1655" spans="1:7" ht="36.5" hidden="1" x14ac:dyDescent="0.35">
      <c r="A1655" s="8">
        <v>9290</v>
      </c>
      <c r="B1655" s="10" t="s">
        <v>4214</v>
      </c>
      <c r="C1655" s="10" t="s">
        <v>220</v>
      </c>
      <c r="D1655" s="9" t="s">
        <v>95</v>
      </c>
      <c r="E1655" s="9" t="str">
        <f>_xlfn.TEXTAFTER(Condiciones_acumuladas[[#This Row],[Descripción]], " ", -2)</f>
        <v>William Galindo</v>
      </c>
      <c r="F1655" s="10" t="s">
        <v>2834</v>
      </c>
      <c r="G1655" s="11">
        <v>45866</v>
      </c>
    </row>
    <row r="1656" spans="1:7" ht="48.5" hidden="1" x14ac:dyDescent="0.35">
      <c r="A1656" s="8">
        <v>9288</v>
      </c>
      <c r="B1656" s="10" t="s">
        <v>4215</v>
      </c>
      <c r="C1656" s="10" t="s">
        <v>95</v>
      </c>
      <c r="D1656" s="9" t="s">
        <v>234</v>
      </c>
      <c r="E1656" s="9" t="str">
        <f>_xlfn.TEXTAFTER(Condiciones_acumuladas[[#This Row],[Descripción]], " ", -2)</f>
        <v>Eliú Tello</v>
      </c>
      <c r="F1656" s="10" t="s">
        <v>2559</v>
      </c>
      <c r="G1656" s="11">
        <v>45866</v>
      </c>
    </row>
    <row r="1657" spans="1:7" ht="48.5" hidden="1" x14ac:dyDescent="0.35">
      <c r="A1657" s="8">
        <v>9305</v>
      </c>
      <c r="B1657" s="10" t="s">
        <v>4216</v>
      </c>
      <c r="C1657" s="10" t="s">
        <v>196</v>
      </c>
      <c r="D1657" s="9" t="s">
        <v>395</v>
      </c>
      <c r="E1657" s="9" t="str">
        <f>_xlfn.TEXTAFTER(Condiciones_acumuladas[[#This Row],[Descripción]], " ", -2)</f>
        <v>Josue Vasquez</v>
      </c>
      <c r="F1657" s="10" t="s">
        <v>2525</v>
      </c>
      <c r="G1657" s="11">
        <v>45869</v>
      </c>
    </row>
    <row r="1658" spans="1:7" ht="36.5" hidden="1" x14ac:dyDescent="0.35">
      <c r="A1658" s="8">
        <v>9297</v>
      </c>
      <c r="B1658" s="10" t="s">
        <v>4217</v>
      </c>
      <c r="C1658" s="10" t="s">
        <v>220</v>
      </c>
      <c r="D1658" s="9" t="s">
        <v>95</v>
      </c>
      <c r="E1658" s="9" t="str">
        <f>_xlfn.TEXTAFTER(Condiciones_acumuladas[[#This Row],[Descripción]], " ", -2)</f>
        <v>Hellen Consuelo</v>
      </c>
      <c r="F1658" s="10" t="s">
        <v>2572</v>
      </c>
      <c r="G1658" s="11">
        <v>45869</v>
      </c>
    </row>
    <row r="1659" spans="1:7" ht="24.5" hidden="1" x14ac:dyDescent="0.35">
      <c r="A1659" s="8">
        <v>9309</v>
      </c>
      <c r="B1659" s="10" t="s">
        <v>4218</v>
      </c>
      <c r="C1659" s="10" t="s">
        <v>34</v>
      </c>
      <c r="D1659" s="9" t="s">
        <v>220</v>
      </c>
      <c r="E1659" s="9" t="str">
        <f>_xlfn.TEXTAFTER(Condiciones_acumuladas[[#This Row],[Descripción]], " ", -2)</f>
        <v>Carlos Coc</v>
      </c>
      <c r="F1659" s="10" t="s">
        <v>2522</v>
      </c>
      <c r="G1659" s="11">
        <v>45867</v>
      </c>
    </row>
    <row r="1660" spans="1:7" ht="36.5" hidden="1" x14ac:dyDescent="0.35">
      <c r="A1660" s="8">
        <v>9310</v>
      </c>
      <c r="B1660" s="10" t="s">
        <v>4219</v>
      </c>
      <c r="C1660" s="10" t="s">
        <v>250</v>
      </c>
      <c r="D1660" s="9" t="s">
        <v>395</v>
      </c>
      <c r="E1660" s="9" t="str">
        <f>_xlfn.TEXTAFTER(Condiciones_acumuladas[[#This Row],[Descripción]], " ", -2)</f>
        <v>Karla Hintz</v>
      </c>
      <c r="F1660" s="10" t="s">
        <v>2530</v>
      </c>
      <c r="G1660" s="11">
        <v>45868</v>
      </c>
    </row>
    <row r="1661" spans="1:7" ht="48.5" hidden="1" x14ac:dyDescent="0.35">
      <c r="A1661" s="8">
        <v>9312</v>
      </c>
      <c r="B1661" s="10" t="s">
        <v>4220</v>
      </c>
      <c r="C1661" s="10" t="s">
        <v>95</v>
      </c>
      <c r="D1661" s="9" t="s">
        <v>395</v>
      </c>
      <c r="E1661" s="9" t="str">
        <f>_xlfn.TEXTAFTER(Condiciones_acumuladas[[#This Row],[Descripción]], " ", -2)</f>
        <v>Karla Hintz</v>
      </c>
      <c r="F1661" s="10" t="s">
        <v>2559</v>
      </c>
      <c r="G1661" s="11">
        <v>45867</v>
      </c>
    </row>
    <row r="1662" spans="1:7" ht="36.5" hidden="1" x14ac:dyDescent="0.35">
      <c r="A1662" s="8">
        <v>9314</v>
      </c>
      <c r="B1662" s="10" t="s">
        <v>4221</v>
      </c>
      <c r="C1662" s="10" t="s">
        <v>13</v>
      </c>
      <c r="D1662" s="9" t="s">
        <v>395</v>
      </c>
      <c r="E1662" s="9" t="str">
        <f>_xlfn.TEXTAFTER(Condiciones_acumuladas[[#This Row],[Descripción]], " ", -2)</f>
        <v>Karla Hintz</v>
      </c>
      <c r="F1662" s="10" t="s">
        <v>2530</v>
      </c>
      <c r="G1662" s="11">
        <v>45867</v>
      </c>
    </row>
    <row r="1663" spans="1:7" ht="48.5" hidden="1" x14ac:dyDescent="0.35">
      <c r="A1663" s="8">
        <v>9311</v>
      </c>
      <c r="B1663" s="10" t="s">
        <v>4222</v>
      </c>
      <c r="C1663" s="10" t="s">
        <v>234</v>
      </c>
      <c r="D1663" s="9" t="s">
        <v>395</v>
      </c>
      <c r="E1663" s="9" t="str">
        <f>_xlfn.TEXTAFTER(Condiciones_acumuladas[[#This Row],[Descripción]], " ", -2)</f>
        <v>Josue Vasquez</v>
      </c>
      <c r="F1663" s="10" t="s">
        <v>2559</v>
      </c>
      <c r="G1663" s="11">
        <v>45867</v>
      </c>
    </row>
    <row r="1664" spans="1:7" ht="36.5" hidden="1" x14ac:dyDescent="0.35">
      <c r="A1664" s="8">
        <v>9336</v>
      </c>
      <c r="B1664" s="10" t="s">
        <v>4223</v>
      </c>
      <c r="C1664" s="10" t="s">
        <v>96</v>
      </c>
      <c r="D1664" s="9" t="s">
        <v>96</v>
      </c>
      <c r="E1664" s="9" t="str">
        <f>_xlfn.TEXTAFTER(Condiciones_acumuladas[[#This Row],[Descripción]], " ", -2)</f>
        <v>Luis Perez</v>
      </c>
      <c r="F1664" s="10" t="s">
        <v>2516</v>
      </c>
      <c r="G1664" s="11">
        <v>45868</v>
      </c>
    </row>
    <row r="1665" spans="1:7" ht="24.5" hidden="1" x14ac:dyDescent="0.35">
      <c r="A1665" s="8">
        <v>9334</v>
      </c>
      <c r="B1665" s="10" t="s">
        <v>4224</v>
      </c>
      <c r="C1665" s="10" t="s">
        <v>220</v>
      </c>
      <c r="D1665" s="9" t="s">
        <v>220</v>
      </c>
      <c r="E1665" s="9" t="str">
        <f>_xlfn.TEXTAFTER(Condiciones_acumuladas[[#This Row],[Descripción]], " ", -2)</f>
        <v>Carlos Chavez</v>
      </c>
      <c r="F1665" s="10" t="s">
        <v>2834</v>
      </c>
      <c r="G1665" s="11">
        <v>45868</v>
      </c>
    </row>
    <row r="1666" spans="1:7" ht="36.5" hidden="1" x14ac:dyDescent="0.35">
      <c r="A1666" s="8">
        <v>9333</v>
      </c>
      <c r="B1666" s="10" t="s">
        <v>4225</v>
      </c>
      <c r="C1666" s="10" t="s">
        <v>21</v>
      </c>
      <c r="D1666" s="9" t="s">
        <v>21</v>
      </c>
      <c r="E1666" s="9" t="str">
        <f>_xlfn.TEXTAFTER(Condiciones_acumuladas[[#This Row],[Descripción]], " ", -2)</f>
        <v>Haydée Martínez</v>
      </c>
      <c r="F1666" s="10" t="s">
        <v>2516</v>
      </c>
      <c r="G1666" s="11">
        <v>45868</v>
      </c>
    </row>
    <row r="1667" spans="1:7" ht="48.5" hidden="1" x14ac:dyDescent="0.35">
      <c r="A1667" s="8">
        <v>9335</v>
      </c>
      <c r="B1667" s="10" t="s">
        <v>4226</v>
      </c>
      <c r="C1667" s="10" t="s">
        <v>96</v>
      </c>
      <c r="D1667" s="9" t="s">
        <v>196</v>
      </c>
      <c r="E1667" s="9" t="str">
        <f>_xlfn.TEXTAFTER(Condiciones_acumuladas[[#This Row],[Descripción]], " ", -2)</f>
        <v>Rebeca Morales</v>
      </c>
      <c r="F1667" s="10" t="s">
        <v>2559</v>
      </c>
      <c r="G1667" s="11">
        <v>45868</v>
      </c>
    </row>
    <row r="1668" spans="1:7" ht="36.5" hidden="1" x14ac:dyDescent="0.35">
      <c r="A1668" s="8">
        <v>9332</v>
      </c>
      <c r="B1668" s="10" t="s">
        <v>4227</v>
      </c>
      <c r="C1668" s="10" t="s">
        <v>250</v>
      </c>
      <c r="D1668" s="9" t="s">
        <v>95</v>
      </c>
      <c r="E1668" s="9" t="str">
        <f>_xlfn.TEXTAFTER(Condiciones_acumuladas[[#This Row],[Descripción]], " ", -2)</f>
        <v>Andrea Gonzalez</v>
      </c>
      <c r="F1668" s="10" t="s">
        <v>2525</v>
      </c>
      <c r="G1668" s="11">
        <v>45867</v>
      </c>
    </row>
    <row r="1669" spans="1:7" ht="24.5" hidden="1" x14ac:dyDescent="0.35">
      <c r="A1669" s="8">
        <v>9316</v>
      </c>
      <c r="B1669" s="10" t="s">
        <v>4228</v>
      </c>
      <c r="C1669" s="10" t="s">
        <v>234</v>
      </c>
      <c r="D1669" s="9" t="s">
        <v>95</v>
      </c>
      <c r="E1669" s="9" t="str">
        <f>_xlfn.TEXTAFTER(Condiciones_acumuladas[[#This Row],[Descripción]], " ", -2)</f>
        <v>Luis Cabrera</v>
      </c>
      <c r="F1669" s="10" t="s">
        <v>2522</v>
      </c>
      <c r="G1669" s="11">
        <v>45869</v>
      </c>
    </row>
    <row r="1670" spans="1:7" ht="24.5" hidden="1" x14ac:dyDescent="0.35">
      <c r="A1670" s="8">
        <v>9318</v>
      </c>
      <c r="B1670" s="10" t="s">
        <v>4229</v>
      </c>
      <c r="C1670" s="10" t="s">
        <v>234</v>
      </c>
      <c r="D1670" s="9" t="s">
        <v>95</v>
      </c>
      <c r="E1670" s="9" t="str">
        <f>_xlfn.TEXTAFTER(Condiciones_acumuladas[[#This Row],[Descripción]], " ", -2)</f>
        <v>Luis Cabrera</v>
      </c>
      <c r="F1670" s="10" t="s">
        <v>2522</v>
      </c>
      <c r="G1670" s="11">
        <v>45869</v>
      </c>
    </row>
    <row r="1671" spans="1:7" ht="36.5" hidden="1" x14ac:dyDescent="0.35">
      <c r="A1671" s="8">
        <v>9317</v>
      </c>
      <c r="B1671" s="10" t="s">
        <v>4230</v>
      </c>
      <c r="C1671" s="10" t="s">
        <v>234</v>
      </c>
      <c r="D1671" s="9" t="s">
        <v>95</v>
      </c>
      <c r="E1671" s="9" t="str">
        <f>_xlfn.TEXTAFTER(Condiciones_acumuladas[[#This Row],[Descripción]], " ", -2)</f>
        <v>Luis Cabrera</v>
      </c>
      <c r="F1671" s="10" t="s">
        <v>2715</v>
      </c>
      <c r="G1671" s="11">
        <v>45869</v>
      </c>
    </row>
    <row r="1672" spans="1:7" ht="36.5" hidden="1" x14ac:dyDescent="0.35">
      <c r="A1672" s="8">
        <v>9320</v>
      </c>
      <c r="B1672" s="10" t="s">
        <v>4231</v>
      </c>
      <c r="C1672" s="10" t="s">
        <v>34</v>
      </c>
      <c r="D1672" s="9" t="s">
        <v>26</v>
      </c>
      <c r="E1672" s="9" t="str">
        <f>_xlfn.TEXTAFTER(Condiciones_acumuladas[[#This Row],[Descripción]], " ", -2)</f>
        <v>Oscar Ramos</v>
      </c>
      <c r="F1672" s="10" t="s">
        <v>2530</v>
      </c>
      <c r="G1672" s="11">
        <v>45869</v>
      </c>
    </row>
    <row r="1673" spans="1:7" ht="24.5" hidden="1" x14ac:dyDescent="0.35">
      <c r="A1673" s="8">
        <v>9350</v>
      </c>
      <c r="B1673" s="10" t="s">
        <v>4232</v>
      </c>
      <c r="C1673" s="10" t="s">
        <v>13</v>
      </c>
      <c r="D1673" s="9" t="s">
        <v>278</v>
      </c>
      <c r="E1673" s="9" t="str">
        <f>_xlfn.TEXTAFTER(Condiciones_acumuladas[[#This Row],[Descripción]], " ", -2)</f>
        <v>Fredy Fuentes</v>
      </c>
      <c r="F1673" s="10" t="s">
        <v>2522</v>
      </c>
      <c r="G1673" s="11">
        <v>45869</v>
      </c>
    </row>
    <row r="1674" spans="1:7" ht="24.5" hidden="1" x14ac:dyDescent="0.35">
      <c r="A1674" s="8">
        <v>9338</v>
      </c>
      <c r="B1674" s="10" t="s">
        <v>4233</v>
      </c>
      <c r="C1674" s="10" t="s">
        <v>26</v>
      </c>
      <c r="D1674" s="9" t="s">
        <v>26</v>
      </c>
      <c r="E1674" s="9" t="str">
        <f>_xlfn.TEXTAFTER(Condiciones_acumuladas[[#This Row],[Descripción]], " ", -2)</f>
        <v>Adrian Santisteban</v>
      </c>
      <c r="F1674" s="10" t="s">
        <v>2522</v>
      </c>
      <c r="G1674" s="11">
        <v>45868</v>
      </c>
    </row>
    <row r="1675" spans="1:7" ht="36.5" hidden="1" x14ac:dyDescent="0.35">
      <c r="A1675" s="8">
        <v>9343</v>
      </c>
      <c r="B1675" s="10" t="s">
        <v>4234</v>
      </c>
      <c r="C1675" s="10" t="s">
        <v>371</v>
      </c>
      <c r="D1675" s="9" t="s">
        <v>371</v>
      </c>
      <c r="E1675" s="9" t="str">
        <f>_xlfn.TEXTAFTER(Condiciones_acumuladas[[#This Row],[Descripción]], " ", -2)</f>
        <v>Rodrigo Galindo</v>
      </c>
      <c r="F1675" s="10" t="s">
        <v>2516</v>
      </c>
      <c r="G1675" s="11">
        <v>45868</v>
      </c>
    </row>
    <row r="1676" spans="1:7" ht="36.5" hidden="1" x14ac:dyDescent="0.35">
      <c r="A1676" s="8">
        <v>9352</v>
      </c>
      <c r="B1676" s="10" t="s">
        <v>4235</v>
      </c>
      <c r="C1676" s="10" t="s">
        <v>134</v>
      </c>
      <c r="D1676" s="9" t="s">
        <v>371</v>
      </c>
      <c r="E1676" s="9" t="str">
        <f>_xlfn.TEXTAFTER(Condiciones_acumuladas[[#This Row],[Descripción]], " ", -2)</f>
        <v>Vinicio Mendoza</v>
      </c>
      <c r="F1676" s="10" t="s">
        <v>2715</v>
      </c>
      <c r="G1676" s="11">
        <v>45869</v>
      </c>
    </row>
    <row r="1677" spans="1:7" ht="36.5" hidden="1" x14ac:dyDescent="0.35">
      <c r="A1677" s="8">
        <v>9337</v>
      </c>
      <c r="B1677" s="10" t="s">
        <v>4236</v>
      </c>
      <c r="C1677" s="10" t="s">
        <v>395</v>
      </c>
      <c r="D1677" s="9" t="s">
        <v>395</v>
      </c>
      <c r="E1677" s="9" t="str">
        <f>_xlfn.TEXTAFTER(Condiciones_acumuladas[[#This Row],[Descripción]], " ", -2)</f>
        <v>Karla Hintz</v>
      </c>
      <c r="F1677" s="10" t="s">
        <v>2525</v>
      </c>
      <c r="G1677" s="11">
        <v>45868</v>
      </c>
    </row>
    <row r="1678" spans="1:7" ht="36.5" hidden="1" x14ac:dyDescent="0.35">
      <c r="A1678" s="8">
        <v>9344</v>
      </c>
      <c r="B1678" s="10" t="s">
        <v>4237</v>
      </c>
      <c r="C1678" s="10" t="s">
        <v>26</v>
      </c>
      <c r="D1678" s="9" t="s">
        <v>234</v>
      </c>
      <c r="E1678" s="9" t="str">
        <f>_xlfn.TEXTAFTER(Condiciones_acumuladas[[#This Row],[Descripción]], " ", -2)</f>
        <v>Wilber Lopez</v>
      </c>
      <c r="F1678" s="10" t="s">
        <v>2572</v>
      </c>
      <c r="G1678" s="11">
        <v>45868</v>
      </c>
    </row>
    <row r="1679" spans="1:7" ht="48.5" hidden="1" x14ac:dyDescent="0.35">
      <c r="A1679" s="8">
        <v>9351</v>
      </c>
      <c r="B1679" s="10" t="s">
        <v>4238</v>
      </c>
      <c r="C1679" s="10" t="s">
        <v>196</v>
      </c>
      <c r="D1679" s="9" t="s">
        <v>196</v>
      </c>
      <c r="E1679" s="9" t="str">
        <f>_xlfn.TEXTAFTER(Condiciones_acumuladas[[#This Row],[Descripción]], " ", -2)</f>
        <v>Jaime Chex</v>
      </c>
      <c r="F1679" s="10" t="s">
        <v>2559</v>
      </c>
      <c r="G1679" s="11">
        <v>45869</v>
      </c>
    </row>
    <row r="1680" spans="1:7" ht="24.5" hidden="1" x14ac:dyDescent="0.35">
      <c r="A1680" s="8">
        <v>9348</v>
      </c>
      <c r="B1680" s="10" t="s">
        <v>4239</v>
      </c>
      <c r="C1680" s="10" t="s">
        <v>234</v>
      </c>
      <c r="D1680" s="9" t="s">
        <v>234</v>
      </c>
      <c r="E1680" s="9" t="str">
        <f>_xlfn.TEXTAFTER(Condiciones_acumuladas[[#This Row],[Descripción]], " ", -2)</f>
        <v>Eliú Tello</v>
      </c>
      <c r="F1680" s="10" t="s">
        <v>2522</v>
      </c>
      <c r="G1680" s="11">
        <v>45868</v>
      </c>
    </row>
    <row r="1681" spans="1:7" ht="24.5" hidden="1" x14ac:dyDescent="0.35">
      <c r="A1681" s="8">
        <v>9339</v>
      </c>
      <c r="B1681" s="10" t="s">
        <v>4240</v>
      </c>
      <c r="C1681" s="10" t="s">
        <v>26</v>
      </c>
      <c r="D1681" s="9" t="s">
        <v>26</v>
      </c>
      <c r="E1681" s="9" t="str">
        <f>_xlfn.TEXTAFTER(Condiciones_acumuladas[[#This Row],[Descripción]], " ", -2)</f>
        <v>Adrian Santisteban</v>
      </c>
      <c r="F1681" s="10" t="s">
        <v>2522</v>
      </c>
      <c r="G1681" s="11">
        <v>45868</v>
      </c>
    </row>
    <row r="1682" spans="1:7" ht="36.5" hidden="1" x14ac:dyDescent="0.35">
      <c r="A1682" s="8">
        <v>9345</v>
      </c>
      <c r="B1682" s="10" t="s">
        <v>4241</v>
      </c>
      <c r="C1682" s="10" t="s">
        <v>21</v>
      </c>
      <c r="D1682" s="9" t="s">
        <v>395</v>
      </c>
      <c r="E1682" s="9" t="str">
        <f>_xlfn.TEXTAFTER(Condiciones_acumuladas[[#This Row],[Descripción]], " ", -2)</f>
        <v>Yessi Guarcas</v>
      </c>
      <c r="F1682" s="10" t="s">
        <v>2530</v>
      </c>
      <c r="G1682" s="11">
        <v>45868</v>
      </c>
    </row>
    <row r="1683" spans="1:7" ht="36.5" hidden="1" x14ac:dyDescent="0.35">
      <c r="A1683" s="8">
        <v>9341</v>
      </c>
      <c r="B1683" s="10" t="s">
        <v>4242</v>
      </c>
      <c r="C1683" s="10" t="s">
        <v>13</v>
      </c>
      <c r="D1683" s="9" t="s">
        <v>13</v>
      </c>
      <c r="E1683" s="9" t="str">
        <f>_xlfn.TEXTAFTER(Condiciones_acumuladas[[#This Row],[Descripción]], " ", -2)</f>
        <v>Amilcar Ralda</v>
      </c>
      <c r="F1683" s="10" t="s">
        <v>2540</v>
      </c>
      <c r="G1683" s="11">
        <v>45868</v>
      </c>
    </row>
    <row r="1684" spans="1:7" ht="36.5" hidden="1" x14ac:dyDescent="0.35">
      <c r="A1684" s="8">
        <v>9342</v>
      </c>
      <c r="B1684" s="10" t="s">
        <v>4243</v>
      </c>
      <c r="C1684" s="10" t="s">
        <v>26</v>
      </c>
      <c r="D1684" s="9" t="s">
        <v>34</v>
      </c>
      <c r="E1684" s="9" t="str">
        <f>_xlfn.TEXTAFTER(Condiciones_acumuladas[[#This Row],[Descripción]], " ", -2)</f>
        <v>Adrian Santisteban</v>
      </c>
      <c r="F1684" s="10" t="s">
        <v>2516</v>
      </c>
      <c r="G1684" s="11">
        <v>45868</v>
      </c>
    </row>
    <row r="1685" spans="1:7" ht="36.5" hidden="1" x14ac:dyDescent="0.35">
      <c r="A1685" s="8">
        <v>9340</v>
      </c>
      <c r="B1685" s="10" t="s">
        <v>4244</v>
      </c>
      <c r="C1685" s="10" t="s">
        <v>134</v>
      </c>
      <c r="D1685" s="9" t="s">
        <v>395</v>
      </c>
      <c r="E1685" s="9" t="str">
        <f>_xlfn.TEXTAFTER(Condiciones_acumuladas[[#This Row],[Descripción]], " ", -2)</f>
        <v>Karla Hintz</v>
      </c>
      <c r="F1685" s="10" t="s">
        <v>2516</v>
      </c>
      <c r="G1685" s="11">
        <v>45868</v>
      </c>
    </row>
    <row r="1686" spans="1:7" ht="36.5" hidden="1" x14ac:dyDescent="0.35">
      <c r="A1686" s="8">
        <v>9346</v>
      </c>
      <c r="B1686" s="10" t="s">
        <v>4245</v>
      </c>
      <c r="C1686" s="10" t="s">
        <v>21</v>
      </c>
      <c r="D1686" s="9" t="s">
        <v>395</v>
      </c>
      <c r="E1686" s="9" t="str">
        <f>_xlfn.TEXTAFTER(Condiciones_acumuladas[[#This Row],[Descripción]], " ", -2)</f>
        <v>Yessi Guarcas</v>
      </c>
      <c r="F1686" s="10" t="s">
        <v>2525</v>
      </c>
      <c r="G1686" s="11">
        <v>45868</v>
      </c>
    </row>
    <row r="1687" spans="1:7" ht="36.5" hidden="1" x14ac:dyDescent="0.35">
      <c r="A1687" s="8">
        <v>9349</v>
      </c>
      <c r="B1687" s="10" t="s">
        <v>4246</v>
      </c>
      <c r="C1687" s="10" t="s">
        <v>234</v>
      </c>
      <c r="D1687" s="9" t="s">
        <v>234</v>
      </c>
      <c r="E1687" s="9" t="str">
        <f>_xlfn.TEXTAFTER(Condiciones_acumuladas[[#This Row],[Descripción]], " ", -2)</f>
        <v>Eliú Tello</v>
      </c>
      <c r="F1687" s="10" t="s">
        <v>2572</v>
      </c>
      <c r="G1687" s="11">
        <v>45869</v>
      </c>
    </row>
    <row r="1688" spans="1:7" ht="36.5" hidden="1" x14ac:dyDescent="0.35">
      <c r="A1688" s="8">
        <v>9347</v>
      </c>
      <c r="B1688" s="10" t="s">
        <v>4247</v>
      </c>
      <c r="C1688" s="10" t="s">
        <v>134</v>
      </c>
      <c r="D1688" s="9" t="s">
        <v>395</v>
      </c>
      <c r="E1688" s="9" t="str">
        <f>_xlfn.TEXTAFTER(Condiciones_acumuladas[[#This Row],[Descripción]], " ", -2)</f>
        <v>Karla Hintz</v>
      </c>
      <c r="F1688" s="10" t="s">
        <v>2525</v>
      </c>
      <c r="G1688" s="11">
        <v>45868</v>
      </c>
    </row>
    <row r="1689" spans="1:7" ht="36.5" hidden="1" x14ac:dyDescent="0.35">
      <c r="A1689" s="8">
        <v>9353</v>
      </c>
      <c r="B1689" s="10" t="s">
        <v>4248</v>
      </c>
      <c r="C1689" s="10" t="s">
        <v>134</v>
      </c>
      <c r="D1689" s="9" t="s">
        <v>95</v>
      </c>
      <c r="E1689" s="9" t="str">
        <f>_xlfn.TEXTAFTER(Condiciones_acumuladas[[#This Row],[Descripción]], " ", -2)</f>
        <v>Andrea Gonzalez</v>
      </c>
      <c r="F1689" s="10" t="s">
        <v>2715</v>
      </c>
      <c r="G1689" s="11">
        <v>45869</v>
      </c>
    </row>
    <row r="1690" spans="1:7" ht="36.5" hidden="1" x14ac:dyDescent="0.35">
      <c r="A1690" s="8">
        <v>9298</v>
      </c>
      <c r="B1690" s="10" t="s">
        <v>4249</v>
      </c>
      <c r="C1690" s="10" t="s">
        <v>278</v>
      </c>
      <c r="D1690" s="9" t="s">
        <v>395</v>
      </c>
      <c r="E1690" s="9" t="str">
        <f>_xlfn.TEXTAFTER(Condiciones_acumuladas[[#This Row],[Descripción]], " ", -2)</f>
        <v>Antony Ramos</v>
      </c>
      <c r="F1690" s="10" t="s">
        <v>2522</v>
      </c>
      <c r="G1690" s="11">
        <v>45869</v>
      </c>
    </row>
    <row r="1691" spans="1:7" ht="36.5" hidden="1" x14ac:dyDescent="0.35">
      <c r="A1691" s="8">
        <v>9313</v>
      </c>
      <c r="B1691" s="10" t="s">
        <v>4250</v>
      </c>
      <c r="C1691" s="10" t="s">
        <v>13</v>
      </c>
      <c r="D1691" s="9" t="s">
        <v>395</v>
      </c>
      <c r="E1691" s="9" t="str">
        <f>_xlfn.TEXTAFTER(Condiciones_acumuladas[[#This Row],[Descripción]], " ", -2)</f>
        <v>Daniel Pineda</v>
      </c>
      <c r="F1691" s="10" t="s">
        <v>2522</v>
      </c>
      <c r="G1691" s="11">
        <v>45869</v>
      </c>
    </row>
    <row r="1692" spans="1:7" ht="24.5" hidden="1" x14ac:dyDescent="0.35">
      <c r="A1692" s="8">
        <v>9075</v>
      </c>
      <c r="B1692" s="10" t="s">
        <v>4251</v>
      </c>
      <c r="C1692" s="10" t="s">
        <v>4252</v>
      </c>
      <c r="D1692" s="9" t="s">
        <v>193</v>
      </c>
      <c r="E1692" s="9" t="str">
        <f>_xlfn.TEXTAFTER(Condiciones_acumuladas[[#This Row],[Descripción]], " ", -2)</f>
        <v>Fredy Fuentes</v>
      </c>
      <c r="F1692" s="10" t="s">
        <v>2522</v>
      </c>
      <c r="G1692" s="11">
        <v>45845</v>
      </c>
    </row>
    <row r="1693" spans="1:7" ht="24.5" hidden="1" x14ac:dyDescent="0.35">
      <c r="A1693" s="8">
        <v>9115</v>
      </c>
      <c r="B1693" s="10" t="s">
        <v>4253</v>
      </c>
      <c r="C1693" s="10" t="s">
        <v>4252</v>
      </c>
      <c r="D1693" s="9" t="s">
        <v>193</v>
      </c>
      <c r="E1693" s="9" t="str">
        <f>_xlfn.TEXTAFTER(Condiciones_acumuladas[[#This Row],[Descripción]], " ", -2)</f>
        <v>Karla Hintz</v>
      </c>
      <c r="F1693" s="10" t="s">
        <v>2522</v>
      </c>
      <c r="G1693" s="11">
        <v>45847</v>
      </c>
    </row>
    <row r="1694" spans="1:7" ht="36.5" hidden="1" x14ac:dyDescent="0.35">
      <c r="A1694" s="8">
        <v>9146</v>
      </c>
      <c r="B1694" s="10" t="s">
        <v>4254</v>
      </c>
      <c r="C1694" s="10" t="s">
        <v>4252</v>
      </c>
      <c r="D1694" s="9" t="s">
        <v>193</v>
      </c>
      <c r="E1694" s="9" t="str">
        <f>_xlfn.TEXTAFTER(Condiciones_acumuladas[[#This Row],[Descripción]], " ", -2)</f>
        <v>Daniel Pineda</v>
      </c>
      <c r="F1694" s="10" t="s">
        <v>2522</v>
      </c>
      <c r="G1694" s="11">
        <v>45851</v>
      </c>
    </row>
    <row r="1695" spans="1:7" ht="36.5" hidden="1" x14ac:dyDescent="0.35">
      <c r="A1695" s="8">
        <v>9172</v>
      </c>
      <c r="B1695" s="10" t="s">
        <v>4255</v>
      </c>
      <c r="C1695" s="10" t="s">
        <v>4252</v>
      </c>
      <c r="D1695" s="9" t="s">
        <v>193</v>
      </c>
      <c r="E1695" s="9" t="str">
        <f>_xlfn.TEXTAFTER(Condiciones_acumuladas[[#This Row],[Descripción]], " ", -2)</f>
        <v>Selvin Pérez</v>
      </c>
      <c r="F1695" s="10" t="s">
        <v>2522</v>
      </c>
      <c r="G1695" s="11">
        <v>45853</v>
      </c>
    </row>
    <row r="1696" spans="1:7" ht="48.5" hidden="1" x14ac:dyDescent="0.35">
      <c r="A1696" s="8">
        <v>9170</v>
      </c>
      <c r="B1696" s="10" t="s">
        <v>4256</v>
      </c>
      <c r="C1696" s="10" t="s">
        <v>4252</v>
      </c>
      <c r="D1696" s="9" t="s">
        <v>193</v>
      </c>
      <c r="E1696" s="9" t="str">
        <f>_xlfn.TEXTAFTER(Condiciones_acumuladas[[#This Row],[Descripción]], " ", -2)</f>
        <v>Selvin Pérez</v>
      </c>
      <c r="F1696" s="10" t="s">
        <v>2522</v>
      </c>
      <c r="G1696" s="11">
        <v>45842</v>
      </c>
    </row>
    <row r="1697" spans="1:7" ht="48.5" hidden="1" x14ac:dyDescent="0.35">
      <c r="A1697" s="8">
        <v>9174</v>
      </c>
      <c r="B1697" s="10" t="s">
        <v>4257</v>
      </c>
      <c r="C1697" s="10" t="s">
        <v>4252</v>
      </c>
      <c r="D1697" s="9" t="s">
        <v>193</v>
      </c>
      <c r="E1697" s="9" t="str">
        <f>_xlfn.TEXTAFTER(Condiciones_acumuladas[[#This Row],[Descripción]], " ", -2)</f>
        <v>Selvin Perez</v>
      </c>
      <c r="F1697" s="10" t="s">
        <v>2522</v>
      </c>
      <c r="G1697" s="11">
        <v>45855</v>
      </c>
    </row>
    <row r="1698" spans="1:7" ht="24.5" hidden="1" x14ac:dyDescent="0.35">
      <c r="A1698" s="8">
        <v>9069</v>
      </c>
      <c r="B1698" s="10" t="s">
        <v>4051</v>
      </c>
      <c r="C1698" s="10" t="s">
        <v>4252</v>
      </c>
      <c r="D1698" s="9" t="s">
        <v>193</v>
      </c>
      <c r="E1698" s="9" t="str">
        <f>_xlfn.TEXTAFTER(Condiciones_acumuladas[[#This Row],[Descripción]], " ", -2)</f>
        <v>Daniel Pineda</v>
      </c>
      <c r="F1698" s="10" t="s">
        <v>2522</v>
      </c>
      <c r="G1698" s="11">
        <v>45844</v>
      </c>
    </row>
    <row r="1699" spans="1:7" ht="36.5" hidden="1" x14ac:dyDescent="0.35">
      <c r="A1699" s="8">
        <v>9257</v>
      </c>
      <c r="B1699" s="10" t="s">
        <v>4258</v>
      </c>
      <c r="C1699" s="10" t="s">
        <v>4252</v>
      </c>
      <c r="D1699" s="9" t="s">
        <v>193</v>
      </c>
      <c r="E1699" s="9" t="str">
        <f>_xlfn.TEXTAFTER(Condiciones_acumuladas[[#This Row],[Descripción]], " ", -2)</f>
        <v>Selvin Perez</v>
      </c>
      <c r="F1699" s="10" t="s">
        <v>2522</v>
      </c>
      <c r="G1699" s="11">
        <v>45862</v>
      </c>
    </row>
    <row r="1700" spans="1:7" ht="36.5" hidden="1" x14ac:dyDescent="0.35">
      <c r="A1700" s="8">
        <v>9260</v>
      </c>
      <c r="B1700" s="10" t="s">
        <v>4259</v>
      </c>
      <c r="C1700" s="10" t="s">
        <v>4252</v>
      </c>
      <c r="D1700" s="9" t="s">
        <v>193</v>
      </c>
      <c r="E1700" s="9" t="str">
        <f>_xlfn.TEXTAFTER(Condiciones_acumuladas[[#This Row],[Descripción]], " ", -2)</f>
        <v>Selvin Perez</v>
      </c>
      <c r="F1700" s="10" t="s">
        <v>2522</v>
      </c>
      <c r="G1700" s="11">
        <v>45861</v>
      </c>
    </row>
    <row r="1701" spans="1:7" ht="36.5" hidden="1" x14ac:dyDescent="0.35">
      <c r="A1701" s="8">
        <v>9265</v>
      </c>
      <c r="B1701" s="10" t="s">
        <v>4260</v>
      </c>
      <c r="C1701" s="10" t="s">
        <v>4252</v>
      </c>
      <c r="D1701" s="9" t="s">
        <v>193</v>
      </c>
      <c r="E1701" s="9" t="str">
        <f>_xlfn.TEXTAFTER(Condiciones_acumuladas[[#This Row],[Descripción]], " ", -2)</f>
        <v>Pablo Donis</v>
      </c>
      <c r="F1701" s="10" t="s">
        <v>2522</v>
      </c>
      <c r="G1701" s="11">
        <v>45861</v>
      </c>
    </row>
    <row r="1702" spans="1:7" ht="24.5" hidden="1" x14ac:dyDescent="0.35">
      <c r="A1702" s="8">
        <v>9280</v>
      </c>
      <c r="B1702" s="10" t="s">
        <v>4261</v>
      </c>
      <c r="C1702" s="10" t="s">
        <v>4252</v>
      </c>
      <c r="D1702" s="9" t="s">
        <v>193</v>
      </c>
      <c r="E1702" s="9" t="str">
        <f>_xlfn.TEXTAFTER(Condiciones_acumuladas[[#This Row],[Descripción]], " ", -2)</f>
        <v>Miguel Yes</v>
      </c>
      <c r="F1702" s="10" t="s">
        <v>2522</v>
      </c>
      <c r="G1702" s="11">
        <v>45863</v>
      </c>
    </row>
    <row r="1703" spans="1:7" ht="60.5" hidden="1" x14ac:dyDescent="0.35">
      <c r="A1703" s="8">
        <v>9301</v>
      </c>
      <c r="B1703" s="10" t="s">
        <v>4262</v>
      </c>
      <c r="C1703" s="10" t="s">
        <v>4252</v>
      </c>
      <c r="D1703" s="9" t="s">
        <v>193</v>
      </c>
      <c r="E1703" s="9" t="str">
        <f>_xlfn.TEXTAFTER(Condiciones_acumuladas[[#This Row],[Descripción]], " ", -2)</f>
        <v xml:space="preserve">Antony Ramos
</v>
      </c>
      <c r="F1703" s="10" t="s">
        <v>2522</v>
      </c>
      <c r="G1703" s="11">
        <v>45869</v>
      </c>
    </row>
    <row r="1704" spans="1:7" ht="36.5" hidden="1" x14ac:dyDescent="0.35">
      <c r="A1704" s="8">
        <v>9304</v>
      </c>
      <c r="B1704" s="10" t="s">
        <v>4263</v>
      </c>
      <c r="C1704" s="10" t="s">
        <v>4252</v>
      </c>
      <c r="D1704" s="9" t="s">
        <v>193</v>
      </c>
      <c r="E1704" s="9" t="str">
        <f>_xlfn.TEXTAFTER(Condiciones_acumuladas[[#This Row],[Descripción]], " ", -2)</f>
        <v>Antony Ramos.</v>
      </c>
      <c r="F1704" s="10" t="s">
        <v>2522</v>
      </c>
      <c r="G1704" s="11">
        <v>45869</v>
      </c>
    </row>
    <row r="1705" spans="1:7" ht="48.5" hidden="1" x14ac:dyDescent="0.35">
      <c r="A1705" s="8">
        <v>9356</v>
      </c>
      <c r="B1705" s="10" t="s">
        <v>4264</v>
      </c>
      <c r="C1705" s="10" t="s">
        <v>21</v>
      </c>
      <c r="D1705" s="9" t="s">
        <v>395</v>
      </c>
      <c r="E1705" s="9" t="str">
        <f>_xlfn.TEXTAFTER(Condiciones_acumuladas[[#This Row],[Descripción]], " ", -2)</f>
        <v>Yessi Guarcas</v>
      </c>
      <c r="F1705" s="10" t="s">
        <v>2540</v>
      </c>
      <c r="G1705" s="11">
        <v>45873</v>
      </c>
    </row>
    <row r="1706" spans="1:7" ht="48.5" hidden="1" x14ac:dyDescent="0.35">
      <c r="A1706" s="8">
        <v>9357</v>
      </c>
      <c r="B1706" s="10" t="s">
        <v>4265</v>
      </c>
      <c r="C1706" s="10" t="s">
        <v>250</v>
      </c>
      <c r="D1706" s="9" t="s">
        <v>395</v>
      </c>
      <c r="E1706" s="9" t="str">
        <f>_xlfn.TEXTAFTER(Condiciones_acumuladas[[#This Row],[Descripción]], " ", -2)</f>
        <v>Yessi Guarcas</v>
      </c>
      <c r="F1706" s="10" t="s">
        <v>2540</v>
      </c>
      <c r="G1706" s="11">
        <v>45873</v>
      </c>
    </row>
    <row r="1707" spans="1:7" ht="48.5" hidden="1" x14ac:dyDescent="0.35">
      <c r="A1707" s="8">
        <v>9363</v>
      </c>
      <c r="B1707" s="10" t="s">
        <v>4266</v>
      </c>
      <c r="C1707" s="10" t="s">
        <v>220</v>
      </c>
      <c r="D1707" s="9" t="s">
        <v>395</v>
      </c>
      <c r="E1707" s="9" t="str">
        <f>_xlfn.TEXTAFTER(Condiciones_acumuladas[[#This Row],[Descripción]], " ", -2)</f>
        <v>Antony Ramos</v>
      </c>
      <c r="F1707" s="10" t="s">
        <v>2540</v>
      </c>
      <c r="G1707" s="11">
        <v>45873</v>
      </c>
    </row>
    <row r="1708" spans="1:7" ht="24.5" hidden="1" x14ac:dyDescent="0.35">
      <c r="A1708" s="8">
        <v>9360</v>
      </c>
      <c r="B1708" s="10" t="s">
        <v>4267</v>
      </c>
      <c r="C1708" s="10" t="s">
        <v>13</v>
      </c>
      <c r="D1708" s="9" t="s">
        <v>13</v>
      </c>
      <c r="E1708" s="9" t="str">
        <f>_xlfn.TEXTAFTER(Condiciones_acumuladas[[#This Row],[Descripción]], " ", -2)</f>
        <v>Oscar Ramos</v>
      </c>
      <c r="F1708" s="10" t="s">
        <v>2540</v>
      </c>
      <c r="G1708" s="11">
        <v>45870</v>
      </c>
    </row>
    <row r="1709" spans="1:7" ht="24.5" hidden="1" x14ac:dyDescent="0.35">
      <c r="A1709" s="8">
        <v>9362</v>
      </c>
      <c r="B1709" s="10" t="s">
        <v>4268</v>
      </c>
      <c r="C1709" s="10" t="s">
        <v>96</v>
      </c>
      <c r="D1709" s="9" t="s">
        <v>96</v>
      </c>
      <c r="E1709" s="9" t="str">
        <f>_xlfn.TEXTAFTER(Condiciones_acumuladas[[#This Row],[Descripción]], " ", -2)</f>
        <v>Bladimir López</v>
      </c>
      <c r="F1709" s="10" t="s">
        <v>2537</v>
      </c>
      <c r="G1709" s="11">
        <v>45873</v>
      </c>
    </row>
    <row r="1710" spans="1:7" ht="24.5" hidden="1" x14ac:dyDescent="0.35">
      <c r="A1710" s="8">
        <v>9361</v>
      </c>
      <c r="B1710" s="10" t="s">
        <v>4269</v>
      </c>
      <c r="C1710" s="10" t="s">
        <v>196</v>
      </c>
      <c r="D1710" s="9" t="s">
        <v>96</v>
      </c>
      <c r="E1710" s="9" t="str">
        <f>_xlfn.TEXTAFTER(Condiciones_acumuladas[[#This Row],[Descripción]], " ", -2)</f>
        <v>Emanuel Soliz</v>
      </c>
      <c r="F1710" s="10" t="s">
        <v>2537</v>
      </c>
      <c r="G1710" s="11">
        <v>45871</v>
      </c>
    </row>
    <row r="1711" spans="1:7" ht="36.5" hidden="1" x14ac:dyDescent="0.35">
      <c r="A1711" s="8">
        <v>9365</v>
      </c>
      <c r="B1711" s="10" t="s">
        <v>4270</v>
      </c>
      <c r="C1711" s="10" t="s">
        <v>134</v>
      </c>
      <c r="D1711" s="9" t="s">
        <v>95</v>
      </c>
      <c r="E1711" s="9" t="str">
        <f>_xlfn.TEXTAFTER(Condiciones_acumuladas[[#This Row],[Descripción]], " ", -2)</f>
        <v>Ana Sánchez</v>
      </c>
      <c r="F1711" s="10" t="s">
        <v>2525</v>
      </c>
      <c r="G1711" s="11">
        <v>45873</v>
      </c>
    </row>
    <row r="1712" spans="1:7" ht="24.5" hidden="1" x14ac:dyDescent="0.35">
      <c r="A1712" s="8">
        <v>9366</v>
      </c>
      <c r="B1712" s="10" t="s">
        <v>4271</v>
      </c>
      <c r="C1712" s="10" t="s">
        <v>21</v>
      </c>
      <c r="D1712" s="9" t="s">
        <v>21</v>
      </c>
      <c r="E1712" s="9" t="str">
        <f>_xlfn.TEXTAFTER(Condiciones_acumuladas[[#This Row],[Descripción]], " ", -2)</f>
        <v>Oscar Ramírez</v>
      </c>
      <c r="F1712" s="10" t="s">
        <v>2522</v>
      </c>
      <c r="G1712" s="11">
        <v>45874</v>
      </c>
    </row>
    <row r="1713" spans="1:7" ht="36.5" hidden="1" x14ac:dyDescent="0.35">
      <c r="A1713" s="8">
        <v>9368</v>
      </c>
      <c r="B1713" s="10" t="s">
        <v>4272</v>
      </c>
      <c r="C1713" s="10" t="s">
        <v>220</v>
      </c>
      <c r="D1713" s="9" t="s">
        <v>250</v>
      </c>
      <c r="E1713" s="9" t="str">
        <f>_xlfn.TEXTAFTER(Condiciones_acumuladas[[#This Row],[Descripción]], " ", -2)</f>
        <v>Pablo Donis</v>
      </c>
      <c r="F1713" s="10" t="s">
        <v>2525</v>
      </c>
      <c r="G1713" s="11">
        <v>45874</v>
      </c>
    </row>
    <row r="1714" spans="1:7" ht="24.5" hidden="1" x14ac:dyDescent="0.35">
      <c r="A1714" s="8">
        <v>9367</v>
      </c>
      <c r="B1714" s="10" t="s">
        <v>4273</v>
      </c>
      <c r="C1714" s="10" t="s">
        <v>104</v>
      </c>
      <c r="D1714" s="9" t="s">
        <v>104</v>
      </c>
      <c r="E1714" s="9" t="str">
        <f>_xlfn.TEXTAFTER(Condiciones_acumuladas[[#This Row],[Descripción]], " ", -2)</f>
        <v>Alfonso Guatzin</v>
      </c>
      <c r="F1714" s="10" t="s">
        <v>2522</v>
      </c>
      <c r="G1714" s="11">
        <v>45874</v>
      </c>
    </row>
    <row r="1715" spans="1:7" ht="36.5" hidden="1" x14ac:dyDescent="0.35">
      <c r="A1715" s="8">
        <v>9364</v>
      </c>
      <c r="B1715" s="10" t="s">
        <v>4274</v>
      </c>
      <c r="C1715" s="10" t="s">
        <v>134</v>
      </c>
      <c r="D1715" s="9" t="s">
        <v>96</v>
      </c>
      <c r="E1715" s="9" t="str">
        <f>_xlfn.TEXTAFTER(Condiciones_acumuladas[[#This Row],[Descripción]], " ", -2)</f>
        <v>Maria Obregón</v>
      </c>
      <c r="F1715" s="10" t="s">
        <v>2540</v>
      </c>
      <c r="G1715" s="11">
        <v>45873</v>
      </c>
    </row>
    <row r="1716" spans="1:7" ht="36.5" hidden="1" x14ac:dyDescent="0.35">
      <c r="A1716" s="8">
        <v>9371</v>
      </c>
      <c r="B1716" s="10" t="s">
        <v>4275</v>
      </c>
      <c r="C1716" s="10" t="s">
        <v>104</v>
      </c>
      <c r="D1716" s="9" t="s">
        <v>104</v>
      </c>
      <c r="E1716" s="9" t="str">
        <f>_xlfn.TEXTAFTER(Condiciones_acumuladas[[#This Row],[Descripción]], " ", -2)</f>
        <v>Mario Ramos</v>
      </c>
      <c r="F1716" s="10" t="s">
        <v>2525</v>
      </c>
      <c r="G1716" s="11">
        <v>45870</v>
      </c>
    </row>
    <row r="1717" spans="1:7" ht="36.5" hidden="1" x14ac:dyDescent="0.35">
      <c r="A1717" s="8">
        <v>9372</v>
      </c>
      <c r="B1717" s="10" t="s">
        <v>4276</v>
      </c>
      <c r="C1717" s="10" t="s">
        <v>104</v>
      </c>
      <c r="D1717" s="9" t="s">
        <v>104</v>
      </c>
      <c r="E1717" s="9" t="str">
        <f>_xlfn.TEXTAFTER(Condiciones_acumuladas[[#This Row],[Descripción]], " ", -2)</f>
        <v>Mario Ramos</v>
      </c>
      <c r="F1717" s="10" t="s">
        <v>2530</v>
      </c>
      <c r="G1717" s="11">
        <v>45870</v>
      </c>
    </row>
    <row r="1718" spans="1:7" ht="24.5" hidden="1" x14ac:dyDescent="0.35">
      <c r="A1718" s="8">
        <v>9373</v>
      </c>
      <c r="B1718" s="10" t="s">
        <v>4277</v>
      </c>
      <c r="C1718" s="10" t="s">
        <v>104</v>
      </c>
      <c r="D1718" s="9" t="s">
        <v>104</v>
      </c>
      <c r="E1718" s="9" t="str">
        <f>_xlfn.TEXTAFTER(Condiciones_acumuladas[[#This Row],[Descripción]], " ", -2)</f>
        <v>Mario Ramos</v>
      </c>
      <c r="F1718" s="10" t="s">
        <v>2540</v>
      </c>
      <c r="G1718" s="11">
        <v>45870</v>
      </c>
    </row>
    <row r="1719" spans="1:7" ht="36.5" hidden="1" x14ac:dyDescent="0.35">
      <c r="A1719" s="8">
        <v>9374</v>
      </c>
      <c r="B1719" s="10" t="s">
        <v>4278</v>
      </c>
      <c r="C1719" s="10" t="s">
        <v>104</v>
      </c>
      <c r="D1719" s="9" t="s">
        <v>104</v>
      </c>
      <c r="E1719" s="9" t="str">
        <f>_xlfn.TEXTAFTER(Condiciones_acumuladas[[#This Row],[Descripción]], " ", -2)</f>
        <v>Mario Ramos</v>
      </c>
      <c r="F1719" s="10" t="s">
        <v>2525</v>
      </c>
      <c r="G1719" s="11">
        <v>45870</v>
      </c>
    </row>
    <row r="1720" spans="1:7" ht="24.5" hidden="1" x14ac:dyDescent="0.35">
      <c r="A1720" s="8">
        <v>9376</v>
      </c>
      <c r="B1720" s="10" t="s">
        <v>4279</v>
      </c>
      <c r="C1720" s="10" t="s">
        <v>190</v>
      </c>
      <c r="D1720" s="9" t="s">
        <v>190</v>
      </c>
      <c r="E1720" s="9" t="str">
        <f>_xlfn.TEXTAFTER(Condiciones_acumuladas[[#This Row],[Descripción]], " ", -2)</f>
        <v>Mario Ramos</v>
      </c>
      <c r="F1720" s="10" t="s">
        <v>2522</v>
      </c>
      <c r="G1720" s="11">
        <v>45870</v>
      </c>
    </row>
    <row r="1721" spans="1:7" ht="24.5" hidden="1" x14ac:dyDescent="0.35">
      <c r="A1721" s="8">
        <v>9377</v>
      </c>
      <c r="B1721" s="10" t="s">
        <v>4280</v>
      </c>
      <c r="C1721" s="10" t="s">
        <v>104</v>
      </c>
      <c r="D1721" s="9" t="s">
        <v>104</v>
      </c>
      <c r="E1721" s="9" t="str">
        <f>_xlfn.TEXTAFTER(Condiciones_acumuladas[[#This Row],[Descripción]], " ", -2)</f>
        <v>Mario Ramos</v>
      </c>
      <c r="F1721" s="10" t="s">
        <v>2522</v>
      </c>
      <c r="G1721" s="11">
        <v>45870</v>
      </c>
    </row>
    <row r="1722" spans="1:7" ht="24.5" hidden="1" x14ac:dyDescent="0.35">
      <c r="A1722" s="8">
        <v>9375</v>
      </c>
      <c r="B1722" s="10" t="s">
        <v>4281</v>
      </c>
      <c r="C1722" s="10" t="s">
        <v>190</v>
      </c>
      <c r="D1722" s="9" t="s">
        <v>190</v>
      </c>
      <c r="E1722" s="9" t="str">
        <f>_xlfn.TEXTAFTER(Condiciones_acumuladas[[#This Row],[Descripción]], " ", -2)</f>
        <v>Mario Ramos</v>
      </c>
      <c r="F1722" s="10" t="s">
        <v>2522</v>
      </c>
      <c r="G1722" s="11">
        <v>45894</v>
      </c>
    </row>
    <row r="1723" spans="1:7" ht="36.5" hidden="1" x14ac:dyDescent="0.35">
      <c r="A1723" s="8">
        <v>9378</v>
      </c>
      <c r="B1723" s="10" t="s">
        <v>4282</v>
      </c>
      <c r="C1723" s="10" t="s">
        <v>395</v>
      </c>
      <c r="D1723" s="9" t="s">
        <v>395</v>
      </c>
      <c r="E1723" s="9" t="str">
        <f>_xlfn.TEXTAFTER(Condiciones_acumuladas[[#This Row],[Descripción]], " ", -2)</f>
        <v>Yessi Guarcas</v>
      </c>
      <c r="F1723" s="10" t="s">
        <v>2516</v>
      </c>
      <c r="G1723" s="11">
        <v>45870</v>
      </c>
    </row>
    <row r="1724" spans="1:7" ht="24.5" hidden="1" x14ac:dyDescent="0.35">
      <c r="A1724" s="8">
        <v>9380</v>
      </c>
      <c r="B1724" s="10" t="s">
        <v>4283</v>
      </c>
      <c r="C1724" s="10" t="s">
        <v>395</v>
      </c>
      <c r="D1724" s="9" t="s">
        <v>395</v>
      </c>
      <c r="E1724" s="9" t="str">
        <f>_xlfn.TEXTAFTER(Condiciones_acumuladas[[#This Row],[Descripción]], " ", -2)</f>
        <v>Yessi Guarcas</v>
      </c>
      <c r="F1724" s="10" t="s">
        <v>2540</v>
      </c>
      <c r="G1724" s="11">
        <v>45870</v>
      </c>
    </row>
    <row r="1725" spans="1:7" ht="36.5" hidden="1" x14ac:dyDescent="0.35">
      <c r="A1725" s="8">
        <v>9379</v>
      </c>
      <c r="B1725" s="10" t="s">
        <v>4284</v>
      </c>
      <c r="C1725" s="10" t="s">
        <v>395</v>
      </c>
      <c r="D1725" s="9" t="s">
        <v>395</v>
      </c>
      <c r="E1725" s="9" t="str">
        <f>_xlfn.TEXTAFTER(Condiciones_acumuladas[[#This Row],[Descripción]], " ", -2)</f>
        <v>Yessi Guarcas</v>
      </c>
      <c r="F1725" s="10" t="s">
        <v>2715</v>
      </c>
      <c r="G1725" s="11">
        <v>45870</v>
      </c>
    </row>
    <row r="1726" spans="1:7" ht="24.5" hidden="1" x14ac:dyDescent="0.35">
      <c r="A1726" s="8">
        <v>9381</v>
      </c>
      <c r="B1726" s="10" t="s">
        <v>4285</v>
      </c>
      <c r="C1726" s="10" t="s">
        <v>395</v>
      </c>
      <c r="D1726" s="9" t="s">
        <v>395</v>
      </c>
      <c r="E1726" s="9" t="str">
        <f>_xlfn.TEXTAFTER(Condiciones_acumuladas[[#This Row],[Descripción]], " ", -2)</f>
        <v>Yessi Guarcas</v>
      </c>
      <c r="F1726" s="10" t="s">
        <v>2522</v>
      </c>
      <c r="G1726" s="11">
        <v>45870</v>
      </c>
    </row>
    <row r="1727" spans="1:7" ht="24.5" hidden="1" x14ac:dyDescent="0.35">
      <c r="A1727" s="8">
        <v>9388</v>
      </c>
      <c r="B1727" s="10" t="s">
        <v>4286</v>
      </c>
      <c r="C1727" s="10" t="s">
        <v>220</v>
      </c>
      <c r="D1727" s="9" t="s">
        <v>278</v>
      </c>
      <c r="E1727" s="9" t="str">
        <f>_xlfn.TEXTAFTER(Condiciones_acumuladas[[#This Row],[Descripción]], " ", -2)</f>
        <v>Gover Sologaistoa</v>
      </c>
      <c r="F1727" s="10" t="s">
        <v>2834</v>
      </c>
      <c r="G1727" s="11">
        <v>45874</v>
      </c>
    </row>
    <row r="1728" spans="1:7" ht="24.5" hidden="1" x14ac:dyDescent="0.35">
      <c r="A1728" s="8">
        <v>9383</v>
      </c>
      <c r="B1728" s="10" t="s">
        <v>4287</v>
      </c>
      <c r="C1728" s="10" t="s">
        <v>134</v>
      </c>
      <c r="D1728" s="9" t="s">
        <v>95</v>
      </c>
      <c r="E1728" s="9" t="str">
        <f>_xlfn.TEXTAFTER(Condiciones_acumuladas[[#This Row],[Descripción]], " ", -2)</f>
        <v>Efrain Valux</v>
      </c>
      <c r="F1728" s="10" t="s">
        <v>2522</v>
      </c>
      <c r="G1728" s="11">
        <v>45874</v>
      </c>
    </row>
    <row r="1729" spans="1:7" ht="36.5" hidden="1" x14ac:dyDescent="0.35">
      <c r="A1729" s="8">
        <v>9384</v>
      </c>
      <c r="B1729" s="10" t="s">
        <v>4288</v>
      </c>
      <c r="C1729" s="10" t="s">
        <v>134</v>
      </c>
      <c r="D1729" s="9" t="s">
        <v>134</v>
      </c>
      <c r="E1729" s="9" t="str">
        <f>_xlfn.TEXTAFTER(Condiciones_acumuladas[[#This Row],[Descripción]], " ", -2)</f>
        <v>Roger Rivas</v>
      </c>
      <c r="F1729" s="10" t="s">
        <v>2516</v>
      </c>
      <c r="G1729" s="11">
        <v>45874</v>
      </c>
    </row>
    <row r="1730" spans="1:7" ht="36.5" hidden="1" x14ac:dyDescent="0.35">
      <c r="A1730" s="8">
        <v>9401</v>
      </c>
      <c r="B1730" s="10" t="s">
        <v>4289</v>
      </c>
      <c r="C1730" s="10" t="s">
        <v>134</v>
      </c>
      <c r="D1730" s="9" t="s">
        <v>395</v>
      </c>
      <c r="E1730" s="9" t="str">
        <f>_xlfn.TEXTAFTER(Condiciones_acumuladas[[#This Row],[Descripción]], " ", -2)</f>
        <v>Yessi Guarcas</v>
      </c>
      <c r="F1730" s="10" t="s">
        <v>2516</v>
      </c>
      <c r="G1730" s="11">
        <v>45876</v>
      </c>
    </row>
    <row r="1731" spans="1:7" ht="36.5" hidden="1" x14ac:dyDescent="0.35">
      <c r="A1731" s="8">
        <v>9398</v>
      </c>
      <c r="B1731" s="10" t="s">
        <v>4290</v>
      </c>
      <c r="C1731" s="10" t="s">
        <v>278</v>
      </c>
      <c r="D1731" s="9" t="s">
        <v>278</v>
      </c>
      <c r="E1731" s="9" t="str">
        <f>_xlfn.TEXTAFTER(Condiciones_acumuladas[[#This Row],[Descripción]], " ", -2)</f>
        <v>Gover Sologaistoa</v>
      </c>
      <c r="F1731" s="10" t="s">
        <v>2516</v>
      </c>
      <c r="G1731" s="11">
        <v>45875</v>
      </c>
    </row>
    <row r="1732" spans="1:7" ht="36.5" hidden="1" x14ac:dyDescent="0.35">
      <c r="A1732" s="8">
        <v>9400</v>
      </c>
      <c r="B1732" s="10" t="s">
        <v>4291</v>
      </c>
      <c r="C1732" s="10" t="s">
        <v>220</v>
      </c>
      <c r="D1732" s="9" t="s">
        <v>250</v>
      </c>
      <c r="E1732" s="9" t="str">
        <f>_xlfn.TEXTAFTER(Condiciones_acumuladas[[#This Row],[Descripción]], " ", -2)</f>
        <v>Pablo Donis</v>
      </c>
      <c r="F1732" s="10" t="s">
        <v>2516</v>
      </c>
      <c r="G1732" s="11">
        <v>45875</v>
      </c>
    </row>
    <row r="1733" spans="1:7" ht="24.5" hidden="1" x14ac:dyDescent="0.35">
      <c r="A1733" s="8">
        <v>9396</v>
      </c>
      <c r="B1733" s="10" t="s">
        <v>4292</v>
      </c>
      <c r="C1733" s="10" t="s">
        <v>371</v>
      </c>
      <c r="D1733" s="9" t="s">
        <v>395</v>
      </c>
      <c r="E1733" s="9" t="str">
        <f>_xlfn.TEXTAFTER(Condiciones_acumuladas[[#This Row],[Descripción]], " ", -2)</f>
        <v>Daniel Pineda</v>
      </c>
      <c r="F1733" s="10" t="s">
        <v>2522</v>
      </c>
      <c r="G1733" s="11">
        <v>45875</v>
      </c>
    </row>
    <row r="1734" spans="1:7" ht="36.5" hidden="1" x14ac:dyDescent="0.35">
      <c r="A1734" s="8">
        <v>9393</v>
      </c>
      <c r="B1734" s="10" t="s">
        <v>4293</v>
      </c>
      <c r="C1734" s="10" t="s">
        <v>278</v>
      </c>
      <c r="D1734" s="9" t="s">
        <v>21</v>
      </c>
      <c r="E1734" s="9" t="str">
        <f>_xlfn.TEXTAFTER(Condiciones_acumuladas[[#This Row],[Descripción]], " ", -2)</f>
        <v>Oscar Ramírez</v>
      </c>
      <c r="F1734" s="10" t="s">
        <v>2516</v>
      </c>
      <c r="G1734" s="11">
        <v>45875</v>
      </c>
    </row>
    <row r="1735" spans="1:7" ht="36.5" hidden="1" x14ac:dyDescent="0.35">
      <c r="A1735" s="8">
        <v>9399</v>
      </c>
      <c r="B1735" s="10" t="s">
        <v>4291</v>
      </c>
      <c r="C1735" s="10" t="s">
        <v>220</v>
      </c>
      <c r="D1735" s="9" t="s">
        <v>250</v>
      </c>
      <c r="E1735" s="9" t="str">
        <f>_xlfn.TEXTAFTER(Condiciones_acumuladas[[#This Row],[Descripción]], " ", -2)</f>
        <v>Pablo Donis</v>
      </c>
      <c r="F1735" s="10" t="s">
        <v>2516</v>
      </c>
      <c r="G1735" s="11">
        <v>45875</v>
      </c>
    </row>
    <row r="1736" spans="1:7" ht="36.5" hidden="1" x14ac:dyDescent="0.35">
      <c r="A1736" s="8">
        <v>9395</v>
      </c>
      <c r="B1736" s="10" t="s">
        <v>4294</v>
      </c>
      <c r="C1736" s="10" t="s">
        <v>220</v>
      </c>
      <c r="D1736" s="9" t="s">
        <v>220</v>
      </c>
      <c r="E1736" s="9" t="str">
        <f>_xlfn.TEXTAFTER(Condiciones_acumuladas[[#This Row],[Descripción]], " ", -2)</f>
        <v>Carlos Coc</v>
      </c>
      <c r="F1736" s="10" t="s">
        <v>2516</v>
      </c>
      <c r="G1736" s="11">
        <v>45875</v>
      </c>
    </row>
    <row r="1737" spans="1:7" ht="48.5" hidden="1" x14ac:dyDescent="0.35">
      <c r="A1737" s="8">
        <v>9394</v>
      </c>
      <c r="B1737" s="10" t="s">
        <v>4295</v>
      </c>
      <c r="C1737" s="10" t="s">
        <v>220</v>
      </c>
      <c r="D1737" s="9" t="s">
        <v>13</v>
      </c>
      <c r="E1737" s="9" t="str">
        <f>_xlfn.TEXTAFTER(Condiciones_acumuladas[[#This Row],[Descripción]], " ", -2)</f>
        <v>Oscar Ramírez</v>
      </c>
      <c r="F1737" s="10" t="s">
        <v>2516</v>
      </c>
      <c r="G1737" s="11">
        <v>45875</v>
      </c>
    </row>
    <row r="1738" spans="1:7" ht="36.5" hidden="1" x14ac:dyDescent="0.35">
      <c r="A1738" s="8">
        <v>9397</v>
      </c>
      <c r="B1738" s="10" t="s">
        <v>4296</v>
      </c>
      <c r="C1738" s="10" t="s">
        <v>395</v>
      </c>
      <c r="D1738" s="9" t="s">
        <v>234</v>
      </c>
      <c r="E1738" s="9" t="str">
        <f>_xlfn.TEXTAFTER(Condiciones_acumuladas[[#This Row],[Descripción]], " ", -2)</f>
        <v>Bryan Neftaly</v>
      </c>
      <c r="F1738" s="10" t="s">
        <v>2572</v>
      </c>
      <c r="G1738" s="11">
        <v>45875</v>
      </c>
    </row>
    <row r="1739" spans="1:7" ht="36.5" hidden="1" x14ac:dyDescent="0.35">
      <c r="A1739" s="8">
        <v>9392</v>
      </c>
      <c r="B1739" s="10" t="s">
        <v>4297</v>
      </c>
      <c r="C1739" s="10" t="s">
        <v>220</v>
      </c>
      <c r="D1739" s="9" t="s">
        <v>220</v>
      </c>
      <c r="E1739" s="9" t="str">
        <f>_xlfn.TEXTAFTER(Condiciones_acumuladas[[#This Row],[Descripción]], " ", -2)</f>
        <v>Carlos Coc</v>
      </c>
      <c r="F1739" s="10" t="s">
        <v>2516</v>
      </c>
      <c r="G1739" s="11">
        <v>45875</v>
      </c>
    </row>
    <row r="1740" spans="1:7" ht="24.5" hidden="1" x14ac:dyDescent="0.35">
      <c r="A1740" s="8">
        <v>9390</v>
      </c>
      <c r="B1740" s="10" t="s">
        <v>4298</v>
      </c>
      <c r="C1740" s="10" t="s">
        <v>96</v>
      </c>
      <c r="D1740" s="9" t="s">
        <v>96</v>
      </c>
      <c r="E1740" s="9" t="str">
        <f>_xlfn.TEXTAFTER(Condiciones_acumuladas[[#This Row],[Descripción]], " ", -2)</f>
        <v>Bladimir López</v>
      </c>
      <c r="F1740" s="10" t="s">
        <v>2522</v>
      </c>
      <c r="G1740" s="11">
        <v>45875</v>
      </c>
    </row>
    <row r="1741" spans="1:7" ht="48.5" hidden="1" x14ac:dyDescent="0.35">
      <c r="A1741" s="8">
        <v>9391</v>
      </c>
      <c r="B1741" s="10" t="s">
        <v>4299</v>
      </c>
      <c r="C1741" s="10" t="s">
        <v>96</v>
      </c>
      <c r="D1741" s="9" t="s">
        <v>96</v>
      </c>
      <c r="E1741" s="9" t="str">
        <f>_xlfn.TEXTAFTER(Condiciones_acumuladas[[#This Row],[Descripción]], " ", -2)</f>
        <v>Luis Pérez</v>
      </c>
      <c r="F1741" s="10" t="s">
        <v>2559</v>
      </c>
      <c r="G1741" s="11">
        <v>45875</v>
      </c>
    </row>
    <row r="1742" spans="1:7" ht="48.5" hidden="1" x14ac:dyDescent="0.35">
      <c r="A1742" s="8">
        <v>9386</v>
      </c>
      <c r="B1742" s="10" t="s">
        <v>4300</v>
      </c>
      <c r="C1742" s="10" t="s">
        <v>26</v>
      </c>
      <c r="D1742" s="9" t="s">
        <v>95</v>
      </c>
      <c r="E1742" s="9" t="str">
        <f>_xlfn.TEXTAFTER(Condiciones_acumuladas[[#This Row],[Descripción]], " ", -2)</f>
        <v>Edgar Coti</v>
      </c>
      <c r="F1742" s="10" t="s">
        <v>2559</v>
      </c>
      <c r="G1742" s="11">
        <v>45875</v>
      </c>
    </row>
    <row r="1743" spans="1:7" ht="48.5" hidden="1" x14ac:dyDescent="0.35">
      <c r="A1743" s="8">
        <v>9404</v>
      </c>
      <c r="B1743" s="10" t="s">
        <v>4301</v>
      </c>
      <c r="C1743" s="10" t="s">
        <v>220</v>
      </c>
      <c r="D1743" s="9" t="s">
        <v>95</v>
      </c>
      <c r="E1743" s="9" t="str">
        <f>_xlfn.TEXTAFTER(Condiciones_acumuladas[[#This Row],[Descripción]], " ", -2)</f>
        <v>Leidy Camey</v>
      </c>
      <c r="F1743" s="10" t="s">
        <v>2559</v>
      </c>
      <c r="G1743" s="11">
        <v>45876</v>
      </c>
    </row>
    <row r="1744" spans="1:7" ht="36.5" hidden="1" x14ac:dyDescent="0.35">
      <c r="A1744" s="8">
        <v>9407</v>
      </c>
      <c r="B1744" s="10" t="s">
        <v>4302</v>
      </c>
      <c r="C1744" s="10" t="s">
        <v>196</v>
      </c>
      <c r="D1744" s="9" t="s">
        <v>196</v>
      </c>
      <c r="E1744" s="9" t="str">
        <f>_xlfn.TEXTAFTER(Condiciones_acumuladas[[#This Row],[Descripción]], " ", -2)</f>
        <v>Jaime Chex</v>
      </c>
      <c r="F1744" s="10" t="s">
        <v>2516</v>
      </c>
      <c r="G1744" s="11">
        <v>45877</v>
      </c>
    </row>
    <row r="1745" spans="1:7" ht="36.5" hidden="1" x14ac:dyDescent="0.35">
      <c r="A1745" s="8">
        <v>9408</v>
      </c>
      <c r="B1745" s="10" t="s">
        <v>4303</v>
      </c>
      <c r="C1745" s="10" t="s">
        <v>371</v>
      </c>
      <c r="D1745" s="9" t="s">
        <v>371</v>
      </c>
      <c r="E1745" s="9" t="str">
        <f>_xlfn.TEXTAFTER(Condiciones_acumuladas[[#This Row],[Descripción]], " ", -2)</f>
        <v>Rodrigo Galindo</v>
      </c>
      <c r="F1745" s="10" t="s">
        <v>2516</v>
      </c>
      <c r="G1745" s="11">
        <v>45870</v>
      </c>
    </row>
    <row r="1746" spans="1:7" ht="24.5" hidden="1" x14ac:dyDescent="0.35">
      <c r="A1746" s="8">
        <v>9409</v>
      </c>
      <c r="B1746" s="10" t="s">
        <v>4304</v>
      </c>
      <c r="C1746" s="10" t="s">
        <v>371</v>
      </c>
      <c r="D1746" s="9" t="s">
        <v>371</v>
      </c>
      <c r="E1746" s="9" t="str">
        <f>_xlfn.TEXTAFTER(Condiciones_acumuladas[[#This Row],[Descripción]], " ", -2)</f>
        <v>Rodrigo Galindo</v>
      </c>
      <c r="F1746" s="10" t="s">
        <v>2522</v>
      </c>
      <c r="G1746" s="11">
        <v>45880</v>
      </c>
    </row>
    <row r="1747" spans="1:7" ht="36.5" hidden="1" x14ac:dyDescent="0.35">
      <c r="A1747" s="8">
        <v>9410</v>
      </c>
      <c r="B1747" s="10" t="s">
        <v>4305</v>
      </c>
      <c r="C1747" s="10" t="s">
        <v>190</v>
      </c>
      <c r="D1747" s="9" t="s">
        <v>395</v>
      </c>
      <c r="E1747" s="9" t="str">
        <f>_xlfn.TEXTAFTER(Condiciones_acumuladas[[#This Row],[Descripción]], " ", -2)</f>
        <v>Yessi Guarcas</v>
      </c>
      <c r="F1747" s="10" t="s">
        <v>2525</v>
      </c>
      <c r="G1747" s="11">
        <v>45874</v>
      </c>
    </row>
    <row r="1748" spans="1:7" ht="48.5" hidden="1" x14ac:dyDescent="0.35">
      <c r="A1748" s="8">
        <v>9411</v>
      </c>
      <c r="B1748" s="10" t="s">
        <v>4306</v>
      </c>
      <c r="C1748" s="10" t="s">
        <v>395</v>
      </c>
      <c r="D1748" s="9" t="s">
        <v>395</v>
      </c>
      <c r="E1748" s="9" t="str">
        <f>_xlfn.TEXTAFTER(Condiciones_acumuladas[[#This Row],[Descripción]], " ", -2)</f>
        <v>Yessi Guarcas</v>
      </c>
      <c r="F1748" s="10" t="s">
        <v>2525</v>
      </c>
      <c r="G1748" s="11">
        <v>45880</v>
      </c>
    </row>
    <row r="1749" spans="1:7" ht="48.5" hidden="1" x14ac:dyDescent="0.35">
      <c r="A1749" s="8">
        <v>9412</v>
      </c>
      <c r="B1749" s="10" t="s">
        <v>4307</v>
      </c>
      <c r="C1749" s="10" t="s">
        <v>395</v>
      </c>
      <c r="D1749" s="9" t="s">
        <v>395</v>
      </c>
      <c r="E1749" s="9" t="str">
        <f>_xlfn.TEXTAFTER(Condiciones_acumuladas[[#This Row],[Descripción]], " ", -2)</f>
        <v>Yessi Guarcas</v>
      </c>
      <c r="F1749" s="10" t="s">
        <v>2525</v>
      </c>
      <c r="G1749" s="11">
        <v>45880</v>
      </c>
    </row>
    <row r="1750" spans="1:7" ht="36.5" hidden="1" x14ac:dyDescent="0.35">
      <c r="A1750" s="8">
        <v>9413</v>
      </c>
      <c r="B1750" s="10" t="s">
        <v>4308</v>
      </c>
      <c r="C1750" s="10" t="s">
        <v>395</v>
      </c>
      <c r="D1750" s="9" t="s">
        <v>395</v>
      </c>
      <c r="E1750" s="9" t="str">
        <f>_xlfn.TEXTAFTER(Condiciones_acumuladas[[#This Row],[Descripción]], " ", -2)</f>
        <v>Yessi Guarcas</v>
      </c>
      <c r="F1750" s="10" t="s">
        <v>2715</v>
      </c>
      <c r="G1750" s="11">
        <v>45880</v>
      </c>
    </row>
    <row r="1751" spans="1:7" ht="48.5" hidden="1" x14ac:dyDescent="0.35">
      <c r="A1751" s="8">
        <v>9414</v>
      </c>
      <c r="B1751" s="10" t="s">
        <v>4309</v>
      </c>
      <c r="C1751" s="10" t="s">
        <v>395</v>
      </c>
      <c r="D1751" s="9" t="s">
        <v>395</v>
      </c>
      <c r="E1751" s="9" t="str">
        <f>_xlfn.TEXTAFTER(Condiciones_acumuladas[[#This Row],[Descripción]], " ", -2)</f>
        <v>Yessi Guarcas</v>
      </c>
      <c r="F1751" s="10" t="s">
        <v>2715</v>
      </c>
      <c r="G1751" s="11">
        <v>45880</v>
      </c>
    </row>
    <row r="1752" spans="1:7" ht="48.5" hidden="1" x14ac:dyDescent="0.35">
      <c r="A1752" s="8">
        <v>9415</v>
      </c>
      <c r="B1752" s="10" t="s">
        <v>4310</v>
      </c>
      <c r="C1752" s="10" t="s">
        <v>26</v>
      </c>
      <c r="D1752" s="9" t="s">
        <v>395</v>
      </c>
      <c r="E1752" s="9" t="str">
        <f>_xlfn.TEXTAFTER(Condiciones_acumuladas[[#This Row],[Descripción]], " ", -2)</f>
        <v>Yessi Guarcas</v>
      </c>
      <c r="F1752" s="10" t="s">
        <v>2525</v>
      </c>
      <c r="G1752" s="11">
        <v>45880</v>
      </c>
    </row>
    <row r="1753" spans="1:7" ht="48.5" hidden="1" x14ac:dyDescent="0.35">
      <c r="A1753" s="8">
        <v>9416</v>
      </c>
      <c r="B1753" s="10" t="s">
        <v>4310</v>
      </c>
      <c r="C1753" s="10" t="s">
        <v>190</v>
      </c>
      <c r="D1753" s="9" t="s">
        <v>395</v>
      </c>
      <c r="E1753" s="9" t="str">
        <f>_xlfn.TEXTAFTER(Condiciones_acumuladas[[#This Row],[Descripción]], " ", -2)</f>
        <v>Yessi Guarcas</v>
      </c>
      <c r="F1753" s="10" t="s">
        <v>2525</v>
      </c>
      <c r="G1753" s="11">
        <v>45880</v>
      </c>
    </row>
    <row r="1754" spans="1:7" ht="48.5" hidden="1" x14ac:dyDescent="0.35">
      <c r="A1754" s="8">
        <v>9417</v>
      </c>
      <c r="B1754" s="10" t="s">
        <v>4310</v>
      </c>
      <c r="C1754" s="10" t="s">
        <v>21</v>
      </c>
      <c r="D1754" s="9" t="s">
        <v>395</v>
      </c>
      <c r="E1754" s="9" t="str">
        <f>_xlfn.TEXTAFTER(Condiciones_acumuladas[[#This Row],[Descripción]], " ", -2)</f>
        <v>Yessi Guarcas</v>
      </c>
      <c r="F1754" s="10" t="s">
        <v>2525</v>
      </c>
      <c r="G1754" s="11">
        <v>45880</v>
      </c>
    </row>
    <row r="1755" spans="1:7" ht="36.5" hidden="1" x14ac:dyDescent="0.35">
      <c r="A1755" s="8">
        <v>9418</v>
      </c>
      <c r="B1755" s="10" t="s">
        <v>4311</v>
      </c>
      <c r="C1755" s="10" t="s">
        <v>190</v>
      </c>
      <c r="D1755" s="9" t="s">
        <v>395</v>
      </c>
      <c r="E1755" s="9" t="str">
        <f>_xlfn.TEXTAFTER(Condiciones_acumuladas[[#This Row],[Descripción]], " ", -2)</f>
        <v>Yessi Guarcas</v>
      </c>
      <c r="F1755" s="10" t="s">
        <v>2525</v>
      </c>
      <c r="G1755" s="11">
        <v>45880</v>
      </c>
    </row>
    <row r="1756" spans="1:7" ht="36.5" hidden="1" x14ac:dyDescent="0.35">
      <c r="A1756" s="8">
        <v>9419</v>
      </c>
      <c r="B1756" s="10" t="s">
        <v>4312</v>
      </c>
      <c r="C1756" s="10" t="s">
        <v>134</v>
      </c>
      <c r="D1756" s="9" t="s">
        <v>95</v>
      </c>
      <c r="E1756" s="9" t="str">
        <f>_xlfn.TEXTAFTER(Condiciones_acumuladas[[#This Row],[Descripción]], " ", -2)</f>
        <v>Efrain Valux</v>
      </c>
      <c r="F1756" s="10" t="s">
        <v>2516</v>
      </c>
      <c r="G1756" s="11">
        <v>45880</v>
      </c>
    </row>
    <row r="1757" spans="1:7" ht="24.5" hidden="1" x14ac:dyDescent="0.35">
      <c r="A1757" s="8">
        <v>9420</v>
      </c>
      <c r="B1757" s="10" t="s">
        <v>4313</v>
      </c>
      <c r="C1757" s="10" t="s">
        <v>134</v>
      </c>
      <c r="D1757" s="9" t="s">
        <v>95</v>
      </c>
      <c r="E1757" s="9" t="str">
        <f>_xlfn.TEXTAFTER(Condiciones_acumuladas[[#This Row],[Descripción]], " ", -2)</f>
        <v>Efrain Valux</v>
      </c>
      <c r="F1757" s="10" t="s">
        <v>2522</v>
      </c>
      <c r="G1757" s="11">
        <v>45880</v>
      </c>
    </row>
    <row r="1758" spans="1:7" ht="36.5" hidden="1" x14ac:dyDescent="0.35">
      <c r="A1758" s="8">
        <v>9430</v>
      </c>
      <c r="B1758" s="10" t="s">
        <v>4314</v>
      </c>
      <c r="C1758" s="10" t="s">
        <v>96</v>
      </c>
      <c r="D1758" s="9" t="s">
        <v>96</v>
      </c>
      <c r="E1758" s="9" t="str">
        <f>_xlfn.TEXTAFTER(Condiciones_acumuladas[[#This Row],[Descripción]], " ", -2)</f>
        <v>Luis Pérez</v>
      </c>
      <c r="F1758" s="10" t="s">
        <v>2540</v>
      </c>
      <c r="G1758" s="11">
        <v>45881</v>
      </c>
    </row>
    <row r="1759" spans="1:7" ht="24.5" hidden="1" x14ac:dyDescent="0.35">
      <c r="A1759" s="8">
        <v>9431</v>
      </c>
      <c r="B1759" s="10" t="s">
        <v>4315</v>
      </c>
      <c r="C1759" s="10" t="s">
        <v>220</v>
      </c>
      <c r="D1759" s="9" t="s">
        <v>395</v>
      </c>
      <c r="E1759" s="9" t="str">
        <f>_xlfn.TEXTAFTER(Condiciones_acumuladas[[#This Row],[Descripción]], " ", -2)</f>
        <v>Josué Vásquez</v>
      </c>
      <c r="F1759" s="10" t="s">
        <v>2522</v>
      </c>
      <c r="G1759" s="11">
        <v>45881</v>
      </c>
    </row>
    <row r="1760" spans="1:7" ht="24.5" hidden="1" x14ac:dyDescent="0.35">
      <c r="A1760" s="8">
        <v>9432</v>
      </c>
      <c r="B1760" s="10" t="s">
        <v>4316</v>
      </c>
      <c r="C1760" s="10" t="s">
        <v>220</v>
      </c>
      <c r="D1760" s="9" t="s">
        <v>395</v>
      </c>
      <c r="E1760" s="9" t="str">
        <f>_xlfn.TEXTAFTER(Condiciones_acumuladas[[#This Row],[Descripción]], " ", -2)</f>
        <v>Daniel Pineda</v>
      </c>
      <c r="F1760" s="10" t="s">
        <v>2522</v>
      </c>
      <c r="G1760" s="11">
        <v>45881</v>
      </c>
    </row>
    <row r="1761" spans="1:7" ht="24.5" hidden="1" x14ac:dyDescent="0.35">
      <c r="A1761" s="8">
        <v>9426</v>
      </c>
      <c r="B1761" s="10" t="s">
        <v>4317</v>
      </c>
      <c r="C1761" s="10" t="s">
        <v>13</v>
      </c>
      <c r="D1761" s="9" t="s">
        <v>13</v>
      </c>
      <c r="E1761" s="9" t="str">
        <f>_xlfn.TEXTAFTER(Condiciones_acumuladas[[#This Row],[Descripción]], " ", -2)</f>
        <v>Gustavo Hernández</v>
      </c>
      <c r="F1761" s="10" t="s">
        <v>2522</v>
      </c>
      <c r="G1761" s="11">
        <v>45880</v>
      </c>
    </row>
    <row r="1762" spans="1:7" ht="24.5" hidden="1" x14ac:dyDescent="0.35">
      <c r="A1762" s="8">
        <v>9428</v>
      </c>
      <c r="B1762" s="10" t="s">
        <v>4318</v>
      </c>
      <c r="C1762" s="10" t="s">
        <v>371</v>
      </c>
      <c r="D1762" s="9" t="s">
        <v>371</v>
      </c>
      <c r="E1762" s="9" t="str">
        <f>_xlfn.TEXTAFTER(Condiciones_acumuladas[[#This Row],[Descripción]], " ", -2)</f>
        <v>Josué Lepe</v>
      </c>
      <c r="F1762" s="10" t="s">
        <v>2522</v>
      </c>
      <c r="G1762" s="11">
        <v>45881</v>
      </c>
    </row>
    <row r="1763" spans="1:7" ht="36.5" hidden="1" x14ac:dyDescent="0.35">
      <c r="A1763" s="8">
        <v>9427</v>
      </c>
      <c r="B1763" s="10" t="s">
        <v>4319</v>
      </c>
      <c r="C1763" s="10" t="s">
        <v>371</v>
      </c>
      <c r="D1763" s="9" t="s">
        <v>371</v>
      </c>
      <c r="E1763" s="9" t="str">
        <f>_xlfn.TEXTAFTER(Condiciones_acumuladas[[#This Row],[Descripción]], " ", -2)</f>
        <v>Josué Lepe</v>
      </c>
      <c r="F1763" s="10" t="s">
        <v>2525</v>
      </c>
      <c r="G1763" s="11">
        <v>45881</v>
      </c>
    </row>
    <row r="1764" spans="1:7" ht="36.5" hidden="1" x14ac:dyDescent="0.35">
      <c r="A1764" s="8">
        <v>9429</v>
      </c>
      <c r="B1764" s="10" t="s">
        <v>4320</v>
      </c>
      <c r="C1764" s="10" t="s">
        <v>13</v>
      </c>
      <c r="D1764" s="9" t="s">
        <v>395</v>
      </c>
      <c r="E1764" s="9" t="str">
        <f>_xlfn.TEXTAFTER(Condiciones_acumuladas[[#This Row],[Descripción]], " ", -2)</f>
        <v>Yessi Guarcas</v>
      </c>
      <c r="F1764" s="10" t="s">
        <v>2525</v>
      </c>
      <c r="G1764" s="11">
        <v>45881</v>
      </c>
    </row>
    <row r="1765" spans="1:7" ht="24.5" hidden="1" x14ac:dyDescent="0.35">
      <c r="A1765" s="8">
        <v>9421</v>
      </c>
      <c r="B1765" s="10" t="s">
        <v>4321</v>
      </c>
      <c r="C1765" s="10" t="s">
        <v>96</v>
      </c>
      <c r="D1765" s="9" t="s">
        <v>96</v>
      </c>
      <c r="E1765" s="9" t="str">
        <f>_xlfn.TEXTAFTER(Condiciones_acumuladas[[#This Row],[Descripción]], " ", -2)</f>
        <v>Bladimir López</v>
      </c>
      <c r="F1765" s="10" t="s">
        <v>2537</v>
      </c>
      <c r="G1765" s="11">
        <v>45880</v>
      </c>
    </row>
    <row r="1766" spans="1:7" ht="36.5" hidden="1" x14ac:dyDescent="0.35">
      <c r="A1766" s="8">
        <v>9425</v>
      </c>
      <c r="B1766" s="10" t="s">
        <v>4322</v>
      </c>
      <c r="C1766" s="10" t="s">
        <v>21</v>
      </c>
      <c r="D1766" s="9" t="s">
        <v>190</v>
      </c>
      <c r="E1766" s="9" t="str">
        <f>_xlfn.TEXTAFTER(Condiciones_acumuladas[[#This Row],[Descripción]], " ", -2)</f>
        <v>Edson Bonifacio</v>
      </c>
      <c r="F1766" s="10" t="s">
        <v>2530</v>
      </c>
      <c r="G1766" s="11">
        <v>45880</v>
      </c>
    </row>
    <row r="1767" spans="1:7" ht="48.5" hidden="1" x14ac:dyDescent="0.35">
      <c r="A1767" s="8">
        <v>9424</v>
      </c>
      <c r="B1767" s="10" t="s">
        <v>4323</v>
      </c>
      <c r="C1767" s="10" t="s">
        <v>104</v>
      </c>
      <c r="D1767" s="9" t="s">
        <v>104</v>
      </c>
      <c r="E1767" s="9" t="str">
        <f>_xlfn.TEXTAFTER(Condiciones_acumuladas[[#This Row],[Descripción]], " ", -2)</f>
        <v>Alfonso Guatzin</v>
      </c>
      <c r="F1767" s="10" t="s">
        <v>2559</v>
      </c>
      <c r="G1767" s="11">
        <v>45880</v>
      </c>
    </row>
    <row r="1768" spans="1:7" ht="36.5" hidden="1" x14ac:dyDescent="0.35">
      <c r="A1768" s="8">
        <v>9443</v>
      </c>
      <c r="B1768" s="10" t="s">
        <v>4324</v>
      </c>
      <c r="C1768" s="10" t="s">
        <v>190</v>
      </c>
      <c r="D1768" s="9" t="s">
        <v>371</v>
      </c>
      <c r="E1768" s="9" t="str">
        <f>_xlfn.TEXTAFTER(Condiciones_acumuladas[[#This Row],[Descripción]], " ", -2)</f>
        <v>Rodrigo Galindo</v>
      </c>
      <c r="F1768" s="10" t="s">
        <v>2572</v>
      </c>
      <c r="G1768" s="11">
        <v>45881</v>
      </c>
    </row>
    <row r="1769" spans="1:7" ht="36.5" hidden="1" x14ac:dyDescent="0.35">
      <c r="A1769" s="8">
        <v>9449</v>
      </c>
      <c r="B1769" s="10" t="s">
        <v>4325</v>
      </c>
      <c r="C1769" s="10" t="s">
        <v>250</v>
      </c>
      <c r="D1769" s="9" t="s">
        <v>220</v>
      </c>
      <c r="E1769" s="9" t="str">
        <f>_xlfn.TEXTAFTER(Condiciones_acumuladas[[#This Row],[Descripción]], " ", -2)</f>
        <v>Carlos Coc</v>
      </c>
      <c r="F1769" s="10" t="s">
        <v>2530</v>
      </c>
      <c r="G1769" s="11">
        <v>45882</v>
      </c>
    </row>
    <row r="1770" spans="1:7" ht="48.5" hidden="1" x14ac:dyDescent="0.35">
      <c r="A1770" s="8">
        <v>9450</v>
      </c>
      <c r="B1770" s="10" t="s">
        <v>4326</v>
      </c>
      <c r="C1770" s="10" t="s">
        <v>234</v>
      </c>
      <c r="D1770" s="9" t="s">
        <v>234</v>
      </c>
      <c r="E1770" s="9" t="str">
        <f>_xlfn.TEXTAFTER(Condiciones_acumuladas[[#This Row],[Descripción]], " ", -2)</f>
        <v>Eliú Tello</v>
      </c>
      <c r="F1770" s="10" t="s">
        <v>2559</v>
      </c>
      <c r="G1770" s="11">
        <v>45882</v>
      </c>
    </row>
    <row r="1771" spans="1:7" ht="48.5" hidden="1" x14ac:dyDescent="0.35">
      <c r="A1771" s="8">
        <v>9448</v>
      </c>
      <c r="B1771" s="10" t="s">
        <v>4327</v>
      </c>
      <c r="C1771" s="10" t="s">
        <v>13</v>
      </c>
      <c r="D1771" s="9" t="s">
        <v>13</v>
      </c>
      <c r="E1771" s="9" t="str">
        <f>_xlfn.TEXTAFTER(Condiciones_acumuladas[[#This Row],[Descripción]], " ", -2)</f>
        <v>Haydée Martínez</v>
      </c>
      <c r="F1771" s="10" t="s">
        <v>2559</v>
      </c>
      <c r="G1771" s="11">
        <v>45882</v>
      </c>
    </row>
    <row r="1772" spans="1:7" ht="36.5" hidden="1" x14ac:dyDescent="0.35">
      <c r="A1772" s="8">
        <v>9447</v>
      </c>
      <c r="B1772" s="10" t="s">
        <v>4328</v>
      </c>
      <c r="C1772" s="10" t="s">
        <v>134</v>
      </c>
      <c r="D1772" s="9" t="s">
        <v>134</v>
      </c>
      <c r="E1772" s="9" t="str">
        <f>_xlfn.TEXTAFTER(Condiciones_acumuladas[[#This Row],[Descripción]], " ", -2)</f>
        <v>Haydée Martínez</v>
      </c>
      <c r="F1772" s="10" t="s">
        <v>2516</v>
      </c>
      <c r="G1772" s="11">
        <v>45882</v>
      </c>
    </row>
    <row r="1773" spans="1:7" ht="36.5" hidden="1" x14ac:dyDescent="0.35">
      <c r="A1773" s="8">
        <v>9454</v>
      </c>
      <c r="B1773" s="10" t="s">
        <v>4329</v>
      </c>
      <c r="C1773" s="10" t="s">
        <v>13</v>
      </c>
      <c r="D1773" s="9" t="s">
        <v>95</v>
      </c>
      <c r="E1773" s="9" t="str">
        <f>_xlfn.TEXTAFTER(Condiciones_acumuladas[[#This Row],[Descripción]], " ", -2)</f>
        <v>Edgar Coti</v>
      </c>
      <c r="F1773" s="10" t="s">
        <v>2516</v>
      </c>
      <c r="G1773" s="11">
        <v>45882</v>
      </c>
    </row>
    <row r="1774" spans="1:7" ht="36.5" hidden="1" x14ac:dyDescent="0.35">
      <c r="A1774" s="8">
        <v>9453</v>
      </c>
      <c r="B1774" s="10" t="s">
        <v>4330</v>
      </c>
      <c r="C1774" s="10" t="s">
        <v>26</v>
      </c>
      <c r="D1774" s="9" t="s">
        <v>26</v>
      </c>
      <c r="E1774" s="9" t="str">
        <f>_xlfn.TEXTAFTER(Condiciones_acumuladas[[#This Row],[Descripción]], " ", -2)</f>
        <v>Adrian Santisteban</v>
      </c>
      <c r="F1774" s="10" t="s">
        <v>2525</v>
      </c>
      <c r="G1774" s="11">
        <v>45882</v>
      </c>
    </row>
    <row r="1775" spans="1:7" ht="36.5" hidden="1" x14ac:dyDescent="0.35">
      <c r="A1775" s="8">
        <v>9451</v>
      </c>
      <c r="B1775" s="10" t="s">
        <v>4331</v>
      </c>
      <c r="C1775" s="10" t="s">
        <v>26</v>
      </c>
      <c r="D1775" s="9" t="s">
        <v>104</v>
      </c>
      <c r="E1775" s="9" t="str">
        <f>_xlfn.TEXTAFTER(Condiciones_acumuladas[[#This Row],[Descripción]], " ", -2)</f>
        <v>Jaime Chilel</v>
      </c>
      <c r="F1775" s="10" t="s">
        <v>2516</v>
      </c>
      <c r="G1775" s="11">
        <v>45882</v>
      </c>
    </row>
    <row r="1776" spans="1:7" ht="24.5" hidden="1" x14ac:dyDescent="0.35">
      <c r="A1776" s="8">
        <v>9446</v>
      </c>
      <c r="B1776" s="10" t="s">
        <v>4332</v>
      </c>
      <c r="C1776" s="10" t="s">
        <v>21</v>
      </c>
      <c r="D1776" s="9" t="s">
        <v>21</v>
      </c>
      <c r="E1776" s="9" t="str">
        <f>_xlfn.TEXTAFTER(Condiciones_acumuladas[[#This Row],[Descripción]], " ", -2)</f>
        <v>Amilcar Ralda</v>
      </c>
      <c r="F1776" s="10" t="s">
        <v>2540</v>
      </c>
      <c r="G1776" s="11">
        <v>45882</v>
      </c>
    </row>
    <row r="1777" spans="1:7" ht="36.5" hidden="1" x14ac:dyDescent="0.35">
      <c r="A1777" s="8">
        <v>9452</v>
      </c>
      <c r="B1777" s="10" t="s">
        <v>4333</v>
      </c>
      <c r="C1777" s="10" t="s">
        <v>190</v>
      </c>
      <c r="D1777" s="9" t="s">
        <v>190</v>
      </c>
      <c r="E1777" s="9" t="str">
        <f>_xlfn.TEXTAFTER(Condiciones_acumuladas[[#This Row],[Descripción]], " ", -2)</f>
        <v>Edson Bonifacio</v>
      </c>
      <c r="F1777" s="10" t="s">
        <v>2530</v>
      </c>
      <c r="G1777" s="11">
        <v>45882</v>
      </c>
    </row>
    <row r="1778" spans="1:7" ht="36.5" hidden="1" x14ac:dyDescent="0.35">
      <c r="A1778" s="8">
        <v>9445</v>
      </c>
      <c r="B1778" s="10" t="s">
        <v>4334</v>
      </c>
      <c r="C1778" s="10" t="s">
        <v>278</v>
      </c>
      <c r="D1778" s="9" t="s">
        <v>395</v>
      </c>
      <c r="E1778" s="9" t="str">
        <f>_xlfn.TEXTAFTER(Condiciones_acumuladas[[#This Row],[Descripción]], " ", -2)</f>
        <v>Daniel Pineda</v>
      </c>
      <c r="F1778" s="10" t="s">
        <v>2522</v>
      </c>
      <c r="G1778" s="11">
        <v>45882</v>
      </c>
    </row>
    <row r="1779" spans="1:7" ht="36.5" hidden="1" x14ac:dyDescent="0.35">
      <c r="A1779" s="8">
        <v>9440</v>
      </c>
      <c r="B1779" s="10" t="s">
        <v>4335</v>
      </c>
      <c r="C1779" s="10" t="s">
        <v>96</v>
      </c>
      <c r="D1779" s="9" t="s">
        <v>96</v>
      </c>
      <c r="E1779" s="9" t="str">
        <f>_xlfn.TEXTAFTER(Condiciones_acumuladas[[#This Row],[Descripción]], " ", -2)</f>
        <v>Bladimir López</v>
      </c>
      <c r="F1779" s="10" t="s">
        <v>2516</v>
      </c>
      <c r="G1779" s="11">
        <v>45881</v>
      </c>
    </row>
    <row r="1780" spans="1:7" ht="36.5" hidden="1" x14ac:dyDescent="0.35">
      <c r="A1780" s="8">
        <v>9433</v>
      </c>
      <c r="B1780" s="10" t="s">
        <v>4336</v>
      </c>
      <c r="C1780" s="10" t="s">
        <v>234</v>
      </c>
      <c r="D1780" s="9" t="s">
        <v>95</v>
      </c>
      <c r="E1780" s="9" t="str">
        <f>_xlfn.TEXTAFTER(Condiciones_acumuladas[[#This Row],[Descripción]], " ", -2)</f>
        <v>Andrea Gonzalez</v>
      </c>
      <c r="F1780" s="10" t="s">
        <v>2525</v>
      </c>
      <c r="G1780" s="11">
        <v>45881</v>
      </c>
    </row>
    <row r="1781" spans="1:7" ht="36.5" hidden="1" x14ac:dyDescent="0.35">
      <c r="A1781" s="8">
        <v>9457</v>
      </c>
      <c r="B1781" s="10" t="s">
        <v>4337</v>
      </c>
      <c r="C1781" s="10" t="s">
        <v>250</v>
      </c>
      <c r="D1781" s="9" t="s">
        <v>278</v>
      </c>
      <c r="E1781" s="9" t="str">
        <f>_xlfn.TEXTAFTER(Condiciones_acumuladas[[#This Row],[Descripción]], " ", -2)</f>
        <v>Fredy Fuentes</v>
      </c>
      <c r="F1781" s="10" t="s">
        <v>2516</v>
      </c>
      <c r="G1781" s="11">
        <v>45882</v>
      </c>
    </row>
    <row r="1782" spans="1:7" ht="24.5" hidden="1" x14ac:dyDescent="0.35">
      <c r="A1782" s="8">
        <v>9459</v>
      </c>
      <c r="B1782" s="10" t="s">
        <v>4338</v>
      </c>
      <c r="C1782" s="10" t="s">
        <v>96</v>
      </c>
      <c r="D1782" s="9" t="s">
        <v>250</v>
      </c>
      <c r="E1782" s="9" t="str">
        <f>_xlfn.TEXTAFTER(Condiciones_acumuladas[[#This Row],[Descripción]], " ", -2)</f>
        <v>Carlos Quan</v>
      </c>
      <c r="F1782" s="10" t="s">
        <v>2537</v>
      </c>
      <c r="G1782" s="11">
        <v>45882</v>
      </c>
    </row>
    <row r="1783" spans="1:7" ht="36.5" hidden="1" x14ac:dyDescent="0.35">
      <c r="A1783" s="8">
        <v>9458</v>
      </c>
      <c r="B1783" s="10" t="s">
        <v>4339</v>
      </c>
      <c r="C1783" s="10" t="s">
        <v>190</v>
      </c>
      <c r="D1783" s="9" t="s">
        <v>278</v>
      </c>
      <c r="E1783" s="9" t="str">
        <f>_xlfn.TEXTAFTER(Condiciones_acumuladas[[#This Row],[Descripción]], " ", -2)</f>
        <v>Fredy Fuentes</v>
      </c>
      <c r="F1783" s="10" t="s">
        <v>2525</v>
      </c>
      <c r="G1783" s="11">
        <v>45882</v>
      </c>
    </row>
    <row r="1784" spans="1:7" ht="24.5" hidden="1" x14ac:dyDescent="0.35">
      <c r="A1784" s="8">
        <v>9461</v>
      </c>
      <c r="B1784" s="10" t="s">
        <v>4340</v>
      </c>
      <c r="C1784" s="10" t="s">
        <v>13</v>
      </c>
      <c r="D1784" s="9" t="s">
        <v>95</v>
      </c>
      <c r="E1784" s="9" t="str">
        <f>_xlfn.TEXTAFTER(Condiciones_acumuladas[[#This Row],[Descripción]], " ", -2)</f>
        <v>Edgar Coti</v>
      </c>
      <c r="F1784" s="10" t="s">
        <v>2522</v>
      </c>
      <c r="G1784" s="11">
        <v>45882</v>
      </c>
    </row>
    <row r="1785" spans="1:7" ht="36.5" hidden="1" x14ac:dyDescent="0.35">
      <c r="A1785" s="8">
        <v>9456</v>
      </c>
      <c r="B1785" s="10" t="s">
        <v>4341</v>
      </c>
      <c r="C1785" s="10" t="s">
        <v>190</v>
      </c>
      <c r="D1785" s="9" t="s">
        <v>395</v>
      </c>
      <c r="E1785" s="9" t="str">
        <f>_xlfn.TEXTAFTER(Condiciones_acumuladas[[#This Row],[Descripción]], " ", -2)</f>
        <v>Daniel Pineda</v>
      </c>
      <c r="F1785" s="10" t="s">
        <v>2572</v>
      </c>
      <c r="G1785" s="11">
        <v>45882</v>
      </c>
    </row>
    <row r="1786" spans="1:7" ht="24.5" hidden="1" x14ac:dyDescent="0.35">
      <c r="A1786" s="8">
        <v>9460</v>
      </c>
      <c r="B1786" s="10" t="s">
        <v>4342</v>
      </c>
      <c r="C1786" s="10" t="s">
        <v>96</v>
      </c>
      <c r="D1786" s="9" t="s">
        <v>96</v>
      </c>
      <c r="E1786" s="9" t="str">
        <f>_xlfn.TEXTAFTER(Condiciones_acumuladas[[#This Row],[Descripción]], " ", -2)</f>
        <v>Luis Pérez</v>
      </c>
      <c r="F1786" s="10" t="s">
        <v>2537</v>
      </c>
      <c r="G1786" s="11">
        <v>45882</v>
      </c>
    </row>
    <row r="1787" spans="1:7" ht="36.5" hidden="1" x14ac:dyDescent="0.35">
      <c r="A1787" s="8">
        <v>9462</v>
      </c>
      <c r="B1787" s="10" t="s">
        <v>4343</v>
      </c>
      <c r="C1787" s="10" t="s">
        <v>250</v>
      </c>
      <c r="D1787" s="9" t="s">
        <v>395</v>
      </c>
      <c r="E1787" s="9" t="str">
        <f>_xlfn.TEXTAFTER(Condiciones_acumuladas[[#This Row],[Descripción]], " ", -2)</f>
        <v>Yessi Guarcas</v>
      </c>
      <c r="F1787" s="10" t="s">
        <v>2572</v>
      </c>
      <c r="G1787" s="11">
        <v>45882</v>
      </c>
    </row>
    <row r="1788" spans="1:7" ht="36.5" hidden="1" x14ac:dyDescent="0.35">
      <c r="A1788" s="8">
        <v>9463</v>
      </c>
      <c r="B1788" s="10" t="s">
        <v>4344</v>
      </c>
      <c r="C1788" s="10" t="s">
        <v>104</v>
      </c>
      <c r="D1788" s="9" t="s">
        <v>95</v>
      </c>
      <c r="E1788" s="9" t="str">
        <f>_xlfn.TEXTAFTER(Condiciones_acumuladas[[#This Row],[Descripción]], " ", -2)</f>
        <v>Andrea Gonzalez</v>
      </c>
      <c r="F1788" s="10" t="s">
        <v>2530</v>
      </c>
      <c r="G1788" s="11">
        <v>45882</v>
      </c>
    </row>
    <row r="1789" spans="1:7" ht="36.5" hidden="1" x14ac:dyDescent="0.35">
      <c r="A1789" s="8">
        <v>9464</v>
      </c>
      <c r="B1789" s="10" t="s">
        <v>4345</v>
      </c>
      <c r="C1789" s="10" t="s">
        <v>104</v>
      </c>
      <c r="D1789" s="9" t="s">
        <v>95</v>
      </c>
      <c r="E1789" s="9" t="str">
        <f>_xlfn.TEXTAFTER(Condiciones_acumuladas[[#This Row],[Descripción]], " ", -2)</f>
        <v>Andrea Gonzalez</v>
      </c>
      <c r="F1789" s="10" t="s">
        <v>2530</v>
      </c>
      <c r="G1789" s="11">
        <v>45882</v>
      </c>
    </row>
    <row r="1790" spans="1:7" ht="36.5" hidden="1" x14ac:dyDescent="0.35">
      <c r="A1790" s="8">
        <v>9465</v>
      </c>
      <c r="B1790" s="10" t="s">
        <v>4346</v>
      </c>
      <c r="C1790" s="10" t="s">
        <v>104</v>
      </c>
      <c r="D1790" s="9" t="s">
        <v>95</v>
      </c>
      <c r="E1790" s="9" t="str">
        <f>_xlfn.TEXTAFTER(Condiciones_acumuladas[[#This Row],[Descripción]], " ", -2)</f>
        <v>Luis Cabrera</v>
      </c>
      <c r="F1790" s="10" t="s">
        <v>2530</v>
      </c>
      <c r="G1790" s="11">
        <v>45882</v>
      </c>
    </row>
    <row r="1791" spans="1:7" ht="24.5" hidden="1" x14ac:dyDescent="0.35">
      <c r="A1791" s="8">
        <v>9469</v>
      </c>
      <c r="B1791" s="10" t="s">
        <v>4347</v>
      </c>
      <c r="C1791" s="10" t="s">
        <v>26</v>
      </c>
      <c r="D1791" s="9" t="s">
        <v>193</v>
      </c>
      <c r="E1791" s="9" t="str">
        <f>_xlfn.TEXTAFTER(Condiciones_acumuladas[[#This Row],[Descripción]], " ", -2)</f>
        <v>Selvin Pérez</v>
      </c>
      <c r="F1791" s="10" t="s">
        <v>2522</v>
      </c>
      <c r="G1791" s="11">
        <v>45882</v>
      </c>
    </row>
    <row r="1792" spans="1:7" ht="24.5" hidden="1" x14ac:dyDescent="0.35">
      <c r="A1792" s="8">
        <v>9468</v>
      </c>
      <c r="B1792" s="10" t="s">
        <v>4348</v>
      </c>
      <c r="C1792" s="10" t="s">
        <v>13</v>
      </c>
      <c r="D1792" s="9" t="s">
        <v>95</v>
      </c>
      <c r="E1792" s="9" t="str">
        <f>_xlfn.TEXTAFTER(Condiciones_acumuladas[[#This Row],[Descripción]], " ", -2)</f>
        <v>Edgar Coti</v>
      </c>
      <c r="F1792" s="10" t="s">
        <v>2522</v>
      </c>
      <c r="G1792" s="11">
        <v>45882</v>
      </c>
    </row>
    <row r="1793" spans="1:7" ht="36.5" hidden="1" x14ac:dyDescent="0.35">
      <c r="A1793" s="8">
        <v>9474</v>
      </c>
      <c r="B1793" s="10" t="s">
        <v>4349</v>
      </c>
      <c r="C1793" s="10" t="s">
        <v>13</v>
      </c>
      <c r="D1793" s="9" t="s">
        <v>13</v>
      </c>
      <c r="E1793" s="9" t="str">
        <f>_xlfn.TEXTAFTER(Condiciones_acumuladas[[#This Row],[Descripción]], " ", -2)</f>
        <v>Amilcar Ralda</v>
      </c>
      <c r="F1793" s="10" t="s">
        <v>2530</v>
      </c>
      <c r="G1793" s="11">
        <v>45883</v>
      </c>
    </row>
    <row r="1794" spans="1:7" ht="36.5" hidden="1" x14ac:dyDescent="0.35">
      <c r="A1794" s="8">
        <v>9470</v>
      </c>
      <c r="B1794" s="10" t="s">
        <v>4350</v>
      </c>
      <c r="C1794" s="10" t="s">
        <v>395</v>
      </c>
      <c r="D1794" s="9" t="s">
        <v>196</v>
      </c>
      <c r="E1794" s="9" t="str">
        <f>_xlfn.TEXTAFTER(Condiciones_acumuladas[[#This Row],[Descripción]], " ", -2)</f>
        <v>Miguel Godinez</v>
      </c>
      <c r="F1794" s="10" t="s">
        <v>2715</v>
      </c>
      <c r="G1794" s="11">
        <v>45883</v>
      </c>
    </row>
    <row r="1795" spans="1:7" ht="36.5" hidden="1" x14ac:dyDescent="0.35">
      <c r="A1795" s="8">
        <v>9471</v>
      </c>
      <c r="B1795" s="10" t="s">
        <v>4351</v>
      </c>
      <c r="C1795" s="10" t="s">
        <v>395</v>
      </c>
      <c r="D1795" s="9" t="s">
        <v>371</v>
      </c>
      <c r="E1795" s="9" t="str">
        <f>_xlfn.TEXTAFTER(Condiciones_acumuladas[[#This Row],[Descripción]], " ", -2)</f>
        <v>Rodrigo Galindo</v>
      </c>
      <c r="F1795" s="10" t="s">
        <v>2715</v>
      </c>
      <c r="G1795" s="11">
        <v>45882</v>
      </c>
    </row>
    <row r="1796" spans="1:7" ht="24.5" hidden="1" x14ac:dyDescent="0.35">
      <c r="A1796" s="8">
        <v>9473</v>
      </c>
      <c r="B1796" s="10" t="s">
        <v>4352</v>
      </c>
      <c r="C1796" s="10" t="s">
        <v>96</v>
      </c>
      <c r="D1796" s="9" t="s">
        <v>96</v>
      </c>
      <c r="E1796" s="9" t="str">
        <f>_xlfn.TEXTAFTER(Condiciones_acumuladas[[#This Row],[Descripción]], " ", -2)</f>
        <v>Carlos Poz</v>
      </c>
      <c r="F1796" s="10" t="s">
        <v>2537</v>
      </c>
      <c r="G1796" s="11">
        <v>45882</v>
      </c>
    </row>
    <row r="1797" spans="1:7" ht="24.5" hidden="1" x14ac:dyDescent="0.35">
      <c r="A1797" s="8">
        <v>9480</v>
      </c>
      <c r="B1797" s="10" t="s">
        <v>4353</v>
      </c>
      <c r="C1797" s="10" t="s">
        <v>278</v>
      </c>
      <c r="D1797" s="9" t="s">
        <v>278</v>
      </c>
      <c r="E1797" s="9" t="str">
        <f>_xlfn.TEXTAFTER(Condiciones_acumuladas[[#This Row],[Descripción]], " ", -2)</f>
        <v>Jason Calderón</v>
      </c>
      <c r="F1797" s="10" t="s">
        <v>2522</v>
      </c>
      <c r="G1797" s="11">
        <v>45884</v>
      </c>
    </row>
    <row r="1798" spans="1:7" ht="24.5" hidden="1" x14ac:dyDescent="0.35">
      <c r="A1798" s="8">
        <v>9484</v>
      </c>
      <c r="B1798" s="10" t="s">
        <v>4354</v>
      </c>
      <c r="C1798" s="10" t="s">
        <v>134</v>
      </c>
      <c r="D1798" s="9" t="s">
        <v>134</v>
      </c>
      <c r="E1798" s="9" t="str">
        <f>_xlfn.TEXTAFTER(Condiciones_acumuladas[[#This Row],[Descripción]], " ", -2)</f>
        <v>Roger Rivas</v>
      </c>
      <c r="F1798" s="10" t="s">
        <v>2522</v>
      </c>
      <c r="G1798" s="11">
        <v>45883</v>
      </c>
    </row>
    <row r="1799" spans="1:7" ht="24.5" hidden="1" x14ac:dyDescent="0.35">
      <c r="A1799" s="8">
        <v>9485</v>
      </c>
      <c r="B1799" s="10" t="s">
        <v>4355</v>
      </c>
      <c r="C1799" s="10" t="s">
        <v>134</v>
      </c>
      <c r="D1799" s="9" t="s">
        <v>134</v>
      </c>
      <c r="E1799" s="9" t="str">
        <f>_xlfn.TEXTAFTER(Condiciones_acumuladas[[#This Row],[Descripción]], " ", -2)</f>
        <v>Gustavo Hernández</v>
      </c>
      <c r="F1799" s="10" t="s">
        <v>2522</v>
      </c>
      <c r="G1799" s="11">
        <v>45884</v>
      </c>
    </row>
    <row r="1800" spans="1:7" ht="24.5" hidden="1" x14ac:dyDescent="0.35">
      <c r="A1800" s="8">
        <v>9486</v>
      </c>
      <c r="B1800" s="10" t="s">
        <v>4356</v>
      </c>
      <c r="C1800" s="10" t="s">
        <v>95</v>
      </c>
      <c r="D1800" s="9" t="s">
        <v>95</v>
      </c>
      <c r="E1800" s="9" t="str">
        <f>_xlfn.TEXTAFTER(Condiciones_acumuladas[[#This Row],[Descripción]], " ", -2)</f>
        <v>Maria Obregón</v>
      </c>
      <c r="F1800" s="10" t="s">
        <v>2537</v>
      </c>
      <c r="G1800" s="11">
        <v>45887</v>
      </c>
    </row>
    <row r="1801" spans="1:7" ht="48.5" hidden="1" x14ac:dyDescent="0.35">
      <c r="A1801" s="8">
        <v>9487</v>
      </c>
      <c r="B1801" s="10" t="s">
        <v>4357</v>
      </c>
      <c r="C1801" s="10" t="s">
        <v>95</v>
      </c>
      <c r="D1801" s="9" t="s">
        <v>104</v>
      </c>
      <c r="E1801" s="9" t="str">
        <f>_xlfn.TEXTAFTER(Condiciones_acumuladas[[#This Row],[Descripción]], " ", -2)</f>
        <v>Maria Obregón</v>
      </c>
      <c r="F1801" s="10" t="s">
        <v>2559</v>
      </c>
      <c r="G1801" s="11">
        <v>45887</v>
      </c>
    </row>
    <row r="1802" spans="1:7" ht="36.5" hidden="1" x14ac:dyDescent="0.35">
      <c r="A1802" s="8">
        <v>9506</v>
      </c>
      <c r="B1802" s="10" t="s">
        <v>4358</v>
      </c>
      <c r="C1802" s="10" t="s">
        <v>21</v>
      </c>
      <c r="D1802" s="9" t="s">
        <v>395</v>
      </c>
      <c r="E1802" s="9" t="str">
        <f>_xlfn.TEXTAFTER(Condiciones_acumuladas[[#This Row],[Descripción]], " ", -2)</f>
        <v>Antony Ramos</v>
      </c>
      <c r="F1802" s="10" t="s">
        <v>2530</v>
      </c>
      <c r="G1802" s="11">
        <v>45885</v>
      </c>
    </row>
    <row r="1803" spans="1:7" ht="36.5" hidden="1" x14ac:dyDescent="0.35">
      <c r="A1803" s="8">
        <v>9505</v>
      </c>
      <c r="B1803" s="10" t="s">
        <v>4359</v>
      </c>
      <c r="C1803" s="10" t="s">
        <v>96</v>
      </c>
      <c r="D1803" s="9" t="s">
        <v>395</v>
      </c>
      <c r="E1803" s="9" t="str">
        <f>_xlfn.TEXTAFTER(Condiciones_acumuladas[[#This Row],[Descripción]], " ", -2)</f>
        <v>Antony Ramos</v>
      </c>
      <c r="F1803" s="10" t="s">
        <v>2530</v>
      </c>
      <c r="G1803" s="11">
        <v>45885</v>
      </c>
    </row>
    <row r="1804" spans="1:7" ht="24.5" hidden="1" x14ac:dyDescent="0.35">
      <c r="A1804" s="8">
        <v>9489</v>
      </c>
      <c r="B1804" s="10" t="s">
        <v>4360</v>
      </c>
      <c r="C1804" s="10" t="s">
        <v>134</v>
      </c>
      <c r="D1804" s="9" t="s">
        <v>134</v>
      </c>
      <c r="E1804" s="9" t="str">
        <f>_xlfn.TEXTAFTER(Condiciones_acumuladas[[#This Row],[Descripción]], " ", -2)</f>
        <v>Gustavo Hernández</v>
      </c>
      <c r="F1804" s="10" t="s">
        <v>2522</v>
      </c>
      <c r="G1804" s="11">
        <v>45884</v>
      </c>
    </row>
    <row r="1805" spans="1:7" ht="36.5" hidden="1" x14ac:dyDescent="0.35">
      <c r="A1805" s="8">
        <v>9504</v>
      </c>
      <c r="B1805" s="10" t="s">
        <v>4361</v>
      </c>
      <c r="C1805" s="10" t="s">
        <v>234</v>
      </c>
      <c r="D1805" s="9" t="s">
        <v>234</v>
      </c>
      <c r="E1805" s="9" t="str">
        <f>_xlfn.TEXTAFTER(Condiciones_acumuladas[[#This Row],[Descripción]], " ", -2)</f>
        <v>Gustavo Hernández</v>
      </c>
      <c r="F1805" s="10" t="s">
        <v>2530</v>
      </c>
      <c r="G1805" s="11">
        <v>45885</v>
      </c>
    </row>
    <row r="1806" spans="1:7" ht="24.5" hidden="1" x14ac:dyDescent="0.35">
      <c r="A1806" s="8">
        <v>9491</v>
      </c>
      <c r="B1806" s="10" t="s">
        <v>4362</v>
      </c>
      <c r="C1806" s="10" t="s">
        <v>21</v>
      </c>
      <c r="D1806" s="9" t="s">
        <v>21</v>
      </c>
      <c r="E1806" s="9" t="str">
        <f>_xlfn.TEXTAFTER(Condiciones_acumuladas[[#This Row],[Descripción]], " ", -2)</f>
        <v>Gustavo Hernández</v>
      </c>
      <c r="F1806" s="10" t="s">
        <v>2522</v>
      </c>
      <c r="G1806" s="11">
        <v>45884</v>
      </c>
    </row>
    <row r="1807" spans="1:7" ht="24.5" hidden="1" x14ac:dyDescent="0.35">
      <c r="A1807" s="8">
        <v>9501</v>
      </c>
      <c r="B1807" s="10" t="s">
        <v>4363</v>
      </c>
      <c r="C1807" s="10" t="s">
        <v>21</v>
      </c>
      <c r="D1807" s="9" t="s">
        <v>21</v>
      </c>
      <c r="E1807" s="9" t="str">
        <f>_xlfn.TEXTAFTER(Condiciones_acumuladas[[#This Row],[Descripción]], " ", -2)</f>
        <v>Haydée Martínez</v>
      </c>
      <c r="F1807" s="10" t="s">
        <v>2540</v>
      </c>
      <c r="G1807" s="11">
        <v>45885</v>
      </c>
    </row>
    <row r="1808" spans="1:7" ht="24.5" hidden="1" x14ac:dyDescent="0.35">
      <c r="A1808" s="8">
        <v>9500</v>
      </c>
      <c r="B1808" s="10" t="s">
        <v>4364</v>
      </c>
      <c r="C1808" s="10" t="s">
        <v>21</v>
      </c>
      <c r="D1808" s="9" t="s">
        <v>21</v>
      </c>
      <c r="E1808" s="9" t="str">
        <f>_xlfn.TEXTAFTER(Condiciones_acumuladas[[#This Row],[Descripción]], " ", -2)</f>
        <v>Fredy Fuentes</v>
      </c>
      <c r="F1808" s="10" t="s">
        <v>2522</v>
      </c>
      <c r="G1808" s="11">
        <v>45884</v>
      </c>
    </row>
    <row r="1809" spans="1:7" ht="36.5" hidden="1" x14ac:dyDescent="0.35">
      <c r="A1809" s="8">
        <v>9499</v>
      </c>
      <c r="B1809" s="10" t="s">
        <v>4365</v>
      </c>
      <c r="C1809" s="10" t="s">
        <v>190</v>
      </c>
      <c r="D1809" s="9" t="s">
        <v>21</v>
      </c>
      <c r="E1809" s="9" t="str">
        <f>_xlfn.TEXTAFTER(Condiciones_acumuladas[[#This Row],[Descripción]], " ", -2)</f>
        <v>Mario Ramos</v>
      </c>
      <c r="F1809" s="10" t="s">
        <v>2530</v>
      </c>
      <c r="G1809" s="11">
        <v>45884</v>
      </c>
    </row>
    <row r="1810" spans="1:7" ht="36.5" hidden="1" x14ac:dyDescent="0.35">
      <c r="A1810" s="8">
        <v>9496</v>
      </c>
      <c r="B1810" s="10" t="s">
        <v>4366</v>
      </c>
      <c r="C1810" s="10" t="s">
        <v>250</v>
      </c>
      <c r="D1810" s="9" t="s">
        <v>395</v>
      </c>
      <c r="E1810" s="9" t="str">
        <f>_xlfn.TEXTAFTER(Condiciones_acumuladas[[#This Row],[Descripción]], " ", -2)</f>
        <v>Josué Vásquez</v>
      </c>
      <c r="F1810" s="10" t="s">
        <v>2525</v>
      </c>
      <c r="G1810" s="11">
        <v>45884</v>
      </c>
    </row>
    <row r="1811" spans="1:7" ht="36.5" hidden="1" x14ac:dyDescent="0.35">
      <c r="A1811" s="8">
        <v>9495</v>
      </c>
      <c r="B1811" s="10" t="s">
        <v>4367</v>
      </c>
      <c r="C1811" s="10" t="s">
        <v>250</v>
      </c>
      <c r="D1811" s="9" t="s">
        <v>21</v>
      </c>
      <c r="E1811" s="9" t="str">
        <f>_xlfn.TEXTAFTER(Condiciones_acumuladas[[#This Row],[Descripción]], " ", -2)</f>
        <v>Mario Ramos</v>
      </c>
      <c r="F1811" s="10" t="s">
        <v>2530</v>
      </c>
      <c r="G1811" s="11">
        <v>45884</v>
      </c>
    </row>
    <row r="1812" spans="1:7" ht="36.5" hidden="1" x14ac:dyDescent="0.35">
      <c r="A1812" s="8">
        <v>9497</v>
      </c>
      <c r="B1812" s="10" t="s">
        <v>4368</v>
      </c>
      <c r="C1812" s="10" t="s">
        <v>250</v>
      </c>
      <c r="D1812" s="9" t="s">
        <v>395</v>
      </c>
      <c r="E1812" s="9" t="str">
        <f>_xlfn.TEXTAFTER(Condiciones_acumuladas[[#This Row],[Descripción]], " ", -2)</f>
        <v>Josué Vásquez</v>
      </c>
      <c r="F1812" s="10" t="s">
        <v>2525</v>
      </c>
      <c r="G1812" s="11">
        <v>45884</v>
      </c>
    </row>
    <row r="1813" spans="1:7" ht="24.5" hidden="1" x14ac:dyDescent="0.35">
      <c r="A1813" s="8">
        <v>9492</v>
      </c>
      <c r="B1813" s="10" t="s">
        <v>4369</v>
      </c>
      <c r="C1813" s="10" t="s">
        <v>34</v>
      </c>
      <c r="D1813" s="9" t="s">
        <v>190</v>
      </c>
      <c r="E1813" s="9" t="str">
        <f>_xlfn.TEXTAFTER(Condiciones_acumuladas[[#This Row],[Descripción]], " ", -2)</f>
        <v>Edson Bonifacio</v>
      </c>
      <c r="F1813" s="10" t="s">
        <v>2522</v>
      </c>
      <c r="G1813" s="11">
        <v>45884</v>
      </c>
    </row>
    <row r="1814" spans="1:7" ht="24.5" hidden="1" x14ac:dyDescent="0.35">
      <c r="A1814" s="8">
        <v>9494</v>
      </c>
      <c r="B1814" s="10" t="s">
        <v>4370</v>
      </c>
      <c r="C1814" s="10" t="s">
        <v>250</v>
      </c>
      <c r="D1814" s="9" t="s">
        <v>395</v>
      </c>
      <c r="E1814" s="9" t="str">
        <f>_xlfn.TEXTAFTER(Condiciones_acumuladas[[#This Row],[Descripción]], " ", -2)</f>
        <v>Josué Vásquez</v>
      </c>
      <c r="F1814" s="10" t="s">
        <v>2540</v>
      </c>
      <c r="G1814" s="11">
        <v>45884</v>
      </c>
    </row>
    <row r="1815" spans="1:7" ht="24.5" hidden="1" x14ac:dyDescent="0.35">
      <c r="A1815" s="8">
        <v>9490</v>
      </c>
      <c r="B1815" s="10" t="s">
        <v>4371</v>
      </c>
      <c r="C1815" s="10" t="s">
        <v>13</v>
      </c>
      <c r="D1815" s="9" t="s">
        <v>13</v>
      </c>
      <c r="E1815" s="9" t="str">
        <f>_xlfn.TEXTAFTER(Condiciones_acumuladas[[#This Row],[Descripción]], " ", -2)</f>
        <v>Gustavo Hernández</v>
      </c>
      <c r="F1815" s="10" t="s">
        <v>2522</v>
      </c>
      <c r="G1815" s="11">
        <v>45884</v>
      </c>
    </row>
    <row r="1816" spans="1:7" ht="24.5" hidden="1" x14ac:dyDescent="0.35">
      <c r="A1816" s="8">
        <v>9493</v>
      </c>
      <c r="B1816" s="10" t="s">
        <v>4372</v>
      </c>
      <c r="C1816" s="10" t="s">
        <v>13</v>
      </c>
      <c r="D1816" s="9" t="s">
        <v>13</v>
      </c>
      <c r="E1816" s="9" t="str">
        <f>_xlfn.TEXTAFTER(Condiciones_acumuladas[[#This Row],[Descripción]], " ", -2)</f>
        <v>Gustavo Hernández</v>
      </c>
      <c r="F1816" s="10" t="s">
        <v>2522</v>
      </c>
      <c r="G1816" s="11">
        <v>45894</v>
      </c>
    </row>
    <row r="1817" spans="1:7" ht="36.5" hidden="1" x14ac:dyDescent="0.35">
      <c r="A1817" s="8">
        <v>9508</v>
      </c>
      <c r="B1817" s="10" t="s">
        <v>4373</v>
      </c>
      <c r="C1817" s="10" t="s">
        <v>250</v>
      </c>
      <c r="D1817" s="9" t="s">
        <v>395</v>
      </c>
      <c r="E1817" s="9" t="str">
        <f>_xlfn.TEXTAFTER(Condiciones_acumuladas[[#This Row],[Descripción]], " ", -2)</f>
        <v>Josué Vásquez</v>
      </c>
      <c r="F1817" s="10" t="s">
        <v>2525</v>
      </c>
      <c r="G1817" s="11">
        <v>45884</v>
      </c>
    </row>
    <row r="1818" spans="1:7" ht="36.5" hidden="1" x14ac:dyDescent="0.35">
      <c r="A1818" s="8">
        <v>9509</v>
      </c>
      <c r="B1818" s="10" t="s">
        <v>4374</v>
      </c>
      <c r="C1818" s="10" t="s">
        <v>250</v>
      </c>
      <c r="D1818" s="9" t="s">
        <v>395</v>
      </c>
      <c r="E1818" s="9" t="str">
        <f>_xlfn.TEXTAFTER(Condiciones_acumuladas[[#This Row],[Descripción]], " ", -2)</f>
        <v>Josué Vásquez</v>
      </c>
      <c r="F1818" s="10" t="s">
        <v>2516</v>
      </c>
      <c r="G1818" s="11">
        <v>45884</v>
      </c>
    </row>
    <row r="1819" spans="1:7" ht="24.5" hidden="1" x14ac:dyDescent="0.35">
      <c r="A1819" s="8">
        <v>9510</v>
      </c>
      <c r="B1819" s="10" t="s">
        <v>4375</v>
      </c>
      <c r="C1819" s="10" t="s">
        <v>34</v>
      </c>
      <c r="D1819" s="9" t="s">
        <v>395</v>
      </c>
      <c r="E1819" s="9" t="str">
        <f>_xlfn.TEXTAFTER(Condiciones_acumuladas[[#This Row],[Descripción]], " ", -2)</f>
        <v>Josué Vásquez</v>
      </c>
      <c r="F1819" s="10" t="s">
        <v>2522</v>
      </c>
      <c r="G1819" s="11">
        <v>45884</v>
      </c>
    </row>
    <row r="1820" spans="1:7" ht="36.5" hidden="1" x14ac:dyDescent="0.35">
      <c r="A1820" s="8">
        <v>9511</v>
      </c>
      <c r="B1820" s="10" t="s">
        <v>4376</v>
      </c>
      <c r="C1820" s="10" t="s">
        <v>104</v>
      </c>
      <c r="D1820" s="9" t="s">
        <v>193</v>
      </c>
      <c r="E1820" s="9" t="str">
        <f>_xlfn.TEXTAFTER(Condiciones_acumuladas[[#This Row],[Descripción]], " ", -2)</f>
        <v>Selvin Pérez</v>
      </c>
      <c r="F1820" s="10" t="s">
        <v>2522</v>
      </c>
      <c r="G1820" s="11">
        <v>45884</v>
      </c>
    </row>
    <row r="1821" spans="1:7" ht="36.5" hidden="1" x14ac:dyDescent="0.35">
      <c r="A1821" s="8">
        <v>9515</v>
      </c>
      <c r="B1821" s="10" t="s">
        <v>4377</v>
      </c>
      <c r="C1821" s="10" t="s">
        <v>234</v>
      </c>
      <c r="D1821" s="9" t="s">
        <v>234</v>
      </c>
      <c r="E1821" s="9" t="str">
        <f>_xlfn.TEXTAFTER(Condiciones_acumuladas[[#This Row],[Descripción]], " ", -2)</f>
        <v>Eliú Tello</v>
      </c>
      <c r="F1821" s="10" t="s">
        <v>2572</v>
      </c>
      <c r="G1821" s="11">
        <v>45887</v>
      </c>
    </row>
    <row r="1822" spans="1:7" ht="36.5" hidden="1" x14ac:dyDescent="0.35">
      <c r="A1822" s="8">
        <v>9512</v>
      </c>
      <c r="B1822" s="10" t="s">
        <v>4378</v>
      </c>
      <c r="C1822" s="10" t="s">
        <v>134</v>
      </c>
      <c r="D1822" s="9" t="s">
        <v>134</v>
      </c>
      <c r="E1822" s="9" t="str">
        <f>_xlfn.TEXTAFTER(Condiciones_acumuladas[[#This Row],[Descripción]], " ", -2)</f>
        <v>Roger Rivas</v>
      </c>
      <c r="F1822" s="10" t="s">
        <v>2516</v>
      </c>
      <c r="G1822" s="11">
        <v>45884</v>
      </c>
    </row>
    <row r="1823" spans="1:7" ht="36.5" hidden="1" x14ac:dyDescent="0.35">
      <c r="A1823" s="8">
        <v>9518</v>
      </c>
      <c r="B1823" s="10" t="s">
        <v>4379</v>
      </c>
      <c r="C1823" s="10" t="s">
        <v>96</v>
      </c>
      <c r="D1823" s="9" t="s">
        <v>96</v>
      </c>
      <c r="E1823" s="9" t="str">
        <f>_xlfn.TEXTAFTER(Condiciones_acumuladas[[#This Row],[Descripción]], " ", -2)</f>
        <v>Luis Pérez</v>
      </c>
      <c r="F1823" s="10" t="s">
        <v>2516</v>
      </c>
      <c r="G1823" s="11">
        <v>45888</v>
      </c>
    </row>
    <row r="1824" spans="1:7" ht="36.5" hidden="1" x14ac:dyDescent="0.35">
      <c r="A1824" s="8">
        <v>9516</v>
      </c>
      <c r="B1824" s="10" t="s">
        <v>4380</v>
      </c>
      <c r="C1824" s="10" t="s">
        <v>220</v>
      </c>
      <c r="D1824" s="9" t="s">
        <v>395</v>
      </c>
      <c r="E1824" s="9" t="str">
        <f>_xlfn.TEXTAFTER(Condiciones_acumuladas[[#This Row],[Descripción]], " ", -2)</f>
        <v>Daniel Pineda</v>
      </c>
      <c r="F1824" s="10" t="s">
        <v>2516</v>
      </c>
      <c r="G1824" s="11">
        <v>45887</v>
      </c>
    </row>
    <row r="1825" spans="1:7" ht="36.5" hidden="1" x14ac:dyDescent="0.35">
      <c r="A1825" s="8">
        <v>9517</v>
      </c>
      <c r="B1825" s="10" t="s">
        <v>4381</v>
      </c>
      <c r="C1825" s="10" t="s">
        <v>220</v>
      </c>
      <c r="D1825" s="9" t="s">
        <v>234</v>
      </c>
      <c r="E1825" s="9" t="str">
        <f>_xlfn.TEXTAFTER(Condiciones_acumuladas[[#This Row],[Descripción]], " ", -2)</f>
        <v>Bryan Neftaly</v>
      </c>
      <c r="F1825" s="10" t="s">
        <v>2516</v>
      </c>
      <c r="G1825" s="11">
        <v>45887</v>
      </c>
    </row>
    <row r="1826" spans="1:7" ht="36.5" hidden="1" x14ac:dyDescent="0.35">
      <c r="A1826" s="8">
        <v>9514</v>
      </c>
      <c r="B1826" s="10" t="s">
        <v>4382</v>
      </c>
      <c r="C1826" s="10" t="s">
        <v>250</v>
      </c>
      <c r="D1826" s="9" t="s">
        <v>250</v>
      </c>
      <c r="E1826" s="9" t="str">
        <f>_xlfn.TEXTAFTER(Condiciones_acumuladas[[#This Row],[Descripción]], " ", -2)</f>
        <v>Elvis Oliva</v>
      </c>
      <c r="F1826" s="10" t="s">
        <v>2516</v>
      </c>
      <c r="G1826" s="11">
        <v>45887</v>
      </c>
    </row>
    <row r="1827" spans="1:7" ht="48.5" hidden="1" x14ac:dyDescent="0.35">
      <c r="A1827" s="8">
        <v>9520</v>
      </c>
      <c r="B1827" s="10" t="s">
        <v>4383</v>
      </c>
      <c r="C1827" s="10" t="s">
        <v>26</v>
      </c>
      <c r="D1827" s="9" t="s">
        <v>95</v>
      </c>
      <c r="E1827" s="9" t="str">
        <f>_xlfn.TEXTAFTER(Condiciones_acumuladas[[#This Row],[Descripción]], " ", -2)</f>
        <v>Andrea Gonzalez</v>
      </c>
      <c r="F1827" s="10" t="s">
        <v>2559</v>
      </c>
      <c r="G1827" s="11">
        <v>45888</v>
      </c>
    </row>
    <row r="1828" spans="1:7" ht="36.5" hidden="1" x14ac:dyDescent="0.35">
      <c r="A1828" s="8">
        <v>9526</v>
      </c>
      <c r="B1828" s="10" t="s">
        <v>4384</v>
      </c>
      <c r="C1828" s="10" t="s">
        <v>21</v>
      </c>
      <c r="D1828" s="9" t="s">
        <v>95</v>
      </c>
      <c r="E1828" s="9" t="str">
        <f>_xlfn.TEXTAFTER(Condiciones_acumuladas[[#This Row],[Descripción]], " ", -2)</f>
        <v>Hellen Consuelo</v>
      </c>
      <c r="F1828" s="10" t="s">
        <v>2525</v>
      </c>
      <c r="G1828" s="11">
        <v>45890</v>
      </c>
    </row>
    <row r="1829" spans="1:7" ht="24.5" hidden="1" x14ac:dyDescent="0.35">
      <c r="A1829" s="8">
        <v>9527</v>
      </c>
      <c r="B1829" s="10" t="s">
        <v>4385</v>
      </c>
      <c r="C1829" s="10" t="s">
        <v>104</v>
      </c>
      <c r="D1829" s="9" t="s">
        <v>95</v>
      </c>
      <c r="E1829" s="9" t="str">
        <f>_xlfn.TEXTAFTER(Condiciones_acumuladas[[#This Row],[Descripción]], " ", -2)</f>
        <v>Hellen Consuelo</v>
      </c>
      <c r="F1829" s="10" t="s">
        <v>2522</v>
      </c>
      <c r="G1829" s="11">
        <v>45890</v>
      </c>
    </row>
    <row r="1830" spans="1:7" ht="24.5" hidden="1" x14ac:dyDescent="0.35">
      <c r="A1830" s="8">
        <v>9528</v>
      </c>
      <c r="B1830" s="10" t="s">
        <v>4386</v>
      </c>
      <c r="C1830" s="10" t="s">
        <v>13</v>
      </c>
      <c r="D1830" s="9" t="s">
        <v>95</v>
      </c>
      <c r="E1830" s="9" t="str">
        <f>_xlfn.TEXTAFTER(Condiciones_acumuladas[[#This Row],[Descripción]], " ", -2)</f>
        <v>Hellen Consuelo</v>
      </c>
      <c r="F1830" s="10" t="s">
        <v>2522</v>
      </c>
      <c r="G1830" s="11">
        <v>45890</v>
      </c>
    </row>
    <row r="1831" spans="1:7" ht="36.5" hidden="1" x14ac:dyDescent="0.35">
      <c r="A1831" s="8">
        <v>9544</v>
      </c>
      <c r="B1831" s="10" t="s">
        <v>4387</v>
      </c>
      <c r="C1831" s="10" t="s">
        <v>395</v>
      </c>
      <c r="D1831" s="9" t="s">
        <v>395</v>
      </c>
      <c r="E1831" s="9" t="str">
        <f>_xlfn.TEXTAFTER(Condiciones_acumuladas[[#This Row],[Descripción]], " ", -2)</f>
        <v>Josué Vásquez</v>
      </c>
      <c r="F1831" s="10" t="s">
        <v>2516</v>
      </c>
      <c r="G1831" s="11">
        <v>45891</v>
      </c>
    </row>
    <row r="1832" spans="1:7" ht="36.5" hidden="1" x14ac:dyDescent="0.35">
      <c r="A1832" s="8">
        <v>9545</v>
      </c>
      <c r="B1832" s="10" t="s">
        <v>4388</v>
      </c>
      <c r="C1832" s="10" t="s">
        <v>395</v>
      </c>
      <c r="D1832" s="9" t="s">
        <v>395</v>
      </c>
      <c r="E1832" s="9" t="str">
        <f>_xlfn.TEXTAFTER(Condiciones_acumuladas[[#This Row],[Descripción]], " ", -2)</f>
        <v>Josué Vásquez</v>
      </c>
      <c r="F1832" s="10" t="s">
        <v>2516</v>
      </c>
      <c r="G1832" s="11">
        <v>45891</v>
      </c>
    </row>
    <row r="1833" spans="1:7" ht="36.5" hidden="1" x14ac:dyDescent="0.35">
      <c r="A1833" s="8">
        <v>9542</v>
      </c>
      <c r="B1833" s="10" t="s">
        <v>4389</v>
      </c>
      <c r="C1833" s="10" t="s">
        <v>395</v>
      </c>
      <c r="D1833" s="9" t="s">
        <v>395</v>
      </c>
      <c r="E1833" s="9" t="str">
        <f>_xlfn.TEXTAFTER(Condiciones_acumuladas[[#This Row],[Descripción]], " ", -2)</f>
        <v>Josué Vásquez</v>
      </c>
      <c r="F1833" s="10" t="s">
        <v>2516</v>
      </c>
      <c r="G1833" s="11">
        <v>45891</v>
      </c>
    </row>
    <row r="1834" spans="1:7" ht="36.5" hidden="1" x14ac:dyDescent="0.35">
      <c r="A1834" s="8">
        <v>9541</v>
      </c>
      <c r="B1834" s="10" t="s">
        <v>4390</v>
      </c>
      <c r="C1834" s="10" t="s">
        <v>395</v>
      </c>
      <c r="D1834" s="9" t="s">
        <v>395</v>
      </c>
      <c r="E1834" s="9" t="str">
        <f>_xlfn.TEXTAFTER(Condiciones_acumuladas[[#This Row],[Descripción]], " ", -2)</f>
        <v>Josué vásquez</v>
      </c>
      <c r="F1834" s="10" t="s">
        <v>2516</v>
      </c>
      <c r="G1834" s="11">
        <v>45891</v>
      </c>
    </row>
    <row r="1835" spans="1:7" ht="36.5" hidden="1" x14ac:dyDescent="0.35">
      <c r="A1835" s="8">
        <v>9543</v>
      </c>
      <c r="B1835" s="10" t="s">
        <v>4391</v>
      </c>
      <c r="C1835" s="10" t="s">
        <v>395</v>
      </c>
      <c r="D1835" s="9" t="s">
        <v>395</v>
      </c>
      <c r="E1835" s="9" t="str">
        <f>_xlfn.TEXTAFTER(Condiciones_acumuladas[[#This Row],[Descripción]], " ", -2)</f>
        <v>Josué Vásquez</v>
      </c>
      <c r="F1835" s="10" t="s">
        <v>2516</v>
      </c>
      <c r="G1835" s="11">
        <v>45891</v>
      </c>
    </row>
    <row r="1836" spans="1:7" ht="36.5" hidden="1" x14ac:dyDescent="0.35">
      <c r="A1836" s="8">
        <v>9540</v>
      </c>
      <c r="B1836" s="10" t="s">
        <v>4392</v>
      </c>
      <c r="C1836" s="10" t="s">
        <v>220</v>
      </c>
      <c r="D1836" s="9" t="s">
        <v>95</v>
      </c>
      <c r="E1836" s="9" t="str">
        <f>_xlfn.TEXTAFTER(Condiciones_acumuladas[[#This Row],[Descripción]], " ", -2)</f>
        <v>Maria Obregón</v>
      </c>
      <c r="F1836" s="10" t="s">
        <v>2537</v>
      </c>
      <c r="G1836" s="11">
        <v>45891</v>
      </c>
    </row>
    <row r="1837" spans="1:7" ht="36.5" hidden="1" x14ac:dyDescent="0.35">
      <c r="A1837" s="8">
        <v>9535</v>
      </c>
      <c r="B1837" s="10" t="s">
        <v>4393</v>
      </c>
      <c r="C1837" s="10" t="s">
        <v>134</v>
      </c>
      <c r="D1837" s="9" t="s">
        <v>134</v>
      </c>
      <c r="E1837" s="9" t="str">
        <f>_xlfn.TEXTAFTER(Condiciones_acumuladas[[#This Row],[Descripción]], " ", -2)</f>
        <v>Haydée Martínez</v>
      </c>
      <c r="F1837" s="10" t="s">
        <v>2516</v>
      </c>
      <c r="G1837" s="11">
        <v>45888</v>
      </c>
    </row>
    <row r="1838" spans="1:7" ht="24.5" hidden="1" x14ac:dyDescent="0.35">
      <c r="A1838" s="8">
        <v>9538</v>
      </c>
      <c r="B1838" s="10" t="s">
        <v>4394</v>
      </c>
      <c r="C1838" s="10" t="s">
        <v>190</v>
      </c>
      <c r="D1838" s="9" t="s">
        <v>278</v>
      </c>
      <c r="E1838" s="9" t="str">
        <f>_xlfn.TEXTAFTER(Condiciones_acumuladas[[#This Row],[Descripción]], " ", -2)</f>
        <v>Fredy Fuentes</v>
      </c>
      <c r="F1838" s="10" t="s">
        <v>2522</v>
      </c>
      <c r="G1838" s="11">
        <v>45889</v>
      </c>
    </row>
    <row r="1839" spans="1:7" ht="36.5" hidden="1" x14ac:dyDescent="0.35">
      <c r="A1839" s="8">
        <v>9549</v>
      </c>
      <c r="B1839" s="10" t="s">
        <v>4395</v>
      </c>
      <c r="C1839" s="10" t="s">
        <v>196</v>
      </c>
      <c r="D1839" s="9" t="s">
        <v>21</v>
      </c>
      <c r="E1839" s="9" t="str">
        <f>_xlfn.TEXTAFTER(Condiciones_acumuladas[[#This Row],[Descripción]], " ", -2)</f>
        <v>Amilcar Ralda</v>
      </c>
      <c r="F1839" s="10" t="s">
        <v>2715</v>
      </c>
      <c r="G1839" s="11">
        <v>45890</v>
      </c>
    </row>
    <row r="1840" spans="1:7" ht="24.5" hidden="1" x14ac:dyDescent="0.35">
      <c r="A1840" s="8">
        <v>9547</v>
      </c>
      <c r="B1840" s="10" t="s">
        <v>4396</v>
      </c>
      <c r="C1840" s="10" t="s">
        <v>196</v>
      </c>
      <c r="D1840" s="9" t="s">
        <v>395</v>
      </c>
      <c r="E1840" s="9" t="str">
        <f>_xlfn.TEXTAFTER(Condiciones_acumuladas[[#This Row],[Descripción]], " ", -2)</f>
        <v>Josué Vásquez</v>
      </c>
      <c r="F1840" s="10" t="s">
        <v>2834</v>
      </c>
      <c r="G1840" s="11">
        <v>45890</v>
      </c>
    </row>
    <row r="1841" spans="1:7" ht="36.5" hidden="1" x14ac:dyDescent="0.35">
      <c r="A1841" s="8">
        <v>9546</v>
      </c>
      <c r="B1841" s="10" t="s">
        <v>4397</v>
      </c>
      <c r="C1841" s="10" t="s">
        <v>196</v>
      </c>
      <c r="D1841" s="9" t="s">
        <v>395</v>
      </c>
      <c r="E1841" s="9" t="str">
        <f>_xlfn.TEXTAFTER(Condiciones_acumuladas[[#This Row],[Descripción]], " ", -2)</f>
        <v>Josué Vásquez</v>
      </c>
      <c r="F1841" s="10" t="s">
        <v>2525</v>
      </c>
      <c r="G1841" s="11">
        <v>45890</v>
      </c>
    </row>
    <row r="1842" spans="1:7" ht="36.5" hidden="1" x14ac:dyDescent="0.35">
      <c r="A1842" s="8">
        <v>9550</v>
      </c>
      <c r="B1842" s="10" t="s">
        <v>4398</v>
      </c>
      <c r="C1842" s="10" t="s">
        <v>196</v>
      </c>
      <c r="D1842" s="9" t="s">
        <v>13</v>
      </c>
      <c r="E1842" s="9" t="str">
        <f>_xlfn.TEXTAFTER(Condiciones_acumuladas[[#This Row],[Descripción]], " ", -2)</f>
        <v>Amilcar Ralda</v>
      </c>
      <c r="F1842" s="10" t="s">
        <v>2715</v>
      </c>
      <c r="G1842" s="11">
        <v>45890</v>
      </c>
    </row>
    <row r="1843" spans="1:7" ht="24.5" hidden="1" x14ac:dyDescent="0.35">
      <c r="A1843" s="8">
        <v>9548</v>
      </c>
      <c r="B1843" s="10" t="s">
        <v>4399</v>
      </c>
      <c r="C1843" s="10" t="s">
        <v>21</v>
      </c>
      <c r="D1843" s="9" t="s">
        <v>371</v>
      </c>
      <c r="E1843" s="9" t="str">
        <f>_xlfn.TEXTAFTER(Condiciones_acumuladas[[#This Row],[Descripción]], " ", -2)</f>
        <v>Rodrigo Galindo</v>
      </c>
      <c r="F1843" s="10" t="s">
        <v>2522</v>
      </c>
      <c r="G1843" s="11">
        <v>45890</v>
      </c>
    </row>
    <row r="1844" spans="1:7" ht="24.5" hidden="1" x14ac:dyDescent="0.35">
      <c r="A1844" s="8">
        <v>9551</v>
      </c>
      <c r="B1844" s="10" t="s">
        <v>4400</v>
      </c>
      <c r="C1844" s="10" t="s">
        <v>250</v>
      </c>
      <c r="D1844" s="9" t="s">
        <v>371</v>
      </c>
      <c r="E1844" s="9" t="str">
        <f>_xlfn.TEXTAFTER(Condiciones_acumuladas[[#This Row],[Descripción]], " ", -2)</f>
        <v>Rodrigo Galindo</v>
      </c>
      <c r="F1844" s="10" t="s">
        <v>2522</v>
      </c>
      <c r="G1844" s="11">
        <v>45890</v>
      </c>
    </row>
    <row r="1845" spans="1:7" ht="24.5" hidden="1" x14ac:dyDescent="0.35">
      <c r="A1845" s="8">
        <v>9552</v>
      </c>
      <c r="B1845" s="10" t="s">
        <v>4401</v>
      </c>
      <c r="C1845" s="10" t="s">
        <v>21</v>
      </c>
      <c r="D1845" s="9" t="s">
        <v>371</v>
      </c>
      <c r="E1845" s="9" t="str">
        <f>_xlfn.TEXTAFTER(Condiciones_acumuladas[[#This Row],[Descripción]], " ", -2)</f>
        <v>Rodrigo Galindo</v>
      </c>
      <c r="F1845" s="10" t="s">
        <v>2522</v>
      </c>
      <c r="G1845" s="11">
        <v>45890</v>
      </c>
    </row>
    <row r="1846" spans="1:7" ht="24.5" hidden="1" x14ac:dyDescent="0.35">
      <c r="A1846" s="8">
        <v>9553</v>
      </c>
      <c r="B1846" s="10" t="s">
        <v>4402</v>
      </c>
      <c r="C1846" s="10" t="s">
        <v>104</v>
      </c>
      <c r="D1846" s="9" t="s">
        <v>193</v>
      </c>
      <c r="E1846" s="9" t="str">
        <f>_xlfn.TEXTAFTER(Condiciones_acumuladas[[#This Row],[Descripción]], " ", -2)</f>
        <v>Selvin Pérez</v>
      </c>
      <c r="F1846" s="10" t="s">
        <v>2522</v>
      </c>
      <c r="G1846" s="11">
        <v>45890</v>
      </c>
    </row>
    <row r="1847" spans="1:7" ht="24.5" hidden="1" x14ac:dyDescent="0.35">
      <c r="A1847" s="8">
        <v>9556</v>
      </c>
      <c r="B1847" s="10" t="s">
        <v>4403</v>
      </c>
      <c r="C1847" s="10" t="s">
        <v>134</v>
      </c>
      <c r="D1847" s="9" t="s">
        <v>13</v>
      </c>
      <c r="E1847" s="9" t="str">
        <f>_xlfn.TEXTAFTER(Condiciones_acumuladas[[#This Row],[Descripción]], " ", -2)</f>
        <v>Amilcar Ralda</v>
      </c>
      <c r="F1847" s="10" t="s">
        <v>2522</v>
      </c>
      <c r="G1847" s="11">
        <v>45890</v>
      </c>
    </row>
    <row r="1848" spans="1:7" ht="24.5" hidden="1" x14ac:dyDescent="0.35">
      <c r="A1848" s="8">
        <v>9559</v>
      </c>
      <c r="B1848" s="10" t="s">
        <v>4404</v>
      </c>
      <c r="C1848" s="10" t="s">
        <v>134</v>
      </c>
      <c r="D1848" s="9" t="s">
        <v>134</v>
      </c>
      <c r="E1848" s="9" t="str">
        <f>_xlfn.TEXTAFTER(Condiciones_acumuladas[[#This Row],[Descripción]], " ", -2)</f>
        <v>Haydée Martínez</v>
      </c>
      <c r="F1848" s="10" t="s">
        <v>2522</v>
      </c>
      <c r="G1848" s="11">
        <v>45892</v>
      </c>
    </row>
    <row r="1849" spans="1:7" ht="36.5" hidden="1" x14ac:dyDescent="0.35">
      <c r="A1849" s="8">
        <v>9558</v>
      </c>
      <c r="B1849" s="10" t="s">
        <v>4405</v>
      </c>
      <c r="C1849" s="10" t="s">
        <v>278</v>
      </c>
      <c r="D1849" s="9" t="s">
        <v>278</v>
      </c>
      <c r="E1849" s="9" t="str">
        <f>_xlfn.TEXTAFTER(Condiciones_acumuladas[[#This Row],[Descripción]], " ", -2)</f>
        <v>Gover Sologaistoa</v>
      </c>
      <c r="F1849" s="10" t="s">
        <v>2516</v>
      </c>
      <c r="G1849" s="11">
        <v>45891</v>
      </c>
    </row>
    <row r="1850" spans="1:7" ht="24.5" hidden="1" x14ac:dyDescent="0.35">
      <c r="A1850" s="8">
        <v>9555</v>
      </c>
      <c r="B1850" s="10" t="s">
        <v>4406</v>
      </c>
      <c r="C1850" s="10" t="s">
        <v>104</v>
      </c>
      <c r="D1850" s="9" t="s">
        <v>193</v>
      </c>
      <c r="E1850" s="9" t="str">
        <f>_xlfn.TEXTAFTER(Condiciones_acumuladas[[#This Row],[Descripción]], " ", -2)</f>
        <v>Selvin Pérez</v>
      </c>
      <c r="F1850" s="10" t="s">
        <v>2522</v>
      </c>
      <c r="G1850" s="11">
        <v>45890</v>
      </c>
    </row>
    <row r="1851" spans="1:7" ht="36.5" hidden="1" x14ac:dyDescent="0.35">
      <c r="A1851" s="8">
        <v>9554</v>
      </c>
      <c r="B1851" s="10" t="s">
        <v>4407</v>
      </c>
      <c r="C1851" s="10" t="s">
        <v>104</v>
      </c>
      <c r="D1851" s="9" t="s">
        <v>193</v>
      </c>
      <c r="E1851" s="9" t="str">
        <f>_xlfn.TEXTAFTER(Condiciones_acumuladas[[#This Row],[Descripción]], " ", -2)</f>
        <v>Selvin Pérez</v>
      </c>
      <c r="F1851" s="10" t="s">
        <v>2516</v>
      </c>
      <c r="G1851" s="11">
        <v>45890</v>
      </c>
    </row>
    <row r="1852" spans="1:7" ht="48.5" hidden="1" x14ac:dyDescent="0.35">
      <c r="A1852" s="8">
        <v>9563</v>
      </c>
      <c r="B1852" s="10" t="s">
        <v>4408</v>
      </c>
      <c r="C1852" s="10" t="s">
        <v>937</v>
      </c>
      <c r="D1852" s="9" t="s">
        <v>96</v>
      </c>
      <c r="E1852" s="9" t="str">
        <f>_xlfn.TEXTAFTER(Condiciones_acumuladas[[#This Row],[Descripción]], " ", -2)</f>
        <v>Luis Pérez</v>
      </c>
      <c r="F1852" s="10" t="s">
        <v>2559</v>
      </c>
      <c r="G1852" s="11">
        <v>45894</v>
      </c>
    </row>
    <row r="1853" spans="1:7" ht="36.5" hidden="1" x14ac:dyDescent="0.35">
      <c r="A1853" s="8">
        <v>9565</v>
      </c>
      <c r="B1853" s="10" t="s">
        <v>4409</v>
      </c>
      <c r="C1853" s="10" t="s">
        <v>250</v>
      </c>
      <c r="D1853" s="9" t="s">
        <v>395</v>
      </c>
      <c r="E1853" s="9" t="str">
        <f>_xlfn.TEXTAFTER(Condiciones_acumuladas[[#This Row],[Descripción]], " ", -2)</f>
        <v>Josué Vásquez</v>
      </c>
      <c r="F1853" s="10" t="s">
        <v>2525</v>
      </c>
      <c r="G1853" s="11">
        <v>45894</v>
      </c>
    </row>
    <row r="1854" spans="1:7" ht="24.5" hidden="1" x14ac:dyDescent="0.35">
      <c r="A1854" s="8">
        <v>9562</v>
      </c>
      <c r="B1854" s="10" t="s">
        <v>4410</v>
      </c>
      <c r="C1854" s="10" t="s">
        <v>220</v>
      </c>
      <c r="D1854" s="9" t="s">
        <v>220</v>
      </c>
      <c r="E1854" s="9" t="str">
        <f>_xlfn.TEXTAFTER(Condiciones_acumuladas[[#This Row],[Descripción]], " ", -2)</f>
        <v>Carlos Coc</v>
      </c>
      <c r="F1854" s="10" t="s">
        <v>2522</v>
      </c>
      <c r="G1854" s="11">
        <v>45894</v>
      </c>
    </row>
    <row r="1855" spans="1:7" ht="24.5" hidden="1" x14ac:dyDescent="0.35">
      <c r="A1855" s="8">
        <v>9560</v>
      </c>
      <c r="B1855" s="10" t="s">
        <v>4411</v>
      </c>
      <c r="C1855" s="10" t="s">
        <v>104</v>
      </c>
      <c r="D1855" s="9" t="s">
        <v>104</v>
      </c>
      <c r="E1855" s="9" t="str">
        <f>_xlfn.TEXTAFTER(Condiciones_acumuladas[[#This Row],[Descripción]], " ", -2)</f>
        <v>Haydée Martínez</v>
      </c>
      <c r="F1855" s="10" t="s">
        <v>2522</v>
      </c>
      <c r="G1855" s="11">
        <v>45892</v>
      </c>
    </row>
    <row r="1856" spans="1:7" ht="36.5" hidden="1" x14ac:dyDescent="0.35">
      <c r="A1856" s="8">
        <v>9557</v>
      </c>
      <c r="B1856" s="10" t="s">
        <v>4412</v>
      </c>
      <c r="C1856" s="10" t="s">
        <v>13</v>
      </c>
      <c r="D1856" s="9" t="s">
        <v>21</v>
      </c>
      <c r="E1856" s="9" t="str">
        <f>_xlfn.TEXTAFTER(Condiciones_acumuladas[[#This Row],[Descripción]], " ", -2)</f>
        <v>Oscar Ramírez</v>
      </c>
      <c r="F1856" s="10" t="s">
        <v>2516</v>
      </c>
      <c r="G1856" s="11">
        <v>45891</v>
      </c>
    </row>
    <row r="1857" spans="1:7" ht="36.5" hidden="1" x14ac:dyDescent="0.35">
      <c r="A1857" s="8">
        <v>9570</v>
      </c>
      <c r="B1857" s="10" t="s">
        <v>4413</v>
      </c>
      <c r="C1857" s="10" t="s">
        <v>134</v>
      </c>
      <c r="D1857" s="9" t="s">
        <v>134</v>
      </c>
      <c r="E1857" s="9" t="str">
        <f>_xlfn.TEXTAFTER(Condiciones_acumuladas[[#This Row],[Descripción]], " ", -2)</f>
        <v>Haydée Martínez</v>
      </c>
      <c r="F1857" s="10" t="s">
        <v>2516</v>
      </c>
      <c r="G1857" s="11">
        <v>45895</v>
      </c>
    </row>
    <row r="1858" spans="1:7" ht="36.5" hidden="1" x14ac:dyDescent="0.35">
      <c r="A1858" s="8">
        <v>9569</v>
      </c>
      <c r="B1858" s="10" t="s">
        <v>4414</v>
      </c>
      <c r="C1858" s="10" t="s">
        <v>220</v>
      </c>
      <c r="D1858" s="9" t="s">
        <v>234</v>
      </c>
      <c r="E1858" s="9" t="str">
        <f>_xlfn.TEXTAFTER(Condiciones_acumuladas[[#This Row],[Descripción]], " ", -2)</f>
        <v>Eliú Tello</v>
      </c>
      <c r="F1858" s="10" t="s">
        <v>2572</v>
      </c>
      <c r="G1858" s="11">
        <v>45895</v>
      </c>
    </row>
    <row r="1859" spans="1:7" ht="24.5" hidden="1" x14ac:dyDescent="0.35">
      <c r="A1859" s="8">
        <v>9571</v>
      </c>
      <c r="B1859" s="10" t="s">
        <v>4415</v>
      </c>
      <c r="C1859" s="10" t="s">
        <v>104</v>
      </c>
      <c r="D1859" s="9" t="s">
        <v>104</v>
      </c>
      <c r="E1859" s="9" t="str">
        <f>_xlfn.TEXTAFTER(Condiciones_acumuladas[[#This Row],[Descripción]], " ", -2)</f>
        <v>Haydée Martínez</v>
      </c>
      <c r="F1859" s="10" t="s">
        <v>2522</v>
      </c>
      <c r="G1859" s="11">
        <v>45895</v>
      </c>
    </row>
    <row r="1860" spans="1:7" ht="36.5" hidden="1" x14ac:dyDescent="0.35">
      <c r="A1860" s="8">
        <v>9577</v>
      </c>
      <c r="B1860" s="10" t="s">
        <v>4416</v>
      </c>
      <c r="C1860" s="10" t="s">
        <v>395</v>
      </c>
      <c r="D1860" s="9" t="s">
        <v>234</v>
      </c>
      <c r="E1860" s="9" t="str">
        <f>_xlfn.TEXTAFTER(Condiciones_acumuladas[[#This Row],[Descripción]], " ", -2)</f>
        <v>Eliú Tello</v>
      </c>
      <c r="F1860" s="10" t="s">
        <v>2715</v>
      </c>
      <c r="G1860" s="11">
        <v>45896</v>
      </c>
    </row>
    <row r="1861" spans="1:7" ht="36.5" hidden="1" x14ac:dyDescent="0.35">
      <c r="A1861" s="8">
        <v>9573</v>
      </c>
      <c r="B1861" s="10" t="s">
        <v>4417</v>
      </c>
      <c r="C1861" s="10" t="s">
        <v>21</v>
      </c>
      <c r="D1861" s="9" t="s">
        <v>21</v>
      </c>
      <c r="E1861" s="9" t="str">
        <f>_xlfn.TEXTAFTER(Condiciones_acumuladas[[#This Row],[Descripción]], " ", -2)</f>
        <v>Haydée Martínez</v>
      </c>
      <c r="F1861" s="10" t="s">
        <v>2522</v>
      </c>
      <c r="G1861" s="11">
        <v>45895</v>
      </c>
    </row>
    <row r="1862" spans="1:7" ht="24.5" hidden="1" x14ac:dyDescent="0.35">
      <c r="A1862" s="8">
        <v>9581</v>
      </c>
      <c r="B1862" s="10" t="s">
        <v>4418</v>
      </c>
      <c r="C1862" s="10" t="s">
        <v>250</v>
      </c>
      <c r="D1862" s="9" t="s">
        <v>95</v>
      </c>
      <c r="E1862" s="9" t="str">
        <f>_xlfn.TEXTAFTER(Condiciones_acumuladas[[#This Row],[Descripción]], " ", -2)</f>
        <v>Andrea Gonzalez</v>
      </c>
      <c r="F1862" s="10" t="s">
        <v>2522</v>
      </c>
      <c r="G1862" s="11">
        <v>45896</v>
      </c>
    </row>
    <row r="1863" spans="1:7" ht="24.5" hidden="1" x14ac:dyDescent="0.35">
      <c r="A1863" s="8">
        <v>9583</v>
      </c>
      <c r="B1863" s="10" t="s">
        <v>4419</v>
      </c>
      <c r="C1863" s="10" t="s">
        <v>34</v>
      </c>
      <c r="D1863" s="9" t="s">
        <v>220</v>
      </c>
      <c r="E1863" s="9" t="str">
        <f>_xlfn.TEXTAFTER(Condiciones_acumuladas[[#This Row],[Descripción]], " ", -2)</f>
        <v>Carlos Coc</v>
      </c>
      <c r="F1863" s="10" t="s">
        <v>2522</v>
      </c>
      <c r="G1863" s="11">
        <v>45896</v>
      </c>
    </row>
    <row r="1864" spans="1:7" ht="36.5" hidden="1" x14ac:dyDescent="0.35">
      <c r="A1864" s="8">
        <v>9578</v>
      </c>
      <c r="B1864" s="10" t="s">
        <v>4420</v>
      </c>
      <c r="C1864" s="10" t="s">
        <v>250</v>
      </c>
      <c r="D1864" s="9" t="s">
        <v>250</v>
      </c>
      <c r="E1864" s="9" t="str">
        <f>_xlfn.TEXTAFTER(Condiciones_acumuladas[[#This Row],[Descripción]], " ", -2)</f>
        <v>Edson Bonifacio</v>
      </c>
      <c r="F1864" s="10" t="s">
        <v>2516</v>
      </c>
      <c r="G1864" s="11">
        <v>45896</v>
      </c>
    </row>
    <row r="1865" spans="1:7" ht="24.5" hidden="1" x14ac:dyDescent="0.35">
      <c r="A1865" s="8">
        <v>9582</v>
      </c>
      <c r="B1865" s="10" t="s">
        <v>4421</v>
      </c>
      <c r="C1865" s="10" t="s">
        <v>34</v>
      </c>
      <c r="D1865" s="9" t="s">
        <v>95</v>
      </c>
      <c r="E1865" s="9" t="str">
        <f>_xlfn.TEXTAFTER(Condiciones_acumuladas[[#This Row],[Descripción]], " ", -2)</f>
        <v>William Galindo</v>
      </c>
      <c r="F1865" s="10" t="s">
        <v>2540</v>
      </c>
      <c r="G1865" s="11">
        <v>45896</v>
      </c>
    </row>
    <row r="1866" spans="1:7" ht="36.5" hidden="1" x14ac:dyDescent="0.35">
      <c r="A1866" s="8">
        <v>9587</v>
      </c>
      <c r="B1866" s="10" t="s">
        <v>4422</v>
      </c>
      <c r="C1866" s="10" t="s">
        <v>13</v>
      </c>
      <c r="D1866" s="9" t="s">
        <v>220</v>
      </c>
      <c r="E1866" s="9" t="str">
        <f>_xlfn.TEXTAFTER(Condiciones_acumuladas[[#This Row],[Descripción]], " ", -2)</f>
        <v>Elvis Oliva</v>
      </c>
      <c r="F1866" s="10" t="s">
        <v>2530</v>
      </c>
      <c r="G1866" s="11">
        <v>45896</v>
      </c>
    </row>
    <row r="1867" spans="1:7" ht="24.5" hidden="1" x14ac:dyDescent="0.35">
      <c r="A1867" s="8">
        <v>9604</v>
      </c>
      <c r="B1867" s="10" t="s">
        <v>4423</v>
      </c>
      <c r="C1867" s="10" t="s">
        <v>96</v>
      </c>
      <c r="D1867" s="9" t="s">
        <v>96</v>
      </c>
      <c r="E1867" s="9" t="str">
        <f>_xlfn.TEXTAFTER(Condiciones_acumuladas[[#This Row],[Descripción]], " ", -2)</f>
        <v>Jimmy Velásquez</v>
      </c>
      <c r="F1867" s="10" t="s">
        <v>2522</v>
      </c>
      <c r="G1867" s="11">
        <v>45898</v>
      </c>
    </row>
    <row r="1868" spans="1:7" ht="36.5" hidden="1" x14ac:dyDescent="0.35">
      <c r="A1868" s="8">
        <v>9605</v>
      </c>
      <c r="B1868" s="10" t="s">
        <v>4424</v>
      </c>
      <c r="C1868" s="10" t="s">
        <v>96</v>
      </c>
      <c r="D1868" s="9" t="s">
        <v>96</v>
      </c>
      <c r="E1868" s="9" t="str">
        <f>_xlfn.TEXTAFTER(Condiciones_acumuladas[[#This Row],[Descripción]], " ", -2)</f>
        <v>Jimmy Velásquez</v>
      </c>
      <c r="F1868" s="10" t="s">
        <v>2522</v>
      </c>
      <c r="G1868" s="11">
        <v>45898</v>
      </c>
    </row>
    <row r="1869" spans="1:7" ht="24.5" hidden="1" x14ac:dyDescent="0.35">
      <c r="A1869" s="8">
        <v>9606</v>
      </c>
      <c r="B1869" s="10" t="s">
        <v>4425</v>
      </c>
      <c r="C1869" s="10" t="s">
        <v>96</v>
      </c>
      <c r="D1869" s="9" t="s">
        <v>96</v>
      </c>
      <c r="E1869" s="9" t="str">
        <f>_xlfn.TEXTAFTER(Condiciones_acumuladas[[#This Row],[Descripción]], " ", -2)</f>
        <v>Jimmy Velásquez</v>
      </c>
      <c r="F1869" s="10" t="s">
        <v>2522</v>
      </c>
      <c r="G1869" s="11">
        <v>45898</v>
      </c>
    </row>
    <row r="1870" spans="1:7" ht="24.5" hidden="1" x14ac:dyDescent="0.35">
      <c r="A1870" s="8">
        <v>9607</v>
      </c>
      <c r="B1870" s="10" t="s">
        <v>4426</v>
      </c>
      <c r="C1870" s="10" t="s">
        <v>96</v>
      </c>
      <c r="D1870" s="9" t="s">
        <v>96</v>
      </c>
      <c r="E1870" s="9" t="str">
        <f>_xlfn.TEXTAFTER(Condiciones_acumuladas[[#This Row],[Descripción]], " ", -2)</f>
        <v>Josué Vásquez</v>
      </c>
      <c r="F1870" s="10" t="s">
        <v>2522</v>
      </c>
      <c r="G1870" s="11">
        <v>45898</v>
      </c>
    </row>
    <row r="1871" spans="1:7" ht="48.5" hidden="1" x14ac:dyDescent="0.35">
      <c r="A1871" s="8">
        <v>9618</v>
      </c>
      <c r="B1871" s="10" t="s">
        <v>4427</v>
      </c>
      <c r="C1871" s="10" t="s">
        <v>234</v>
      </c>
      <c r="D1871" s="9" t="s">
        <v>95</v>
      </c>
      <c r="E1871" s="9" t="str">
        <f>_xlfn.TEXTAFTER(Condiciones_acumuladas[[#This Row],[Descripción]], " ", -2)</f>
        <v>Nelson Godinez</v>
      </c>
      <c r="F1871" s="10" t="s">
        <v>2559</v>
      </c>
      <c r="G1871" s="11">
        <v>45898</v>
      </c>
    </row>
    <row r="1872" spans="1:7" ht="48.5" hidden="1" x14ac:dyDescent="0.35">
      <c r="A1872" s="8">
        <v>9617</v>
      </c>
      <c r="B1872" s="10" t="s">
        <v>4428</v>
      </c>
      <c r="C1872" s="10" t="s">
        <v>104</v>
      </c>
      <c r="D1872" s="9" t="s">
        <v>95</v>
      </c>
      <c r="E1872" s="9" t="str">
        <f>_xlfn.TEXTAFTER(Condiciones_acumuladas[[#This Row],[Descripción]], " ", -2)</f>
        <v>Nelson Godinez</v>
      </c>
      <c r="F1872" s="10" t="s">
        <v>2559</v>
      </c>
      <c r="G1872" s="11">
        <v>45896</v>
      </c>
    </row>
    <row r="1873" spans="1:7" ht="36.5" hidden="1" x14ac:dyDescent="0.35">
      <c r="A1873" s="8">
        <v>9614</v>
      </c>
      <c r="B1873" s="10" t="s">
        <v>4429</v>
      </c>
      <c r="C1873" s="10" t="s">
        <v>196</v>
      </c>
      <c r="D1873" s="9" t="s">
        <v>196</v>
      </c>
      <c r="E1873" s="9" t="str">
        <f>_xlfn.TEXTAFTER(Condiciones_acumuladas[[#This Row],[Descripción]], " ", -2)</f>
        <v>Luis Angel</v>
      </c>
      <c r="F1873" s="10" t="s">
        <v>2537</v>
      </c>
      <c r="G1873" s="11">
        <v>45898</v>
      </c>
    </row>
    <row r="1874" spans="1:7" ht="36.5" hidden="1" x14ac:dyDescent="0.35">
      <c r="A1874" s="8">
        <v>9612</v>
      </c>
      <c r="B1874" s="10" t="s">
        <v>4430</v>
      </c>
      <c r="C1874" s="10" t="s">
        <v>34</v>
      </c>
      <c r="D1874" s="9" t="s">
        <v>26</v>
      </c>
      <c r="E1874" s="9" t="str">
        <f>_xlfn.TEXTAFTER(Condiciones_acumuladas[[#This Row],[Descripción]], " ", -2)</f>
        <v>Oscar Ramos</v>
      </c>
      <c r="F1874" s="10" t="s">
        <v>2572</v>
      </c>
      <c r="G1874" s="11">
        <v>45898</v>
      </c>
    </row>
    <row r="1875" spans="1:7" ht="36.5" hidden="1" x14ac:dyDescent="0.35">
      <c r="A1875" s="8">
        <v>9611</v>
      </c>
      <c r="B1875" s="10" t="s">
        <v>4431</v>
      </c>
      <c r="C1875" s="10" t="s">
        <v>34</v>
      </c>
      <c r="D1875" s="9" t="s">
        <v>26</v>
      </c>
      <c r="E1875" s="9" t="str">
        <f>_xlfn.TEXTAFTER(Condiciones_acumuladas[[#This Row],[Descripción]], " ", -2)</f>
        <v>Oscar Ramos</v>
      </c>
      <c r="F1875" s="10" t="s">
        <v>2522</v>
      </c>
      <c r="G1875" s="11">
        <v>45893</v>
      </c>
    </row>
    <row r="1876" spans="1:7" ht="36.5" hidden="1" x14ac:dyDescent="0.35">
      <c r="A1876" s="8">
        <v>9609</v>
      </c>
      <c r="B1876" s="10" t="s">
        <v>4432</v>
      </c>
      <c r="C1876" s="10" t="s">
        <v>26</v>
      </c>
      <c r="D1876" s="9" t="s">
        <v>26</v>
      </c>
      <c r="E1876" s="9" t="str">
        <f>_xlfn.TEXTAFTER(Condiciones_acumuladas[[#This Row],[Descripción]], " ", -2)</f>
        <v>Oscar Ramos</v>
      </c>
      <c r="F1876" s="10" t="s">
        <v>2516</v>
      </c>
      <c r="G1876" s="11">
        <v>45878</v>
      </c>
    </row>
    <row r="1877" spans="1:7" ht="36.5" hidden="1" x14ac:dyDescent="0.35">
      <c r="A1877" s="8">
        <v>9608</v>
      </c>
      <c r="B1877" s="10" t="s">
        <v>4433</v>
      </c>
      <c r="C1877" s="10" t="s">
        <v>26</v>
      </c>
      <c r="D1877" s="9" t="s">
        <v>26</v>
      </c>
      <c r="E1877" s="9" t="str">
        <f>_xlfn.TEXTAFTER(Condiciones_acumuladas[[#This Row],[Descripción]], " ", -2)</f>
        <v>Oscar Ramos</v>
      </c>
      <c r="F1877" s="10" t="s">
        <v>2522</v>
      </c>
      <c r="G1877" s="11">
        <v>45898</v>
      </c>
    </row>
    <row r="1878" spans="1:7" ht="48.5" hidden="1" x14ac:dyDescent="0.35">
      <c r="A1878" s="8">
        <v>9610</v>
      </c>
      <c r="B1878" s="10" t="s">
        <v>4434</v>
      </c>
      <c r="C1878" s="10" t="s">
        <v>26</v>
      </c>
      <c r="D1878" s="9" t="s">
        <v>26</v>
      </c>
      <c r="E1878" s="9" t="str">
        <f>_xlfn.TEXTAFTER(Condiciones_acumuladas[[#This Row],[Descripción]], " ", -2)</f>
        <v>Oscar Ramos</v>
      </c>
      <c r="F1878" s="10" t="s">
        <v>2559</v>
      </c>
      <c r="G1878" s="11">
        <v>45898</v>
      </c>
    </row>
    <row r="1879" spans="1:7" ht="36.5" hidden="1" x14ac:dyDescent="0.35">
      <c r="A1879" s="8">
        <v>9643</v>
      </c>
      <c r="B1879" s="10" t="s">
        <v>4435</v>
      </c>
      <c r="C1879" s="10" t="s">
        <v>278</v>
      </c>
      <c r="D1879" s="9" t="s">
        <v>278</v>
      </c>
      <c r="E1879" s="9" t="str">
        <f>_xlfn.TEXTAFTER(Condiciones_acumuladas[[#This Row],[Descripción]], " ", -2)</f>
        <v>Gover Sologaistoa</v>
      </c>
      <c r="F1879" s="10" t="s">
        <v>2715</v>
      </c>
      <c r="G1879" s="11">
        <v>45897</v>
      </c>
    </row>
    <row r="1880" spans="1:7" ht="36.5" hidden="1" x14ac:dyDescent="0.35">
      <c r="A1880" s="8">
        <v>9645</v>
      </c>
      <c r="B1880" s="10" t="s">
        <v>4436</v>
      </c>
      <c r="C1880" s="10" t="s">
        <v>21</v>
      </c>
      <c r="D1880" s="9" t="s">
        <v>21</v>
      </c>
      <c r="E1880" s="9" t="str">
        <f>_xlfn.TEXTAFTER(Condiciones_acumuladas[[#This Row],[Descripción]], " ", -2)</f>
        <v>Oscar Ramírez</v>
      </c>
      <c r="F1880" s="10" t="s">
        <v>2516</v>
      </c>
      <c r="G1880" s="11">
        <v>45898</v>
      </c>
    </row>
    <row r="1881" spans="1:7" ht="36.5" hidden="1" x14ac:dyDescent="0.35">
      <c r="A1881" s="8">
        <v>9638</v>
      </c>
      <c r="B1881" s="10" t="s">
        <v>4437</v>
      </c>
      <c r="C1881" s="10" t="s">
        <v>21</v>
      </c>
      <c r="D1881" s="9" t="s">
        <v>21</v>
      </c>
      <c r="E1881" s="9" t="str">
        <f>_xlfn.TEXTAFTER(Condiciones_acumuladas[[#This Row],[Descripción]], " ", -2)</f>
        <v>Oscar Ramírez</v>
      </c>
      <c r="F1881" s="10" t="s">
        <v>2516</v>
      </c>
      <c r="G1881" s="11">
        <v>45897</v>
      </c>
    </row>
    <row r="1882" spans="1:7" ht="24.5" hidden="1" x14ac:dyDescent="0.35">
      <c r="A1882" s="8">
        <v>9641</v>
      </c>
      <c r="B1882" s="10" t="s">
        <v>4438</v>
      </c>
      <c r="C1882" s="10" t="s">
        <v>104</v>
      </c>
      <c r="D1882" s="9" t="s">
        <v>104</v>
      </c>
      <c r="E1882" s="9" t="str">
        <f>_xlfn.TEXTAFTER(Condiciones_acumuladas[[#This Row],[Descripción]], " ", -2)</f>
        <v>Alfonso Guatzin</v>
      </c>
      <c r="F1882" s="10" t="s">
        <v>2522</v>
      </c>
      <c r="G1882" s="11">
        <v>45897</v>
      </c>
    </row>
    <row r="1883" spans="1:7" ht="36.5" hidden="1" x14ac:dyDescent="0.35">
      <c r="A1883" s="8">
        <v>9647</v>
      </c>
      <c r="B1883" s="10" t="s">
        <v>4439</v>
      </c>
      <c r="C1883" s="10" t="s">
        <v>234</v>
      </c>
      <c r="D1883" s="9" t="s">
        <v>95</v>
      </c>
      <c r="E1883" s="9" t="str">
        <f>_xlfn.TEXTAFTER(Condiciones_acumuladas[[#This Row],[Descripción]], " ", -2)</f>
        <v>Gerson Castañeda</v>
      </c>
      <c r="F1883" s="10" t="s">
        <v>2525</v>
      </c>
      <c r="G1883" s="11">
        <v>45898</v>
      </c>
    </row>
    <row r="1884" spans="1:7" ht="36.5" hidden="1" x14ac:dyDescent="0.35">
      <c r="A1884" s="8">
        <v>9637</v>
      </c>
      <c r="B1884" s="10" t="s">
        <v>4440</v>
      </c>
      <c r="C1884" s="10" t="s">
        <v>95</v>
      </c>
      <c r="D1884" s="9" t="s">
        <v>95</v>
      </c>
      <c r="E1884" s="9" t="str">
        <f>_xlfn.TEXTAFTER(Condiciones_acumuladas[[#This Row],[Descripción]], " ", -2)</f>
        <v>Gerson Castañeda</v>
      </c>
      <c r="F1884" s="10" t="s">
        <v>2516</v>
      </c>
      <c r="G1884" s="11">
        <v>45896</v>
      </c>
    </row>
    <row r="1885" spans="1:7" ht="36.5" hidden="1" x14ac:dyDescent="0.35">
      <c r="A1885" s="8">
        <v>9644</v>
      </c>
      <c r="B1885" s="10" t="s">
        <v>4441</v>
      </c>
      <c r="C1885" s="10" t="s">
        <v>250</v>
      </c>
      <c r="D1885" s="9" t="s">
        <v>395</v>
      </c>
      <c r="E1885" s="9" t="str">
        <f>_xlfn.TEXTAFTER(Condiciones_acumuladas[[#This Row],[Descripción]], " ", -2)</f>
        <v>Antony Ramos</v>
      </c>
      <c r="F1885" s="10" t="s">
        <v>2572</v>
      </c>
      <c r="G1885" s="11">
        <v>45898</v>
      </c>
    </row>
    <row r="1886" spans="1:7" ht="36.5" hidden="1" x14ac:dyDescent="0.35">
      <c r="A1886" s="8">
        <v>9646</v>
      </c>
      <c r="B1886" s="10" t="s">
        <v>4442</v>
      </c>
      <c r="C1886" s="10" t="s">
        <v>234</v>
      </c>
      <c r="D1886" s="9" t="s">
        <v>95</v>
      </c>
      <c r="E1886" s="9" t="str">
        <f>_xlfn.TEXTAFTER(Condiciones_acumuladas[[#This Row],[Descripción]], " ", -2)</f>
        <v>Gerson Castañeda</v>
      </c>
      <c r="F1886" s="10" t="s">
        <v>2516</v>
      </c>
      <c r="G1886" s="11">
        <v>45898</v>
      </c>
    </row>
    <row r="1887" spans="1:7" ht="36.5" hidden="1" x14ac:dyDescent="0.35">
      <c r="A1887" s="8">
        <v>9640</v>
      </c>
      <c r="B1887" s="10" t="s">
        <v>4443</v>
      </c>
      <c r="C1887" s="10" t="s">
        <v>21</v>
      </c>
      <c r="D1887" s="9" t="s">
        <v>21</v>
      </c>
      <c r="E1887" s="9" t="str">
        <f>_xlfn.TEXTAFTER(Condiciones_acumuladas[[#This Row],[Descripción]], " ", -2)</f>
        <v>Gustavo Hernández</v>
      </c>
      <c r="F1887" s="10" t="s">
        <v>2516</v>
      </c>
      <c r="G1887" s="11">
        <v>45897</v>
      </c>
    </row>
    <row r="1888" spans="1:7" ht="24.5" hidden="1" x14ac:dyDescent="0.35">
      <c r="A1888" s="8">
        <v>9639</v>
      </c>
      <c r="B1888" s="10" t="s">
        <v>4444</v>
      </c>
      <c r="C1888" s="10" t="s">
        <v>104</v>
      </c>
      <c r="D1888" s="9" t="s">
        <v>104</v>
      </c>
      <c r="E1888" s="9" t="str">
        <f>_xlfn.TEXTAFTER(Condiciones_acumuladas[[#This Row],[Descripción]], " ", -2)</f>
        <v>Alfonso Guatzin</v>
      </c>
      <c r="F1888" s="10" t="s">
        <v>2522</v>
      </c>
      <c r="G1888" s="11">
        <v>45897</v>
      </c>
    </row>
    <row r="1889" spans="1:7" ht="24.5" hidden="1" x14ac:dyDescent="0.35">
      <c r="A1889" s="8">
        <v>9642</v>
      </c>
      <c r="B1889" s="10" t="s">
        <v>4445</v>
      </c>
      <c r="C1889" s="10" t="s">
        <v>134</v>
      </c>
      <c r="D1889" s="9" t="s">
        <v>134</v>
      </c>
      <c r="E1889" s="9" t="str">
        <f>_xlfn.TEXTAFTER(Condiciones_acumuladas[[#This Row],[Descripción]], " ", -2)</f>
        <v>Roger Rivas</v>
      </c>
      <c r="F1889" s="10" t="s">
        <v>2522</v>
      </c>
      <c r="G1889" s="11">
        <v>45897</v>
      </c>
    </row>
    <row r="1890" spans="1:7" ht="36.5" hidden="1" x14ac:dyDescent="0.35">
      <c r="A1890" s="8">
        <v>9634</v>
      </c>
      <c r="B1890" s="10" t="s">
        <v>4446</v>
      </c>
      <c r="C1890" s="10" t="s">
        <v>196</v>
      </c>
      <c r="D1890" s="9" t="s">
        <v>196</v>
      </c>
      <c r="E1890" s="9" t="str">
        <f>_xlfn.TEXTAFTER(Condiciones_acumuladas[[#This Row],[Descripción]], " ", -2)</f>
        <v>Jaime Chex</v>
      </c>
      <c r="F1890" s="10" t="s">
        <v>2537</v>
      </c>
      <c r="G1890" s="11">
        <v>45896</v>
      </c>
    </row>
    <row r="1891" spans="1:7" ht="36.5" hidden="1" x14ac:dyDescent="0.35">
      <c r="A1891" s="8">
        <v>9636</v>
      </c>
      <c r="B1891" s="10" t="s">
        <v>4447</v>
      </c>
      <c r="C1891" s="10" t="s">
        <v>250</v>
      </c>
      <c r="D1891" s="9" t="s">
        <v>395</v>
      </c>
      <c r="E1891" s="9" t="str">
        <f>_xlfn.TEXTAFTER(Condiciones_acumuladas[[#This Row],[Descripción]], " ", -2)</f>
        <v>Karla Hintz</v>
      </c>
      <c r="F1891" s="10" t="s">
        <v>2516</v>
      </c>
      <c r="G1891" s="11">
        <v>45897</v>
      </c>
    </row>
    <row r="1892" spans="1:7" ht="48.5" hidden="1" x14ac:dyDescent="0.35">
      <c r="A1892" s="8">
        <v>9631</v>
      </c>
      <c r="B1892" s="10" t="s">
        <v>4448</v>
      </c>
      <c r="C1892" s="10" t="s">
        <v>190</v>
      </c>
      <c r="D1892" s="9" t="s">
        <v>371</v>
      </c>
      <c r="E1892" s="9" t="str">
        <f>_xlfn.TEXTAFTER(Condiciones_acumuladas[[#This Row],[Descripción]], " ", -2)</f>
        <v>Rodrigo Galindo</v>
      </c>
      <c r="F1892" s="10" t="s">
        <v>2516</v>
      </c>
      <c r="G1892" s="11">
        <v>45896</v>
      </c>
    </row>
    <row r="1893" spans="1:7" ht="36.5" hidden="1" x14ac:dyDescent="0.35">
      <c r="A1893" s="8">
        <v>9628</v>
      </c>
      <c r="B1893" s="10" t="s">
        <v>4449</v>
      </c>
      <c r="C1893" s="10" t="s">
        <v>395</v>
      </c>
      <c r="D1893" s="9" t="s">
        <v>95</v>
      </c>
      <c r="E1893" s="9" t="str">
        <f>_xlfn.TEXTAFTER(Condiciones_acumuladas[[#This Row],[Descripción]], " ", -2)</f>
        <v>Andrea Gonzalez</v>
      </c>
      <c r="F1893" s="10" t="s">
        <v>2525</v>
      </c>
      <c r="G1893" s="11">
        <v>45896</v>
      </c>
    </row>
    <row r="1894" spans="1:7" ht="24.5" hidden="1" x14ac:dyDescent="0.35">
      <c r="A1894" s="8">
        <v>9630</v>
      </c>
      <c r="B1894" s="10" t="s">
        <v>4450</v>
      </c>
      <c r="C1894" s="10" t="s">
        <v>104</v>
      </c>
      <c r="D1894" s="9" t="s">
        <v>134</v>
      </c>
      <c r="E1894" s="9" t="str">
        <f>_xlfn.TEXTAFTER(Condiciones_acumuladas[[#This Row],[Descripción]], " ", -2)</f>
        <v>Roger Rivas</v>
      </c>
      <c r="F1894" s="10" t="s">
        <v>2522</v>
      </c>
      <c r="G1894" s="11">
        <v>45896</v>
      </c>
    </row>
    <row r="1895" spans="1:7" ht="60.5" hidden="1" x14ac:dyDescent="0.35">
      <c r="A1895" s="8">
        <v>9648</v>
      </c>
      <c r="B1895" s="10" t="s">
        <v>4451</v>
      </c>
      <c r="C1895" s="10" t="s">
        <v>21</v>
      </c>
      <c r="D1895" s="9" t="s">
        <v>95</v>
      </c>
      <c r="E1895" s="9" t="str">
        <f>_xlfn.TEXTAFTER(Condiciones_acumuladas[[#This Row],[Descripción]], " ", -2)</f>
        <v>Vanesa Camey</v>
      </c>
      <c r="F1895" s="10" t="s">
        <v>2522</v>
      </c>
      <c r="G1895" s="11">
        <v>45901</v>
      </c>
    </row>
    <row r="1896" spans="1:7" ht="48.5" hidden="1" x14ac:dyDescent="0.35">
      <c r="A1896" s="8">
        <v>9651</v>
      </c>
      <c r="B1896" s="10" t="s">
        <v>4452</v>
      </c>
      <c r="C1896" s="10" t="s">
        <v>26</v>
      </c>
      <c r="D1896" s="9" t="s">
        <v>95</v>
      </c>
      <c r="E1896" s="9" t="str">
        <f>_xlfn.TEXTAFTER(Condiciones_acumuladas[[#This Row],[Descripción]], " ", -2)</f>
        <v>Domingo Yac</v>
      </c>
      <c r="F1896" s="10" t="s">
        <v>2559</v>
      </c>
      <c r="G1896" s="11">
        <v>45903</v>
      </c>
    </row>
    <row r="1897" spans="1:7" ht="48.5" hidden="1" x14ac:dyDescent="0.35">
      <c r="A1897" s="8">
        <v>9650</v>
      </c>
      <c r="B1897" s="10" t="s">
        <v>4453</v>
      </c>
      <c r="C1897" s="10" t="s">
        <v>134</v>
      </c>
      <c r="D1897" s="9" t="s">
        <v>95</v>
      </c>
      <c r="E1897" s="9" t="str">
        <f>_xlfn.TEXTAFTER(Condiciones_acumuladas[[#This Row],[Descripción]], " ", -2)</f>
        <v>Benedicto Barrios</v>
      </c>
      <c r="F1897" s="10" t="s">
        <v>2559</v>
      </c>
      <c r="G1897" s="11">
        <v>45901</v>
      </c>
    </row>
    <row r="1898" spans="1:7" ht="60.5" hidden="1" x14ac:dyDescent="0.35">
      <c r="A1898" s="8">
        <v>9661</v>
      </c>
      <c r="B1898" s="10" t="s">
        <v>4454</v>
      </c>
      <c r="C1898" s="10" t="s">
        <v>134</v>
      </c>
      <c r="D1898" s="9" t="s">
        <v>234</v>
      </c>
      <c r="E1898" s="9" t="str">
        <f>_xlfn.TEXTAFTER(Condiciones_acumuladas[[#This Row],[Descripción]], " ", -2)</f>
        <v>Eliú Tello</v>
      </c>
      <c r="F1898" s="10" t="s">
        <v>2530</v>
      </c>
      <c r="G1898" s="11">
        <v>45903</v>
      </c>
    </row>
    <row r="1899" spans="1:7" ht="24.5" hidden="1" x14ac:dyDescent="0.35">
      <c r="A1899" s="8">
        <v>9658</v>
      </c>
      <c r="B1899" s="10" t="s">
        <v>4455</v>
      </c>
      <c r="C1899" s="10" t="s">
        <v>21</v>
      </c>
      <c r="D1899" s="9" t="s">
        <v>193</v>
      </c>
      <c r="E1899" s="9" t="str">
        <f>_xlfn.TEXTAFTER(Condiciones_acumuladas[[#This Row],[Descripción]], " ", -2)</f>
        <v>Jheisón Orozco</v>
      </c>
      <c r="F1899" s="10" t="s">
        <v>2540</v>
      </c>
      <c r="G1899" s="11">
        <v>45902</v>
      </c>
    </row>
    <row r="1900" spans="1:7" ht="24.5" hidden="1" x14ac:dyDescent="0.35">
      <c r="A1900" s="8">
        <v>9665</v>
      </c>
      <c r="B1900" s="10" t="s">
        <v>4456</v>
      </c>
      <c r="C1900" s="10" t="s">
        <v>13</v>
      </c>
      <c r="D1900" s="9" t="s">
        <v>13</v>
      </c>
      <c r="E1900" s="9" t="str">
        <f>_xlfn.TEXTAFTER(Condiciones_acumuladas[[#This Row],[Descripción]], " ", -2)</f>
        <v>Haydée Martínez</v>
      </c>
      <c r="F1900" s="10" t="s">
        <v>2540</v>
      </c>
      <c r="G1900" s="11">
        <v>45904</v>
      </c>
    </row>
    <row r="1901" spans="1:7" ht="36.5" hidden="1" x14ac:dyDescent="0.35">
      <c r="A1901" s="8">
        <v>9663</v>
      </c>
      <c r="B1901" s="10" t="s">
        <v>4457</v>
      </c>
      <c r="C1901" s="10" t="s">
        <v>13</v>
      </c>
      <c r="D1901" s="9" t="s">
        <v>13</v>
      </c>
      <c r="E1901" s="9" t="str">
        <f>_xlfn.TEXTAFTER(Condiciones_acumuladas[[#This Row],[Descripción]], " ", -2)</f>
        <v>Haydée Martínez</v>
      </c>
      <c r="F1901" s="10" t="s">
        <v>2516</v>
      </c>
      <c r="G1901" s="11">
        <v>45903</v>
      </c>
    </row>
    <row r="1902" spans="1:7" ht="48.5" hidden="1" x14ac:dyDescent="0.35">
      <c r="A1902" s="8">
        <v>9666</v>
      </c>
      <c r="B1902" s="10" t="s">
        <v>4458</v>
      </c>
      <c r="C1902" s="10" t="s">
        <v>196</v>
      </c>
      <c r="D1902" s="9" t="s">
        <v>196</v>
      </c>
      <c r="E1902" s="9" t="str">
        <f>_xlfn.TEXTAFTER(Condiciones_acumuladas[[#This Row],[Descripción]], " ", -2)</f>
        <v>Luis Angel</v>
      </c>
      <c r="F1902" s="10" t="s">
        <v>2559</v>
      </c>
      <c r="G1902" s="11">
        <v>45904</v>
      </c>
    </row>
    <row r="1903" spans="1:7" ht="48.5" hidden="1" x14ac:dyDescent="0.35">
      <c r="A1903" s="8">
        <v>9664</v>
      </c>
      <c r="B1903" s="10" t="s">
        <v>4459</v>
      </c>
      <c r="C1903" s="10" t="s">
        <v>134</v>
      </c>
      <c r="D1903" s="9" t="s">
        <v>134</v>
      </c>
      <c r="E1903" s="9" t="str">
        <f>_xlfn.TEXTAFTER(Condiciones_acumuladas[[#This Row],[Descripción]], " ", -2)</f>
        <v>Haydée Martínez</v>
      </c>
      <c r="F1903" s="10" t="s">
        <v>2559</v>
      </c>
      <c r="G1903" s="11">
        <v>45904</v>
      </c>
    </row>
    <row r="1904" spans="1:7" ht="36.5" hidden="1" x14ac:dyDescent="0.35">
      <c r="A1904" s="8">
        <v>9657</v>
      </c>
      <c r="B1904" s="10" t="s">
        <v>4460</v>
      </c>
      <c r="C1904" s="10" t="s">
        <v>234</v>
      </c>
      <c r="D1904" s="9" t="s">
        <v>95</v>
      </c>
      <c r="E1904" s="9" t="str">
        <f>_xlfn.TEXTAFTER(Condiciones_acumuladas[[#This Row],[Descripción]], " ", -2)</f>
        <v>Gilmar Mazariegos</v>
      </c>
      <c r="F1904" s="10" t="s">
        <v>2516</v>
      </c>
      <c r="G1904" s="11">
        <v>45902</v>
      </c>
    </row>
    <row r="1905" spans="1:7" ht="36.5" hidden="1" x14ac:dyDescent="0.35">
      <c r="A1905" s="8">
        <v>9659</v>
      </c>
      <c r="B1905" s="10" t="s">
        <v>4461</v>
      </c>
      <c r="C1905" s="10" t="s">
        <v>21</v>
      </c>
      <c r="D1905" s="9" t="s">
        <v>21</v>
      </c>
      <c r="E1905" s="9" t="str">
        <f>_xlfn.TEXTAFTER(Condiciones_acumuladas[[#This Row],[Descripción]], " ", -2)</f>
        <v>Gustavo Hernández</v>
      </c>
      <c r="F1905" s="10" t="s">
        <v>2522</v>
      </c>
      <c r="G1905" s="11">
        <v>45902</v>
      </c>
    </row>
    <row r="1906" spans="1:7" ht="36.5" hidden="1" x14ac:dyDescent="0.35">
      <c r="A1906" s="8">
        <v>9654</v>
      </c>
      <c r="B1906" s="10" t="s">
        <v>4462</v>
      </c>
      <c r="C1906" s="10" t="s">
        <v>13</v>
      </c>
      <c r="D1906" s="9" t="s">
        <v>234</v>
      </c>
      <c r="E1906" s="9" t="str">
        <f>_xlfn.TEXTAFTER(Condiciones_acumuladas[[#This Row],[Descripción]], " ", -2)</f>
        <v>Eliú Tello</v>
      </c>
      <c r="F1906" s="10" t="s">
        <v>2516</v>
      </c>
      <c r="G1906" s="11">
        <v>45901</v>
      </c>
    </row>
    <row r="1907" spans="1:7" ht="48.5" hidden="1" x14ac:dyDescent="0.35">
      <c r="A1907" s="8">
        <v>9656</v>
      </c>
      <c r="B1907" s="10" t="s">
        <v>4463</v>
      </c>
      <c r="C1907" s="10" t="s">
        <v>220</v>
      </c>
      <c r="D1907" s="9" t="s">
        <v>220</v>
      </c>
      <c r="E1907" s="9" t="str">
        <f>_xlfn.TEXTAFTER(Condiciones_acumuladas[[#This Row],[Descripción]], " ", -2)</f>
        <v>Carlos Coc</v>
      </c>
      <c r="F1907" s="10" t="s">
        <v>2559</v>
      </c>
      <c r="G1907" s="11">
        <v>45902</v>
      </c>
    </row>
    <row r="1908" spans="1:7" ht="36.5" hidden="1" x14ac:dyDescent="0.35">
      <c r="A1908" s="8">
        <v>9655</v>
      </c>
      <c r="B1908" s="10" t="s">
        <v>4464</v>
      </c>
      <c r="C1908" s="10" t="s">
        <v>21</v>
      </c>
      <c r="D1908" s="9" t="s">
        <v>21</v>
      </c>
      <c r="E1908" s="9" t="str">
        <f>_xlfn.TEXTAFTER(Condiciones_acumuladas[[#This Row],[Descripción]], " ", -2)</f>
        <v>Amilcar Ralda</v>
      </c>
      <c r="F1908" s="10" t="s">
        <v>2516</v>
      </c>
      <c r="G1908" s="11">
        <v>45901</v>
      </c>
    </row>
    <row r="1909" spans="1:7" ht="36.5" hidden="1" x14ac:dyDescent="0.35">
      <c r="A1909" s="8">
        <v>9671</v>
      </c>
      <c r="B1909" s="10" t="s">
        <v>4465</v>
      </c>
      <c r="C1909" s="10" t="s">
        <v>21</v>
      </c>
      <c r="D1909" s="9" t="s">
        <v>21</v>
      </c>
      <c r="E1909" s="9" t="str">
        <f>_xlfn.TEXTAFTER(Condiciones_acumuladas[[#This Row],[Descripción]], " ", -2)</f>
        <v>Obdulio Cap</v>
      </c>
      <c r="F1909" s="10" t="s">
        <v>2516</v>
      </c>
      <c r="G1909" s="11">
        <v>45904</v>
      </c>
    </row>
    <row r="1910" spans="1:7" ht="24.5" hidden="1" x14ac:dyDescent="0.35">
      <c r="A1910" s="8">
        <v>9670</v>
      </c>
      <c r="B1910" s="10" t="s">
        <v>4466</v>
      </c>
      <c r="C1910" s="10" t="s">
        <v>196</v>
      </c>
      <c r="D1910" s="9" t="s">
        <v>220</v>
      </c>
      <c r="E1910" s="9" t="str">
        <f>_xlfn.TEXTAFTER(Condiciones_acumuladas[[#This Row],[Descripción]], " ", -2)</f>
        <v>Carlos Coc</v>
      </c>
      <c r="F1910" s="10" t="s">
        <v>2522</v>
      </c>
      <c r="G1910" s="11">
        <v>45904</v>
      </c>
    </row>
    <row r="1911" spans="1:7" ht="24.5" hidden="1" x14ac:dyDescent="0.35">
      <c r="A1911" s="8">
        <v>9669</v>
      </c>
      <c r="B1911" s="10" t="s">
        <v>4467</v>
      </c>
      <c r="C1911" s="10" t="s">
        <v>134</v>
      </c>
      <c r="D1911" s="9" t="s">
        <v>196</v>
      </c>
      <c r="E1911" s="9" t="str">
        <f>_xlfn.TEXTAFTER(Condiciones_acumuladas[[#This Row],[Descripción]], " ", -2)</f>
        <v>Luis Angel</v>
      </c>
      <c r="F1911" s="10" t="s">
        <v>2522</v>
      </c>
      <c r="G1911" s="11">
        <v>45904</v>
      </c>
    </row>
    <row r="1912" spans="1:7" ht="48.5" hidden="1" x14ac:dyDescent="0.35">
      <c r="A1912" s="8">
        <v>9667</v>
      </c>
      <c r="B1912" s="10" t="s">
        <v>4468</v>
      </c>
      <c r="C1912" s="10" t="s">
        <v>104</v>
      </c>
      <c r="D1912" s="9" t="s">
        <v>104</v>
      </c>
      <c r="E1912" s="9" t="str">
        <f>_xlfn.TEXTAFTER(Condiciones_acumuladas[[#This Row],[Descripción]], " ", -2)</f>
        <v>Alfonso Guatzin</v>
      </c>
      <c r="F1912" s="10" t="s">
        <v>2559</v>
      </c>
      <c r="G1912" s="11">
        <v>45904</v>
      </c>
    </row>
    <row r="1913" spans="1:7" ht="48.5" hidden="1" x14ac:dyDescent="0.35">
      <c r="A1913" s="8">
        <v>9672</v>
      </c>
      <c r="B1913" s="10" t="s">
        <v>4469</v>
      </c>
      <c r="C1913" s="10" t="s">
        <v>96</v>
      </c>
      <c r="D1913" s="9" t="s">
        <v>96</v>
      </c>
      <c r="E1913" s="9" t="str">
        <f>_xlfn.TEXTAFTER(Condiciones_acumuladas[[#This Row],[Descripción]], " ", -2)</f>
        <v>Isabel Saquila</v>
      </c>
      <c r="F1913" s="10" t="s">
        <v>2559</v>
      </c>
      <c r="G1913" s="11">
        <v>45904</v>
      </c>
    </row>
    <row r="1914" spans="1:7" ht="36.5" hidden="1" x14ac:dyDescent="0.35">
      <c r="A1914" s="8">
        <v>9675</v>
      </c>
      <c r="B1914" s="10" t="s">
        <v>4470</v>
      </c>
      <c r="C1914" s="10" t="s">
        <v>21</v>
      </c>
      <c r="D1914" s="9" t="s">
        <v>21</v>
      </c>
      <c r="E1914" s="9" t="str">
        <f>_xlfn.TEXTAFTER(Condiciones_acumuladas[[#This Row],[Descripción]], " ", -2)</f>
        <v>Gustavo Hernández</v>
      </c>
      <c r="F1914" s="10" t="s">
        <v>2540</v>
      </c>
      <c r="G1914" s="11">
        <v>45904</v>
      </c>
    </row>
    <row r="1915" spans="1:7" ht="36.5" hidden="1" x14ac:dyDescent="0.35">
      <c r="A1915" s="8">
        <v>9682</v>
      </c>
      <c r="B1915" s="10" t="s">
        <v>4471</v>
      </c>
      <c r="C1915" s="10" t="s">
        <v>134</v>
      </c>
      <c r="D1915" s="9" t="s">
        <v>395</v>
      </c>
      <c r="E1915" s="9" t="str">
        <f>_xlfn.TEXTAFTER(Condiciones_acumuladas[[#This Row],[Descripción]], " ", -2)</f>
        <v>Daniel Pineda</v>
      </c>
      <c r="F1915" s="10" t="s">
        <v>2516</v>
      </c>
      <c r="G1915" s="11">
        <v>45905</v>
      </c>
    </row>
    <row r="1916" spans="1:7" ht="24.5" hidden="1" x14ac:dyDescent="0.35">
      <c r="A1916" s="8">
        <v>9679</v>
      </c>
      <c r="B1916" s="10" t="s">
        <v>4472</v>
      </c>
      <c r="C1916" s="10" t="s">
        <v>134</v>
      </c>
      <c r="D1916" s="9" t="s">
        <v>134</v>
      </c>
      <c r="E1916" s="9" t="str">
        <f>_xlfn.TEXTAFTER(Condiciones_acumuladas[[#This Row],[Descripción]], " ", -2)</f>
        <v>Gustavo Hernández</v>
      </c>
      <c r="F1916" s="10" t="s">
        <v>2522</v>
      </c>
      <c r="G1916" s="11">
        <v>45904</v>
      </c>
    </row>
    <row r="1917" spans="1:7" ht="24.5" hidden="1" x14ac:dyDescent="0.35">
      <c r="A1917" s="8">
        <v>9681</v>
      </c>
      <c r="B1917" s="10" t="s">
        <v>4473</v>
      </c>
      <c r="C1917" s="10" t="s">
        <v>196</v>
      </c>
      <c r="D1917" s="9" t="s">
        <v>196</v>
      </c>
      <c r="E1917" s="9" t="str">
        <f>_xlfn.TEXTAFTER(Condiciones_acumuladas[[#This Row],[Descripción]], " ", -2)</f>
        <v>Jaime Chex</v>
      </c>
      <c r="F1917" s="10" t="s">
        <v>2522</v>
      </c>
      <c r="G1917" s="11">
        <v>45905</v>
      </c>
    </row>
    <row r="1918" spans="1:7" ht="36.5" hidden="1" x14ac:dyDescent="0.35">
      <c r="A1918" s="8">
        <v>9677</v>
      </c>
      <c r="B1918" s="10" t="s">
        <v>4474</v>
      </c>
      <c r="C1918" s="10" t="s">
        <v>220</v>
      </c>
      <c r="D1918" s="9" t="s">
        <v>34</v>
      </c>
      <c r="E1918" s="9" t="str">
        <f>_xlfn.TEXTAFTER(Condiciones_acumuladas[[#This Row],[Descripción]], " ", -2)</f>
        <v>Oscar Ramos</v>
      </c>
      <c r="F1918" s="10" t="s">
        <v>2516</v>
      </c>
      <c r="G1918" s="11">
        <v>45904</v>
      </c>
    </row>
    <row r="1919" spans="1:7" ht="24.5" hidden="1" x14ac:dyDescent="0.35">
      <c r="A1919" s="8">
        <v>9678</v>
      </c>
      <c r="B1919" s="10" t="s">
        <v>4475</v>
      </c>
      <c r="C1919" s="10" t="s">
        <v>134</v>
      </c>
      <c r="D1919" s="9" t="s">
        <v>134</v>
      </c>
      <c r="E1919" s="9" t="str">
        <f>_xlfn.TEXTAFTER(Condiciones_acumuladas[[#This Row],[Descripción]], " ", -2)</f>
        <v>Gustavo Hernández</v>
      </c>
      <c r="F1919" s="10" t="s">
        <v>2522</v>
      </c>
      <c r="G1919" s="11">
        <v>45904</v>
      </c>
    </row>
    <row r="1920" spans="1:7" ht="24.5" hidden="1" x14ac:dyDescent="0.35">
      <c r="A1920" s="8">
        <v>9673</v>
      </c>
      <c r="B1920" s="10" t="s">
        <v>4476</v>
      </c>
      <c r="C1920" s="10" t="s">
        <v>26</v>
      </c>
      <c r="D1920" s="9" t="s">
        <v>278</v>
      </c>
      <c r="E1920" s="9" t="str">
        <f>_xlfn.TEXTAFTER(Condiciones_acumuladas[[#This Row],[Descripción]], " ", -2)</f>
        <v>Fredy Fuentes</v>
      </c>
      <c r="F1920" s="10" t="s">
        <v>2834</v>
      </c>
      <c r="G1920" s="11">
        <v>45904</v>
      </c>
    </row>
    <row r="1921" spans="1:7" ht="24.5" hidden="1" x14ac:dyDescent="0.35">
      <c r="A1921" s="8">
        <v>9680</v>
      </c>
      <c r="B1921" s="10" t="s">
        <v>4477</v>
      </c>
      <c r="C1921" s="10" t="s">
        <v>96</v>
      </c>
      <c r="D1921" s="9" t="s">
        <v>96</v>
      </c>
      <c r="E1921" s="9" t="str">
        <f>_xlfn.TEXTAFTER(Condiciones_acumuladas[[#This Row],[Descripción]], " ", -2)</f>
        <v>Luis Pérez</v>
      </c>
      <c r="F1921" s="10" t="s">
        <v>2537</v>
      </c>
      <c r="G1921" s="11">
        <v>45905</v>
      </c>
    </row>
    <row r="1922" spans="1:7" ht="24.5" hidden="1" x14ac:dyDescent="0.35">
      <c r="A1922" s="8">
        <v>9676</v>
      </c>
      <c r="B1922" s="10" t="s">
        <v>4478</v>
      </c>
      <c r="C1922" s="10" t="s">
        <v>21</v>
      </c>
      <c r="D1922" s="9" t="s">
        <v>21</v>
      </c>
      <c r="E1922" s="9" t="str">
        <f>_xlfn.TEXTAFTER(Condiciones_acumuladas[[#This Row],[Descripción]], " ", -2)</f>
        <v>Gustavo Hernández</v>
      </c>
      <c r="F1922" s="10" t="s">
        <v>2522</v>
      </c>
      <c r="G1922" s="11">
        <v>45904</v>
      </c>
    </row>
    <row r="1923" spans="1:7" ht="24.5" hidden="1" x14ac:dyDescent="0.35">
      <c r="A1923" s="8">
        <v>9687</v>
      </c>
      <c r="B1923" s="10" t="s">
        <v>4479</v>
      </c>
      <c r="C1923" s="10" t="s">
        <v>278</v>
      </c>
      <c r="D1923" s="9" t="s">
        <v>278</v>
      </c>
      <c r="E1923" s="9" t="str">
        <f>_xlfn.TEXTAFTER(Condiciones_acumuladas[[#This Row],[Descripción]], " ", -2)</f>
        <v>Jason Calderón</v>
      </c>
      <c r="F1923" s="10" t="s">
        <v>2522</v>
      </c>
      <c r="G1923" s="11">
        <v>45908</v>
      </c>
    </row>
    <row r="1924" spans="1:7" ht="36.5" hidden="1" x14ac:dyDescent="0.35">
      <c r="A1924" s="8">
        <v>9704</v>
      </c>
      <c r="B1924" s="10" t="s">
        <v>4480</v>
      </c>
      <c r="C1924" s="10" t="s">
        <v>96</v>
      </c>
      <c r="D1924" s="9" t="s">
        <v>395</v>
      </c>
      <c r="E1924" s="9" t="str">
        <f>_xlfn.TEXTAFTER(Condiciones_acumuladas[[#This Row],[Descripción]], " ", -2)</f>
        <v>Yessi Guarcas</v>
      </c>
      <c r="F1924" s="10" t="s">
        <v>2525</v>
      </c>
      <c r="G1924" s="11">
        <v>45908</v>
      </c>
    </row>
    <row r="1925" spans="1:7" ht="36.5" hidden="1" x14ac:dyDescent="0.35">
      <c r="A1925" s="8">
        <v>9705</v>
      </c>
      <c r="B1925" s="10" t="s">
        <v>4481</v>
      </c>
      <c r="C1925" s="10" t="s">
        <v>196</v>
      </c>
      <c r="D1925" s="9" t="s">
        <v>395</v>
      </c>
      <c r="E1925" s="9" t="str">
        <f>_xlfn.TEXTAFTER(Condiciones_acumuladas[[#This Row],[Descripción]], " ", -2)</f>
        <v>Daniel Pineda</v>
      </c>
      <c r="F1925" s="10" t="s">
        <v>2715</v>
      </c>
      <c r="G1925" s="11">
        <v>45905</v>
      </c>
    </row>
    <row r="1926" spans="1:7" ht="36.5" hidden="1" x14ac:dyDescent="0.35">
      <c r="A1926" s="8">
        <v>9702</v>
      </c>
      <c r="B1926" s="10" t="s">
        <v>4482</v>
      </c>
      <c r="C1926" s="10" t="s">
        <v>13</v>
      </c>
      <c r="D1926" s="9" t="s">
        <v>13</v>
      </c>
      <c r="E1926" s="9" t="str">
        <f>_xlfn.TEXTAFTER(Condiciones_acumuladas[[#This Row],[Descripción]], " ", -2)</f>
        <v>Gustavo Hernández</v>
      </c>
      <c r="F1926" s="10" t="s">
        <v>2572</v>
      </c>
      <c r="G1926" s="11">
        <v>45908</v>
      </c>
    </row>
    <row r="1927" spans="1:7" ht="36.5" hidden="1" x14ac:dyDescent="0.35">
      <c r="A1927" s="8">
        <v>9699</v>
      </c>
      <c r="B1927" s="10" t="s">
        <v>4483</v>
      </c>
      <c r="C1927" s="10" t="s">
        <v>104</v>
      </c>
      <c r="D1927" s="9" t="s">
        <v>104</v>
      </c>
      <c r="E1927" s="9" t="str">
        <f>_xlfn.TEXTAFTER(Condiciones_acumuladas[[#This Row],[Descripción]], " ", -2)</f>
        <v>Haydée Martínez</v>
      </c>
      <c r="F1927" s="10" t="s">
        <v>2516</v>
      </c>
      <c r="G1927" s="11">
        <v>45907</v>
      </c>
    </row>
    <row r="1928" spans="1:7" ht="24.5" hidden="1" x14ac:dyDescent="0.35">
      <c r="A1928" s="8">
        <v>9701</v>
      </c>
      <c r="B1928" s="10" t="s">
        <v>4484</v>
      </c>
      <c r="C1928" s="10" t="s">
        <v>196</v>
      </c>
      <c r="D1928" s="9" t="s">
        <v>196</v>
      </c>
      <c r="E1928" s="9" t="str">
        <f>_xlfn.TEXTAFTER(Condiciones_acumuladas[[#This Row],[Descripción]], " ", -2)</f>
        <v>Miguel Godinez</v>
      </c>
      <c r="F1928" s="10" t="s">
        <v>2537</v>
      </c>
      <c r="G1928" s="11">
        <v>45908</v>
      </c>
    </row>
    <row r="1929" spans="1:7" ht="36.5" hidden="1" x14ac:dyDescent="0.35">
      <c r="A1929" s="8">
        <v>9697</v>
      </c>
      <c r="B1929" s="10" t="s">
        <v>4485</v>
      </c>
      <c r="C1929" s="10" t="s">
        <v>13</v>
      </c>
      <c r="D1929" s="9" t="s">
        <v>395</v>
      </c>
      <c r="E1929" s="9" t="str">
        <f>_xlfn.TEXTAFTER(Condiciones_acumuladas[[#This Row],[Descripción]], " ", -2)</f>
        <v>Antony Ramos</v>
      </c>
      <c r="F1929" s="10" t="s">
        <v>2516</v>
      </c>
      <c r="G1929" s="11">
        <v>45906</v>
      </c>
    </row>
    <row r="1930" spans="1:7" ht="24.5" hidden="1" x14ac:dyDescent="0.35">
      <c r="A1930" s="8">
        <v>9693</v>
      </c>
      <c r="B1930" s="10" t="s">
        <v>4486</v>
      </c>
      <c r="C1930" s="10" t="s">
        <v>234</v>
      </c>
      <c r="D1930" s="9" t="s">
        <v>395</v>
      </c>
      <c r="E1930" s="9" t="str">
        <f>_xlfn.TEXTAFTER(Condiciones_acumuladas[[#This Row],[Descripción]], " ", -2)</f>
        <v>Daniel Pineda</v>
      </c>
      <c r="F1930" s="10" t="s">
        <v>2522</v>
      </c>
      <c r="G1930" s="11">
        <v>45905</v>
      </c>
    </row>
    <row r="1931" spans="1:7" ht="48.5" hidden="1" x14ac:dyDescent="0.35">
      <c r="A1931" s="8">
        <v>9695</v>
      </c>
      <c r="B1931" s="10" t="s">
        <v>4487</v>
      </c>
      <c r="C1931" s="10" t="s">
        <v>26</v>
      </c>
      <c r="D1931" s="9" t="s">
        <v>395</v>
      </c>
      <c r="E1931" s="9" t="str">
        <f>_xlfn.TEXTAFTER(Condiciones_acumuladas[[#This Row],[Descripción]], " ", -2)</f>
        <v>Daniel Pineda</v>
      </c>
      <c r="F1931" s="10" t="s">
        <v>2559</v>
      </c>
      <c r="G1931" s="11">
        <v>45905</v>
      </c>
    </row>
    <row r="1932" spans="1:7" ht="48.5" hidden="1" x14ac:dyDescent="0.35">
      <c r="A1932" s="8">
        <v>9703</v>
      </c>
      <c r="B1932" s="10" t="s">
        <v>4488</v>
      </c>
      <c r="C1932" s="10" t="s">
        <v>96</v>
      </c>
      <c r="D1932" s="9" t="s">
        <v>395</v>
      </c>
      <c r="E1932" s="9" t="str">
        <f>_xlfn.TEXTAFTER(Condiciones_acumuladas[[#This Row],[Descripción]], " ", -2)</f>
        <v>Yessi Guarcas</v>
      </c>
      <c r="F1932" s="10" t="s">
        <v>2559</v>
      </c>
      <c r="G1932" s="11">
        <v>45908</v>
      </c>
    </row>
    <row r="1933" spans="1:7" ht="48.5" hidden="1" x14ac:dyDescent="0.35">
      <c r="A1933" s="8">
        <v>9698</v>
      </c>
      <c r="B1933" s="10" t="s">
        <v>4489</v>
      </c>
      <c r="C1933" s="10" t="s">
        <v>104</v>
      </c>
      <c r="D1933" s="9" t="s">
        <v>104</v>
      </c>
      <c r="E1933" s="9" t="str">
        <f>_xlfn.TEXTAFTER(Condiciones_acumuladas[[#This Row],[Descripción]], " ", -2)</f>
        <v>Haydée Martínez</v>
      </c>
      <c r="F1933" s="10" t="s">
        <v>2559</v>
      </c>
      <c r="G1933" s="11">
        <v>45907</v>
      </c>
    </row>
    <row r="1934" spans="1:7" ht="24.5" hidden="1" x14ac:dyDescent="0.35">
      <c r="A1934" s="8">
        <v>9700</v>
      </c>
      <c r="B1934" s="10" t="s">
        <v>3919</v>
      </c>
      <c r="C1934" s="10" t="s">
        <v>13</v>
      </c>
      <c r="D1934" s="9" t="s">
        <v>13</v>
      </c>
      <c r="E1934" s="9" t="str">
        <f>_xlfn.TEXTAFTER(Condiciones_acumuladas[[#This Row],[Descripción]], " ", -2)</f>
        <v>Gustavo Hernández</v>
      </c>
      <c r="F1934" s="10" t="s">
        <v>2522</v>
      </c>
      <c r="G1934" s="11">
        <v>45908</v>
      </c>
    </row>
    <row r="1935" spans="1:7" ht="36.5" hidden="1" x14ac:dyDescent="0.35">
      <c r="A1935" s="8">
        <v>9696</v>
      </c>
      <c r="B1935" s="10" t="s">
        <v>4490</v>
      </c>
      <c r="C1935" s="10" t="s">
        <v>234</v>
      </c>
      <c r="D1935" s="9" t="s">
        <v>234</v>
      </c>
      <c r="E1935" s="9" t="str">
        <f>_xlfn.TEXTAFTER(Condiciones_acumuladas[[#This Row],[Descripción]], " ", -2)</f>
        <v>Gustavo Hernández</v>
      </c>
      <c r="F1935" s="10" t="s">
        <v>2530</v>
      </c>
      <c r="G1935" s="11">
        <v>45905</v>
      </c>
    </row>
    <row r="1936" spans="1:7" ht="24.5" hidden="1" x14ac:dyDescent="0.35">
      <c r="A1936" s="8">
        <v>9694</v>
      </c>
      <c r="B1936" s="10" t="s">
        <v>4491</v>
      </c>
      <c r="C1936" s="10" t="s">
        <v>26</v>
      </c>
      <c r="D1936" s="9" t="s">
        <v>395</v>
      </c>
      <c r="E1936" s="9" t="str">
        <f>_xlfn.TEXTAFTER(Condiciones_acumuladas[[#This Row],[Descripción]], " ", -2)</f>
        <v>Daniel Pineda</v>
      </c>
      <c r="F1936" s="10" t="s">
        <v>2522</v>
      </c>
      <c r="G1936" s="11">
        <v>45905</v>
      </c>
    </row>
    <row r="1937" spans="1:7" ht="36.5" hidden="1" x14ac:dyDescent="0.35">
      <c r="A1937" s="8">
        <v>9692</v>
      </c>
      <c r="B1937" s="10" t="s">
        <v>4492</v>
      </c>
      <c r="C1937" s="10" t="s">
        <v>96</v>
      </c>
      <c r="D1937" s="9" t="s">
        <v>395</v>
      </c>
      <c r="E1937" s="9" t="str">
        <f>_xlfn.TEXTAFTER(Condiciones_acumuladas[[#This Row],[Descripción]], " ", -2)</f>
        <v>Daniel Pineda</v>
      </c>
      <c r="F1937" s="10" t="s">
        <v>2525</v>
      </c>
      <c r="G1937" s="11">
        <v>45905</v>
      </c>
    </row>
    <row r="1938" spans="1:7" ht="36.5" hidden="1" x14ac:dyDescent="0.35">
      <c r="A1938" s="8">
        <v>9688</v>
      </c>
      <c r="B1938" s="10" t="s">
        <v>4493</v>
      </c>
      <c r="C1938" s="10" t="s">
        <v>26</v>
      </c>
      <c r="D1938" s="9" t="s">
        <v>95</v>
      </c>
      <c r="E1938" s="9" t="str">
        <f>_xlfn.TEXTAFTER(Condiciones_acumuladas[[#This Row],[Descripción]], " ", -2)</f>
        <v>Leidy Camey</v>
      </c>
      <c r="F1938" s="10" t="s">
        <v>2516</v>
      </c>
      <c r="G1938" s="11">
        <v>45907</v>
      </c>
    </row>
    <row r="1939" spans="1:7" ht="48.5" hidden="1" x14ac:dyDescent="0.35">
      <c r="A1939" s="8">
        <v>9684</v>
      </c>
      <c r="B1939" s="10" t="s">
        <v>4494</v>
      </c>
      <c r="C1939" s="10" t="s">
        <v>2225</v>
      </c>
      <c r="D1939" s="9" t="s">
        <v>95</v>
      </c>
      <c r="E1939" s="9" t="str">
        <f>_xlfn.TEXTAFTER(Condiciones_acumuladas[[#This Row],[Descripción]], " ", -2)</f>
        <v>Nelson Godinez</v>
      </c>
      <c r="F1939" s="10" t="s">
        <v>2559</v>
      </c>
      <c r="G1939" s="11">
        <v>45905</v>
      </c>
    </row>
    <row r="1940" spans="1:7" ht="48.5" hidden="1" x14ac:dyDescent="0.35">
      <c r="A1940" s="8">
        <v>9712</v>
      </c>
      <c r="B1940" s="10" t="s">
        <v>4495</v>
      </c>
      <c r="C1940" s="10" t="s">
        <v>196</v>
      </c>
      <c r="D1940" s="9" t="s">
        <v>196</v>
      </c>
      <c r="E1940" s="9" t="str">
        <f>_xlfn.TEXTAFTER(Condiciones_acumuladas[[#This Row],[Descripción]], " ", -2)</f>
        <v>Kelly Calderón</v>
      </c>
      <c r="F1940" s="10" t="s">
        <v>2559</v>
      </c>
      <c r="G1940" s="11">
        <v>45909</v>
      </c>
    </row>
    <row r="1941" spans="1:7" ht="36.5" hidden="1" x14ac:dyDescent="0.35">
      <c r="A1941" s="8">
        <v>9710</v>
      </c>
      <c r="B1941" s="10" t="s">
        <v>4496</v>
      </c>
      <c r="C1941" s="10" t="s">
        <v>21</v>
      </c>
      <c r="D1941" s="9" t="s">
        <v>21</v>
      </c>
      <c r="E1941" s="9" t="str">
        <f>_xlfn.TEXTAFTER(Condiciones_acumuladas[[#This Row],[Descripción]], " ", -2)</f>
        <v>Oscar Ramirez</v>
      </c>
      <c r="F1941" s="10" t="s">
        <v>2516</v>
      </c>
      <c r="G1941" s="11">
        <v>45908</v>
      </c>
    </row>
    <row r="1942" spans="1:7" ht="36.5" hidden="1" x14ac:dyDescent="0.35">
      <c r="A1942" s="8">
        <v>9716</v>
      </c>
      <c r="B1942" s="10" t="s">
        <v>4497</v>
      </c>
      <c r="C1942" s="10" t="s">
        <v>96</v>
      </c>
      <c r="D1942" s="9" t="s">
        <v>395</v>
      </c>
      <c r="E1942" s="9" t="str">
        <f>_xlfn.TEXTAFTER(Condiciones_acumuladas[[#This Row],[Descripción]], " ", -2)</f>
        <v>Yessi Guarcas</v>
      </c>
      <c r="F1942" s="10" t="s">
        <v>2525</v>
      </c>
      <c r="G1942" s="11">
        <v>45909</v>
      </c>
    </row>
    <row r="1943" spans="1:7" ht="24.5" hidden="1" x14ac:dyDescent="0.35">
      <c r="A1943" s="8">
        <v>9715</v>
      </c>
      <c r="B1943" s="10" t="s">
        <v>4498</v>
      </c>
      <c r="C1943" s="10" t="s">
        <v>234</v>
      </c>
      <c r="D1943" s="9" t="s">
        <v>234</v>
      </c>
      <c r="E1943" s="9" t="str">
        <f>_xlfn.TEXTAFTER(Condiciones_acumuladas[[#This Row],[Descripción]], " ", -2)</f>
        <v>Eliú Tello</v>
      </c>
      <c r="F1943" s="10" t="s">
        <v>2540</v>
      </c>
      <c r="G1943" s="11">
        <v>45909</v>
      </c>
    </row>
    <row r="1944" spans="1:7" ht="24.5" hidden="1" x14ac:dyDescent="0.35">
      <c r="A1944" s="8">
        <v>9713</v>
      </c>
      <c r="B1944" s="10" t="s">
        <v>3245</v>
      </c>
      <c r="C1944" s="10" t="s">
        <v>13</v>
      </c>
      <c r="D1944" s="9" t="s">
        <v>13</v>
      </c>
      <c r="E1944" s="9" t="str">
        <f>_xlfn.TEXTAFTER(Condiciones_acumuladas[[#This Row],[Descripción]], " ", -2)</f>
        <v>Gustavo Hernández</v>
      </c>
      <c r="F1944" s="10" t="s">
        <v>2522</v>
      </c>
      <c r="G1944" s="11">
        <v>45909</v>
      </c>
    </row>
    <row r="1945" spans="1:7" ht="24.5" hidden="1" x14ac:dyDescent="0.35">
      <c r="A1945" s="8">
        <v>9711</v>
      </c>
      <c r="B1945" s="10" t="s">
        <v>4499</v>
      </c>
      <c r="C1945" s="10" t="s">
        <v>220</v>
      </c>
      <c r="D1945" s="9" t="s">
        <v>395</v>
      </c>
      <c r="E1945" s="9" t="str">
        <f>_xlfn.TEXTAFTER(Condiciones_acumuladas[[#This Row],[Descripción]], " ", -2)</f>
        <v>Daniel Pineda</v>
      </c>
      <c r="F1945" s="10" t="s">
        <v>2834</v>
      </c>
      <c r="G1945" s="11">
        <v>45908</v>
      </c>
    </row>
    <row r="1946" spans="1:7" ht="36.5" hidden="1" x14ac:dyDescent="0.35">
      <c r="A1946" s="8">
        <v>9707</v>
      </c>
      <c r="B1946" s="10" t="s">
        <v>4500</v>
      </c>
      <c r="C1946" s="10" t="s">
        <v>234</v>
      </c>
      <c r="D1946" s="9" t="s">
        <v>95</v>
      </c>
      <c r="E1946" s="9" t="str">
        <f>_xlfn.TEXTAFTER(Condiciones_acumuladas[[#This Row],[Descripción]], " ", -2)</f>
        <v>Nelson Godinez</v>
      </c>
      <c r="F1946" s="10" t="s">
        <v>2516</v>
      </c>
      <c r="G1946" s="11">
        <v>45909</v>
      </c>
    </row>
    <row r="1947" spans="1:7" ht="36.5" hidden="1" x14ac:dyDescent="0.35">
      <c r="A1947" s="8">
        <v>9714</v>
      </c>
      <c r="B1947" s="10" t="s">
        <v>4501</v>
      </c>
      <c r="C1947" s="10" t="s">
        <v>34</v>
      </c>
      <c r="D1947" s="9" t="s">
        <v>34</v>
      </c>
      <c r="E1947" s="9" t="str">
        <f>_xlfn.TEXTAFTER(Condiciones_acumuladas[[#This Row],[Descripción]], " ", -2)</f>
        <v>Adrian Santisteban</v>
      </c>
      <c r="F1947" s="10" t="s">
        <v>2525</v>
      </c>
      <c r="G1947" s="11">
        <v>45909</v>
      </c>
    </row>
    <row r="1948" spans="1:7" ht="24.5" hidden="1" x14ac:dyDescent="0.35">
      <c r="A1948" s="8">
        <v>9726</v>
      </c>
      <c r="B1948" s="10" t="s">
        <v>4502</v>
      </c>
      <c r="C1948" s="10" t="s">
        <v>13</v>
      </c>
      <c r="D1948" s="9" t="s">
        <v>13</v>
      </c>
      <c r="E1948" s="9" t="str">
        <f>_xlfn.TEXTAFTER(Condiciones_acumuladas[[#This Row],[Descripción]], " ", -2)</f>
        <v>Gustavo Hernández</v>
      </c>
      <c r="F1948" s="10" t="s">
        <v>2522</v>
      </c>
      <c r="G1948" s="11">
        <v>45911</v>
      </c>
    </row>
    <row r="1949" spans="1:7" ht="24.5" hidden="1" x14ac:dyDescent="0.35">
      <c r="A1949" s="8">
        <v>9724</v>
      </c>
      <c r="B1949" s="10" t="s">
        <v>4503</v>
      </c>
      <c r="C1949" s="10" t="s">
        <v>134</v>
      </c>
      <c r="D1949" s="9" t="s">
        <v>134</v>
      </c>
      <c r="E1949" s="9" t="str">
        <f>_xlfn.TEXTAFTER(Condiciones_acumuladas[[#This Row],[Descripción]], " ", -2)</f>
        <v>Gustavo Hernández</v>
      </c>
      <c r="F1949" s="10" t="s">
        <v>2522</v>
      </c>
      <c r="G1949" s="11">
        <v>45910</v>
      </c>
    </row>
    <row r="1950" spans="1:7" ht="36.5" hidden="1" x14ac:dyDescent="0.35">
      <c r="A1950" s="8">
        <v>9731</v>
      </c>
      <c r="B1950" s="10" t="s">
        <v>4504</v>
      </c>
      <c r="C1950" s="10" t="s">
        <v>21</v>
      </c>
      <c r="D1950" s="9" t="s">
        <v>196</v>
      </c>
      <c r="E1950" s="9" t="str">
        <f>_xlfn.TEXTAFTER(Condiciones_acumuladas[[#This Row],[Descripción]], " ", -2)</f>
        <v>Jaime Chex</v>
      </c>
      <c r="F1950" s="10" t="s">
        <v>2516</v>
      </c>
      <c r="G1950" s="11">
        <v>45911</v>
      </c>
    </row>
    <row r="1951" spans="1:7" ht="36.5" hidden="1" x14ac:dyDescent="0.35">
      <c r="A1951" s="8">
        <v>9736</v>
      </c>
      <c r="B1951" s="10" t="s">
        <v>4505</v>
      </c>
      <c r="C1951" s="10" t="s">
        <v>190</v>
      </c>
      <c r="D1951" s="9" t="s">
        <v>190</v>
      </c>
      <c r="E1951" s="9" t="str">
        <f>_xlfn.TEXTAFTER(Condiciones_acumuladas[[#This Row],[Descripción]], " ", -2)</f>
        <v>Carlos Quan</v>
      </c>
      <c r="F1951" s="10" t="s">
        <v>2516</v>
      </c>
      <c r="G1951" s="11">
        <v>45901</v>
      </c>
    </row>
    <row r="1952" spans="1:7" ht="36.5" hidden="1" x14ac:dyDescent="0.35">
      <c r="A1952" s="8">
        <v>9733</v>
      </c>
      <c r="B1952" s="10" t="s">
        <v>4506</v>
      </c>
      <c r="C1952" s="10" t="s">
        <v>395</v>
      </c>
      <c r="D1952" s="9" t="s">
        <v>395</v>
      </c>
      <c r="E1952" s="9" t="str">
        <f>_xlfn.TEXTAFTER(Condiciones_acumuladas[[#This Row],[Descripción]], " ", -2)</f>
        <v>Karla Hintz</v>
      </c>
      <c r="F1952" s="10" t="s">
        <v>2525</v>
      </c>
      <c r="G1952" s="11">
        <v>45911</v>
      </c>
    </row>
    <row r="1953" spans="1:7" ht="36.5" hidden="1" x14ac:dyDescent="0.35">
      <c r="A1953" s="8">
        <v>9727</v>
      </c>
      <c r="B1953" s="10" t="s">
        <v>4507</v>
      </c>
      <c r="C1953" s="10" t="s">
        <v>13</v>
      </c>
      <c r="D1953" s="9" t="s">
        <v>13</v>
      </c>
      <c r="E1953" s="9" t="str">
        <f>_xlfn.TEXTAFTER(Condiciones_acumuladas[[#This Row],[Descripción]], " ", -2)</f>
        <v>Amilcar Ralda</v>
      </c>
      <c r="F1953" s="10" t="s">
        <v>2516</v>
      </c>
      <c r="G1953" s="11">
        <v>45911</v>
      </c>
    </row>
    <row r="1954" spans="1:7" ht="36.5" hidden="1" x14ac:dyDescent="0.35">
      <c r="A1954" s="8">
        <v>9737</v>
      </c>
      <c r="B1954" s="10" t="s">
        <v>4508</v>
      </c>
      <c r="C1954" s="10" t="s">
        <v>26</v>
      </c>
      <c r="D1954" s="9" t="s">
        <v>234</v>
      </c>
      <c r="E1954" s="9" t="str">
        <f>_xlfn.TEXTAFTER(Condiciones_acumuladas[[#This Row],[Descripción]], " ", -2)</f>
        <v>Wilber López</v>
      </c>
      <c r="F1954" s="10" t="s">
        <v>2516</v>
      </c>
      <c r="G1954" s="11">
        <v>45911</v>
      </c>
    </row>
    <row r="1955" spans="1:7" ht="36.5" hidden="1" x14ac:dyDescent="0.35">
      <c r="A1955" s="8">
        <v>9735</v>
      </c>
      <c r="B1955" s="10" t="s">
        <v>4509</v>
      </c>
      <c r="C1955" s="10" t="s">
        <v>227</v>
      </c>
      <c r="D1955" s="9" t="s">
        <v>395</v>
      </c>
      <c r="E1955" s="9" t="str">
        <f>_xlfn.TEXTAFTER(Condiciones_acumuladas[[#This Row],[Descripción]], " ", -2)</f>
        <v>Karla Hintz</v>
      </c>
      <c r="F1955" s="10" t="s">
        <v>2525</v>
      </c>
      <c r="G1955" s="11">
        <v>45911</v>
      </c>
    </row>
    <row r="1956" spans="1:7" ht="36.5" hidden="1" x14ac:dyDescent="0.35">
      <c r="A1956" s="8">
        <v>9739</v>
      </c>
      <c r="B1956" s="10" t="s">
        <v>4510</v>
      </c>
      <c r="C1956" s="10" t="s">
        <v>278</v>
      </c>
      <c r="D1956" s="9" t="s">
        <v>220</v>
      </c>
      <c r="E1956" s="9" t="str">
        <f>_xlfn.TEXTAFTER(Condiciones_acumuladas[[#This Row],[Descripción]], " ", -2)</f>
        <v>Elvis Oliva</v>
      </c>
      <c r="F1956" s="10" t="s">
        <v>2516</v>
      </c>
      <c r="G1956" s="11">
        <v>45911</v>
      </c>
    </row>
    <row r="1957" spans="1:7" ht="36.5" hidden="1" x14ac:dyDescent="0.35">
      <c r="A1957" s="8">
        <v>9734</v>
      </c>
      <c r="B1957" s="10" t="s">
        <v>4511</v>
      </c>
      <c r="C1957" s="10" t="s">
        <v>13</v>
      </c>
      <c r="D1957" s="9" t="s">
        <v>395</v>
      </c>
      <c r="E1957" s="9" t="str">
        <f>_xlfn.TEXTAFTER(Condiciones_acumuladas[[#This Row],[Descripción]], " ", -2)</f>
        <v>Josué Vásquez</v>
      </c>
      <c r="F1957" s="10" t="s">
        <v>2516</v>
      </c>
      <c r="G1957" s="11">
        <v>45911</v>
      </c>
    </row>
    <row r="1958" spans="1:7" ht="36.5" hidden="1" x14ac:dyDescent="0.35">
      <c r="A1958" s="8">
        <v>9723</v>
      </c>
      <c r="B1958" s="10" t="s">
        <v>4512</v>
      </c>
      <c r="C1958" s="10" t="s">
        <v>95</v>
      </c>
      <c r="D1958" s="9" t="s">
        <v>95</v>
      </c>
      <c r="E1958" s="9" t="str">
        <f>_xlfn.TEXTAFTER(Condiciones_acumuladas[[#This Row],[Descripción]], " ", -2)</f>
        <v>Gerson Castañeda</v>
      </c>
      <c r="F1958" s="10" t="s">
        <v>2516</v>
      </c>
      <c r="G1958" s="11">
        <v>45909</v>
      </c>
    </row>
    <row r="1959" spans="1:7" ht="24.5" hidden="1" x14ac:dyDescent="0.35">
      <c r="A1959" s="8">
        <v>9725</v>
      </c>
      <c r="B1959" s="10" t="s">
        <v>4513</v>
      </c>
      <c r="C1959" s="10" t="s">
        <v>134</v>
      </c>
      <c r="D1959" s="9" t="s">
        <v>134</v>
      </c>
      <c r="E1959" s="9" t="str">
        <f>_xlfn.TEXTAFTER(Condiciones_acumuladas[[#This Row],[Descripción]], " ", -2)</f>
        <v>Gustavo Hernández</v>
      </c>
      <c r="F1959" s="10" t="s">
        <v>2522</v>
      </c>
      <c r="G1959" s="11">
        <v>45910</v>
      </c>
    </row>
    <row r="1960" spans="1:7" ht="24.5" hidden="1" x14ac:dyDescent="0.35">
      <c r="A1960" s="8">
        <v>9732</v>
      </c>
      <c r="B1960" s="10" t="s">
        <v>4514</v>
      </c>
      <c r="C1960" s="10" t="s">
        <v>937</v>
      </c>
      <c r="D1960" s="9" t="s">
        <v>395</v>
      </c>
      <c r="E1960" s="9" t="str">
        <f>_xlfn.TEXTAFTER(Condiciones_acumuladas[[#This Row],[Descripción]], " ", -2)</f>
        <v>Yessi Guarcas</v>
      </c>
      <c r="F1960" s="10" t="s">
        <v>2522</v>
      </c>
      <c r="G1960" s="11">
        <v>45911</v>
      </c>
    </row>
    <row r="1961" spans="1:7" ht="36.5" hidden="1" x14ac:dyDescent="0.35">
      <c r="A1961" s="8">
        <v>9728</v>
      </c>
      <c r="B1961" s="10" t="s">
        <v>4515</v>
      </c>
      <c r="C1961" s="10" t="s">
        <v>190</v>
      </c>
      <c r="D1961" s="9" t="s">
        <v>190</v>
      </c>
      <c r="E1961" s="9" t="s">
        <v>2078</v>
      </c>
      <c r="F1961" s="10" t="s">
        <v>2525</v>
      </c>
      <c r="G1961" s="11">
        <v>45911</v>
      </c>
    </row>
    <row r="1962" spans="1:7" ht="36.5" hidden="1" x14ac:dyDescent="0.35">
      <c r="A1962" s="8">
        <v>9738</v>
      </c>
      <c r="B1962" s="10" t="s">
        <v>4516</v>
      </c>
      <c r="C1962" s="10" t="s">
        <v>96</v>
      </c>
      <c r="D1962" s="9" t="s">
        <v>96</v>
      </c>
      <c r="E1962" s="9" t="str">
        <f>_xlfn.TEXTAFTER(Condiciones_acumuladas[[#This Row],[Descripción]], " ", -2)</f>
        <v>Jimmy Velásquez</v>
      </c>
      <c r="F1962" s="10" t="s">
        <v>2516</v>
      </c>
      <c r="G1962" s="11">
        <v>45911</v>
      </c>
    </row>
    <row r="1963" spans="1:7" ht="36.5" hidden="1" x14ac:dyDescent="0.35">
      <c r="A1963" s="8">
        <v>9730</v>
      </c>
      <c r="B1963" s="10" t="s">
        <v>4517</v>
      </c>
      <c r="C1963" s="10" t="s">
        <v>26</v>
      </c>
      <c r="D1963" s="9" t="s">
        <v>220</v>
      </c>
      <c r="E1963" s="9" t="str">
        <f>_xlfn.TEXTAFTER(Condiciones_acumuladas[[#This Row],[Descripción]], " ", -2)</f>
        <v>Wilber López</v>
      </c>
      <c r="F1963" s="10" t="s">
        <v>2516</v>
      </c>
      <c r="G1963" s="11">
        <v>45911</v>
      </c>
    </row>
    <row r="1964" spans="1:7" ht="24.5" hidden="1" x14ac:dyDescent="0.35">
      <c r="A1964" s="8">
        <v>9745</v>
      </c>
      <c r="B1964" s="10" t="s">
        <v>4518</v>
      </c>
      <c r="C1964" s="10" t="s">
        <v>96</v>
      </c>
      <c r="D1964" s="9" t="s">
        <v>96</v>
      </c>
      <c r="E1964" s="9" t="str">
        <f>_xlfn.TEXTAFTER(Condiciones_acumuladas[[#This Row],[Descripción]], " ", -2)</f>
        <v>Isabel Saquila</v>
      </c>
      <c r="F1964" s="10" t="s">
        <v>2537</v>
      </c>
      <c r="G1964" s="11">
        <v>45912</v>
      </c>
    </row>
    <row r="1965" spans="1:7" ht="24.5" hidden="1" x14ac:dyDescent="0.35">
      <c r="A1965" s="8">
        <v>9740</v>
      </c>
      <c r="B1965" s="10" t="s">
        <v>4519</v>
      </c>
      <c r="C1965" s="10" t="s">
        <v>196</v>
      </c>
      <c r="D1965" s="9" t="s">
        <v>395</v>
      </c>
      <c r="E1965" s="9" t="str">
        <f>_xlfn.TEXTAFTER(Condiciones_acumuladas[[#This Row],[Descripción]], " ", -2)</f>
        <v>Daniel Pineda</v>
      </c>
      <c r="F1965" s="10" t="s">
        <v>2522</v>
      </c>
      <c r="G1965" s="11">
        <v>45911</v>
      </c>
    </row>
    <row r="1966" spans="1:7" ht="36.5" hidden="1" x14ac:dyDescent="0.35">
      <c r="A1966" s="8">
        <v>9747</v>
      </c>
      <c r="B1966" s="10" t="s">
        <v>4520</v>
      </c>
      <c r="C1966" s="10" t="s">
        <v>21</v>
      </c>
      <c r="D1966" s="9" t="s">
        <v>21</v>
      </c>
      <c r="E1966" s="9" t="str">
        <f>_xlfn.TEXTAFTER(Condiciones_acumuladas[[#This Row],[Descripción]], " ", -2)</f>
        <v>Haydée Martínez</v>
      </c>
      <c r="F1966" s="10" t="s">
        <v>2516</v>
      </c>
      <c r="G1966" s="11">
        <v>45912</v>
      </c>
    </row>
    <row r="1967" spans="1:7" ht="24.5" hidden="1" x14ac:dyDescent="0.35">
      <c r="A1967" s="8">
        <v>9749</v>
      </c>
      <c r="B1967" s="10" t="s">
        <v>4521</v>
      </c>
      <c r="C1967" s="10" t="s">
        <v>96</v>
      </c>
      <c r="D1967" s="9" t="s">
        <v>395</v>
      </c>
      <c r="E1967" s="9" t="str">
        <f>_xlfn.TEXTAFTER(Condiciones_acumuladas[[#This Row],[Descripción]], " ", -2)</f>
        <v>Antony Ramos</v>
      </c>
      <c r="F1967" s="10" t="s">
        <v>2834</v>
      </c>
      <c r="G1967" s="11">
        <v>45912</v>
      </c>
    </row>
    <row r="1968" spans="1:7" ht="36.5" hidden="1" x14ac:dyDescent="0.35">
      <c r="A1968" s="8">
        <v>9751</v>
      </c>
      <c r="B1968" s="10" t="s">
        <v>4522</v>
      </c>
      <c r="C1968" s="10" t="s">
        <v>21</v>
      </c>
      <c r="D1968" s="9" t="s">
        <v>395</v>
      </c>
      <c r="E1968" s="9" t="str">
        <f>_xlfn.TEXTAFTER(Condiciones_acumuladas[[#This Row],[Descripción]], " ", -2)</f>
        <v>Antony Ramos</v>
      </c>
      <c r="F1968" s="10" t="s">
        <v>2516</v>
      </c>
      <c r="G1968" s="11">
        <v>45915</v>
      </c>
    </row>
    <row r="1969" spans="1:7" ht="36.5" hidden="1" x14ac:dyDescent="0.35">
      <c r="A1969" s="8">
        <v>9741</v>
      </c>
      <c r="B1969" s="10" t="s">
        <v>4523</v>
      </c>
      <c r="C1969" s="10" t="s">
        <v>196</v>
      </c>
      <c r="D1969" s="9" t="s">
        <v>395</v>
      </c>
      <c r="E1969" s="9" t="str">
        <f>_xlfn.TEXTAFTER(Condiciones_acumuladas[[#This Row],[Descripción]], " ", -2)</f>
        <v>Daniel Pineda</v>
      </c>
      <c r="F1969" s="10" t="s">
        <v>2530</v>
      </c>
      <c r="G1969" s="11">
        <v>45911</v>
      </c>
    </row>
    <row r="1970" spans="1:7" ht="36.5" hidden="1" x14ac:dyDescent="0.35">
      <c r="A1970" s="8">
        <v>9743</v>
      </c>
      <c r="B1970" s="10" t="s">
        <v>4524</v>
      </c>
      <c r="C1970" s="10" t="s">
        <v>26</v>
      </c>
      <c r="D1970" s="9" t="s">
        <v>21</v>
      </c>
      <c r="E1970" s="9" t="str">
        <f>_xlfn.TEXTAFTER(Condiciones_acumuladas[[#This Row],[Descripción]], " ", -2)</f>
        <v>Amilcar Ralda</v>
      </c>
      <c r="F1970" s="10" t="s">
        <v>2516</v>
      </c>
      <c r="G1970" s="11">
        <v>45911</v>
      </c>
    </row>
    <row r="1971" spans="1:7" ht="36.5" hidden="1" x14ac:dyDescent="0.35">
      <c r="A1971" s="8">
        <v>9742</v>
      </c>
      <c r="B1971" s="10" t="s">
        <v>4525</v>
      </c>
      <c r="C1971" s="10" t="s">
        <v>196</v>
      </c>
      <c r="D1971" s="9" t="s">
        <v>395</v>
      </c>
      <c r="E1971" s="9" t="str">
        <f>_xlfn.TEXTAFTER(Condiciones_acumuladas[[#This Row],[Descripción]], " ", -2)</f>
        <v>Daniel Pineda</v>
      </c>
      <c r="F1971" s="10" t="s">
        <v>2530</v>
      </c>
      <c r="G1971" s="11">
        <v>45911</v>
      </c>
    </row>
    <row r="1972" spans="1:7" ht="24.5" hidden="1" x14ac:dyDescent="0.35">
      <c r="A1972" s="8">
        <v>9752</v>
      </c>
      <c r="B1972" s="10" t="s">
        <v>4526</v>
      </c>
      <c r="C1972" s="10" t="s">
        <v>220</v>
      </c>
      <c r="D1972" s="9" t="s">
        <v>220</v>
      </c>
      <c r="E1972" s="9" t="str">
        <f>_xlfn.TEXTAFTER(Condiciones_acumuladas[[#This Row],[Descripción]], " ", -2)</f>
        <v>Carlos Coc</v>
      </c>
      <c r="F1972" s="10" t="s">
        <v>2522</v>
      </c>
      <c r="G1972" s="11">
        <v>45915</v>
      </c>
    </row>
    <row r="1973" spans="1:7" ht="36.5" hidden="1" x14ac:dyDescent="0.35">
      <c r="A1973" s="8">
        <v>9754</v>
      </c>
      <c r="B1973" s="10" t="s">
        <v>4527</v>
      </c>
      <c r="C1973" s="10" t="s">
        <v>13</v>
      </c>
      <c r="D1973" s="9" t="s">
        <v>190</v>
      </c>
      <c r="E1973" s="9" t="str">
        <f>_xlfn.TEXTAFTER(Condiciones_acumuladas[[#This Row],[Descripción]], " ", -2)</f>
        <v>Edson Bonifacio</v>
      </c>
      <c r="F1973" s="10" t="s">
        <v>2516</v>
      </c>
      <c r="G1973" s="11">
        <v>45928</v>
      </c>
    </row>
    <row r="1974" spans="1:7" ht="36.5" hidden="1" x14ac:dyDescent="0.35">
      <c r="A1974" s="8">
        <v>9753</v>
      </c>
      <c r="B1974" s="10" t="s">
        <v>4528</v>
      </c>
      <c r="C1974" s="10" t="s">
        <v>250</v>
      </c>
      <c r="D1974" s="9" t="s">
        <v>250</v>
      </c>
      <c r="E1974" s="9" t="str">
        <f>_xlfn.TEXTAFTER(Condiciones_acumuladas[[#This Row],[Descripción]], " ", -2)</f>
        <v>Ariel Cua</v>
      </c>
      <c r="F1974" s="10" t="s">
        <v>2516</v>
      </c>
      <c r="G1974" s="11">
        <v>45916</v>
      </c>
    </row>
    <row r="1975" spans="1:7" ht="36.5" hidden="1" x14ac:dyDescent="0.35">
      <c r="A1975" s="8">
        <v>9748</v>
      </c>
      <c r="B1975" s="10" t="s">
        <v>4529</v>
      </c>
      <c r="C1975" s="10" t="s">
        <v>21</v>
      </c>
      <c r="D1975" s="9" t="s">
        <v>13</v>
      </c>
      <c r="E1975" s="9" t="str">
        <f>_xlfn.TEXTAFTER(Condiciones_acumuladas[[#This Row],[Descripción]], " ", -2)</f>
        <v>Haydée Martínez</v>
      </c>
      <c r="F1975" s="10" t="s">
        <v>2516</v>
      </c>
      <c r="G1975" s="11">
        <v>45912</v>
      </c>
    </row>
    <row r="1976" spans="1:7" ht="24.5" hidden="1" x14ac:dyDescent="0.35">
      <c r="A1976" s="8">
        <v>9744</v>
      </c>
      <c r="B1976" s="10" t="s">
        <v>4530</v>
      </c>
      <c r="C1976" s="10" t="s">
        <v>96</v>
      </c>
      <c r="D1976" s="9" t="s">
        <v>96</v>
      </c>
      <c r="E1976" s="9" t="str">
        <f>_xlfn.TEXTAFTER(Condiciones_acumuladas[[#This Row],[Descripción]], " ", -2)</f>
        <v>Isabel Saquila</v>
      </c>
      <c r="F1976" s="10" t="s">
        <v>2522</v>
      </c>
      <c r="G1976" s="11">
        <v>45912</v>
      </c>
    </row>
    <row r="1977" spans="1:7" ht="36.5" hidden="1" x14ac:dyDescent="0.35">
      <c r="A1977" s="8">
        <v>9746</v>
      </c>
      <c r="B1977" s="10" t="s">
        <v>4531</v>
      </c>
      <c r="C1977" s="10" t="s">
        <v>134</v>
      </c>
      <c r="D1977" s="9" t="s">
        <v>371</v>
      </c>
      <c r="E1977" s="9" t="str">
        <f>_xlfn.TEXTAFTER(Condiciones_acumuladas[[#This Row],[Descripción]], " ", -2)</f>
        <v>Jessica Loarca</v>
      </c>
      <c r="F1977" s="10" t="s">
        <v>2516</v>
      </c>
      <c r="G1977" s="11">
        <v>45912</v>
      </c>
    </row>
    <row r="1978" spans="1:7" ht="36.5" hidden="1" x14ac:dyDescent="0.35">
      <c r="A1978" s="8">
        <v>9750</v>
      </c>
      <c r="B1978" s="10" t="s">
        <v>4532</v>
      </c>
      <c r="C1978" s="10" t="s">
        <v>220</v>
      </c>
      <c r="D1978" s="9" t="s">
        <v>104</v>
      </c>
      <c r="E1978" s="9" t="str">
        <f>_xlfn.TEXTAFTER(Condiciones_acumuladas[[#This Row],[Descripción]], " ", -2)</f>
        <v>Obdulio Cap</v>
      </c>
      <c r="F1978" s="10" t="s">
        <v>2516</v>
      </c>
      <c r="G1978" s="11">
        <v>45914</v>
      </c>
    </row>
    <row r="1979" spans="1:7" ht="24.5" hidden="1" x14ac:dyDescent="0.35">
      <c r="A1979" s="8">
        <v>9760</v>
      </c>
      <c r="B1979" s="10" t="s">
        <v>4533</v>
      </c>
      <c r="C1979" s="10" t="s">
        <v>250</v>
      </c>
      <c r="D1979" s="9" t="s">
        <v>96</v>
      </c>
      <c r="E1979" s="9" t="str">
        <f>_xlfn.TEXTAFTER(Condiciones_acumuladas[[#This Row],[Descripción]], " ", -2)</f>
        <v>Mario Marroquin</v>
      </c>
      <c r="F1979" s="10" t="s">
        <v>2522</v>
      </c>
      <c r="G1979" s="11">
        <v>45917</v>
      </c>
    </row>
    <row r="1980" spans="1:7" ht="24.5" hidden="1" x14ac:dyDescent="0.35">
      <c r="A1980" s="8">
        <v>9762</v>
      </c>
      <c r="B1980" s="10" t="s">
        <v>4534</v>
      </c>
      <c r="C1980" s="10" t="s">
        <v>371</v>
      </c>
      <c r="D1980" s="9" t="s">
        <v>371</v>
      </c>
      <c r="E1980" s="9" t="str">
        <f>_xlfn.TEXTAFTER(Condiciones_acumuladas[[#This Row],[Descripción]], " ", -2)</f>
        <v>Wilber López</v>
      </c>
      <c r="F1980" s="10" t="s">
        <v>2522</v>
      </c>
      <c r="G1980" s="11">
        <v>45917</v>
      </c>
    </row>
    <row r="1981" spans="1:7" ht="24.5" hidden="1" x14ac:dyDescent="0.35">
      <c r="A1981" s="8">
        <v>9768</v>
      </c>
      <c r="B1981" s="10" t="s">
        <v>4535</v>
      </c>
      <c r="C1981" s="10" t="s">
        <v>190</v>
      </c>
      <c r="D1981" s="9" t="s">
        <v>193</v>
      </c>
      <c r="E1981" s="9" t="str">
        <f>_xlfn.TEXTAFTER(Condiciones_acumuladas[[#This Row],[Descripción]], " ", -2)</f>
        <v>Selvin Pérez</v>
      </c>
      <c r="F1981" s="10" t="s">
        <v>2522</v>
      </c>
      <c r="G1981" s="11">
        <v>45917</v>
      </c>
    </row>
    <row r="1982" spans="1:7" ht="36.5" hidden="1" x14ac:dyDescent="0.35">
      <c r="A1982" s="8">
        <v>9777</v>
      </c>
      <c r="B1982" s="10" t="s">
        <v>4536</v>
      </c>
      <c r="C1982" s="10" t="s">
        <v>21</v>
      </c>
      <c r="D1982" s="9" t="s">
        <v>21</v>
      </c>
      <c r="E1982" s="9" t="str">
        <f>_xlfn.TEXTAFTER(Condiciones_acumuladas[[#This Row],[Descripción]], " ", -2)</f>
        <v>Oscar Ramirez</v>
      </c>
      <c r="F1982" s="10" t="s">
        <v>2516</v>
      </c>
      <c r="G1982" s="11">
        <v>45918</v>
      </c>
    </row>
    <row r="1983" spans="1:7" ht="36.5" hidden="1" x14ac:dyDescent="0.35">
      <c r="A1983" s="8">
        <v>9774</v>
      </c>
      <c r="B1983" s="10" t="s">
        <v>4537</v>
      </c>
      <c r="C1983" s="10" t="s">
        <v>21</v>
      </c>
      <c r="D1983" s="9" t="s">
        <v>21</v>
      </c>
      <c r="E1983" s="9" t="str">
        <f>_xlfn.TEXTAFTER(Condiciones_acumuladas[[#This Row],[Descripción]], " ", -2)</f>
        <v>Amilcar Ralda</v>
      </c>
      <c r="F1983" s="10" t="s">
        <v>2516</v>
      </c>
      <c r="G1983" s="11">
        <v>45918</v>
      </c>
    </row>
    <row r="1984" spans="1:7" ht="24.5" hidden="1" x14ac:dyDescent="0.35">
      <c r="A1984" s="8">
        <v>9769</v>
      </c>
      <c r="B1984" s="10" t="s">
        <v>4538</v>
      </c>
      <c r="C1984" s="10" t="s">
        <v>190</v>
      </c>
      <c r="D1984" s="9" t="s">
        <v>193</v>
      </c>
      <c r="E1984" s="9" t="str">
        <f>_xlfn.TEXTAFTER(Condiciones_acumuladas[[#This Row],[Descripción]], " ", -2)</f>
        <v>Selvin Pérez</v>
      </c>
      <c r="F1984" s="10" t="s">
        <v>2522</v>
      </c>
      <c r="G1984" s="11">
        <v>45917</v>
      </c>
    </row>
    <row r="1985" spans="1:7" ht="36.5" hidden="1" x14ac:dyDescent="0.35">
      <c r="A1985" s="8">
        <v>9776</v>
      </c>
      <c r="B1985" s="10" t="s">
        <v>4539</v>
      </c>
      <c r="C1985" s="10" t="s">
        <v>21</v>
      </c>
      <c r="D1985" s="9" t="s">
        <v>395</v>
      </c>
      <c r="E1985" s="9" t="str">
        <f>_xlfn.TEXTAFTER(Condiciones_acumuladas[[#This Row],[Descripción]], " ", -2)</f>
        <v>Yessi Guarcas</v>
      </c>
      <c r="F1985" s="10" t="s">
        <v>2516</v>
      </c>
      <c r="G1985" s="11">
        <v>45918</v>
      </c>
    </row>
    <row r="1986" spans="1:7" ht="36.5" hidden="1" x14ac:dyDescent="0.35">
      <c r="A1986" s="8">
        <v>9759</v>
      </c>
      <c r="B1986" s="10" t="s">
        <v>4540</v>
      </c>
      <c r="C1986" s="10" t="s">
        <v>371</v>
      </c>
      <c r="D1986" s="9" t="s">
        <v>371</v>
      </c>
      <c r="E1986" s="9" t="str">
        <f>_xlfn.TEXTAFTER(Condiciones_acumuladas[[#This Row],[Descripción]], " ", -2)</f>
        <v>Rodrigo Galindo</v>
      </c>
      <c r="F1986" s="10" t="s">
        <v>2516</v>
      </c>
      <c r="G1986" s="11">
        <v>45917</v>
      </c>
    </row>
    <row r="1987" spans="1:7" ht="24.5" hidden="1" x14ac:dyDescent="0.35">
      <c r="A1987" s="8">
        <v>9770</v>
      </c>
      <c r="B1987" s="10" t="s">
        <v>4541</v>
      </c>
      <c r="C1987" s="10" t="s">
        <v>196</v>
      </c>
      <c r="D1987" s="9" t="s">
        <v>96</v>
      </c>
      <c r="E1987" s="9" t="str">
        <f>_xlfn.TEXTAFTER(Condiciones_acumuladas[[#This Row],[Descripción]], " ", -2)</f>
        <v>Bladimir López</v>
      </c>
      <c r="F1987" s="10" t="s">
        <v>2537</v>
      </c>
      <c r="G1987" s="11">
        <v>45917</v>
      </c>
    </row>
    <row r="1988" spans="1:7" ht="36.5" hidden="1" x14ac:dyDescent="0.35">
      <c r="A1988" s="8">
        <v>9771</v>
      </c>
      <c r="B1988" s="10" t="s">
        <v>4542</v>
      </c>
      <c r="C1988" s="10" t="s">
        <v>134</v>
      </c>
      <c r="D1988" s="9" t="s">
        <v>134</v>
      </c>
      <c r="E1988" s="9" t="str">
        <f>_xlfn.TEXTAFTER(Condiciones_acumuladas[[#This Row],[Descripción]], " ", -2)</f>
        <v>Roger Rivas</v>
      </c>
      <c r="F1988" s="10" t="s">
        <v>2530</v>
      </c>
      <c r="G1988" s="11">
        <v>45917</v>
      </c>
    </row>
    <row r="1989" spans="1:7" ht="36.5" hidden="1" x14ac:dyDescent="0.35">
      <c r="A1989" s="8">
        <v>9772</v>
      </c>
      <c r="B1989" s="10" t="s">
        <v>4543</v>
      </c>
      <c r="C1989" s="10" t="s">
        <v>13</v>
      </c>
      <c r="D1989" s="9" t="s">
        <v>95</v>
      </c>
      <c r="E1989" s="9" t="str">
        <f>_xlfn.TEXTAFTER(Condiciones_acumuladas[[#This Row],[Descripción]], " ", -2)</f>
        <v>Efrain Valux</v>
      </c>
      <c r="F1989" s="10" t="s">
        <v>2516</v>
      </c>
      <c r="G1989" s="11">
        <v>45917</v>
      </c>
    </row>
    <row r="1990" spans="1:7" ht="24.5" hidden="1" x14ac:dyDescent="0.35">
      <c r="A1990" s="8">
        <v>9773</v>
      </c>
      <c r="B1990" s="10" t="s">
        <v>4502</v>
      </c>
      <c r="C1990" s="10" t="s">
        <v>13</v>
      </c>
      <c r="D1990" s="9" t="s">
        <v>13</v>
      </c>
      <c r="E1990" s="9" t="str">
        <f>_xlfn.TEXTAFTER(Condiciones_acumuladas[[#This Row],[Descripción]], " ", -2)</f>
        <v>Gustavo Hernández</v>
      </c>
      <c r="F1990" s="10" t="s">
        <v>2522</v>
      </c>
      <c r="G1990" s="11">
        <v>45917</v>
      </c>
    </row>
    <row r="1991" spans="1:7" ht="36.5" hidden="1" x14ac:dyDescent="0.35">
      <c r="A1991" s="8">
        <v>9775</v>
      </c>
      <c r="B1991" s="10" t="s">
        <v>4544</v>
      </c>
      <c r="C1991" s="10" t="s">
        <v>21</v>
      </c>
      <c r="D1991" s="9" t="s">
        <v>13</v>
      </c>
      <c r="E1991" s="9" t="str">
        <f>_xlfn.TEXTAFTER(Condiciones_acumuladas[[#This Row],[Descripción]], " ", -2)</f>
        <v>Oscar Ramirez</v>
      </c>
      <c r="F1991" s="10" t="s">
        <v>2516</v>
      </c>
      <c r="G1991" s="11">
        <v>45918</v>
      </c>
    </row>
    <row r="1992" spans="1:7" ht="36.5" hidden="1" x14ac:dyDescent="0.35">
      <c r="A1992" s="8">
        <v>9763</v>
      </c>
      <c r="B1992" s="10" t="s">
        <v>4545</v>
      </c>
      <c r="C1992" s="10" t="s">
        <v>250</v>
      </c>
      <c r="D1992" s="9" t="s">
        <v>96</v>
      </c>
      <c r="E1992" s="9" t="str">
        <f>_xlfn.TEXTAFTER(Condiciones_acumuladas[[#This Row],[Descripción]], " ", -2)</f>
        <v>Mario Marroquin</v>
      </c>
      <c r="F1992" s="10" t="s">
        <v>2516</v>
      </c>
      <c r="G1992" s="11">
        <v>45917</v>
      </c>
    </row>
    <row r="1993" spans="1:7" ht="24.5" hidden="1" x14ac:dyDescent="0.35">
      <c r="A1993" s="8">
        <v>9764</v>
      </c>
      <c r="B1993" s="10" t="s">
        <v>4546</v>
      </c>
      <c r="C1993" s="10" t="s">
        <v>278</v>
      </c>
      <c r="D1993" s="9" t="s">
        <v>371</v>
      </c>
      <c r="E1993" s="9" t="str">
        <f>_xlfn.TEXTAFTER(Condiciones_acumuladas[[#This Row],[Descripción]], " ", -2)</f>
        <v>Ronald Chojolan</v>
      </c>
      <c r="F1993" s="10" t="s">
        <v>2522</v>
      </c>
      <c r="G1993" s="11">
        <v>45917</v>
      </c>
    </row>
    <row r="1994" spans="1:7" ht="36.5" hidden="1" x14ac:dyDescent="0.35">
      <c r="A1994" s="8">
        <v>9766</v>
      </c>
      <c r="B1994" s="10" t="s">
        <v>4547</v>
      </c>
      <c r="C1994" s="10" t="s">
        <v>34</v>
      </c>
      <c r="D1994" s="9" t="s">
        <v>190</v>
      </c>
      <c r="E1994" s="9" t="str">
        <f>_xlfn.TEXTAFTER(Condiciones_acumuladas[[#This Row],[Descripción]], " ", -2)</f>
        <v>Carlos Quan</v>
      </c>
      <c r="F1994" s="10" t="s">
        <v>2540</v>
      </c>
      <c r="G1994" s="11">
        <v>45917</v>
      </c>
    </row>
    <row r="1995" spans="1:7" ht="36.5" hidden="1" x14ac:dyDescent="0.35">
      <c r="A1995" s="8">
        <v>9765</v>
      </c>
      <c r="B1995" s="10" t="s">
        <v>4548</v>
      </c>
      <c r="C1995" s="10" t="s">
        <v>234</v>
      </c>
      <c r="D1995" s="9" t="s">
        <v>395</v>
      </c>
      <c r="E1995" s="9" t="str">
        <f>_xlfn.TEXTAFTER(Condiciones_acumuladas[[#This Row],[Descripción]], " ", -2)</f>
        <v>Yessi Guarcas</v>
      </c>
      <c r="F1995" s="10" t="s">
        <v>2516</v>
      </c>
      <c r="G1995" s="11">
        <v>45917</v>
      </c>
    </row>
    <row r="1996" spans="1:7" ht="48.5" hidden="1" x14ac:dyDescent="0.35">
      <c r="A1996" s="8">
        <v>9761</v>
      </c>
      <c r="B1996" s="10" t="s">
        <v>4549</v>
      </c>
      <c r="C1996" s="10" t="s">
        <v>371</v>
      </c>
      <c r="D1996" s="9" t="s">
        <v>220</v>
      </c>
      <c r="E1996" s="9" t="str">
        <f>_xlfn.TEXTAFTER(Condiciones_acumuladas[[#This Row],[Descripción]], " ", -2)</f>
        <v>Wilber López</v>
      </c>
      <c r="F1996" s="10" t="s">
        <v>2530</v>
      </c>
      <c r="G1996" s="11">
        <v>45917</v>
      </c>
    </row>
    <row r="1997" spans="1:7" ht="24.5" hidden="1" x14ac:dyDescent="0.35">
      <c r="A1997" s="8">
        <v>9767</v>
      </c>
      <c r="B1997" s="10" t="s">
        <v>4550</v>
      </c>
      <c r="C1997" s="10" t="s">
        <v>34</v>
      </c>
      <c r="D1997" s="9" t="s">
        <v>250</v>
      </c>
      <c r="E1997" s="9" t="str">
        <f>_xlfn.TEXTAFTER(Condiciones_acumuladas[[#This Row],[Descripción]], " ", -2)</f>
        <v>Carlos Quan</v>
      </c>
      <c r="F1997" s="10" t="s">
        <v>2522</v>
      </c>
      <c r="G1997" s="11">
        <v>45917</v>
      </c>
    </row>
    <row r="1998" spans="1:7" ht="24.5" hidden="1" x14ac:dyDescent="0.35">
      <c r="A1998" s="8">
        <v>9757</v>
      </c>
      <c r="B1998" s="10" t="s">
        <v>4551</v>
      </c>
      <c r="C1998" s="10" t="s">
        <v>371</v>
      </c>
      <c r="D1998" s="9" t="s">
        <v>371</v>
      </c>
      <c r="E1998" s="9" t="str">
        <f>_xlfn.TEXTAFTER(Condiciones_acumuladas[[#This Row],[Descripción]], " ", -2)</f>
        <v>Rodrigo Galindo</v>
      </c>
      <c r="F1998" s="10" t="s">
        <v>2522</v>
      </c>
      <c r="G1998" s="11">
        <v>45917</v>
      </c>
    </row>
    <row r="1999" spans="1:7" ht="36.5" hidden="1" x14ac:dyDescent="0.35">
      <c r="A1999" s="8">
        <v>9758</v>
      </c>
      <c r="B1999" s="10" t="s">
        <v>4552</v>
      </c>
      <c r="C1999" s="10" t="s">
        <v>395</v>
      </c>
      <c r="D1999" s="9" t="s">
        <v>371</v>
      </c>
      <c r="E1999" s="9" t="str">
        <f>_xlfn.TEXTAFTER(Condiciones_acumuladas[[#This Row],[Descripción]], " ", -2)</f>
        <v>Rodrigo Galindo</v>
      </c>
      <c r="F1999" s="10" t="s">
        <v>2525</v>
      </c>
      <c r="G1999" s="11">
        <v>45917</v>
      </c>
    </row>
    <row r="2000" spans="1:7" ht="24.5" hidden="1" x14ac:dyDescent="0.35">
      <c r="A2000" s="8">
        <v>9780</v>
      </c>
      <c r="B2000" s="10" t="s">
        <v>4553</v>
      </c>
      <c r="C2000" s="10" t="s">
        <v>220</v>
      </c>
      <c r="D2000" s="9" t="s">
        <v>95</v>
      </c>
      <c r="E2000" s="9" t="str">
        <f>_xlfn.TEXTAFTER(Condiciones_acumuladas[[#This Row],[Descripción]], " ", -2)</f>
        <v>Hellen Consuelo</v>
      </c>
      <c r="F2000" s="10" t="s">
        <v>2522</v>
      </c>
      <c r="G2000" s="11">
        <v>45917</v>
      </c>
    </row>
    <row r="2001" spans="1:7" ht="24.5" hidden="1" x14ac:dyDescent="0.35">
      <c r="A2001" s="8">
        <v>9782</v>
      </c>
      <c r="B2001" s="10" t="s">
        <v>4554</v>
      </c>
      <c r="C2001" s="10" t="s">
        <v>104</v>
      </c>
      <c r="D2001" s="9" t="s">
        <v>104</v>
      </c>
      <c r="E2001" s="9" t="str">
        <f>_xlfn.TEXTAFTER(Condiciones_acumuladas[[#This Row],[Descripción]], " ", -2)</f>
        <v>Alfonso Guatzin</v>
      </c>
      <c r="F2001" s="10" t="s">
        <v>2522</v>
      </c>
      <c r="G2001" s="11">
        <v>45918</v>
      </c>
    </row>
    <row r="2002" spans="1:7" ht="48.5" hidden="1" x14ac:dyDescent="0.35">
      <c r="A2002" s="8">
        <v>9785</v>
      </c>
      <c r="B2002" s="10" t="s">
        <v>4555</v>
      </c>
      <c r="C2002" s="10" t="s">
        <v>34</v>
      </c>
      <c r="D2002" s="9" t="s">
        <v>34</v>
      </c>
      <c r="E2002" s="9" t="str">
        <f>_xlfn.TEXTAFTER(Condiciones_acumuladas[[#This Row],[Descripción]], " ", -2)</f>
        <v>Oscar Ramos</v>
      </c>
      <c r="F2002" s="10" t="s">
        <v>2559</v>
      </c>
      <c r="G2002" s="11">
        <v>45919</v>
      </c>
    </row>
    <row r="2003" spans="1:7" ht="24.5" hidden="1" x14ac:dyDescent="0.35">
      <c r="A2003" s="8">
        <v>9787</v>
      </c>
      <c r="B2003" s="10" t="s">
        <v>4556</v>
      </c>
      <c r="C2003" s="10" t="s">
        <v>26</v>
      </c>
      <c r="D2003" s="9" t="s">
        <v>26</v>
      </c>
      <c r="E2003" s="9" t="str">
        <f>_xlfn.TEXTAFTER(Condiciones_acumuladas[[#This Row],[Descripción]], " ", -2)</f>
        <v>Nery Rivera</v>
      </c>
      <c r="F2003" s="10" t="s">
        <v>2522</v>
      </c>
      <c r="G2003" s="11">
        <v>45919</v>
      </c>
    </row>
    <row r="2004" spans="1:7" ht="36.5" hidden="1" x14ac:dyDescent="0.35">
      <c r="A2004" s="8">
        <v>9791</v>
      </c>
      <c r="B2004" s="10" t="s">
        <v>4557</v>
      </c>
      <c r="C2004" s="10" t="s">
        <v>220</v>
      </c>
      <c r="D2004" s="9" t="s">
        <v>95</v>
      </c>
      <c r="E2004" s="9" t="str">
        <f>_xlfn.TEXTAFTER(Condiciones_acumuladas[[#This Row],[Descripción]], " ", -2)</f>
        <v>Andrea Gonzalez</v>
      </c>
      <c r="F2004" s="10" t="s">
        <v>2522</v>
      </c>
      <c r="G2004" s="11">
        <v>45922</v>
      </c>
    </row>
    <row r="2005" spans="1:7" ht="36.5" hidden="1" x14ac:dyDescent="0.35">
      <c r="A2005" s="8">
        <v>9786</v>
      </c>
      <c r="B2005" s="10" t="s">
        <v>4558</v>
      </c>
      <c r="C2005" s="10" t="s">
        <v>26</v>
      </c>
      <c r="D2005" s="9" t="s">
        <v>26</v>
      </c>
      <c r="E2005" s="9" t="str">
        <f>_xlfn.TEXTAFTER(Condiciones_acumuladas[[#This Row],[Descripción]], " ", -2)</f>
        <v>Oscar Ramos</v>
      </c>
      <c r="F2005" s="10" t="s">
        <v>2516</v>
      </c>
      <c r="G2005" s="11">
        <v>45919</v>
      </c>
    </row>
    <row r="2006" spans="1:7" ht="36.5" hidden="1" x14ac:dyDescent="0.35">
      <c r="A2006" s="8">
        <v>9825</v>
      </c>
      <c r="B2006" s="10" t="s">
        <v>4559</v>
      </c>
      <c r="C2006" s="10" t="s">
        <v>220</v>
      </c>
      <c r="D2006" s="9" t="s">
        <v>95</v>
      </c>
      <c r="E2006" s="9" t="str">
        <f>_xlfn.TEXTAFTER(Condiciones_acumuladas[[#This Row],[Descripción]], " ", -2)</f>
        <v>Alejandro Martínez</v>
      </c>
      <c r="F2006" s="10" t="s">
        <v>2516</v>
      </c>
      <c r="G2006" s="11">
        <v>45923</v>
      </c>
    </row>
    <row r="2007" spans="1:7" ht="36.5" hidden="1" x14ac:dyDescent="0.35">
      <c r="A2007" s="8">
        <v>9824</v>
      </c>
      <c r="B2007" s="10" t="s">
        <v>4560</v>
      </c>
      <c r="C2007" s="10" t="s">
        <v>220</v>
      </c>
      <c r="D2007" s="9" t="s">
        <v>395</v>
      </c>
      <c r="E2007" s="9" t="str">
        <f>_xlfn.TEXTAFTER(Condiciones_acumuladas[[#This Row],[Descripción]], " ", -2)</f>
        <v>Daniel Pineda</v>
      </c>
      <c r="F2007" s="10" t="s">
        <v>2516</v>
      </c>
      <c r="G2007" s="11">
        <v>45923</v>
      </c>
    </row>
    <row r="2008" spans="1:7" ht="36.5" hidden="1" x14ac:dyDescent="0.35">
      <c r="A2008" s="8">
        <v>9823</v>
      </c>
      <c r="B2008" s="10" t="s">
        <v>4561</v>
      </c>
      <c r="C2008" s="10" t="s">
        <v>21</v>
      </c>
      <c r="D2008" s="9" t="s">
        <v>21</v>
      </c>
      <c r="E2008" s="9" t="str">
        <f>_xlfn.TEXTAFTER(Condiciones_acumuladas[[#This Row],[Descripción]], " ", -2)</f>
        <v>Obdulio Cap</v>
      </c>
      <c r="F2008" s="10" t="s">
        <v>2572</v>
      </c>
      <c r="G2008" s="11">
        <v>45923</v>
      </c>
    </row>
    <row r="2009" spans="1:7" ht="36.5" hidden="1" x14ac:dyDescent="0.35">
      <c r="A2009" s="8">
        <v>9820</v>
      </c>
      <c r="B2009" s="10" t="s">
        <v>4562</v>
      </c>
      <c r="C2009" s="10" t="s">
        <v>196</v>
      </c>
      <c r="D2009" s="9" t="s">
        <v>395</v>
      </c>
      <c r="E2009" s="9" t="str">
        <f>_xlfn.TEXTAFTER(Condiciones_acumuladas[[#This Row],[Descripción]], " ", -2)</f>
        <v>Josué Vásquez</v>
      </c>
      <c r="F2009" s="10" t="s">
        <v>2516</v>
      </c>
      <c r="G2009" s="11">
        <v>45923</v>
      </c>
    </row>
    <row r="2010" spans="1:7" ht="36.5" hidden="1" x14ac:dyDescent="0.35">
      <c r="A2010" s="8">
        <v>9816</v>
      </c>
      <c r="B2010" s="10" t="s">
        <v>4563</v>
      </c>
      <c r="C2010" s="10" t="s">
        <v>134</v>
      </c>
      <c r="D2010" s="9" t="s">
        <v>134</v>
      </c>
      <c r="E2010" s="9" t="str">
        <f>_xlfn.TEXTAFTER(Condiciones_acumuladas[[#This Row],[Descripción]], " ", -2)</f>
        <v>Gustavo Hernández</v>
      </c>
      <c r="F2010" s="10" t="s">
        <v>2516</v>
      </c>
      <c r="G2010" s="11">
        <v>45922</v>
      </c>
    </row>
    <row r="2011" spans="1:7" ht="36.5" hidden="1" x14ac:dyDescent="0.35">
      <c r="A2011" s="8">
        <v>9822</v>
      </c>
      <c r="B2011" s="10" t="s">
        <v>4564</v>
      </c>
      <c r="C2011" s="10" t="s">
        <v>21</v>
      </c>
      <c r="D2011" s="9" t="s">
        <v>104</v>
      </c>
      <c r="E2011" s="9" t="str">
        <f>_xlfn.TEXTAFTER(Condiciones_acumuladas[[#This Row],[Descripción]], " ", -2)</f>
        <v>Obdulio Cap</v>
      </c>
      <c r="F2011" s="10" t="s">
        <v>2530</v>
      </c>
      <c r="G2011" s="11">
        <v>45923</v>
      </c>
    </row>
    <row r="2012" spans="1:7" ht="36.5" hidden="1" x14ac:dyDescent="0.35">
      <c r="A2012" s="8">
        <v>9813</v>
      </c>
      <c r="B2012" s="10" t="s">
        <v>4565</v>
      </c>
      <c r="C2012" s="10" t="s">
        <v>26</v>
      </c>
      <c r="D2012" s="9" t="s">
        <v>395</v>
      </c>
      <c r="E2012" s="9" t="str">
        <f>_xlfn.TEXTAFTER(Condiciones_acumuladas[[#This Row],[Descripción]], " ", -2)</f>
        <v>Antony Ramos</v>
      </c>
      <c r="F2012" s="10" t="s">
        <v>2530</v>
      </c>
      <c r="G2012" s="11">
        <v>45921</v>
      </c>
    </row>
    <row r="2013" spans="1:7" ht="36.5" hidden="1" x14ac:dyDescent="0.35">
      <c r="A2013" s="8">
        <v>9814</v>
      </c>
      <c r="B2013" s="10" t="s">
        <v>4566</v>
      </c>
      <c r="C2013" s="10" t="s">
        <v>26</v>
      </c>
      <c r="D2013" s="9" t="s">
        <v>395</v>
      </c>
      <c r="E2013" s="9" t="str">
        <f>_xlfn.TEXTAFTER(Condiciones_acumuladas[[#This Row],[Descripción]], " ", -2)</f>
        <v>Antony Ramos</v>
      </c>
      <c r="F2013" s="10" t="s">
        <v>2530</v>
      </c>
      <c r="G2013" s="11">
        <v>45921</v>
      </c>
    </row>
    <row r="2014" spans="1:7" ht="36.5" hidden="1" x14ac:dyDescent="0.35">
      <c r="A2014" s="8">
        <v>9807</v>
      </c>
      <c r="B2014" s="10" t="s">
        <v>4567</v>
      </c>
      <c r="C2014" s="10" t="s">
        <v>21</v>
      </c>
      <c r="D2014" s="9" t="s">
        <v>234</v>
      </c>
      <c r="E2014" s="9" t="str">
        <f>_xlfn.TEXTAFTER(Condiciones_acumuladas[[#This Row],[Descripción]], " ", -2)</f>
        <v>Eliú Tello</v>
      </c>
      <c r="F2014" s="10" t="s">
        <v>2715</v>
      </c>
      <c r="G2014" s="11">
        <v>45919</v>
      </c>
    </row>
    <row r="2015" spans="1:7" ht="36.5" hidden="1" x14ac:dyDescent="0.35">
      <c r="A2015" s="8">
        <v>9802</v>
      </c>
      <c r="B2015" s="10" t="s">
        <v>4568</v>
      </c>
      <c r="C2015" s="10" t="s">
        <v>34</v>
      </c>
      <c r="D2015" s="9" t="s">
        <v>278</v>
      </c>
      <c r="E2015" s="9" t="str">
        <f>_xlfn.TEXTAFTER(Condiciones_acumuladas[[#This Row],[Descripción]], " ", -2)</f>
        <v>Mario Edilzer</v>
      </c>
      <c r="F2015" s="10" t="s">
        <v>2530</v>
      </c>
      <c r="G2015" s="11">
        <v>45919</v>
      </c>
    </row>
    <row r="2016" spans="1:7" ht="36.5" hidden="1" x14ac:dyDescent="0.35">
      <c r="A2016" s="8">
        <v>9800</v>
      </c>
      <c r="B2016" s="10" t="s">
        <v>4569</v>
      </c>
      <c r="C2016" s="10" t="s">
        <v>250</v>
      </c>
      <c r="D2016" s="9" t="s">
        <v>278</v>
      </c>
      <c r="E2016" s="9" t="str">
        <f>_xlfn.TEXTAFTER(Condiciones_acumuladas[[#This Row],[Descripción]], " ", -2)</f>
        <v>Mario Edilzer</v>
      </c>
      <c r="F2016" s="10" t="s">
        <v>2530</v>
      </c>
      <c r="G2016" s="11">
        <v>45919</v>
      </c>
    </row>
    <row r="2017" spans="1:7" ht="36.5" hidden="1" x14ac:dyDescent="0.35">
      <c r="A2017" s="8">
        <v>9801</v>
      </c>
      <c r="B2017" s="10" t="s">
        <v>4570</v>
      </c>
      <c r="C2017" s="10" t="s">
        <v>250</v>
      </c>
      <c r="D2017" s="9" t="s">
        <v>278</v>
      </c>
      <c r="E2017" s="9" t="str">
        <f>_xlfn.TEXTAFTER(Condiciones_acumuladas[[#This Row],[Descripción]], " ", -2)</f>
        <v>Mario Edilzer</v>
      </c>
      <c r="F2017" s="10" t="s">
        <v>2530</v>
      </c>
      <c r="G2017" s="11">
        <v>45922</v>
      </c>
    </row>
    <row r="2018" spans="1:7" ht="36.5" hidden="1" x14ac:dyDescent="0.35">
      <c r="A2018" s="8">
        <v>9804</v>
      </c>
      <c r="B2018" s="10" t="s">
        <v>4571</v>
      </c>
      <c r="C2018" s="10" t="s">
        <v>134</v>
      </c>
      <c r="D2018" s="9" t="s">
        <v>95</v>
      </c>
      <c r="E2018" s="9" t="str">
        <f>_xlfn.TEXTAFTER(Condiciones_acumuladas[[#This Row],[Descripción]], " ", -2)</f>
        <v>Alejandro Martínez</v>
      </c>
      <c r="F2018" s="10" t="s">
        <v>2530</v>
      </c>
      <c r="G2018" s="11">
        <v>45919</v>
      </c>
    </row>
    <row r="2019" spans="1:7" ht="36.5" hidden="1" x14ac:dyDescent="0.35">
      <c r="A2019" s="8">
        <v>9803</v>
      </c>
      <c r="B2019" s="10" t="s">
        <v>4572</v>
      </c>
      <c r="C2019" s="10" t="s">
        <v>21</v>
      </c>
      <c r="D2019" s="9" t="s">
        <v>234</v>
      </c>
      <c r="E2019" s="9" t="str">
        <f>_xlfn.TEXTAFTER(Condiciones_acumuladas[[#This Row],[Descripción]], " ", -2)</f>
        <v>Eliú Tello</v>
      </c>
      <c r="F2019" s="10" t="s">
        <v>2530</v>
      </c>
      <c r="G2019" s="11">
        <v>45919</v>
      </c>
    </row>
    <row r="2020" spans="1:7" ht="36.5" hidden="1" x14ac:dyDescent="0.35">
      <c r="A2020" s="8">
        <v>9805</v>
      </c>
      <c r="B2020" s="10" t="s">
        <v>4573</v>
      </c>
      <c r="C2020" s="10" t="s">
        <v>21</v>
      </c>
      <c r="D2020" s="9" t="s">
        <v>234</v>
      </c>
      <c r="E2020" s="9" t="str">
        <f>_xlfn.TEXTAFTER(Condiciones_acumuladas[[#This Row],[Descripción]], " ", -2)</f>
        <v>Eliú Tello</v>
      </c>
      <c r="F2020" s="10" t="s">
        <v>2572</v>
      </c>
      <c r="G2020" s="11">
        <v>45919</v>
      </c>
    </row>
    <row r="2021" spans="1:7" ht="36.5" hidden="1" x14ac:dyDescent="0.35">
      <c r="A2021" s="8">
        <v>9811</v>
      </c>
      <c r="B2021" s="10" t="s">
        <v>4574</v>
      </c>
      <c r="C2021" s="10" t="s">
        <v>220</v>
      </c>
      <c r="D2021" s="9" t="s">
        <v>371</v>
      </c>
      <c r="E2021" s="9" t="str">
        <f>_xlfn.TEXTAFTER(Condiciones_acumuladas[[#This Row],[Descripción]], " ", -2)</f>
        <v>Rodrigo Galindo</v>
      </c>
      <c r="F2021" s="10" t="s">
        <v>2516</v>
      </c>
      <c r="G2021" s="11">
        <v>45921</v>
      </c>
    </row>
    <row r="2022" spans="1:7" ht="36.5" hidden="1" x14ac:dyDescent="0.35">
      <c r="A2022" s="8">
        <v>9817</v>
      </c>
      <c r="B2022" s="10" t="s">
        <v>4575</v>
      </c>
      <c r="C2022" s="10" t="s">
        <v>96</v>
      </c>
      <c r="D2022" s="9" t="s">
        <v>96</v>
      </c>
      <c r="E2022" s="9" t="str">
        <f>_xlfn.TEXTAFTER(Condiciones_acumuladas[[#This Row],[Descripción]], " ", -2)</f>
        <v>Carlos Poz</v>
      </c>
      <c r="F2022" s="10" t="s">
        <v>2516</v>
      </c>
      <c r="G2022" s="11">
        <v>45922</v>
      </c>
    </row>
    <row r="2023" spans="1:7" ht="24.5" hidden="1" x14ac:dyDescent="0.35">
      <c r="A2023" s="8">
        <v>9809</v>
      </c>
      <c r="B2023" s="10" t="s">
        <v>4576</v>
      </c>
      <c r="C2023" s="10" t="s">
        <v>134</v>
      </c>
      <c r="D2023" s="9" t="s">
        <v>134</v>
      </c>
      <c r="E2023" s="9" t="str">
        <f>_xlfn.TEXTAFTER(Condiciones_acumuladas[[#This Row],[Descripción]], " ", -2)</f>
        <v>Gustavo Hernández</v>
      </c>
      <c r="F2023" s="10" t="s">
        <v>2522</v>
      </c>
      <c r="G2023" s="11">
        <v>45921</v>
      </c>
    </row>
    <row r="2024" spans="1:7" ht="36.5" hidden="1" x14ac:dyDescent="0.35">
      <c r="A2024" s="8">
        <v>9819</v>
      </c>
      <c r="B2024" s="10" t="s">
        <v>4577</v>
      </c>
      <c r="C2024" s="10" t="s">
        <v>104</v>
      </c>
      <c r="D2024" s="9" t="s">
        <v>95</v>
      </c>
      <c r="E2024" s="9" t="str">
        <f>_xlfn.TEXTAFTER(Condiciones_acumuladas[[#This Row],[Descripción]], " ", -2)</f>
        <v>Maria Obregón</v>
      </c>
      <c r="F2024" s="10" t="s">
        <v>2530</v>
      </c>
      <c r="G2024" s="11">
        <v>45923</v>
      </c>
    </row>
    <row r="2025" spans="1:7" ht="36.5" hidden="1" x14ac:dyDescent="0.35">
      <c r="A2025" s="8">
        <v>9810</v>
      </c>
      <c r="B2025" s="10" t="s">
        <v>4578</v>
      </c>
      <c r="C2025" s="10" t="s">
        <v>134</v>
      </c>
      <c r="D2025" s="9" t="s">
        <v>134</v>
      </c>
      <c r="E2025" s="9" t="str">
        <f>_xlfn.TEXTAFTER(Condiciones_acumuladas[[#This Row],[Descripción]], " ", -2)</f>
        <v>Gustavo Hernández</v>
      </c>
      <c r="F2025" s="10" t="s">
        <v>2530</v>
      </c>
      <c r="G2025" s="11">
        <v>45921</v>
      </c>
    </row>
    <row r="2026" spans="1:7" ht="36.5" hidden="1" x14ac:dyDescent="0.35">
      <c r="A2026" s="8">
        <v>9812</v>
      </c>
      <c r="B2026" s="10" t="s">
        <v>4579</v>
      </c>
      <c r="C2026" s="10" t="s">
        <v>13</v>
      </c>
      <c r="D2026" s="9" t="s">
        <v>13</v>
      </c>
      <c r="E2026" s="9" t="str">
        <f>_xlfn.TEXTAFTER(Condiciones_acumuladas[[#This Row],[Descripción]], " ", -2)</f>
        <v>Gustavo Hernández</v>
      </c>
      <c r="F2026" s="10" t="s">
        <v>2516</v>
      </c>
      <c r="G2026" s="11">
        <v>45921</v>
      </c>
    </row>
    <row r="2027" spans="1:7" ht="36.5" hidden="1" x14ac:dyDescent="0.35">
      <c r="A2027" s="8">
        <v>9815</v>
      </c>
      <c r="B2027" s="10" t="s">
        <v>4580</v>
      </c>
      <c r="C2027" s="10" t="s">
        <v>13</v>
      </c>
      <c r="D2027" s="9" t="s">
        <v>95</v>
      </c>
      <c r="E2027" s="9" t="str">
        <f>_xlfn.TEXTAFTER(Condiciones_acumuladas[[#This Row],[Descripción]], " ", -2)</f>
        <v>Ana Sanchez</v>
      </c>
      <c r="F2027" s="10" t="s">
        <v>2516</v>
      </c>
      <c r="G2027" s="11">
        <v>45922</v>
      </c>
    </row>
    <row r="2028" spans="1:7" ht="36.5" hidden="1" x14ac:dyDescent="0.35">
      <c r="A2028" s="8">
        <v>9806</v>
      </c>
      <c r="B2028" s="10" t="s">
        <v>4581</v>
      </c>
      <c r="C2028" s="10" t="s">
        <v>21</v>
      </c>
      <c r="D2028" s="9" t="s">
        <v>234</v>
      </c>
      <c r="E2028" s="9" t="str">
        <f>_xlfn.TEXTAFTER(Condiciones_acumuladas[[#This Row],[Descripción]], " ", -2)</f>
        <v>Eliú Tello</v>
      </c>
      <c r="F2028" s="10" t="s">
        <v>2572</v>
      </c>
      <c r="G2028" s="11">
        <v>45919</v>
      </c>
    </row>
    <row r="2029" spans="1:7" ht="48.5" hidden="1" x14ac:dyDescent="0.35">
      <c r="A2029" s="8">
        <v>9808</v>
      </c>
      <c r="B2029" s="10" t="s">
        <v>4582</v>
      </c>
      <c r="C2029" s="10" t="s">
        <v>96</v>
      </c>
      <c r="D2029" s="9" t="s">
        <v>395</v>
      </c>
      <c r="E2029" s="9" t="str">
        <f>_xlfn.TEXTAFTER(Condiciones_acumuladas[[#This Row],[Descripción]], " ", -2)</f>
        <v>Daniel Pineda</v>
      </c>
      <c r="F2029" s="10" t="s">
        <v>2559</v>
      </c>
      <c r="G2029" s="11">
        <v>45920</v>
      </c>
    </row>
    <row r="2030" spans="1:7" ht="48.5" hidden="1" x14ac:dyDescent="0.35">
      <c r="A2030" s="8">
        <v>9821</v>
      </c>
      <c r="B2030" s="10" t="s">
        <v>4583</v>
      </c>
      <c r="C2030" s="10" t="s">
        <v>95</v>
      </c>
      <c r="D2030" s="9" t="s">
        <v>95</v>
      </c>
      <c r="E2030" s="9" t="str">
        <f>_xlfn.TEXTAFTER(Condiciones_acumuladas[[#This Row],[Descripción]], " ", -2)</f>
        <v>Efrain Valux</v>
      </c>
      <c r="F2030" s="10" t="s">
        <v>2559</v>
      </c>
      <c r="G2030" s="11">
        <v>45923</v>
      </c>
    </row>
    <row r="2031" spans="1:7" ht="48.5" hidden="1" x14ac:dyDescent="0.35">
      <c r="A2031" s="8">
        <v>9829</v>
      </c>
      <c r="B2031" s="10" t="s">
        <v>4584</v>
      </c>
      <c r="C2031" s="10" t="s">
        <v>220</v>
      </c>
      <c r="D2031" s="9" t="s">
        <v>134</v>
      </c>
      <c r="E2031" s="9" t="str">
        <f>_xlfn.TEXTAFTER(Condiciones_acumuladas[[#This Row],[Descripción]], " ", -2)</f>
        <v>Roger Rivas</v>
      </c>
      <c r="F2031" s="10" t="s">
        <v>2559</v>
      </c>
      <c r="G2031" s="11">
        <v>45917</v>
      </c>
    </row>
    <row r="2032" spans="1:7" ht="24.5" hidden="1" x14ac:dyDescent="0.35">
      <c r="A2032" s="8">
        <v>9828</v>
      </c>
      <c r="B2032" s="10" t="s">
        <v>4585</v>
      </c>
      <c r="C2032" s="10" t="s">
        <v>95</v>
      </c>
      <c r="D2032" s="9" t="s">
        <v>95</v>
      </c>
      <c r="E2032" s="9" t="str">
        <f>_xlfn.TEXTAFTER(Condiciones_acumuladas[[#This Row],[Descripción]], " ", -2)</f>
        <v>Hellen Consuelo</v>
      </c>
      <c r="F2032" s="10" t="s">
        <v>2522</v>
      </c>
      <c r="G2032" s="11">
        <v>45926</v>
      </c>
    </row>
    <row r="2033" spans="1:7" ht="48.5" hidden="1" x14ac:dyDescent="0.35">
      <c r="A2033" s="8">
        <v>9830</v>
      </c>
      <c r="B2033" s="10" t="s">
        <v>4586</v>
      </c>
      <c r="C2033" s="10" t="s">
        <v>134</v>
      </c>
      <c r="D2033" s="9" t="s">
        <v>134</v>
      </c>
      <c r="E2033" s="9" t="str">
        <f>_xlfn.TEXTAFTER(Condiciones_acumuladas[[#This Row],[Descripción]], " ", -2)</f>
        <v>Roger Rivas</v>
      </c>
      <c r="F2033" s="10" t="s">
        <v>2559</v>
      </c>
      <c r="G2033" s="11">
        <v>45926</v>
      </c>
    </row>
    <row r="2034" spans="1:7" ht="36.5" hidden="1" x14ac:dyDescent="0.35">
      <c r="A2034" s="8">
        <v>9831</v>
      </c>
      <c r="B2034" s="10" t="s">
        <v>4587</v>
      </c>
      <c r="C2034" s="10" t="s">
        <v>21</v>
      </c>
      <c r="D2034" s="9" t="s">
        <v>95</v>
      </c>
      <c r="E2034" s="9" t="str">
        <f>_xlfn.TEXTAFTER(Condiciones_acumuladas[[#This Row],[Descripción]], " ", -2)</f>
        <v>Andrea Gonzalez</v>
      </c>
      <c r="F2034" s="10" t="s">
        <v>2530</v>
      </c>
      <c r="G2034" s="11">
        <v>45926</v>
      </c>
    </row>
    <row r="2035" spans="1:7" ht="36.5" hidden="1" x14ac:dyDescent="0.35">
      <c r="A2035" s="8">
        <v>9832</v>
      </c>
      <c r="B2035" s="10" t="s">
        <v>4588</v>
      </c>
      <c r="C2035" s="10" t="s">
        <v>21</v>
      </c>
      <c r="D2035" s="9" t="s">
        <v>95</v>
      </c>
      <c r="E2035" s="9" t="str">
        <f>_xlfn.TEXTAFTER(Condiciones_acumuladas[[#This Row],[Descripción]], " ", -2)</f>
        <v>Andrea Gonzalez</v>
      </c>
      <c r="F2035" s="10" t="s">
        <v>2530</v>
      </c>
      <c r="G2035" s="11">
        <v>45926</v>
      </c>
    </row>
    <row r="2036" spans="1:7" ht="36.5" hidden="1" x14ac:dyDescent="0.35">
      <c r="A2036" s="8">
        <v>9836</v>
      </c>
      <c r="B2036" s="10" t="s">
        <v>4589</v>
      </c>
      <c r="C2036" s="10" t="s">
        <v>234</v>
      </c>
      <c r="D2036" s="9" t="s">
        <v>234</v>
      </c>
      <c r="E2036" s="9" t="str">
        <f>_xlfn.TEXTAFTER(Condiciones_acumuladas[[#This Row],[Descripción]], " ", -2)</f>
        <v>Eliú Tello</v>
      </c>
      <c r="F2036" s="10" t="s">
        <v>2516</v>
      </c>
      <c r="G2036" s="11">
        <v>45924</v>
      </c>
    </row>
    <row r="2037" spans="1:7" ht="36.5" hidden="1" x14ac:dyDescent="0.35">
      <c r="A2037" s="8">
        <v>9847</v>
      </c>
      <c r="B2037" s="10" t="s">
        <v>4590</v>
      </c>
      <c r="C2037" s="10" t="s">
        <v>13</v>
      </c>
      <c r="D2037" s="9" t="s">
        <v>395</v>
      </c>
      <c r="E2037" s="9" t="str">
        <f>_xlfn.TEXTAFTER(Condiciones_acumuladas[[#This Row],[Descripción]], " ", -2)</f>
        <v>Karla Hintz</v>
      </c>
      <c r="F2037" s="10" t="s">
        <v>2530</v>
      </c>
      <c r="G2037" s="11">
        <v>45924</v>
      </c>
    </row>
    <row r="2038" spans="1:7" ht="36.5" hidden="1" x14ac:dyDescent="0.35">
      <c r="A2038" s="8">
        <v>9846</v>
      </c>
      <c r="B2038" s="10" t="s">
        <v>4591</v>
      </c>
      <c r="C2038" s="10" t="s">
        <v>13</v>
      </c>
      <c r="D2038" s="9" t="s">
        <v>395</v>
      </c>
      <c r="E2038" s="9" t="str">
        <f>_xlfn.TEXTAFTER(Condiciones_acumuladas[[#This Row],[Descripción]], " ", -2)</f>
        <v>Karla Hintz</v>
      </c>
      <c r="F2038" s="10" t="s">
        <v>2530</v>
      </c>
      <c r="G2038" s="11">
        <v>45924</v>
      </c>
    </row>
    <row r="2039" spans="1:7" ht="36.5" hidden="1" x14ac:dyDescent="0.35">
      <c r="A2039" s="8">
        <v>9842</v>
      </c>
      <c r="B2039" s="10" t="s">
        <v>4592</v>
      </c>
      <c r="C2039" s="10" t="s">
        <v>190</v>
      </c>
      <c r="D2039" s="9" t="s">
        <v>220</v>
      </c>
      <c r="E2039" s="9" t="str">
        <f>_xlfn.TEXTAFTER(Condiciones_acumuladas[[#This Row],[Descripción]], " ", -2)</f>
        <v>Carlos Chávez</v>
      </c>
      <c r="F2039" s="10" t="s">
        <v>2522</v>
      </c>
      <c r="G2039" s="11">
        <v>45924</v>
      </c>
    </row>
    <row r="2040" spans="1:7" ht="36.5" hidden="1" x14ac:dyDescent="0.35">
      <c r="A2040" s="8">
        <v>9839</v>
      </c>
      <c r="B2040" s="10" t="s">
        <v>4593</v>
      </c>
      <c r="C2040" s="10" t="s">
        <v>26</v>
      </c>
      <c r="D2040" s="9" t="s">
        <v>95</v>
      </c>
      <c r="E2040" s="9" t="str">
        <f>_xlfn.TEXTAFTER(Condiciones_acumuladas[[#This Row],[Descripción]], " ", -2)</f>
        <v>Alejandro Martínez</v>
      </c>
      <c r="F2040" s="10" t="s">
        <v>2530</v>
      </c>
      <c r="G2040" s="11">
        <v>45924</v>
      </c>
    </row>
    <row r="2041" spans="1:7" ht="36.5" hidden="1" x14ac:dyDescent="0.35">
      <c r="A2041" s="8">
        <v>9849</v>
      </c>
      <c r="B2041" s="10" t="s">
        <v>4594</v>
      </c>
      <c r="C2041" s="10" t="s">
        <v>26</v>
      </c>
      <c r="D2041" s="9" t="s">
        <v>395</v>
      </c>
      <c r="E2041" s="9" t="str">
        <f>_xlfn.TEXTAFTER(Condiciones_acumuladas[[#This Row],[Descripción]], " ", -2)</f>
        <v>Josué Vásquez</v>
      </c>
      <c r="F2041" s="10" t="s">
        <v>2516</v>
      </c>
      <c r="G2041" s="11">
        <v>45924</v>
      </c>
    </row>
    <row r="2042" spans="1:7" ht="36.5" hidden="1" x14ac:dyDescent="0.35">
      <c r="A2042" s="8">
        <v>9853</v>
      </c>
      <c r="B2042" s="10" t="s">
        <v>4595</v>
      </c>
      <c r="C2042" s="10" t="s">
        <v>250</v>
      </c>
      <c r="D2042" s="9" t="s">
        <v>395</v>
      </c>
      <c r="E2042" s="9" t="str">
        <f>_xlfn.TEXTAFTER(Condiciones_acumuladas[[#This Row],[Descripción]], " ", -2)</f>
        <v>Yessi Guarcas</v>
      </c>
      <c r="F2042" s="10" t="s">
        <v>2572</v>
      </c>
      <c r="G2042" s="11">
        <v>45924</v>
      </c>
    </row>
    <row r="2043" spans="1:7" ht="36.5" hidden="1" x14ac:dyDescent="0.35">
      <c r="A2043" s="8">
        <v>9856</v>
      </c>
      <c r="B2043" s="10" t="s">
        <v>4596</v>
      </c>
      <c r="C2043" s="10" t="s">
        <v>21</v>
      </c>
      <c r="D2043" s="9" t="s">
        <v>13</v>
      </c>
      <c r="E2043" s="9" t="str">
        <f>_xlfn.TEXTAFTER(Condiciones_acumuladas[[#This Row],[Descripción]], " ", -2)</f>
        <v>Elvis Oliva</v>
      </c>
      <c r="F2043" s="10" t="s">
        <v>2516</v>
      </c>
      <c r="G2043" s="11">
        <v>45924</v>
      </c>
    </row>
    <row r="2044" spans="1:7" ht="36.5" hidden="1" x14ac:dyDescent="0.35">
      <c r="A2044" s="8">
        <v>9855</v>
      </c>
      <c r="B2044" s="10" t="s">
        <v>4597</v>
      </c>
      <c r="C2044" s="10" t="s">
        <v>13</v>
      </c>
      <c r="D2044" s="9" t="s">
        <v>395</v>
      </c>
      <c r="E2044" s="9" t="str">
        <f>_xlfn.TEXTAFTER(Condiciones_acumuladas[[#This Row],[Descripción]], " ", -2)</f>
        <v>karla Hintz</v>
      </c>
      <c r="F2044" s="10" t="s">
        <v>2516</v>
      </c>
      <c r="G2044" s="11">
        <v>45924</v>
      </c>
    </row>
    <row r="2045" spans="1:7" ht="36.5" hidden="1" x14ac:dyDescent="0.35">
      <c r="A2045" s="8">
        <v>9854</v>
      </c>
      <c r="B2045" s="10" t="s">
        <v>4598</v>
      </c>
      <c r="C2045" s="10" t="s">
        <v>13</v>
      </c>
      <c r="D2045" s="9" t="s">
        <v>395</v>
      </c>
      <c r="E2045" s="9" t="str">
        <f>_xlfn.TEXTAFTER(Condiciones_acumuladas[[#This Row],[Descripción]], " ", -2)</f>
        <v>Karla Hintz</v>
      </c>
      <c r="F2045" s="10" t="s">
        <v>2715</v>
      </c>
      <c r="G2045" s="11">
        <v>45924</v>
      </c>
    </row>
    <row r="2046" spans="1:7" ht="36.5" hidden="1" x14ac:dyDescent="0.35">
      <c r="A2046" s="8">
        <v>9858</v>
      </c>
      <c r="B2046" s="10" t="s">
        <v>4599</v>
      </c>
      <c r="C2046" s="10" t="s">
        <v>26</v>
      </c>
      <c r="D2046" s="9" t="s">
        <v>193</v>
      </c>
      <c r="E2046" s="9" t="str">
        <f>_xlfn.TEXTAFTER(Condiciones_acumuladas[[#This Row],[Descripción]], " ", -2)</f>
        <v>Selvin Pérez</v>
      </c>
      <c r="F2046" s="10" t="s">
        <v>2516</v>
      </c>
      <c r="G2046" s="11">
        <v>45924</v>
      </c>
    </row>
    <row r="2047" spans="1:7" ht="24.5" hidden="1" x14ac:dyDescent="0.35">
      <c r="A2047" s="8">
        <v>9851</v>
      </c>
      <c r="B2047" s="10" t="s">
        <v>4600</v>
      </c>
      <c r="C2047" s="10" t="s">
        <v>96</v>
      </c>
      <c r="D2047" s="9" t="s">
        <v>205</v>
      </c>
      <c r="E2047" s="9" t="str">
        <f>_xlfn.TEXTAFTER(Condiciones_acumuladas[[#This Row],[Descripción]], " ", -2)</f>
        <v>Lisseth Luarca</v>
      </c>
      <c r="F2047" s="10" t="s">
        <v>2537</v>
      </c>
      <c r="G2047" s="11">
        <v>45924</v>
      </c>
    </row>
    <row r="2048" spans="1:7" ht="36.5" hidden="1" x14ac:dyDescent="0.35">
      <c r="A2048" s="8">
        <v>9852</v>
      </c>
      <c r="B2048" s="10" t="s">
        <v>4601</v>
      </c>
      <c r="C2048" s="10" t="s">
        <v>250</v>
      </c>
      <c r="D2048" s="9" t="s">
        <v>395</v>
      </c>
      <c r="E2048" s="9" t="str">
        <f>_xlfn.TEXTAFTER(Condiciones_acumuladas[[#This Row],[Descripción]], " ", -2)</f>
        <v>Yessi Guarcas</v>
      </c>
      <c r="F2048" s="10" t="s">
        <v>2572</v>
      </c>
      <c r="G2048" s="11">
        <v>45924</v>
      </c>
    </row>
    <row r="2049" spans="1:7" ht="24.5" hidden="1" x14ac:dyDescent="0.35">
      <c r="A2049" s="8">
        <v>9850</v>
      </c>
      <c r="B2049" s="10" t="s">
        <v>4602</v>
      </c>
      <c r="C2049" s="10" t="s">
        <v>13</v>
      </c>
      <c r="D2049" s="9" t="s">
        <v>395</v>
      </c>
      <c r="E2049" s="9" t="str">
        <f>_xlfn.TEXTAFTER(Condiciones_acumuladas[[#This Row],[Descripción]], " ", -2)</f>
        <v>Karla Hintz</v>
      </c>
      <c r="F2049" s="10" t="s">
        <v>2540</v>
      </c>
      <c r="G2049" s="11">
        <v>45924</v>
      </c>
    </row>
    <row r="2050" spans="1:7" ht="48.5" hidden="1" x14ac:dyDescent="0.35">
      <c r="A2050" s="8">
        <v>9837</v>
      </c>
      <c r="B2050" s="10" t="s">
        <v>4603</v>
      </c>
      <c r="C2050" s="10" t="s">
        <v>134</v>
      </c>
      <c r="D2050" s="9" t="s">
        <v>95</v>
      </c>
      <c r="E2050" s="9" t="str">
        <f>_xlfn.TEXTAFTER(Condiciones_acumuladas[[#This Row],[Descripción]], " ", -2)</f>
        <v>Nelson Godinez</v>
      </c>
      <c r="F2050" s="10" t="s">
        <v>2559</v>
      </c>
      <c r="G2050" s="11">
        <v>45926</v>
      </c>
    </row>
    <row r="2051" spans="1:7" ht="24.5" hidden="1" x14ac:dyDescent="0.35">
      <c r="A2051" s="8">
        <v>9834</v>
      </c>
      <c r="B2051" s="10" t="s">
        <v>4604</v>
      </c>
      <c r="C2051" s="10" t="s">
        <v>104</v>
      </c>
      <c r="D2051" s="9" t="s">
        <v>104</v>
      </c>
      <c r="E2051" s="9" t="str">
        <f>_xlfn.TEXTAFTER(Condiciones_acumuladas[[#This Row],[Descripción]], " ", -2)</f>
        <v>Alfonso Guatzin</v>
      </c>
      <c r="F2051" s="10" t="s">
        <v>2522</v>
      </c>
      <c r="G2051" s="11">
        <v>45924</v>
      </c>
    </row>
    <row r="2052" spans="1:7" ht="36.5" hidden="1" x14ac:dyDescent="0.35">
      <c r="A2052" s="8">
        <v>9848</v>
      </c>
      <c r="B2052" s="10" t="s">
        <v>4605</v>
      </c>
      <c r="C2052" s="10" t="s">
        <v>13</v>
      </c>
      <c r="D2052" s="9" t="s">
        <v>395</v>
      </c>
      <c r="E2052" s="9" t="str">
        <f>_xlfn.TEXTAFTER(Condiciones_acumuladas[[#This Row],[Descripción]], " ", -2)</f>
        <v>Karla Hintz</v>
      </c>
      <c r="F2052" s="10" t="s">
        <v>2530</v>
      </c>
      <c r="G2052" s="11">
        <v>45924</v>
      </c>
    </row>
    <row r="2053" spans="1:7" ht="36.5" hidden="1" x14ac:dyDescent="0.35">
      <c r="A2053" s="8">
        <v>9841</v>
      </c>
      <c r="B2053" s="10" t="s">
        <v>4606</v>
      </c>
      <c r="C2053" s="10" t="s">
        <v>190</v>
      </c>
      <c r="D2053" s="9" t="s">
        <v>220</v>
      </c>
      <c r="E2053" s="9" t="str">
        <f>_xlfn.TEXTAFTER(Condiciones_acumuladas[[#This Row],[Descripción]], " ", -2)</f>
        <v>Carlos Chávez</v>
      </c>
      <c r="F2053" s="10" t="s">
        <v>2516</v>
      </c>
      <c r="G2053" s="11">
        <v>45924</v>
      </c>
    </row>
    <row r="2054" spans="1:7" ht="36.5" hidden="1" x14ac:dyDescent="0.35">
      <c r="A2054" s="8">
        <v>9843</v>
      </c>
      <c r="B2054" s="10" t="s">
        <v>4607</v>
      </c>
      <c r="C2054" s="10" t="s">
        <v>21</v>
      </c>
      <c r="D2054" s="9" t="s">
        <v>21</v>
      </c>
      <c r="E2054" s="9" t="str">
        <f>_xlfn.TEXTAFTER(Condiciones_acumuladas[[#This Row],[Descripción]], " ", -2)</f>
        <v>Elvis Oliva</v>
      </c>
      <c r="F2054" s="10" t="s">
        <v>2516</v>
      </c>
      <c r="G2054" s="11">
        <v>45924</v>
      </c>
    </row>
    <row r="2055" spans="1:7" ht="36.5" hidden="1" x14ac:dyDescent="0.35">
      <c r="A2055" s="8">
        <v>9864</v>
      </c>
      <c r="B2055" s="10" t="s">
        <v>4608</v>
      </c>
      <c r="C2055" s="10" t="s">
        <v>95</v>
      </c>
      <c r="D2055" s="9" t="s">
        <v>95</v>
      </c>
      <c r="E2055" s="9" t="str">
        <f>_xlfn.TEXTAFTER(Condiciones_acumuladas[[#This Row],[Descripción]], " ", -2)</f>
        <v>Maria Obregón</v>
      </c>
      <c r="F2055" s="10" t="s">
        <v>2516</v>
      </c>
      <c r="G2055" s="11">
        <v>45925</v>
      </c>
    </row>
    <row r="2056" spans="1:7" ht="48.5" hidden="1" x14ac:dyDescent="0.35">
      <c r="A2056" s="8">
        <v>9865</v>
      </c>
      <c r="B2056" s="10" t="s">
        <v>4609</v>
      </c>
      <c r="C2056" s="10" t="s">
        <v>104</v>
      </c>
      <c r="D2056" s="9" t="s">
        <v>104</v>
      </c>
      <c r="E2056" s="9" t="str">
        <f>_xlfn.TEXTAFTER(Condiciones_acumuladas[[#This Row],[Descripción]], " ", -2)</f>
        <v>Haydée Martínez</v>
      </c>
      <c r="F2056" s="10" t="s">
        <v>2540</v>
      </c>
      <c r="G2056" s="11">
        <v>45925</v>
      </c>
    </row>
    <row r="2057" spans="1:7" ht="48.5" hidden="1" x14ac:dyDescent="0.35">
      <c r="A2057" s="8">
        <v>9869</v>
      </c>
      <c r="B2057" s="10" t="s">
        <v>4610</v>
      </c>
      <c r="C2057" s="10" t="s">
        <v>96</v>
      </c>
      <c r="D2057" s="9" t="s">
        <v>96</v>
      </c>
      <c r="E2057" s="9" t="str">
        <f>_xlfn.TEXTAFTER(Condiciones_acumuladas[[#This Row],[Descripción]], " ", -2)</f>
        <v>Luis Pérez</v>
      </c>
      <c r="F2057" s="10" t="s">
        <v>2559</v>
      </c>
      <c r="G2057" s="11">
        <v>45926</v>
      </c>
    </row>
    <row r="2058" spans="1:7" ht="36.5" hidden="1" x14ac:dyDescent="0.35">
      <c r="A2058" s="8">
        <v>9870</v>
      </c>
      <c r="B2058" s="10" t="s">
        <v>4611</v>
      </c>
      <c r="C2058" s="10" t="s">
        <v>234</v>
      </c>
      <c r="D2058" s="9" t="s">
        <v>95</v>
      </c>
      <c r="E2058" s="9" t="str">
        <f>_xlfn.TEXTAFTER(Condiciones_acumuladas[[#This Row],[Descripción]], " ", -2)</f>
        <v>Efrain Valux</v>
      </c>
      <c r="F2058" s="10" t="s">
        <v>2516</v>
      </c>
      <c r="G2058" s="11">
        <v>45926</v>
      </c>
    </row>
    <row r="2059" spans="1:7" ht="36.5" hidden="1" x14ac:dyDescent="0.35">
      <c r="A2059" s="8">
        <v>9872</v>
      </c>
      <c r="B2059" s="10" t="s">
        <v>4612</v>
      </c>
      <c r="C2059" s="10" t="s">
        <v>21</v>
      </c>
      <c r="D2059" s="9" t="s">
        <v>21</v>
      </c>
      <c r="E2059" s="9" t="str">
        <f>_xlfn.TEXTAFTER(Condiciones_acumuladas[[#This Row],[Descripción]], " ", -2)</f>
        <v>Amilcar Ralda</v>
      </c>
      <c r="F2059" s="10" t="s">
        <v>2516</v>
      </c>
      <c r="G2059" s="11">
        <v>45926</v>
      </c>
    </row>
    <row r="2060" spans="1:7" ht="36.5" hidden="1" x14ac:dyDescent="0.35">
      <c r="A2060" s="8">
        <v>9868</v>
      </c>
      <c r="B2060" s="10" t="s">
        <v>4613</v>
      </c>
      <c r="C2060" s="10" t="s">
        <v>21</v>
      </c>
      <c r="D2060" s="9" t="s">
        <v>21</v>
      </c>
      <c r="E2060" s="9" t="str">
        <f>_xlfn.TEXTAFTER(Condiciones_acumuladas[[#This Row],[Descripción]], " ", -2)</f>
        <v>Gustavo Hernández</v>
      </c>
      <c r="F2060" s="10" t="s">
        <v>2516</v>
      </c>
      <c r="G2060" s="11">
        <v>45926</v>
      </c>
    </row>
    <row r="2061" spans="1:7" ht="36.5" hidden="1" x14ac:dyDescent="0.35">
      <c r="A2061" s="8">
        <v>9866</v>
      </c>
      <c r="B2061" s="10" t="s">
        <v>4614</v>
      </c>
      <c r="C2061" s="10" t="s">
        <v>220</v>
      </c>
      <c r="D2061" s="9" t="s">
        <v>95</v>
      </c>
      <c r="E2061" s="9" t="str">
        <f>_xlfn.TEXTAFTER(Condiciones_acumuladas[[#This Row],[Descripción]], " ", -2)</f>
        <v>Maria Obregón</v>
      </c>
      <c r="F2061" s="10" t="s">
        <v>2516</v>
      </c>
      <c r="G2061" s="11">
        <v>45925</v>
      </c>
    </row>
    <row r="2062" spans="1:7" ht="36.5" hidden="1" x14ac:dyDescent="0.35">
      <c r="A2062" s="8">
        <v>9867</v>
      </c>
      <c r="B2062" s="10" t="s">
        <v>4615</v>
      </c>
      <c r="C2062" s="10" t="s">
        <v>21</v>
      </c>
      <c r="D2062" s="9" t="s">
        <v>21</v>
      </c>
      <c r="E2062" s="9" t="str">
        <f>_xlfn.TEXTAFTER(Condiciones_acumuladas[[#This Row],[Descripción]], " ", -2)</f>
        <v>Gustavo Hernández</v>
      </c>
      <c r="F2062" s="10" t="s">
        <v>2540</v>
      </c>
      <c r="G2062" s="11">
        <v>45926</v>
      </c>
    </row>
    <row r="2063" spans="1:7" ht="36.5" hidden="1" x14ac:dyDescent="0.35">
      <c r="A2063" s="8">
        <v>9863</v>
      </c>
      <c r="B2063" s="10" t="s">
        <v>4616</v>
      </c>
      <c r="C2063" s="10" t="s">
        <v>13</v>
      </c>
      <c r="D2063" s="9" t="s">
        <v>13</v>
      </c>
      <c r="E2063" s="9" t="str">
        <f>_xlfn.TEXTAFTER(Condiciones_acumuladas[[#This Row],[Descripción]], " ", -2)</f>
        <v>Haydée Martínez</v>
      </c>
      <c r="F2063" s="10" t="s">
        <v>2522</v>
      </c>
      <c r="G2063" s="11">
        <v>45925</v>
      </c>
    </row>
    <row r="2064" spans="1:7" ht="36.5" hidden="1" x14ac:dyDescent="0.35">
      <c r="A2064" s="8">
        <v>9862</v>
      </c>
      <c r="B2064" s="10" t="s">
        <v>4617</v>
      </c>
      <c r="C2064" s="10" t="s">
        <v>196</v>
      </c>
      <c r="D2064" s="9" t="s">
        <v>196</v>
      </c>
      <c r="E2064" s="9" t="str">
        <f>_xlfn.TEXTAFTER(Condiciones_acumuladas[[#This Row],[Descripción]], " ", -2)</f>
        <v>Luis Angel</v>
      </c>
      <c r="F2064" s="10" t="s">
        <v>2516</v>
      </c>
      <c r="G2064" s="11">
        <v>45925</v>
      </c>
    </row>
    <row r="2065" spans="1:7" ht="36.5" hidden="1" x14ac:dyDescent="0.35">
      <c r="A2065" s="8">
        <v>9860</v>
      </c>
      <c r="B2065" s="10" t="s">
        <v>4618</v>
      </c>
      <c r="C2065" s="10" t="s">
        <v>26</v>
      </c>
      <c r="D2065" s="9" t="s">
        <v>190</v>
      </c>
      <c r="E2065" s="9" t="str">
        <f>_xlfn.TEXTAFTER(Condiciones_acumuladas[[#This Row],[Descripción]], " ", -2)</f>
        <v>Edson Bonifacio</v>
      </c>
      <c r="F2065" s="10" t="s">
        <v>2516</v>
      </c>
      <c r="G2065" s="11">
        <v>45924</v>
      </c>
    </row>
    <row r="2066" spans="1:7" ht="36.5" hidden="1" x14ac:dyDescent="0.35">
      <c r="A2066" s="8">
        <v>9861</v>
      </c>
      <c r="B2066" s="10" t="s">
        <v>4619</v>
      </c>
      <c r="C2066" s="10" t="s">
        <v>13</v>
      </c>
      <c r="D2066" s="9" t="s">
        <v>13</v>
      </c>
      <c r="E2066" s="9" t="str">
        <f>_xlfn.TEXTAFTER(Condiciones_acumuladas[[#This Row],[Descripción]], " ", -2)</f>
        <v>Haydée Martínez</v>
      </c>
      <c r="F2066" s="10" t="s">
        <v>2516</v>
      </c>
      <c r="G2066" s="11">
        <v>45924</v>
      </c>
    </row>
    <row r="2067" spans="1:7" ht="36.5" hidden="1" x14ac:dyDescent="0.35">
      <c r="A2067" s="8">
        <v>9859</v>
      </c>
      <c r="B2067" s="10" t="s">
        <v>4620</v>
      </c>
      <c r="C2067" s="10" t="s">
        <v>96</v>
      </c>
      <c r="D2067" s="9" t="s">
        <v>96</v>
      </c>
      <c r="E2067" s="9" t="str">
        <f>_xlfn.TEXTAFTER(Condiciones_acumuladas[[#This Row],[Descripción]], " ", -2)</f>
        <v>Bladimir López</v>
      </c>
      <c r="F2067" s="10" t="s">
        <v>2516</v>
      </c>
      <c r="G2067" s="11">
        <v>45924</v>
      </c>
    </row>
    <row r="2068" spans="1:7" ht="36.5" hidden="1" x14ac:dyDescent="0.35">
      <c r="A2068" s="8">
        <v>9845</v>
      </c>
      <c r="B2068" s="10" t="s">
        <v>4621</v>
      </c>
      <c r="C2068" s="10" t="s">
        <v>26</v>
      </c>
      <c r="D2068" s="9" t="s">
        <v>395</v>
      </c>
      <c r="E2068" s="9" t="str">
        <f>_xlfn.TEXTAFTER(Condiciones_acumuladas[[#This Row],[Descripción]], " ", -2)</f>
        <v>Josué Vásquez</v>
      </c>
      <c r="F2068" s="10" t="s">
        <v>2572</v>
      </c>
      <c r="G2068" s="11">
        <v>45924</v>
      </c>
    </row>
    <row r="2069" spans="1:7" ht="36.5" hidden="1" x14ac:dyDescent="0.35">
      <c r="A2069" s="8">
        <v>9838</v>
      </c>
      <c r="B2069" s="10" t="s">
        <v>4622</v>
      </c>
      <c r="C2069" s="10" t="s">
        <v>13</v>
      </c>
      <c r="D2069" s="9" t="s">
        <v>395</v>
      </c>
      <c r="E2069" s="9" t="str">
        <f>_xlfn.TEXTAFTER(Condiciones_acumuladas[[#This Row],[Descripción]], " ", -2)</f>
        <v>Karla Hintz</v>
      </c>
      <c r="F2069" s="10" t="s">
        <v>2530</v>
      </c>
      <c r="G2069" s="11">
        <v>45925</v>
      </c>
    </row>
    <row r="2070" spans="1:7" ht="36.5" hidden="1" x14ac:dyDescent="0.35">
      <c r="A2070" s="8">
        <v>9833</v>
      </c>
      <c r="B2070" s="10" t="s">
        <v>4623</v>
      </c>
      <c r="C2070" s="10" t="s">
        <v>395</v>
      </c>
      <c r="D2070" s="9" t="s">
        <v>395</v>
      </c>
      <c r="E2070" s="9" t="str">
        <f>_xlfn.TEXTAFTER(Condiciones_acumuladas[[#This Row],[Descripción]], " ", -2)</f>
        <v>Daniel Pineda</v>
      </c>
      <c r="F2070" s="10" t="s">
        <v>2525</v>
      </c>
      <c r="G2070" s="11">
        <v>45923</v>
      </c>
    </row>
    <row r="2071" spans="1:7" ht="24.5" hidden="1" x14ac:dyDescent="0.35">
      <c r="A2071" s="8">
        <v>9835</v>
      </c>
      <c r="B2071" s="10" t="s">
        <v>4624</v>
      </c>
      <c r="C2071" s="10" t="s">
        <v>104</v>
      </c>
      <c r="D2071" s="9" t="s">
        <v>104</v>
      </c>
      <c r="E2071" s="9" t="str">
        <f>_xlfn.TEXTAFTER(Condiciones_acumuladas[[#This Row],[Descripción]], " ", -2)</f>
        <v>Alfonso Guatzin</v>
      </c>
      <c r="F2071" s="10" t="s">
        <v>2522</v>
      </c>
      <c r="G2071" s="11">
        <v>45924</v>
      </c>
    </row>
    <row r="2072" spans="1:7" ht="36.5" hidden="1" x14ac:dyDescent="0.35">
      <c r="A2072" s="8">
        <v>9840</v>
      </c>
      <c r="B2072" s="10" t="s">
        <v>4625</v>
      </c>
      <c r="C2072" s="10" t="s">
        <v>26</v>
      </c>
      <c r="D2072" s="9" t="s">
        <v>95</v>
      </c>
      <c r="E2072" s="9" t="str">
        <f>_xlfn.TEXTAFTER(Condiciones_acumuladas[[#This Row],[Descripción]], " ", -2)</f>
        <v>Alejandro Martínez</v>
      </c>
      <c r="F2072" s="10" t="s">
        <v>2516</v>
      </c>
      <c r="G2072" s="11">
        <v>45924</v>
      </c>
    </row>
    <row r="2073" spans="1:7" ht="36.5" hidden="1" x14ac:dyDescent="0.35">
      <c r="A2073" s="8">
        <v>9883</v>
      </c>
      <c r="B2073" s="10" t="s">
        <v>4626</v>
      </c>
      <c r="C2073" s="10" t="s">
        <v>395</v>
      </c>
      <c r="D2073" s="9" t="s">
        <v>395</v>
      </c>
      <c r="E2073" s="9" t="str">
        <f>_xlfn.TEXTAFTER(Condiciones_acumuladas[[#This Row],[Descripción]], " ", -2)</f>
        <v>Daniel Pineda</v>
      </c>
      <c r="F2073" s="10" t="s">
        <v>2516</v>
      </c>
      <c r="G2073" s="11">
        <v>45927</v>
      </c>
    </row>
    <row r="2074" spans="1:7" ht="24.5" hidden="1" x14ac:dyDescent="0.35">
      <c r="A2074" s="8">
        <v>9882</v>
      </c>
      <c r="B2074" s="10" t="s">
        <v>4627</v>
      </c>
      <c r="C2074" s="10" t="s">
        <v>134</v>
      </c>
      <c r="D2074" s="9" t="s">
        <v>134</v>
      </c>
      <c r="E2074" s="9" t="str">
        <f>_xlfn.TEXTAFTER(Condiciones_acumuladas[[#This Row],[Descripción]], " ", -2)</f>
        <v>Haydée Martínez</v>
      </c>
      <c r="F2074" s="10" t="s">
        <v>2834</v>
      </c>
      <c r="G2074" s="11">
        <v>45927</v>
      </c>
    </row>
    <row r="2075" spans="1:7" ht="24.5" hidden="1" x14ac:dyDescent="0.35">
      <c r="A2075" s="8">
        <v>9885</v>
      </c>
      <c r="B2075" s="10" t="s">
        <v>4628</v>
      </c>
      <c r="C2075" s="10" t="s">
        <v>371</v>
      </c>
      <c r="D2075" s="9" t="s">
        <v>371</v>
      </c>
      <c r="E2075" s="9" t="str">
        <f>_xlfn.TEXTAFTER(Condiciones_acumuladas[[#This Row],[Descripción]], " ", -2)</f>
        <v>Josué Lepe</v>
      </c>
      <c r="F2075" s="10" t="s">
        <v>2522</v>
      </c>
      <c r="G2075" s="11">
        <v>45929</v>
      </c>
    </row>
    <row r="2076" spans="1:7" ht="36.5" hidden="1" x14ac:dyDescent="0.35">
      <c r="A2076" s="8">
        <v>9880</v>
      </c>
      <c r="B2076" s="10" t="s">
        <v>4629</v>
      </c>
      <c r="C2076" s="10" t="s">
        <v>234</v>
      </c>
      <c r="D2076" s="9" t="s">
        <v>395</v>
      </c>
      <c r="E2076" s="9" t="str">
        <f>_xlfn.TEXTAFTER(Condiciones_acumuladas[[#This Row],[Descripción]], " ", -2)</f>
        <v>Daniel Pineda</v>
      </c>
      <c r="F2076" s="10" t="s">
        <v>2516</v>
      </c>
      <c r="G2076" s="11">
        <v>45926</v>
      </c>
    </row>
    <row r="2077" spans="1:7" ht="36.5" hidden="1" x14ac:dyDescent="0.35">
      <c r="A2077" s="8">
        <v>9879</v>
      </c>
      <c r="B2077" s="10" t="s">
        <v>4630</v>
      </c>
      <c r="C2077" s="10" t="s">
        <v>96</v>
      </c>
      <c r="D2077" s="9" t="s">
        <v>395</v>
      </c>
      <c r="E2077" s="9" t="str">
        <f>_xlfn.TEXTAFTER(Condiciones_acumuladas[[#This Row],[Descripción]], " ", -2)</f>
        <v>Daniel Pineda</v>
      </c>
      <c r="F2077" s="10" t="s">
        <v>2516</v>
      </c>
      <c r="G2077" s="11">
        <v>45926</v>
      </c>
    </row>
    <row r="2078" spans="1:7" ht="36.5" hidden="1" x14ac:dyDescent="0.35">
      <c r="A2078" s="8">
        <v>9881</v>
      </c>
      <c r="B2078" s="10" t="s">
        <v>4631</v>
      </c>
      <c r="C2078" s="10" t="s">
        <v>96</v>
      </c>
      <c r="D2078" s="9" t="s">
        <v>96</v>
      </c>
      <c r="E2078" s="9" t="str">
        <f>_xlfn.TEXTAFTER(Condiciones_acumuladas[[#This Row],[Descripción]], " ", -2)</f>
        <v>Carlos Poz</v>
      </c>
      <c r="F2078" s="10" t="s">
        <v>2516</v>
      </c>
      <c r="G2078" s="11">
        <v>45926</v>
      </c>
    </row>
    <row r="2079" spans="1:7" ht="24.5" hidden="1" x14ac:dyDescent="0.35">
      <c r="A2079" s="8">
        <v>9884</v>
      </c>
      <c r="B2079" s="10" t="s">
        <v>4632</v>
      </c>
      <c r="C2079" s="10" t="s">
        <v>234</v>
      </c>
      <c r="D2079" s="9" t="s">
        <v>234</v>
      </c>
      <c r="E2079" s="9" t="str">
        <f>_xlfn.TEXTAFTER(Condiciones_acumuladas[[#This Row],[Descripción]], " ", -2)</f>
        <v>Gustavo Hernández</v>
      </c>
      <c r="F2079" s="10" t="s">
        <v>2540</v>
      </c>
      <c r="G2079" s="11">
        <v>45927</v>
      </c>
    </row>
    <row r="2080" spans="1:7" ht="36.5" hidden="1" x14ac:dyDescent="0.35">
      <c r="A2080" s="8">
        <v>9886</v>
      </c>
      <c r="B2080" s="10" t="s">
        <v>4633</v>
      </c>
      <c r="C2080" s="10" t="s">
        <v>190</v>
      </c>
      <c r="D2080" s="9" t="s">
        <v>371</v>
      </c>
      <c r="E2080" s="9" t="str">
        <f>_xlfn.TEXTAFTER(Condiciones_acumuladas[[#This Row],[Descripción]], " ", -2)</f>
        <v>Emilio Cux</v>
      </c>
      <c r="F2080" s="10" t="s">
        <v>2572</v>
      </c>
      <c r="G2080" s="11">
        <v>45929</v>
      </c>
    </row>
    <row r="2081" spans="1:7" ht="24.5" hidden="1" x14ac:dyDescent="0.35">
      <c r="A2081" s="8">
        <v>9887</v>
      </c>
      <c r="B2081" s="10" t="s">
        <v>4634</v>
      </c>
      <c r="C2081" s="10" t="s">
        <v>220</v>
      </c>
      <c r="D2081" s="9" t="s">
        <v>95</v>
      </c>
      <c r="E2081" s="9" t="str">
        <f>_xlfn.TEXTAFTER(Condiciones_acumuladas[[#This Row],[Descripción]], " ", -2)</f>
        <v>Luis Cabrera</v>
      </c>
      <c r="F2081" s="10" t="s">
        <v>2834</v>
      </c>
      <c r="G2081" s="11">
        <v>45929</v>
      </c>
    </row>
    <row r="2082" spans="1:7" ht="36.5" hidden="1" x14ac:dyDescent="0.35">
      <c r="A2082" s="8">
        <v>9902</v>
      </c>
      <c r="B2082" s="10" t="s">
        <v>4635</v>
      </c>
      <c r="C2082" s="10" t="s">
        <v>13</v>
      </c>
      <c r="D2082" s="9" t="s">
        <v>95</v>
      </c>
      <c r="E2082" s="9" t="str">
        <f>_xlfn.TEXTAFTER(Condiciones_acumuladas[[#This Row],[Descripción]], " ", -2)</f>
        <v>Ana Sanchez</v>
      </c>
      <c r="F2082" s="10" t="s">
        <v>2516</v>
      </c>
      <c r="G2082" s="11">
        <v>45929</v>
      </c>
    </row>
    <row r="2083" spans="1:7" ht="36.5" hidden="1" x14ac:dyDescent="0.35">
      <c r="A2083" s="8">
        <v>9913</v>
      </c>
      <c r="B2083" s="10" t="s">
        <v>4636</v>
      </c>
      <c r="C2083" s="10" t="s">
        <v>196</v>
      </c>
      <c r="D2083" s="9" t="s">
        <v>95</v>
      </c>
      <c r="E2083" s="9" t="str">
        <f>_xlfn.TEXTAFTER(Condiciones_acumuladas[[#This Row],[Descripción]], " ", -2)</f>
        <v>Maria Obregón</v>
      </c>
      <c r="F2083" s="10" t="s">
        <v>2516</v>
      </c>
      <c r="G2083" s="11">
        <v>45930</v>
      </c>
    </row>
    <row r="2084" spans="1:7" ht="36.5" hidden="1" x14ac:dyDescent="0.35">
      <c r="A2084" s="8">
        <v>9909</v>
      </c>
      <c r="B2084" s="10" t="s">
        <v>4637</v>
      </c>
      <c r="C2084" s="10" t="s">
        <v>196</v>
      </c>
      <c r="D2084" s="9" t="s">
        <v>196</v>
      </c>
      <c r="E2084" s="9" t="str">
        <f>_xlfn.TEXTAFTER(Condiciones_acumuladas[[#This Row],[Descripción]], " ", -2)</f>
        <v>Rebeca Morales</v>
      </c>
      <c r="F2084" s="10" t="s">
        <v>2516</v>
      </c>
      <c r="G2084" s="11">
        <v>45930</v>
      </c>
    </row>
    <row r="2085" spans="1:7" ht="24.5" hidden="1" x14ac:dyDescent="0.35">
      <c r="A2085" s="8">
        <v>9912</v>
      </c>
      <c r="B2085" s="10" t="s">
        <v>4638</v>
      </c>
      <c r="C2085" s="10" t="s">
        <v>234</v>
      </c>
      <c r="D2085" s="9" t="s">
        <v>95</v>
      </c>
      <c r="E2085" s="9" t="str">
        <f>_xlfn.TEXTAFTER(Condiciones_acumuladas[[#This Row],[Descripción]], " ", -2)</f>
        <v>Edgar Coti</v>
      </c>
      <c r="F2085" s="10" t="s">
        <v>2522</v>
      </c>
      <c r="G2085" s="11">
        <v>45930</v>
      </c>
    </row>
    <row r="2086" spans="1:7" ht="36.5" hidden="1" x14ac:dyDescent="0.35">
      <c r="A2086" s="8">
        <v>9907</v>
      </c>
      <c r="B2086" s="10" t="s">
        <v>4639</v>
      </c>
      <c r="C2086" s="10" t="s">
        <v>234</v>
      </c>
      <c r="D2086" s="9" t="s">
        <v>95</v>
      </c>
      <c r="E2086" s="9" t="str">
        <f>_xlfn.TEXTAFTER(Condiciones_acumuladas[[#This Row],[Descripción]], " ", -2)</f>
        <v>Edgar Coti</v>
      </c>
      <c r="F2086" s="10" t="s">
        <v>2516</v>
      </c>
      <c r="G2086" s="11">
        <v>45930</v>
      </c>
    </row>
    <row r="2087" spans="1:7" ht="36.5" hidden="1" x14ac:dyDescent="0.35">
      <c r="A2087" s="8">
        <v>9911</v>
      </c>
      <c r="B2087" s="10" t="s">
        <v>4640</v>
      </c>
      <c r="C2087" s="10" t="s">
        <v>96</v>
      </c>
      <c r="D2087" s="9" t="s">
        <v>96</v>
      </c>
      <c r="E2087" s="9" t="str">
        <f>_xlfn.TEXTAFTER(Condiciones_acumuladas[[#This Row],[Descripción]], " ", -2)</f>
        <v>Jimmy Velásquez</v>
      </c>
      <c r="F2087" s="10" t="s">
        <v>2516</v>
      </c>
      <c r="G2087" s="11">
        <v>45930</v>
      </c>
    </row>
    <row r="2088" spans="1:7" ht="36.5" hidden="1" x14ac:dyDescent="0.35">
      <c r="A2088" s="8">
        <v>9910</v>
      </c>
      <c r="B2088" s="10" t="s">
        <v>4641</v>
      </c>
      <c r="C2088" s="10" t="s">
        <v>196</v>
      </c>
      <c r="D2088" s="9" t="s">
        <v>196</v>
      </c>
      <c r="E2088" s="9" t="str">
        <f>_xlfn.TEXTAFTER(Condiciones_acumuladas[[#This Row],[Descripción]], " ", -2)</f>
        <v>Jaime Chex</v>
      </c>
      <c r="F2088" s="10" t="s">
        <v>2516</v>
      </c>
      <c r="G2088" s="11">
        <v>45930</v>
      </c>
    </row>
    <row r="2089" spans="1:7" ht="36.5" hidden="1" x14ac:dyDescent="0.35">
      <c r="A2089" s="8">
        <v>9908</v>
      </c>
      <c r="B2089" s="10" t="s">
        <v>4642</v>
      </c>
      <c r="C2089" s="10" t="s">
        <v>234</v>
      </c>
      <c r="D2089" s="9" t="s">
        <v>395</v>
      </c>
      <c r="E2089" s="9" t="str">
        <f>_xlfn.TEXTAFTER(Condiciones_acumuladas[[#This Row],[Descripción]], " ", -2)</f>
        <v>Daniel Pineda</v>
      </c>
      <c r="F2089" s="10" t="s">
        <v>2525</v>
      </c>
      <c r="G2089" s="11">
        <v>45930</v>
      </c>
    </row>
    <row r="2090" spans="1:7" ht="36.5" hidden="1" x14ac:dyDescent="0.35">
      <c r="A2090" s="8">
        <v>9905</v>
      </c>
      <c r="B2090" s="10" t="s">
        <v>4643</v>
      </c>
      <c r="C2090" s="10" t="s">
        <v>220</v>
      </c>
      <c r="D2090" s="9" t="s">
        <v>95</v>
      </c>
      <c r="E2090" s="9" t="str">
        <f>_xlfn.TEXTAFTER(Condiciones_acumuladas[[#This Row],[Descripción]], " ", -2)</f>
        <v>Maria Obregón</v>
      </c>
      <c r="F2090" s="10" t="s">
        <v>2516</v>
      </c>
      <c r="G2090" s="11">
        <v>45929</v>
      </c>
    </row>
    <row r="2091" spans="1:7" ht="36.5" hidden="1" x14ac:dyDescent="0.35">
      <c r="A2091" s="8">
        <v>9906</v>
      </c>
      <c r="B2091" s="10" t="s">
        <v>4644</v>
      </c>
      <c r="C2091" s="10" t="s">
        <v>220</v>
      </c>
      <c r="D2091" s="9" t="s">
        <v>395</v>
      </c>
      <c r="E2091" s="9" t="str">
        <f>_xlfn.TEXTAFTER(Condiciones_acumuladas[[#This Row],[Descripción]], " ", -2)</f>
        <v>Daniel Pineda</v>
      </c>
      <c r="F2091" s="10" t="s">
        <v>2516</v>
      </c>
      <c r="G2091" s="11">
        <v>45929</v>
      </c>
    </row>
    <row r="2092" spans="1:7" ht="24.5" hidden="1" x14ac:dyDescent="0.35">
      <c r="A2092" s="8">
        <v>9903</v>
      </c>
      <c r="B2092" s="10" t="s">
        <v>4645</v>
      </c>
      <c r="C2092" s="10" t="s">
        <v>96</v>
      </c>
      <c r="D2092" s="9" t="s">
        <v>95</v>
      </c>
      <c r="E2092" s="9" t="str">
        <f>_xlfn.TEXTAFTER(Condiciones_acumuladas[[#This Row],[Descripción]], " ", -2)</f>
        <v>Luis Cabrera</v>
      </c>
      <c r="F2092" s="10" t="s">
        <v>2522</v>
      </c>
      <c r="G2092" s="11">
        <v>45930</v>
      </c>
    </row>
    <row r="2093" spans="1:7" ht="36.5" hidden="1" x14ac:dyDescent="0.35">
      <c r="A2093" s="8">
        <v>9904</v>
      </c>
      <c r="B2093" s="10" t="s">
        <v>4646</v>
      </c>
      <c r="C2093" s="10" t="s">
        <v>220</v>
      </c>
      <c r="D2093" s="9" t="s">
        <v>193</v>
      </c>
      <c r="E2093" s="9" t="str">
        <f>_xlfn.TEXTAFTER(Condiciones_acumuladas[[#This Row],[Descripción]], " ", -2)</f>
        <v>Jheisón Orozco</v>
      </c>
      <c r="F2093" s="10" t="s">
        <v>2530</v>
      </c>
      <c r="G2093" s="11">
        <v>45929</v>
      </c>
    </row>
    <row r="2094" spans="1:7" ht="36.5" hidden="1" x14ac:dyDescent="0.35">
      <c r="A2094" s="8">
        <v>9914</v>
      </c>
      <c r="B2094" s="10" t="s">
        <v>4647</v>
      </c>
      <c r="C2094" s="10" t="s">
        <v>13</v>
      </c>
      <c r="D2094" s="9" t="s">
        <v>95</v>
      </c>
      <c r="E2094" s="9" t="str">
        <f>_xlfn.TEXTAFTER(Condiciones_acumuladas[[#This Row],[Descripción]], " ", -2)</f>
        <v>Hellen Consuelo</v>
      </c>
      <c r="F2094" s="10" t="s">
        <v>2530</v>
      </c>
      <c r="G2094" s="11">
        <v>45930</v>
      </c>
    </row>
    <row r="2095" spans="1:7" ht="36.5" hidden="1" x14ac:dyDescent="0.35">
      <c r="A2095" s="8">
        <v>9916</v>
      </c>
      <c r="B2095" s="10" t="s">
        <v>4648</v>
      </c>
      <c r="C2095" s="10" t="s">
        <v>13</v>
      </c>
      <c r="D2095" s="9" t="s">
        <v>95</v>
      </c>
      <c r="E2095" s="9" t="str">
        <f>_xlfn.TEXTAFTER(Condiciones_acumuladas[[#This Row],[Descripción]], " ", -2)</f>
        <v>Hellen Consuelo</v>
      </c>
      <c r="F2095" s="10" t="s">
        <v>2530</v>
      </c>
      <c r="G2095" s="11">
        <v>45930</v>
      </c>
    </row>
    <row r="2096" spans="1:7" ht="24.5" hidden="1" x14ac:dyDescent="0.35">
      <c r="A2096" s="8">
        <v>9920</v>
      </c>
      <c r="B2096" s="10" t="s">
        <v>4649</v>
      </c>
      <c r="C2096" s="10" t="s">
        <v>278</v>
      </c>
      <c r="D2096" s="9" t="s">
        <v>278</v>
      </c>
      <c r="E2096" s="9" t="str">
        <f>_xlfn.TEXTAFTER(Condiciones_acumuladas[[#This Row],[Descripción]], " ", -2)</f>
        <v>Jason Calderón</v>
      </c>
      <c r="F2096" s="10" t="s">
        <v>2834</v>
      </c>
      <c r="G2096" s="11">
        <v>45930</v>
      </c>
    </row>
    <row r="2097" spans="1:7" ht="24.5" hidden="1" x14ac:dyDescent="0.35">
      <c r="A2097" s="8">
        <v>9923</v>
      </c>
      <c r="B2097" s="10" t="s">
        <v>4650</v>
      </c>
      <c r="C2097" s="10" t="s">
        <v>34</v>
      </c>
      <c r="D2097" s="9" t="s">
        <v>34</v>
      </c>
      <c r="E2097" s="9" t="str">
        <f>_xlfn.TEXTAFTER(Condiciones_acumuladas[[#This Row],[Descripción]], " ", -2)</f>
        <v>Oscar Ramos</v>
      </c>
      <c r="F2097" s="10" t="s">
        <v>2540</v>
      </c>
      <c r="G2097" s="11">
        <v>45930</v>
      </c>
    </row>
    <row r="2098" spans="1:7" ht="24.5" hidden="1" x14ac:dyDescent="0.35">
      <c r="A2098" s="8">
        <v>9922</v>
      </c>
      <c r="B2098" s="10" t="s">
        <v>4651</v>
      </c>
      <c r="C2098" s="10" t="s">
        <v>26</v>
      </c>
      <c r="D2098" s="9" t="s">
        <v>26</v>
      </c>
      <c r="E2098" s="9" t="str">
        <f>_xlfn.TEXTAFTER(Condiciones_acumuladas[[#This Row],[Descripción]], " ", -2)</f>
        <v>Oscar Ramos</v>
      </c>
      <c r="F2098" s="10" t="s">
        <v>2522</v>
      </c>
      <c r="G2098" s="11">
        <v>45930</v>
      </c>
    </row>
    <row r="2099" spans="1:7" ht="24.5" hidden="1" x14ac:dyDescent="0.35">
      <c r="A2099" s="8">
        <v>9926</v>
      </c>
      <c r="B2099" s="10" t="s">
        <v>4652</v>
      </c>
      <c r="C2099" s="10" t="s">
        <v>13</v>
      </c>
      <c r="D2099" s="9" t="s">
        <v>95</v>
      </c>
      <c r="E2099" s="9" t="str">
        <f>_xlfn.TEXTAFTER(Condiciones_acumuladas[[#This Row],[Descripción]], " ", -2)</f>
        <v>Gerson Castañeda</v>
      </c>
      <c r="F2099" s="10" t="s">
        <v>2540</v>
      </c>
      <c r="G2099" s="11">
        <v>45930</v>
      </c>
    </row>
    <row r="2100" spans="1:7" ht="48.5" hidden="1" x14ac:dyDescent="0.35">
      <c r="A2100" s="8">
        <v>9928</v>
      </c>
      <c r="B2100" s="10" t="s">
        <v>4653</v>
      </c>
      <c r="C2100" s="10" t="s">
        <v>26</v>
      </c>
      <c r="D2100" s="9" t="s">
        <v>26</v>
      </c>
      <c r="E2100" s="9" t="str">
        <f>_xlfn.TEXTAFTER(Condiciones_acumuladas[[#This Row],[Descripción]], " ", -2)</f>
        <v>Oscar Ramos</v>
      </c>
      <c r="F2100" s="10" t="s">
        <v>2559</v>
      </c>
      <c r="G2100" s="11">
        <v>45930</v>
      </c>
    </row>
    <row r="2101" spans="1:7" ht="36.5" hidden="1" x14ac:dyDescent="0.35">
      <c r="A2101" s="8">
        <v>9939</v>
      </c>
      <c r="B2101" s="10" t="s">
        <v>4654</v>
      </c>
      <c r="C2101" s="10" t="s">
        <v>21</v>
      </c>
      <c r="D2101" s="9" t="s">
        <v>395</v>
      </c>
      <c r="E2101" s="9" t="str">
        <f>_xlfn.TEXTAFTER(Condiciones_acumuladas[[#This Row],[Descripción]], " ", -2)</f>
        <v>Amílcar Ralda</v>
      </c>
      <c r="F2101" s="10" t="s">
        <v>2516</v>
      </c>
      <c r="G2101" s="11">
        <v>45932</v>
      </c>
    </row>
    <row r="2102" spans="1:7" ht="24.5" hidden="1" x14ac:dyDescent="0.35">
      <c r="A2102" s="8">
        <v>9941</v>
      </c>
      <c r="B2102" s="10" t="s">
        <v>4655</v>
      </c>
      <c r="C2102" s="10" t="s">
        <v>21</v>
      </c>
      <c r="D2102" s="9" t="s">
        <v>395</v>
      </c>
      <c r="E2102" s="9" t="str">
        <f>_xlfn.TEXTAFTER(Condiciones_acumuladas[[#This Row],[Descripción]], " ", -2)</f>
        <v>Amílcar Ralda</v>
      </c>
      <c r="F2102" s="10" t="s">
        <v>2540</v>
      </c>
      <c r="G2102" s="11">
        <v>45932</v>
      </c>
    </row>
    <row r="2103" spans="1:7" ht="36.5" hidden="1" x14ac:dyDescent="0.35">
      <c r="A2103" s="8">
        <v>9940</v>
      </c>
      <c r="B2103" s="10" t="s">
        <v>4656</v>
      </c>
      <c r="C2103" s="10" t="s">
        <v>21</v>
      </c>
      <c r="D2103" s="9" t="s">
        <v>395</v>
      </c>
      <c r="E2103" s="9" t="str">
        <f>_xlfn.TEXTAFTER(Condiciones_acumuladas[[#This Row],[Descripción]], " ", -2)</f>
        <v>Amílcar Ralda</v>
      </c>
      <c r="F2103" s="10" t="s">
        <v>2516</v>
      </c>
      <c r="G2103" s="11">
        <v>45932</v>
      </c>
    </row>
    <row r="2104" spans="1:7" ht="36.5" hidden="1" x14ac:dyDescent="0.35">
      <c r="A2104" s="8">
        <v>9967</v>
      </c>
      <c r="B2104" s="10" t="s">
        <v>4657</v>
      </c>
      <c r="C2104" s="10" t="s">
        <v>250</v>
      </c>
      <c r="D2104" s="9" t="s">
        <v>250</v>
      </c>
      <c r="E2104" s="9" t="str">
        <f>_xlfn.TEXTAFTER(Condiciones_acumuladas[[#This Row],[Descripción]], " ", -2)</f>
        <v>Edson Bonifacio</v>
      </c>
      <c r="F2104" s="10" t="s">
        <v>2516</v>
      </c>
      <c r="G2104" s="11">
        <v>45936</v>
      </c>
    </row>
    <row r="2105" spans="1:7" ht="24.5" hidden="1" x14ac:dyDescent="0.35">
      <c r="A2105" s="8">
        <v>9966</v>
      </c>
      <c r="B2105" s="10" t="s">
        <v>4658</v>
      </c>
      <c r="C2105" s="10" t="s">
        <v>21</v>
      </c>
      <c r="D2105" s="9" t="s">
        <v>21</v>
      </c>
      <c r="E2105" s="9" t="str">
        <f>_xlfn.TEXTAFTER(Condiciones_acumuladas[[#This Row],[Descripción]], " ", -2)</f>
        <v>Oscar Ramirez</v>
      </c>
      <c r="F2105" s="10" t="s">
        <v>2522</v>
      </c>
      <c r="G2105" s="11">
        <v>45936</v>
      </c>
    </row>
    <row r="2106" spans="1:7" ht="36.5" hidden="1" x14ac:dyDescent="0.35">
      <c r="A2106" s="8">
        <v>9958</v>
      </c>
      <c r="B2106" s="10" t="s">
        <v>2907</v>
      </c>
      <c r="C2106" s="10" t="s">
        <v>134</v>
      </c>
      <c r="D2106" s="9" t="s">
        <v>134</v>
      </c>
      <c r="E2106" s="9" t="str">
        <f>_xlfn.TEXTAFTER(Condiciones_acumuladas[[#This Row],[Descripción]], " ", -2)</f>
        <v>Gustavo Hernández</v>
      </c>
      <c r="F2106" s="10" t="s">
        <v>2516</v>
      </c>
      <c r="G2106" s="11">
        <v>45933</v>
      </c>
    </row>
    <row r="2107" spans="1:7" ht="24.5" hidden="1" x14ac:dyDescent="0.35">
      <c r="A2107" s="8">
        <v>9964</v>
      </c>
      <c r="B2107" s="10" t="s">
        <v>4659</v>
      </c>
      <c r="C2107" s="10" t="s">
        <v>134</v>
      </c>
      <c r="D2107" s="9" t="s">
        <v>95</v>
      </c>
      <c r="E2107" s="9" t="str">
        <f>_xlfn.TEXTAFTER(Condiciones_acumuladas[[#This Row],[Descripción]], " ", -2)</f>
        <v>Efrain Valux</v>
      </c>
      <c r="F2107" s="10" t="s">
        <v>2522</v>
      </c>
      <c r="G2107" s="11">
        <v>45934</v>
      </c>
    </row>
    <row r="2108" spans="1:7" ht="36.5" hidden="1" x14ac:dyDescent="0.35">
      <c r="A2108" s="8">
        <v>9961</v>
      </c>
      <c r="B2108" s="10" t="s">
        <v>4660</v>
      </c>
      <c r="C2108" s="10" t="s">
        <v>220</v>
      </c>
      <c r="D2108" s="9" t="s">
        <v>193</v>
      </c>
      <c r="E2108" s="9" t="str">
        <f>_xlfn.TEXTAFTER(Condiciones_acumuladas[[#This Row],[Descripción]], " ", -2)</f>
        <v>Jasón Orozco</v>
      </c>
      <c r="F2108" s="10" t="s">
        <v>2516</v>
      </c>
      <c r="G2108" s="11">
        <v>45933</v>
      </c>
    </row>
    <row r="2109" spans="1:7" ht="36.5" hidden="1" x14ac:dyDescent="0.35">
      <c r="A2109" s="8">
        <v>9965</v>
      </c>
      <c r="B2109" s="10" t="s">
        <v>4661</v>
      </c>
      <c r="C2109" s="10" t="s">
        <v>13</v>
      </c>
      <c r="D2109" s="9" t="s">
        <v>13</v>
      </c>
      <c r="E2109" s="9" t="str">
        <f>_xlfn.TEXTAFTER(Condiciones_acumuladas[[#This Row],[Descripción]], " ", -2)</f>
        <v>Oscar Ramirez</v>
      </c>
      <c r="F2109" s="10" t="s">
        <v>2516</v>
      </c>
      <c r="G2109" s="11">
        <v>45936</v>
      </c>
    </row>
    <row r="2110" spans="1:7" ht="36.5" hidden="1" x14ac:dyDescent="0.35">
      <c r="A2110" s="8">
        <v>9962</v>
      </c>
      <c r="B2110" s="10" t="s">
        <v>4662</v>
      </c>
      <c r="C2110" s="10" t="s">
        <v>196</v>
      </c>
      <c r="D2110" s="9" t="s">
        <v>95</v>
      </c>
      <c r="E2110" s="9" t="str">
        <f>_xlfn.TEXTAFTER(Condiciones_acumuladas[[#This Row],[Descripción]], " ", -2)</f>
        <v>Jonathan Escobar</v>
      </c>
      <c r="F2110" s="10" t="s">
        <v>2516</v>
      </c>
      <c r="G2110" s="11">
        <v>45933</v>
      </c>
    </row>
    <row r="2111" spans="1:7" ht="36.5" hidden="1" x14ac:dyDescent="0.35">
      <c r="A2111" s="8">
        <v>9963</v>
      </c>
      <c r="B2111" s="10" t="s">
        <v>4663</v>
      </c>
      <c r="C2111" s="10" t="s">
        <v>134</v>
      </c>
      <c r="D2111" s="9" t="s">
        <v>134</v>
      </c>
      <c r="E2111" s="9" t="str">
        <f>_xlfn.TEXTAFTER(Condiciones_acumuladas[[#This Row],[Descripción]], " ", -2)</f>
        <v>Hugo Oliva</v>
      </c>
      <c r="F2111" s="10" t="s">
        <v>2516</v>
      </c>
      <c r="G2111" s="11">
        <v>45934</v>
      </c>
    </row>
    <row r="2112" spans="1:7" ht="24.5" hidden="1" x14ac:dyDescent="0.35">
      <c r="A2112" s="8">
        <v>9959</v>
      </c>
      <c r="B2112" s="10" t="s">
        <v>4664</v>
      </c>
      <c r="C2112" s="10" t="s">
        <v>13</v>
      </c>
      <c r="D2112" s="9" t="s">
        <v>13</v>
      </c>
      <c r="E2112" s="9" t="str">
        <f>_xlfn.TEXTAFTER(Condiciones_acumuladas[[#This Row],[Descripción]], " ", -2)</f>
        <v>Gustavo Hernández</v>
      </c>
      <c r="F2112" s="10" t="s">
        <v>2522</v>
      </c>
      <c r="G2112" s="11">
        <v>45933</v>
      </c>
    </row>
    <row r="2113" spans="1:7" ht="36.5" hidden="1" x14ac:dyDescent="0.35">
      <c r="A2113" s="8">
        <v>9960</v>
      </c>
      <c r="B2113" s="10" t="s">
        <v>4665</v>
      </c>
      <c r="C2113" s="10" t="s">
        <v>21</v>
      </c>
      <c r="D2113" s="9" t="s">
        <v>21</v>
      </c>
      <c r="E2113" s="9" t="str">
        <f>_xlfn.TEXTAFTER(Condiciones_acumuladas[[#This Row],[Descripción]], " ", -2)</f>
        <v>Gustavo Hernández</v>
      </c>
      <c r="F2113" s="10" t="s">
        <v>2516</v>
      </c>
      <c r="G2113" s="11">
        <v>45933</v>
      </c>
    </row>
    <row r="2114" spans="1:7" ht="24.5" hidden="1" x14ac:dyDescent="0.35">
      <c r="A2114" s="8">
        <v>9952</v>
      </c>
      <c r="B2114" s="10" t="s">
        <v>4666</v>
      </c>
      <c r="C2114" s="10" t="s">
        <v>96</v>
      </c>
      <c r="D2114" s="9" t="s">
        <v>96</v>
      </c>
      <c r="E2114" s="9" t="str">
        <f>_xlfn.TEXTAFTER(Condiciones_acumuladas[[#This Row],[Descripción]], " ", -2)</f>
        <v>Jimmy Velásquez</v>
      </c>
      <c r="F2114" s="10" t="s">
        <v>2537</v>
      </c>
      <c r="G2114" s="11">
        <v>45932</v>
      </c>
    </row>
    <row r="2115" spans="1:7" ht="24.5" hidden="1" x14ac:dyDescent="0.35">
      <c r="A2115" s="8">
        <v>9956</v>
      </c>
      <c r="B2115" s="10" t="s">
        <v>4667</v>
      </c>
      <c r="C2115" s="10" t="s">
        <v>104</v>
      </c>
      <c r="D2115" s="9" t="s">
        <v>104</v>
      </c>
      <c r="E2115" s="9" t="str">
        <f>_xlfn.TEXTAFTER(Condiciones_acumuladas[[#This Row],[Descripción]], " ", -2)</f>
        <v>Alfonso Guatzin</v>
      </c>
      <c r="F2115" s="10" t="s">
        <v>2522</v>
      </c>
      <c r="G2115" s="11">
        <v>45933</v>
      </c>
    </row>
    <row r="2116" spans="1:7" ht="36.5" hidden="1" x14ac:dyDescent="0.35">
      <c r="A2116" s="8">
        <v>9954</v>
      </c>
      <c r="B2116" s="10" t="s">
        <v>4668</v>
      </c>
      <c r="C2116" s="10" t="s">
        <v>95</v>
      </c>
      <c r="D2116" s="9" t="s">
        <v>95</v>
      </c>
      <c r="E2116" s="9" t="str">
        <f>_xlfn.TEXTAFTER(Condiciones_acumuladas[[#This Row],[Descripción]], " ", -2)</f>
        <v>Gerson Castañeda</v>
      </c>
      <c r="F2116" s="10" t="s">
        <v>2516</v>
      </c>
      <c r="G2116" s="11">
        <v>45932</v>
      </c>
    </row>
    <row r="2117" spans="1:7" ht="24.5" hidden="1" x14ac:dyDescent="0.35">
      <c r="A2117" s="8">
        <v>9949</v>
      </c>
      <c r="B2117" s="10" t="s">
        <v>4669</v>
      </c>
      <c r="C2117" s="10" t="s">
        <v>371</v>
      </c>
      <c r="D2117" s="9" t="s">
        <v>227</v>
      </c>
      <c r="E2117" s="9" t="str">
        <f>_xlfn.TEXTAFTER(Condiciones_acumuladas[[#This Row],[Descripción]], " ", -2)</f>
        <v>Astrid Macario</v>
      </c>
      <c r="F2117" s="10" t="s">
        <v>2522</v>
      </c>
      <c r="G2117" s="11">
        <v>45932</v>
      </c>
    </row>
    <row r="2118" spans="1:7" ht="24.5" hidden="1" x14ac:dyDescent="0.35">
      <c r="A2118" s="8">
        <v>9957</v>
      </c>
      <c r="B2118" s="10" t="s">
        <v>4670</v>
      </c>
      <c r="C2118" s="10" t="s">
        <v>134</v>
      </c>
      <c r="D2118" s="9" t="s">
        <v>134</v>
      </c>
      <c r="E2118" s="9" t="str">
        <f>_xlfn.TEXTAFTER(Condiciones_acumuladas[[#This Row],[Descripción]], " ", -2)</f>
        <v>Gustavo Hernández</v>
      </c>
      <c r="F2118" s="10" t="s">
        <v>2522</v>
      </c>
      <c r="G2118" s="11">
        <v>45933</v>
      </c>
    </row>
    <row r="2119" spans="1:7" ht="36.5" hidden="1" x14ac:dyDescent="0.35">
      <c r="A2119" s="8">
        <v>9953</v>
      </c>
      <c r="B2119" s="10" t="s">
        <v>4671</v>
      </c>
      <c r="C2119" s="10" t="s">
        <v>96</v>
      </c>
      <c r="D2119" s="9" t="s">
        <v>96</v>
      </c>
      <c r="E2119" s="9" t="str">
        <f>_xlfn.TEXTAFTER(Condiciones_acumuladas[[#This Row],[Descripción]], " ", -2)</f>
        <v>Jimmy Velásquez</v>
      </c>
      <c r="F2119" s="10" t="s">
        <v>2516</v>
      </c>
      <c r="G2119" s="11">
        <v>45932</v>
      </c>
    </row>
    <row r="2120" spans="1:7" ht="48.5" hidden="1" x14ac:dyDescent="0.35">
      <c r="A2120" s="8">
        <v>9951</v>
      </c>
      <c r="B2120" s="10" t="s">
        <v>4672</v>
      </c>
      <c r="C2120" s="10" t="s">
        <v>96</v>
      </c>
      <c r="D2120" s="9" t="s">
        <v>96</v>
      </c>
      <c r="E2120" s="9" t="str">
        <f>_xlfn.TEXTAFTER(Condiciones_acumuladas[[#This Row],[Descripción]], " ", -2)</f>
        <v>Jimmy Velásquez</v>
      </c>
      <c r="F2120" s="10" t="s">
        <v>2559</v>
      </c>
      <c r="G2120" s="11">
        <v>45932</v>
      </c>
    </row>
    <row r="2121" spans="1:7" ht="36.5" hidden="1" x14ac:dyDescent="0.35">
      <c r="A2121" s="8">
        <v>9950</v>
      </c>
      <c r="B2121" s="10" t="s">
        <v>4673</v>
      </c>
      <c r="C2121" s="10" t="s">
        <v>96</v>
      </c>
      <c r="D2121" s="9" t="s">
        <v>96</v>
      </c>
      <c r="E2121" s="9" t="str">
        <f>_xlfn.TEXTAFTER(Condiciones_acumuladas[[#This Row],[Descripción]], " ", -2)</f>
        <v>Jimmy Velásquez</v>
      </c>
      <c r="F2121" s="10" t="s">
        <v>2516</v>
      </c>
      <c r="G2121" s="11">
        <v>45932</v>
      </c>
    </row>
    <row r="2122" spans="1:7" ht="36.5" hidden="1" x14ac:dyDescent="0.35">
      <c r="A2122" s="8">
        <v>9955</v>
      </c>
      <c r="B2122" s="10" t="s">
        <v>4674</v>
      </c>
      <c r="C2122" s="10" t="s">
        <v>96</v>
      </c>
      <c r="D2122" s="9" t="s">
        <v>96</v>
      </c>
      <c r="E2122" s="9" t="str">
        <f>_xlfn.TEXTAFTER(Condiciones_acumuladas[[#This Row],[Descripción]], " ", -2)</f>
        <v>Isabel Saquila</v>
      </c>
      <c r="F2122" s="10" t="s">
        <v>2516</v>
      </c>
      <c r="G2122" s="11">
        <v>45932</v>
      </c>
    </row>
    <row r="2123" spans="1:7" ht="36.5" hidden="1" x14ac:dyDescent="0.35">
      <c r="A2123" s="8">
        <v>9946</v>
      </c>
      <c r="B2123" s="10" t="s">
        <v>4675</v>
      </c>
      <c r="C2123" s="10" t="s">
        <v>196</v>
      </c>
      <c r="D2123" s="9" t="s">
        <v>371</v>
      </c>
      <c r="E2123" s="9" t="str">
        <f>_xlfn.TEXTAFTER(Condiciones_acumuladas[[#This Row],[Descripción]], " ", -2)</f>
        <v>Rodrigo Galindo</v>
      </c>
      <c r="F2123" s="10" t="s">
        <v>2516</v>
      </c>
      <c r="G2123" s="11">
        <v>45936</v>
      </c>
    </row>
    <row r="2124" spans="1:7" ht="36.5" hidden="1" x14ac:dyDescent="0.35">
      <c r="A2124" s="8">
        <v>9948</v>
      </c>
      <c r="B2124" s="10" t="s">
        <v>4676</v>
      </c>
      <c r="C2124" s="10" t="s">
        <v>13</v>
      </c>
      <c r="D2124" s="9" t="s">
        <v>395</v>
      </c>
      <c r="E2124" s="9" t="str">
        <f>_xlfn.TEXTAFTER(Condiciones_acumuladas[[#This Row],[Descripción]], " ", -2)</f>
        <v>Karla Hintz</v>
      </c>
      <c r="F2124" s="10" t="s">
        <v>2516</v>
      </c>
      <c r="G2124" s="11">
        <v>45932</v>
      </c>
    </row>
    <row r="2125" spans="1:7" ht="36.5" hidden="1" x14ac:dyDescent="0.35">
      <c r="A2125" s="8">
        <v>9947</v>
      </c>
      <c r="B2125" s="10" t="s">
        <v>4677</v>
      </c>
      <c r="C2125" s="10" t="s">
        <v>134</v>
      </c>
      <c r="D2125" s="9" t="s">
        <v>395</v>
      </c>
      <c r="E2125" s="9" t="str">
        <f>_xlfn.TEXTAFTER(Condiciones_acumuladas[[#This Row],[Descripción]], " ", -2)</f>
        <v>Josué Vásquez</v>
      </c>
      <c r="F2125" s="10" t="s">
        <v>2530</v>
      </c>
      <c r="G2125" s="11">
        <v>45932</v>
      </c>
    </row>
    <row r="2126" spans="1:7" ht="36.5" hidden="1" x14ac:dyDescent="0.35">
      <c r="A2126" s="8">
        <v>9942</v>
      </c>
      <c r="B2126" s="10" t="s">
        <v>4678</v>
      </c>
      <c r="C2126" s="10" t="s">
        <v>278</v>
      </c>
      <c r="D2126" s="9" t="s">
        <v>278</v>
      </c>
      <c r="E2126" s="9" t="str">
        <f>_xlfn.TEXTAFTER(Condiciones_acumuladas[[#This Row],[Descripción]], " ", -2)</f>
        <v>jason Calderón</v>
      </c>
      <c r="F2126" s="10" t="s">
        <v>2572</v>
      </c>
      <c r="G2126" s="11">
        <v>45935</v>
      </c>
    </row>
    <row r="2127" spans="1:7" ht="48.5" hidden="1" x14ac:dyDescent="0.35">
      <c r="A2127" s="8">
        <v>9971</v>
      </c>
      <c r="B2127" s="10" t="s">
        <v>4679</v>
      </c>
      <c r="C2127" s="10" t="s">
        <v>220</v>
      </c>
      <c r="D2127" s="9" t="s">
        <v>34</v>
      </c>
      <c r="E2127" s="9" t="str">
        <f>_xlfn.TEXTAFTER(Condiciones_acumuladas[[#This Row],[Descripción]], " ", -2)</f>
        <v>Oscar Ramos</v>
      </c>
      <c r="F2127" s="10" t="s">
        <v>2572</v>
      </c>
      <c r="G2127" s="11">
        <v>45936</v>
      </c>
    </row>
    <row r="2128" spans="1:7" ht="36.5" hidden="1" x14ac:dyDescent="0.35">
      <c r="A2128" s="8">
        <v>9985</v>
      </c>
      <c r="B2128" s="10" t="s">
        <v>4680</v>
      </c>
      <c r="C2128" s="10" t="s">
        <v>371</v>
      </c>
      <c r="D2128" s="9" t="s">
        <v>371</v>
      </c>
      <c r="E2128" s="9" t="str">
        <f>_xlfn.TEXTAFTER(Condiciones_acumuladas[[#This Row],[Descripción]], " ", -2)</f>
        <v>Rodrigo Galindo</v>
      </c>
      <c r="F2128" s="10" t="s">
        <v>2530</v>
      </c>
      <c r="G2128" s="11">
        <v>45944</v>
      </c>
    </row>
    <row r="2129" spans="1:7" ht="24.5" hidden="1" x14ac:dyDescent="0.35">
      <c r="A2129" s="8">
        <v>9980</v>
      </c>
      <c r="B2129" s="10" t="s">
        <v>4681</v>
      </c>
      <c r="C2129" s="10" t="s">
        <v>21</v>
      </c>
      <c r="D2129" s="9" t="s">
        <v>21</v>
      </c>
      <c r="E2129" s="9" t="str">
        <f>_xlfn.TEXTAFTER(Condiciones_acumuladas[[#This Row],[Descripción]], " ", -2)</f>
        <v>Abel Aguilar</v>
      </c>
      <c r="F2129" s="10" t="s">
        <v>2522</v>
      </c>
      <c r="G2129" s="11">
        <v>45937</v>
      </c>
    </row>
    <row r="2130" spans="1:7" ht="48.5" hidden="1" x14ac:dyDescent="0.35">
      <c r="A2130" s="8">
        <v>9983</v>
      </c>
      <c r="B2130" s="10" t="s">
        <v>4682</v>
      </c>
      <c r="C2130" s="10" t="s">
        <v>96</v>
      </c>
      <c r="D2130" s="9" t="s">
        <v>96</v>
      </c>
      <c r="E2130" s="9" t="str">
        <f>_xlfn.TEXTAFTER(Condiciones_acumuladas[[#This Row],[Descripción]], " ", -2)</f>
        <v>Isabel Saquila</v>
      </c>
      <c r="F2130" s="10" t="s">
        <v>2559</v>
      </c>
      <c r="G2130" s="11">
        <v>45937</v>
      </c>
    </row>
    <row r="2131" spans="1:7" ht="24.5" hidden="1" x14ac:dyDescent="0.35">
      <c r="A2131" s="8">
        <v>9981</v>
      </c>
      <c r="B2131" s="10" t="s">
        <v>4683</v>
      </c>
      <c r="C2131" s="10" t="s">
        <v>13</v>
      </c>
      <c r="D2131" s="9" t="s">
        <v>13</v>
      </c>
      <c r="E2131" s="9" t="str">
        <f>_xlfn.TEXTAFTER(Condiciones_acumuladas[[#This Row],[Descripción]], " ", -2)</f>
        <v>Abel Aguilar</v>
      </c>
      <c r="F2131" s="10" t="s">
        <v>2522</v>
      </c>
      <c r="G2131" s="11">
        <v>45937</v>
      </c>
    </row>
    <row r="2132" spans="1:7" ht="24.5" hidden="1" x14ac:dyDescent="0.35">
      <c r="A2132" s="8">
        <v>9979</v>
      </c>
      <c r="B2132" s="10" t="s">
        <v>4684</v>
      </c>
      <c r="C2132" s="10" t="s">
        <v>104</v>
      </c>
      <c r="D2132" s="9" t="s">
        <v>104</v>
      </c>
      <c r="E2132" s="9" t="str">
        <f>_xlfn.TEXTAFTER(Condiciones_acumuladas[[#This Row],[Descripción]], " ", -2)</f>
        <v>Alfonso Guatzin</v>
      </c>
      <c r="F2132" s="10" t="s">
        <v>2522</v>
      </c>
      <c r="G2132" s="11">
        <v>45937</v>
      </c>
    </row>
    <row r="2133" spans="1:7" ht="24.5" hidden="1" x14ac:dyDescent="0.35">
      <c r="A2133" s="8">
        <v>9978</v>
      </c>
      <c r="B2133" s="10" t="s">
        <v>4685</v>
      </c>
      <c r="C2133" s="10" t="s">
        <v>196</v>
      </c>
      <c r="D2133" s="9" t="s">
        <v>196</v>
      </c>
      <c r="E2133" s="9" t="str">
        <f>_xlfn.TEXTAFTER(Condiciones_acumuladas[[#This Row],[Descripción]], " ", -2)</f>
        <v>Jaime Chex</v>
      </c>
      <c r="F2133" s="10" t="s">
        <v>2537</v>
      </c>
      <c r="G2133" s="11">
        <v>45937</v>
      </c>
    </row>
    <row r="2134" spans="1:7" ht="48.5" hidden="1" x14ac:dyDescent="0.35">
      <c r="A2134" s="8">
        <v>9982</v>
      </c>
      <c r="B2134" s="10" t="s">
        <v>4686</v>
      </c>
      <c r="C2134" s="10" t="s">
        <v>96</v>
      </c>
      <c r="D2134" s="9" t="s">
        <v>234</v>
      </c>
      <c r="E2134" s="9" t="str">
        <f>_xlfn.TEXTAFTER(Condiciones_acumuladas[[#This Row],[Descripción]], " ", -2)</f>
        <v>Haydée Martínez</v>
      </c>
      <c r="F2134" s="10" t="s">
        <v>2559</v>
      </c>
      <c r="G2134" s="11">
        <v>45937</v>
      </c>
    </row>
    <row r="2135" spans="1:7" ht="24.5" hidden="1" x14ac:dyDescent="0.35">
      <c r="A2135" s="8">
        <v>9984</v>
      </c>
      <c r="B2135" s="10" t="s">
        <v>4687</v>
      </c>
      <c r="C2135" s="10" t="s">
        <v>134</v>
      </c>
      <c r="D2135" s="9" t="s">
        <v>134</v>
      </c>
      <c r="E2135" s="9" t="str">
        <f>_xlfn.TEXTAFTER(Condiciones_acumuladas[[#This Row],[Descripción]], " ", -2)</f>
        <v>Roger Rivas</v>
      </c>
      <c r="F2135" s="10" t="s">
        <v>2522</v>
      </c>
      <c r="G2135" s="11">
        <v>45937</v>
      </c>
    </row>
    <row r="2136" spans="1:7" ht="36.5" hidden="1" x14ac:dyDescent="0.35">
      <c r="A2136" s="8">
        <v>9970</v>
      </c>
      <c r="B2136" s="10" t="s">
        <v>4688</v>
      </c>
      <c r="C2136" s="10" t="s">
        <v>220</v>
      </c>
      <c r="D2136" s="9" t="s">
        <v>234</v>
      </c>
      <c r="E2136" s="9" t="str">
        <f>_xlfn.TEXTAFTER(Condiciones_acumuladas[[#This Row],[Descripción]], " ", -2)</f>
        <v>Bryan Neftali</v>
      </c>
      <c r="F2136" s="10" t="s">
        <v>2516</v>
      </c>
      <c r="G2136" s="11">
        <v>45938</v>
      </c>
    </row>
    <row r="2137" spans="1:7" ht="48.5" hidden="1" x14ac:dyDescent="0.35">
      <c r="A2137" s="8">
        <v>9934</v>
      </c>
      <c r="B2137" s="10" t="s">
        <v>4689</v>
      </c>
      <c r="C2137" s="10" t="s">
        <v>96</v>
      </c>
      <c r="D2137" s="9" t="s">
        <v>95</v>
      </c>
      <c r="E2137" s="9" t="str">
        <f>_xlfn.TEXTAFTER(Condiciones_acumuladas[[#This Row],[Descripción]], " ", -2)</f>
        <v>Vanesa Camey</v>
      </c>
      <c r="F2137" s="10" t="s">
        <v>2537</v>
      </c>
      <c r="G2137" s="11">
        <v>45931</v>
      </c>
    </row>
    <row r="2138" spans="1:7" ht="36.5" hidden="1" x14ac:dyDescent="0.35">
      <c r="A2138" s="8">
        <v>9987</v>
      </c>
      <c r="B2138" s="10" t="s">
        <v>4690</v>
      </c>
      <c r="C2138" s="10" t="s">
        <v>13</v>
      </c>
      <c r="D2138" s="9" t="s">
        <v>395</v>
      </c>
      <c r="E2138" s="9" t="str">
        <f>_xlfn.TEXTAFTER(Condiciones_acumuladas[[#This Row],[Descripción]], " ", -2)</f>
        <v>Yessi Guarcas</v>
      </c>
      <c r="F2138" s="10" t="s">
        <v>2572</v>
      </c>
      <c r="G2138" s="11">
        <v>45938</v>
      </c>
    </row>
    <row r="2139" spans="1:7" ht="36.5" hidden="1" x14ac:dyDescent="0.35">
      <c r="A2139" s="8">
        <v>9986</v>
      </c>
      <c r="B2139" s="10" t="s">
        <v>4691</v>
      </c>
      <c r="C2139" s="10" t="s">
        <v>13</v>
      </c>
      <c r="D2139" s="9" t="s">
        <v>190</v>
      </c>
      <c r="E2139" s="9" t="str">
        <f>_xlfn.TEXTAFTER(Condiciones_acumuladas[[#This Row],[Descripción]], " ", -2)</f>
        <v>Edson Bonifacio</v>
      </c>
      <c r="F2139" s="10" t="s">
        <v>2516</v>
      </c>
      <c r="G2139" s="11">
        <v>45938</v>
      </c>
    </row>
    <row r="2140" spans="1:7" ht="36.5" hidden="1" x14ac:dyDescent="0.35">
      <c r="A2140" s="8">
        <v>9988</v>
      </c>
      <c r="B2140" s="10" t="s">
        <v>4692</v>
      </c>
      <c r="C2140" s="10" t="s">
        <v>104</v>
      </c>
      <c r="D2140" s="9" t="s">
        <v>371</v>
      </c>
      <c r="E2140" s="9" t="str">
        <f>_xlfn.TEXTAFTER(Condiciones_acumuladas[[#This Row],[Descripción]], " ", -2)</f>
        <v>Rodrigo Galindo</v>
      </c>
      <c r="F2140" s="10" t="s">
        <v>2516</v>
      </c>
      <c r="G2140" s="11">
        <v>45938</v>
      </c>
    </row>
    <row r="2141" spans="1:7" ht="36.5" hidden="1" x14ac:dyDescent="0.35">
      <c r="A2141" s="8">
        <v>9991</v>
      </c>
      <c r="B2141" s="10" t="s">
        <v>4693</v>
      </c>
      <c r="C2141" s="10" t="s">
        <v>234</v>
      </c>
      <c r="D2141" s="9" t="s">
        <v>193</v>
      </c>
      <c r="E2141" s="9" t="str">
        <f>_xlfn.TEXTAFTER(Condiciones_acumuladas[[#This Row],[Descripción]], " ", -2)</f>
        <v>Selvin Pérez</v>
      </c>
      <c r="F2141" s="10" t="s">
        <v>2516</v>
      </c>
      <c r="G2141" s="11">
        <v>45939</v>
      </c>
    </row>
    <row r="2142" spans="1:7" ht="36.5" hidden="1" x14ac:dyDescent="0.35">
      <c r="A2142" s="8">
        <v>9990</v>
      </c>
      <c r="B2142" s="10" t="s">
        <v>4694</v>
      </c>
      <c r="C2142" s="10" t="s">
        <v>234</v>
      </c>
      <c r="D2142" s="9" t="s">
        <v>371</v>
      </c>
      <c r="E2142" s="9" t="str">
        <f>_xlfn.TEXTAFTER(Condiciones_acumuladas[[#This Row],[Descripción]], " ", -2)</f>
        <v>Rodrigo Galindo</v>
      </c>
      <c r="F2142" s="10" t="s">
        <v>2540</v>
      </c>
      <c r="G2142" s="11">
        <v>45938</v>
      </c>
    </row>
    <row r="2143" spans="1:7" ht="36.5" hidden="1" x14ac:dyDescent="0.35">
      <c r="A2143" s="8">
        <v>9989</v>
      </c>
      <c r="B2143" s="10" t="s">
        <v>4695</v>
      </c>
      <c r="C2143" s="10" t="s">
        <v>395</v>
      </c>
      <c r="D2143" s="9" t="s">
        <v>371</v>
      </c>
      <c r="E2143" s="9" t="str">
        <f>_xlfn.TEXTAFTER(Condiciones_acumuladas[[#This Row],[Descripción]], " ", -2)</f>
        <v>Rodrigo Galindo</v>
      </c>
      <c r="F2143" s="10" t="s">
        <v>2516</v>
      </c>
      <c r="G2143" s="11">
        <v>45938</v>
      </c>
    </row>
    <row r="2144" spans="1:7" ht="36.5" hidden="1" x14ac:dyDescent="0.35">
      <c r="A2144" s="8">
        <v>9994</v>
      </c>
      <c r="B2144" s="10" t="s">
        <v>4696</v>
      </c>
      <c r="C2144" s="10" t="s">
        <v>134</v>
      </c>
      <c r="D2144" s="9" t="s">
        <v>13</v>
      </c>
      <c r="E2144" s="9" t="str">
        <f>_xlfn.TEXTAFTER(Condiciones_acumuladas[[#This Row],[Descripción]], " ", -2)</f>
        <v>Oscar Ramirez</v>
      </c>
      <c r="F2144" s="10" t="s">
        <v>2516</v>
      </c>
      <c r="G2144" s="11">
        <v>45939</v>
      </c>
    </row>
    <row r="2145" spans="1:7" ht="36.5" hidden="1" x14ac:dyDescent="0.35">
      <c r="A2145" s="8">
        <v>9992</v>
      </c>
      <c r="B2145" s="10" t="s">
        <v>4697</v>
      </c>
      <c r="C2145" s="10" t="s">
        <v>234</v>
      </c>
      <c r="D2145" s="9" t="s">
        <v>371</v>
      </c>
      <c r="E2145" s="9" t="str">
        <f>_xlfn.TEXTAFTER(Condiciones_acumuladas[[#This Row],[Descripción]], " ", -2)</f>
        <v>Rodrigo Galindo</v>
      </c>
      <c r="F2145" s="10" t="s">
        <v>2525</v>
      </c>
      <c r="G2145" s="11">
        <v>45939</v>
      </c>
    </row>
    <row r="2146" spans="1:7" ht="36.5" hidden="1" x14ac:dyDescent="0.35">
      <c r="A2146" s="8">
        <v>9997</v>
      </c>
      <c r="B2146" s="10" t="s">
        <v>4698</v>
      </c>
      <c r="C2146" s="10" t="s">
        <v>21</v>
      </c>
      <c r="D2146" s="9" t="s">
        <v>21</v>
      </c>
      <c r="E2146" s="9" t="str">
        <f>_xlfn.TEXTAFTER(Condiciones_acumuladas[[#This Row],[Descripción]], " ", -2)</f>
        <v>Oscar Ramirez</v>
      </c>
      <c r="F2146" s="10" t="s">
        <v>2530</v>
      </c>
      <c r="G2146" s="11">
        <v>45939</v>
      </c>
    </row>
    <row r="2147" spans="1:7" ht="36.5" hidden="1" x14ac:dyDescent="0.35">
      <c r="A2147" s="8">
        <v>9993</v>
      </c>
      <c r="B2147" s="10" t="s">
        <v>4699</v>
      </c>
      <c r="C2147" s="10" t="s">
        <v>134</v>
      </c>
      <c r="D2147" s="9" t="s">
        <v>21</v>
      </c>
      <c r="E2147" s="9" t="str">
        <f>_xlfn.TEXTAFTER(Condiciones_acumuladas[[#This Row],[Descripción]], " ", -2)</f>
        <v>Oscar Ramirez</v>
      </c>
      <c r="F2147" s="10" t="s">
        <v>2516</v>
      </c>
      <c r="G2147" s="11">
        <v>45939</v>
      </c>
    </row>
    <row r="2148" spans="1:7" ht="36.5" hidden="1" x14ac:dyDescent="0.35">
      <c r="A2148" s="8">
        <v>9996</v>
      </c>
      <c r="B2148" s="10" t="s">
        <v>4700</v>
      </c>
      <c r="C2148" s="10" t="s">
        <v>134</v>
      </c>
      <c r="D2148" s="9" t="s">
        <v>13</v>
      </c>
      <c r="E2148" s="9" t="str">
        <f>_xlfn.TEXTAFTER(Condiciones_acumuladas[[#This Row],[Descripción]], " ", -2)</f>
        <v>Oscar Ramirez</v>
      </c>
      <c r="F2148" s="10" t="s">
        <v>2516</v>
      </c>
      <c r="G2148" s="11">
        <v>45939</v>
      </c>
    </row>
    <row r="2149" spans="1:7" ht="36.5" hidden="1" x14ac:dyDescent="0.35">
      <c r="A2149" s="8">
        <v>9995</v>
      </c>
      <c r="B2149" s="10" t="s">
        <v>4701</v>
      </c>
      <c r="C2149" s="10" t="s">
        <v>134</v>
      </c>
      <c r="D2149" s="9" t="s">
        <v>21</v>
      </c>
      <c r="E2149" s="9" t="str">
        <f>_xlfn.TEXTAFTER(Condiciones_acumuladas[[#This Row],[Descripción]], " ", -2)</f>
        <v>Oscar Ramirez</v>
      </c>
      <c r="F2149" s="10" t="s">
        <v>2516</v>
      </c>
      <c r="G2149" s="11">
        <v>45939</v>
      </c>
    </row>
    <row r="2150" spans="1:7" ht="24.5" hidden="1" x14ac:dyDescent="0.35">
      <c r="A2150" s="8">
        <v>10003</v>
      </c>
      <c r="B2150" s="10" t="s">
        <v>4702</v>
      </c>
      <c r="C2150" s="10" t="s">
        <v>196</v>
      </c>
      <c r="D2150" s="9" t="s">
        <v>196</v>
      </c>
      <c r="E2150" s="9" t="str">
        <f>_xlfn.TEXTAFTER(Condiciones_acumuladas[[#This Row],[Descripción]], " ", -2)</f>
        <v>Kely Calderón</v>
      </c>
      <c r="F2150" s="10" t="s">
        <v>2537</v>
      </c>
      <c r="G2150" s="11">
        <v>45940</v>
      </c>
    </row>
    <row r="2151" spans="1:7" ht="36.5" hidden="1" x14ac:dyDescent="0.35">
      <c r="A2151" s="8">
        <v>10004</v>
      </c>
      <c r="B2151" s="10" t="s">
        <v>4703</v>
      </c>
      <c r="C2151" s="10" t="s">
        <v>196</v>
      </c>
      <c r="D2151" s="9" t="s">
        <v>196</v>
      </c>
      <c r="E2151" s="9" t="str">
        <f>_xlfn.TEXTAFTER(Condiciones_acumuladas[[#This Row],[Descripción]], " ", -2)</f>
        <v>Kely Calderón</v>
      </c>
      <c r="F2151" s="10" t="s">
        <v>2715</v>
      </c>
      <c r="G2151" s="11">
        <v>45940</v>
      </c>
    </row>
    <row r="2152" spans="1:7" ht="48.5" hidden="1" x14ac:dyDescent="0.35">
      <c r="A2152" s="8">
        <v>10006</v>
      </c>
      <c r="B2152" s="10" t="s">
        <v>4704</v>
      </c>
      <c r="C2152" s="10" t="s">
        <v>234</v>
      </c>
      <c r="D2152" s="9" t="s">
        <v>95</v>
      </c>
      <c r="E2152" s="9" t="str">
        <f>_xlfn.TEXTAFTER(Condiciones_acumuladas[[#This Row],[Descripción]], " ", -2)</f>
        <v>Edgar Coti</v>
      </c>
      <c r="F2152" s="10" t="s">
        <v>2559</v>
      </c>
      <c r="G2152" s="11">
        <v>45940</v>
      </c>
    </row>
    <row r="2153" spans="1:7" ht="48.5" hidden="1" x14ac:dyDescent="0.35">
      <c r="A2153" s="8">
        <v>10007</v>
      </c>
      <c r="B2153" s="10" t="s">
        <v>4705</v>
      </c>
      <c r="C2153" s="10" t="s">
        <v>234</v>
      </c>
      <c r="D2153" s="9" t="s">
        <v>95</v>
      </c>
      <c r="E2153" s="9" t="str">
        <f>_xlfn.TEXTAFTER(Condiciones_acumuladas[[#This Row],[Descripción]], " ", -2)</f>
        <v>Edgar Coti</v>
      </c>
      <c r="F2153" s="10" t="s">
        <v>2559</v>
      </c>
      <c r="G2153" s="11">
        <v>45940</v>
      </c>
    </row>
    <row r="2154" spans="1:7" ht="36.5" hidden="1" x14ac:dyDescent="0.35">
      <c r="A2154" s="8">
        <v>10021</v>
      </c>
      <c r="B2154" s="10" t="s">
        <v>4706</v>
      </c>
      <c r="C2154" s="10" t="s">
        <v>220</v>
      </c>
      <c r="D2154" s="9" t="s">
        <v>95</v>
      </c>
      <c r="E2154" s="9" t="str">
        <f>_xlfn.TEXTAFTER(Condiciones_acumuladas[[#This Row],[Descripción]], " ", -2)</f>
        <v>Jonathan Escobar</v>
      </c>
      <c r="F2154" s="10" t="s">
        <v>2516</v>
      </c>
      <c r="G2154" s="11">
        <v>45933</v>
      </c>
    </row>
    <row r="2155" spans="1:7" ht="36.5" hidden="1" x14ac:dyDescent="0.35">
      <c r="A2155" s="8">
        <v>10015</v>
      </c>
      <c r="B2155" s="10" t="s">
        <v>4707</v>
      </c>
      <c r="C2155" s="10" t="s">
        <v>104</v>
      </c>
      <c r="D2155" s="9" t="s">
        <v>96</v>
      </c>
      <c r="E2155" s="9" t="str">
        <f>_xlfn.TEXTAFTER(Condiciones_acumuladas[[#This Row],[Descripción]], " ", -2)</f>
        <v>Luis Pérez</v>
      </c>
      <c r="F2155" s="10" t="s">
        <v>2525</v>
      </c>
      <c r="G2155" s="11">
        <v>45940</v>
      </c>
    </row>
    <row r="2156" spans="1:7" ht="36.5" hidden="1" x14ac:dyDescent="0.35">
      <c r="A2156" s="8">
        <v>10017</v>
      </c>
      <c r="B2156" s="10" t="s">
        <v>4708</v>
      </c>
      <c r="C2156" s="10" t="s">
        <v>21</v>
      </c>
      <c r="D2156" s="9" t="s">
        <v>95</v>
      </c>
      <c r="E2156" s="9" t="str">
        <f>_xlfn.TEXTAFTER(Condiciones_acumuladas[[#This Row],[Descripción]], " ", -2)</f>
        <v>Alejandro Martínez</v>
      </c>
      <c r="F2156" s="10" t="s">
        <v>2516</v>
      </c>
      <c r="G2156" s="11">
        <v>45940</v>
      </c>
    </row>
    <row r="2157" spans="1:7" ht="24.5" hidden="1" x14ac:dyDescent="0.35">
      <c r="A2157" s="8">
        <v>10019</v>
      </c>
      <c r="B2157" s="10" t="s">
        <v>4709</v>
      </c>
      <c r="C2157" s="10" t="s">
        <v>96</v>
      </c>
      <c r="D2157" s="9" t="s">
        <v>96</v>
      </c>
      <c r="E2157" s="9" t="str">
        <f>_xlfn.TEXTAFTER(Condiciones_acumuladas[[#This Row],[Descripción]], " ", -2)</f>
        <v>Abraham Tahual</v>
      </c>
      <c r="F2157" s="10" t="s">
        <v>2537</v>
      </c>
      <c r="G2157" s="11">
        <v>45943</v>
      </c>
    </row>
    <row r="2158" spans="1:7" ht="24.5" hidden="1" x14ac:dyDescent="0.35">
      <c r="A2158" s="8">
        <v>10020</v>
      </c>
      <c r="B2158" s="10" t="s">
        <v>4710</v>
      </c>
      <c r="C2158" s="10" t="s">
        <v>96</v>
      </c>
      <c r="D2158" s="9" t="s">
        <v>190</v>
      </c>
      <c r="E2158" s="9" t="str">
        <f>_xlfn.TEXTAFTER(Condiciones_acumuladas[[#This Row],[Descripción]], " ", -2)</f>
        <v>Jorge Ixtacuy</v>
      </c>
      <c r="F2158" s="10" t="s">
        <v>2537</v>
      </c>
      <c r="G2158" s="11">
        <v>45943</v>
      </c>
    </row>
    <row r="2159" spans="1:7" ht="24.5" hidden="1" x14ac:dyDescent="0.35">
      <c r="A2159" s="8">
        <v>10018</v>
      </c>
      <c r="B2159" s="10" t="s">
        <v>4711</v>
      </c>
      <c r="C2159" s="10" t="s">
        <v>196</v>
      </c>
      <c r="D2159" s="9" t="s">
        <v>95</v>
      </c>
      <c r="E2159" s="9" t="str">
        <f>_xlfn.TEXTAFTER(Condiciones_acumuladas[[#This Row],[Descripción]], " ", -2)</f>
        <v>Efrain Valux</v>
      </c>
      <c r="F2159" s="10" t="s">
        <v>2537</v>
      </c>
      <c r="G2159" s="11">
        <v>45942</v>
      </c>
    </row>
    <row r="2160" spans="1:7" ht="36.5" hidden="1" x14ac:dyDescent="0.35">
      <c r="A2160" s="8">
        <v>10012</v>
      </c>
      <c r="B2160" s="10" t="s">
        <v>4712</v>
      </c>
      <c r="C2160" s="10" t="s">
        <v>278</v>
      </c>
      <c r="D2160" s="9" t="s">
        <v>371</v>
      </c>
      <c r="E2160" s="9" t="str">
        <f>_xlfn.TEXTAFTER(Condiciones_acumuladas[[#This Row],[Descripción]], " ", -2)</f>
        <v>Jessica Loarca</v>
      </c>
      <c r="F2160" s="10" t="s">
        <v>2715</v>
      </c>
      <c r="G2160" s="11">
        <v>45939</v>
      </c>
    </row>
    <row r="2161" spans="1:7" ht="36.5" hidden="1" x14ac:dyDescent="0.35">
      <c r="A2161" s="8">
        <v>10013</v>
      </c>
      <c r="B2161" s="10" t="s">
        <v>4713</v>
      </c>
      <c r="C2161" s="10" t="s">
        <v>96</v>
      </c>
      <c r="D2161" s="9" t="s">
        <v>96</v>
      </c>
      <c r="E2161" s="9" t="str">
        <f>_xlfn.TEXTAFTER(Condiciones_acumuladas[[#This Row],[Descripción]], " ", -2)</f>
        <v>Isabel Saquila</v>
      </c>
      <c r="F2161" s="10" t="s">
        <v>2516</v>
      </c>
      <c r="G2161" s="11">
        <v>45940</v>
      </c>
    </row>
    <row r="2162" spans="1:7" ht="48.5" hidden="1" x14ac:dyDescent="0.35">
      <c r="A2162" s="8">
        <v>10027</v>
      </c>
      <c r="B2162" s="10" t="s">
        <v>4714</v>
      </c>
      <c r="C2162" s="10" t="s">
        <v>104</v>
      </c>
      <c r="D2162" s="9" t="s">
        <v>95</v>
      </c>
      <c r="E2162" s="9" t="str">
        <f>_xlfn.TEXTAFTER(Condiciones_acumuladas[[#This Row],[Descripción]], " ", -2)</f>
        <v>Hellen Consuelo</v>
      </c>
      <c r="F2162" s="10" t="s">
        <v>2559</v>
      </c>
      <c r="G2162" s="11">
        <v>45945</v>
      </c>
    </row>
    <row r="2163" spans="1:7" ht="36.5" hidden="1" x14ac:dyDescent="0.35">
      <c r="A2163" s="8">
        <v>10026</v>
      </c>
      <c r="B2163" s="10" t="s">
        <v>4715</v>
      </c>
      <c r="C2163" s="10" t="s">
        <v>104</v>
      </c>
      <c r="D2163" s="9" t="s">
        <v>95</v>
      </c>
      <c r="E2163" s="9" t="str">
        <f>_xlfn.TEXTAFTER(Condiciones_acumuladas[[#This Row],[Descripción]], " ", -2)</f>
        <v>Hellen Consuelo</v>
      </c>
      <c r="F2163" s="10" t="s">
        <v>2525</v>
      </c>
      <c r="G2163" s="11">
        <v>45945</v>
      </c>
    </row>
    <row r="2164" spans="1:7" ht="36.5" hidden="1" x14ac:dyDescent="0.35">
      <c r="A2164" s="8">
        <v>10023</v>
      </c>
      <c r="B2164" s="10" t="s">
        <v>4716</v>
      </c>
      <c r="C2164" s="10" t="s">
        <v>220</v>
      </c>
      <c r="D2164" s="9" t="s">
        <v>234</v>
      </c>
      <c r="E2164" s="9" t="str">
        <f>_xlfn.TEXTAFTER(Condiciones_acumuladas[[#This Row],[Descripción]], " ", -2)</f>
        <v>Bryan Neftali</v>
      </c>
      <c r="F2164" s="10" t="s">
        <v>2525</v>
      </c>
      <c r="G2164" s="11">
        <v>45944</v>
      </c>
    </row>
    <row r="2165" spans="1:7" ht="36.5" hidden="1" x14ac:dyDescent="0.35">
      <c r="A2165" s="8">
        <v>10022</v>
      </c>
      <c r="B2165" s="10" t="s">
        <v>4717</v>
      </c>
      <c r="C2165" s="10" t="s">
        <v>220</v>
      </c>
      <c r="D2165" s="9" t="s">
        <v>234</v>
      </c>
      <c r="E2165" s="9" t="str">
        <f>_xlfn.TEXTAFTER(Condiciones_acumuladas[[#This Row],[Descripción]], " ", -2)</f>
        <v>Bryan Neftali</v>
      </c>
      <c r="F2165" s="10" t="s">
        <v>2572</v>
      </c>
      <c r="G2165" s="11">
        <v>45943</v>
      </c>
    </row>
    <row r="2166" spans="1:7" ht="36.5" hidden="1" x14ac:dyDescent="0.35">
      <c r="A2166" s="8">
        <v>10035</v>
      </c>
      <c r="B2166" s="10" t="s">
        <v>4718</v>
      </c>
      <c r="C2166" s="10" t="s">
        <v>96</v>
      </c>
      <c r="D2166" s="9" t="s">
        <v>234</v>
      </c>
      <c r="E2166" s="9" t="str">
        <f>_xlfn.TEXTAFTER(Condiciones_acumuladas[[#This Row],[Descripción]], " ", -2)</f>
        <v>Haydée Martínez</v>
      </c>
      <c r="F2166" s="10" t="s">
        <v>2516</v>
      </c>
      <c r="G2166" s="11">
        <v>45943</v>
      </c>
    </row>
    <row r="2167" spans="1:7" ht="24.5" hidden="1" x14ac:dyDescent="0.35">
      <c r="A2167" s="8">
        <v>10038</v>
      </c>
      <c r="B2167" s="10" t="s">
        <v>4719</v>
      </c>
      <c r="C2167" s="10" t="s">
        <v>250</v>
      </c>
      <c r="D2167" s="9" t="s">
        <v>395</v>
      </c>
      <c r="E2167" s="9" t="str">
        <f>_xlfn.TEXTAFTER(Condiciones_acumuladas[[#This Row],[Descripción]], " ", -2)</f>
        <v>Josué Vásquez</v>
      </c>
      <c r="F2167" s="10" t="s">
        <v>2834</v>
      </c>
      <c r="G2167" s="11">
        <v>45943</v>
      </c>
    </row>
    <row r="2168" spans="1:7" ht="36.5" hidden="1" x14ac:dyDescent="0.35">
      <c r="A2168" s="8">
        <v>10036</v>
      </c>
      <c r="B2168" s="10" t="s">
        <v>4720</v>
      </c>
      <c r="C2168" s="10" t="s">
        <v>196</v>
      </c>
      <c r="D2168" s="9" t="s">
        <v>196</v>
      </c>
      <c r="E2168" s="9" t="str">
        <f>_xlfn.TEXTAFTER(Condiciones_acumuladas[[#This Row],[Descripción]], " ", -2)</f>
        <v>Yessi Guarcas</v>
      </c>
      <c r="F2168" s="10" t="s">
        <v>2516</v>
      </c>
      <c r="G2168" s="11">
        <v>45943</v>
      </c>
    </row>
    <row r="2169" spans="1:7" ht="36.5" hidden="1" x14ac:dyDescent="0.35">
      <c r="A2169" s="8">
        <v>10037</v>
      </c>
      <c r="B2169" s="10" t="s">
        <v>4721</v>
      </c>
      <c r="C2169" s="10" t="s">
        <v>95</v>
      </c>
      <c r="D2169" s="9" t="s">
        <v>95</v>
      </c>
      <c r="E2169" s="9" t="str">
        <f>_xlfn.TEXTAFTER(Condiciones_acumuladas[[#This Row],[Descripción]], " ", -2)</f>
        <v>Maria Obregón</v>
      </c>
      <c r="F2169" s="10" t="s">
        <v>2516</v>
      </c>
      <c r="G2169" s="11">
        <v>45943</v>
      </c>
    </row>
    <row r="2170" spans="1:7" ht="36.5" hidden="1" x14ac:dyDescent="0.35">
      <c r="A2170" s="8">
        <v>10049</v>
      </c>
      <c r="B2170" s="10" t="s">
        <v>4722</v>
      </c>
      <c r="C2170" s="10" t="s">
        <v>26</v>
      </c>
      <c r="D2170" s="9" t="s">
        <v>95</v>
      </c>
      <c r="E2170" s="9" t="str">
        <f>_xlfn.TEXTAFTER(Condiciones_acumuladas[[#This Row],[Descripción]], " ", -2)</f>
        <v>Efrain Valux</v>
      </c>
      <c r="F2170" s="10" t="s">
        <v>2530</v>
      </c>
      <c r="G2170" s="11">
        <v>45945</v>
      </c>
    </row>
    <row r="2171" spans="1:7" ht="36.5" hidden="1" x14ac:dyDescent="0.35">
      <c r="A2171" s="8">
        <v>10042</v>
      </c>
      <c r="B2171" s="10" t="s">
        <v>4723</v>
      </c>
      <c r="C2171" s="10" t="s">
        <v>190</v>
      </c>
      <c r="D2171" s="9" t="s">
        <v>95</v>
      </c>
      <c r="E2171" s="9" t="str">
        <f>_xlfn.TEXTAFTER(Condiciones_acumuladas[[#This Row],[Descripción]], " ", -2)</f>
        <v>Maria Obregón</v>
      </c>
      <c r="F2171" s="10" t="s">
        <v>2516</v>
      </c>
      <c r="G2171" s="11">
        <v>45943</v>
      </c>
    </row>
    <row r="2172" spans="1:7" ht="36.5" hidden="1" x14ac:dyDescent="0.35">
      <c r="A2172" s="8">
        <v>10048</v>
      </c>
      <c r="B2172" s="10" t="s">
        <v>4724</v>
      </c>
      <c r="C2172" s="10" t="s">
        <v>220</v>
      </c>
      <c r="D2172" s="9" t="s">
        <v>26</v>
      </c>
      <c r="E2172" s="9" t="str">
        <f>_xlfn.TEXTAFTER(Condiciones_acumuladas[[#This Row],[Descripción]], " ", -2)</f>
        <v>Nery Rivera</v>
      </c>
      <c r="F2172" s="10" t="s">
        <v>2516</v>
      </c>
      <c r="G2172" s="11">
        <v>45944</v>
      </c>
    </row>
    <row r="2173" spans="1:7" ht="36.5" hidden="1" x14ac:dyDescent="0.35">
      <c r="A2173" s="8">
        <v>10045</v>
      </c>
      <c r="B2173" s="10" t="s">
        <v>4725</v>
      </c>
      <c r="C2173" s="10" t="s">
        <v>96</v>
      </c>
      <c r="D2173" s="9" t="s">
        <v>395</v>
      </c>
      <c r="E2173" s="9" t="str">
        <f>_xlfn.TEXTAFTER(Condiciones_acumuladas[[#This Row],[Descripción]], " ", -2)</f>
        <v>Josué Vásquez</v>
      </c>
      <c r="F2173" s="10" t="s">
        <v>2572</v>
      </c>
      <c r="G2173" s="11">
        <v>45944</v>
      </c>
    </row>
    <row r="2174" spans="1:7" ht="36.5" hidden="1" x14ac:dyDescent="0.35">
      <c r="A2174" s="8">
        <v>10053</v>
      </c>
      <c r="B2174" s="10" t="s">
        <v>4726</v>
      </c>
      <c r="C2174" s="10" t="s">
        <v>34</v>
      </c>
      <c r="D2174" s="9" t="s">
        <v>371</v>
      </c>
      <c r="E2174" s="9" t="str">
        <f>_xlfn.TEXTAFTER(Condiciones_acumuladas[[#This Row],[Descripción]], " ", -2)</f>
        <v>Rodrigo Galindo</v>
      </c>
      <c r="F2174" s="10" t="s">
        <v>2572</v>
      </c>
      <c r="G2174" s="11">
        <v>45946</v>
      </c>
    </row>
    <row r="2175" spans="1:7" ht="36.5" hidden="1" x14ac:dyDescent="0.35">
      <c r="A2175" s="8">
        <v>10051</v>
      </c>
      <c r="B2175" s="10" t="s">
        <v>4727</v>
      </c>
      <c r="C2175" s="10" t="s">
        <v>134</v>
      </c>
      <c r="D2175" s="9" t="s">
        <v>21</v>
      </c>
      <c r="E2175" s="9" t="str">
        <f>_xlfn.TEXTAFTER(Condiciones_acumuladas[[#This Row],[Descripción]], " ", -2)</f>
        <v>Oscar Ramirez</v>
      </c>
      <c r="F2175" s="10" t="s">
        <v>2530</v>
      </c>
      <c r="G2175" s="11">
        <v>45946</v>
      </c>
    </row>
    <row r="2176" spans="1:7" ht="36.5" hidden="1" x14ac:dyDescent="0.35">
      <c r="A2176" s="8">
        <v>10055</v>
      </c>
      <c r="B2176" s="10" t="s">
        <v>4728</v>
      </c>
      <c r="C2176" s="10" t="s">
        <v>250</v>
      </c>
      <c r="D2176" s="9" t="s">
        <v>13</v>
      </c>
      <c r="E2176" s="9" t="str">
        <f>_xlfn.TEXTAFTER(Condiciones_acumuladas[[#This Row],[Descripción]], " ", -2)</f>
        <v>Josué Vásquez</v>
      </c>
      <c r="F2176" s="10" t="s">
        <v>2516</v>
      </c>
      <c r="G2176" s="11">
        <v>45946</v>
      </c>
    </row>
    <row r="2177" spans="1:7" ht="24.5" hidden="1" x14ac:dyDescent="0.35">
      <c r="A2177" s="8">
        <v>10050</v>
      </c>
      <c r="B2177" s="10" t="s">
        <v>4729</v>
      </c>
      <c r="C2177" s="10" t="s">
        <v>96</v>
      </c>
      <c r="D2177" s="9" t="s">
        <v>96</v>
      </c>
      <c r="E2177" s="9" t="str">
        <f>_xlfn.TEXTAFTER(Condiciones_acumuladas[[#This Row],[Descripción]], " ", -2)</f>
        <v>Carlos Poz</v>
      </c>
      <c r="F2177" s="10" t="s">
        <v>2540</v>
      </c>
      <c r="G2177" s="11">
        <v>45945</v>
      </c>
    </row>
    <row r="2178" spans="1:7" ht="36.5" hidden="1" x14ac:dyDescent="0.35">
      <c r="A2178" s="8">
        <v>10052</v>
      </c>
      <c r="B2178" s="10" t="s">
        <v>4730</v>
      </c>
      <c r="C2178" s="10" t="s">
        <v>134</v>
      </c>
      <c r="D2178" s="9" t="s">
        <v>13</v>
      </c>
      <c r="E2178" s="9" t="str">
        <f>_xlfn.TEXTAFTER(Condiciones_acumuladas[[#This Row],[Descripción]], " ", -2)</f>
        <v>Oscar Ramirez</v>
      </c>
      <c r="F2178" s="10" t="s">
        <v>2516</v>
      </c>
      <c r="G2178" s="11">
        <v>45946</v>
      </c>
    </row>
    <row r="2179" spans="1:7" ht="36.5" hidden="1" x14ac:dyDescent="0.35">
      <c r="A2179" s="8">
        <v>10046</v>
      </c>
      <c r="B2179" s="10" t="s">
        <v>4731</v>
      </c>
      <c r="C2179" s="10" t="s">
        <v>34</v>
      </c>
      <c r="D2179" s="9" t="s">
        <v>395</v>
      </c>
      <c r="E2179" s="9" t="str">
        <f>_xlfn.TEXTAFTER(Condiciones_acumuladas[[#This Row],[Descripción]], " ", -2)</f>
        <v>Josué Vásquez</v>
      </c>
      <c r="F2179" s="10" t="s">
        <v>2516</v>
      </c>
      <c r="G2179" s="11">
        <v>45944</v>
      </c>
    </row>
    <row r="2180" spans="1:7" ht="36.5" hidden="1" x14ac:dyDescent="0.35">
      <c r="A2180" s="8">
        <v>10047</v>
      </c>
      <c r="B2180" s="10" t="s">
        <v>4732</v>
      </c>
      <c r="C2180" s="10" t="s">
        <v>13</v>
      </c>
      <c r="D2180" s="9" t="s">
        <v>395</v>
      </c>
      <c r="E2180" s="9" t="str">
        <f>_xlfn.TEXTAFTER(Condiciones_acumuladas[[#This Row],[Descripción]], " ", -2)</f>
        <v>Josué Vásquez</v>
      </c>
      <c r="F2180" s="10" t="s">
        <v>2516</v>
      </c>
      <c r="G2180" s="11">
        <v>45944</v>
      </c>
    </row>
    <row r="2181" spans="1:7" ht="24.5" hidden="1" x14ac:dyDescent="0.35">
      <c r="A2181" s="8">
        <v>10043</v>
      </c>
      <c r="B2181" s="10" t="s">
        <v>4733</v>
      </c>
      <c r="C2181" s="10" t="s">
        <v>96</v>
      </c>
      <c r="D2181" s="9" t="s">
        <v>96</v>
      </c>
      <c r="E2181" s="9" t="str">
        <f>_xlfn.TEXTAFTER(Condiciones_acumuladas[[#This Row],[Descripción]], " ", -2)</f>
        <v>Carlos Poz</v>
      </c>
      <c r="F2181" s="10" t="s">
        <v>2537</v>
      </c>
      <c r="G2181" s="11">
        <v>45944</v>
      </c>
    </row>
    <row r="2182" spans="1:7" ht="24.5" hidden="1" x14ac:dyDescent="0.35">
      <c r="A2182" s="8">
        <v>10044</v>
      </c>
      <c r="B2182" s="10" t="s">
        <v>4734</v>
      </c>
      <c r="C2182" s="10" t="s">
        <v>96</v>
      </c>
      <c r="D2182" s="9" t="s">
        <v>96</v>
      </c>
      <c r="E2182" s="9" t="str">
        <f>_xlfn.TEXTAFTER(Condiciones_acumuladas[[#This Row],[Descripción]], " ", -2)</f>
        <v>Bladimir López</v>
      </c>
      <c r="F2182" s="10" t="s">
        <v>2537</v>
      </c>
      <c r="G2182" s="11">
        <v>45944</v>
      </c>
    </row>
    <row r="2183" spans="1:7" ht="36.5" hidden="1" x14ac:dyDescent="0.35">
      <c r="A2183" s="8">
        <v>10040</v>
      </c>
      <c r="B2183" s="10" t="s">
        <v>4735</v>
      </c>
      <c r="C2183" s="10" t="s">
        <v>21</v>
      </c>
      <c r="D2183" s="9" t="s">
        <v>95</v>
      </c>
      <c r="E2183" s="9" t="str">
        <f>_xlfn.TEXTAFTER(Condiciones_acumuladas[[#This Row],[Descripción]], " ", -2)</f>
        <v>Andrea Gonzalez</v>
      </c>
      <c r="F2183" s="10" t="s">
        <v>2530</v>
      </c>
      <c r="G2183" s="11">
        <v>45946</v>
      </c>
    </row>
    <row r="2184" spans="1:7" ht="48.5" hidden="1" x14ac:dyDescent="0.35">
      <c r="A2184" s="8">
        <v>10039</v>
      </c>
      <c r="B2184" s="10" t="s">
        <v>4736</v>
      </c>
      <c r="C2184" s="10" t="s">
        <v>104</v>
      </c>
      <c r="D2184" s="9" t="s">
        <v>95</v>
      </c>
      <c r="E2184" s="9" t="str">
        <f>_xlfn.TEXTAFTER(Condiciones_acumuladas[[#This Row],[Descripción]], " ", -2)</f>
        <v>Nelson Godinez</v>
      </c>
      <c r="F2184" s="10" t="s">
        <v>2559</v>
      </c>
      <c r="G2184" s="11">
        <v>45946</v>
      </c>
    </row>
    <row r="2185" spans="1:7" ht="36.5" hidden="1" x14ac:dyDescent="0.35">
      <c r="A2185" s="8">
        <v>10041</v>
      </c>
      <c r="B2185" s="10" t="s">
        <v>4737</v>
      </c>
      <c r="C2185" s="10" t="s">
        <v>220</v>
      </c>
      <c r="D2185" s="9" t="s">
        <v>395</v>
      </c>
      <c r="E2185" s="9" t="str">
        <f>_xlfn.TEXTAFTER(Condiciones_acumuladas[[#This Row],[Descripción]], " ", -2)</f>
        <v>Josué Vásquez</v>
      </c>
      <c r="F2185" s="10" t="s">
        <v>2530</v>
      </c>
      <c r="G2185" s="11">
        <v>45943</v>
      </c>
    </row>
    <row r="2186" spans="1:7" ht="36.5" hidden="1" x14ac:dyDescent="0.35">
      <c r="A2186" s="8">
        <v>10054</v>
      </c>
      <c r="B2186" s="10" t="s">
        <v>4738</v>
      </c>
      <c r="C2186" s="10" t="s">
        <v>250</v>
      </c>
      <c r="D2186" s="9" t="s">
        <v>21</v>
      </c>
      <c r="E2186" s="9" t="str">
        <f>_xlfn.TEXTAFTER(Condiciones_acumuladas[[#This Row],[Descripción]], " ", -2)</f>
        <v>Amílcar Ralda</v>
      </c>
      <c r="F2186" s="10" t="s">
        <v>2516</v>
      </c>
      <c r="G2186" s="11">
        <v>45946</v>
      </c>
    </row>
    <row r="2187" spans="1:7" ht="36.5" hidden="1" x14ac:dyDescent="0.35">
      <c r="A2187" s="8">
        <v>10071</v>
      </c>
      <c r="B2187" s="10" t="s">
        <v>4739</v>
      </c>
      <c r="C2187" s="10" t="s">
        <v>196</v>
      </c>
      <c r="D2187" s="9" t="s">
        <v>395</v>
      </c>
      <c r="E2187" s="9" t="str">
        <f>_xlfn.TEXTAFTER(Condiciones_acumuladas[[#This Row],[Descripción]], " ", -2)</f>
        <v>Josué Vásquez</v>
      </c>
      <c r="F2187" s="10" t="s">
        <v>2516</v>
      </c>
      <c r="G2187" s="11">
        <v>45945</v>
      </c>
    </row>
    <row r="2188" spans="1:7" ht="24.5" hidden="1" x14ac:dyDescent="0.35">
      <c r="A2188" s="8">
        <v>10072</v>
      </c>
      <c r="B2188" s="10" t="s">
        <v>4740</v>
      </c>
      <c r="C2188" s="10" t="s">
        <v>250</v>
      </c>
      <c r="D2188" s="9" t="s">
        <v>250</v>
      </c>
      <c r="E2188" s="9" t="str">
        <f>_xlfn.TEXTAFTER(Condiciones_acumuladas[[#This Row],[Descripción]], " ", -2)</f>
        <v>Jaime Chilel</v>
      </c>
      <c r="F2188" s="10" t="s">
        <v>2522</v>
      </c>
      <c r="G2188" s="11">
        <v>45946</v>
      </c>
    </row>
    <row r="2189" spans="1:7" ht="24.5" hidden="1" x14ac:dyDescent="0.35">
      <c r="A2189" s="8">
        <v>10073</v>
      </c>
      <c r="B2189" s="10" t="s">
        <v>4741</v>
      </c>
      <c r="C2189" s="10" t="s">
        <v>250</v>
      </c>
      <c r="D2189" s="9" t="s">
        <v>13</v>
      </c>
      <c r="E2189" s="9" t="str">
        <f>_xlfn.TEXTAFTER(Condiciones_acumuladas[[#This Row],[Descripción]], " ", -2)</f>
        <v>Oscar Ramirez</v>
      </c>
      <c r="F2189" s="10" t="s">
        <v>2522</v>
      </c>
      <c r="G2189" s="11">
        <v>45946</v>
      </c>
    </row>
    <row r="2190" spans="1:7" ht="36.5" hidden="1" x14ac:dyDescent="0.35">
      <c r="A2190" s="8">
        <v>10074</v>
      </c>
      <c r="B2190" s="10" t="s">
        <v>4742</v>
      </c>
      <c r="C2190" s="10" t="s">
        <v>250</v>
      </c>
      <c r="D2190" s="9" t="s">
        <v>21</v>
      </c>
      <c r="E2190" s="9" t="str">
        <f>_xlfn.TEXTAFTER(Condiciones_acumuladas[[#This Row],[Descripción]], " ", -2)</f>
        <v>Oscar Ramirez</v>
      </c>
      <c r="F2190" s="10" t="s">
        <v>2516</v>
      </c>
      <c r="G2190" s="11">
        <v>45946</v>
      </c>
    </row>
    <row r="2191" spans="1:7" ht="24.5" hidden="1" x14ac:dyDescent="0.35">
      <c r="A2191" s="8">
        <v>10076</v>
      </c>
      <c r="B2191" s="10" t="s">
        <v>4743</v>
      </c>
      <c r="C2191" s="10" t="s">
        <v>250</v>
      </c>
      <c r="D2191" s="9" t="s">
        <v>234</v>
      </c>
      <c r="E2191" s="9" t="str">
        <f>_xlfn.TEXTAFTER(Condiciones_acumuladas[[#This Row],[Descripción]], " ", -2)</f>
        <v>Bryan Neftali</v>
      </c>
      <c r="F2191" s="10" t="s">
        <v>2522</v>
      </c>
      <c r="G2191" s="11">
        <v>45946</v>
      </c>
    </row>
    <row r="2192" spans="1:7" ht="24.5" hidden="1" x14ac:dyDescent="0.35">
      <c r="A2192" s="8">
        <v>10075</v>
      </c>
      <c r="B2192" s="10" t="s">
        <v>4744</v>
      </c>
      <c r="C2192" s="10" t="s">
        <v>250</v>
      </c>
      <c r="D2192" s="9" t="s">
        <v>234</v>
      </c>
      <c r="E2192" s="9" t="str">
        <f>_xlfn.TEXTAFTER(Condiciones_acumuladas[[#This Row],[Descripción]], " ", -2)</f>
        <v>Bryan Neftali</v>
      </c>
      <c r="F2192" s="10" t="s">
        <v>2522</v>
      </c>
      <c r="G2192" s="11">
        <v>45946</v>
      </c>
    </row>
    <row r="2193" spans="1:7" ht="36.5" hidden="1" x14ac:dyDescent="0.35">
      <c r="A2193" s="8">
        <v>10077</v>
      </c>
      <c r="B2193" s="10" t="s">
        <v>4745</v>
      </c>
      <c r="C2193" s="10" t="s">
        <v>250</v>
      </c>
      <c r="D2193" s="9" t="s">
        <v>395</v>
      </c>
      <c r="E2193" s="9" t="str">
        <f>_xlfn.TEXTAFTER(Condiciones_acumuladas[[#This Row],[Descripción]], " ", -2)</f>
        <v>Josué Vásquez</v>
      </c>
      <c r="F2193" s="10" t="s">
        <v>2525</v>
      </c>
      <c r="G2193" s="11">
        <v>45946</v>
      </c>
    </row>
    <row r="2194" spans="1:7" ht="36.5" hidden="1" x14ac:dyDescent="0.35">
      <c r="A2194" s="8">
        <v>10080</v>
      </c>
      <c r="B2194" s="10" t="s">
        <v>4746</v>
      </c>
      <c r="C2194" s="10" t="s">
        <v>250</v>
      </c>
      <c r="D2194" s="9" t="s">
        <v>104</v>
      </c>
      <c r="E2194" s="9" t="str">
        <f>_xlfn.TEXTAFTER(Condiciones_acumuladas[[#This Row],[Descripción]], " ", -2)</f>
        <v>Roger Rivas</v>
      </c>
      <c r="F2194" s="10" t="s">
        <v>2530</v>
      </c>
      <c r="G2194" s="11">
        <v>45946</v>
      </c>
    </row>
    <row r="2195" spans="1:7" ht="36.5" hidden="1" x14ac:dyDescent="0.35">
      <c r="A2195" s="8">
        <v>10079</v>
      </c>
      <c r="B2195" s="10" t="s">
        <v>4747</v>
      </c>
      <c r="C2195" s="10" t="s">
        <v>220</v>
      </c>
      <c r="D2195" s="9" t="s">
        <v>220</v>
      </c>
      <c r="E2195" s="9" t="str">
        <f>_xlfn.TEXTAFTER(Condiciones_acumuladas[[#This Row],[Descripción]], " ", -2)</f>
        <v>Carlos Chavez</v>
      </c>
      <c r="F2195" s="10" t="s">
        <v>2516</v>
      </c>
      <c r="G2195" s="11">
        <v>45946</v>
      </c>
    </row>
    <row r="2196" spans="1:7" ht="36.5" hidden="1" x14ac:dyDescent="0.35">
      <c r="A2196" s="8">
        <v>10078</v>
      </c>
      <c r="B2196" s="10" t="s">
        <v>4748</v>
      </c>
      <c r="C2196" s="10" t="s">
        <v>250</v>
      </c>
      <c r="D2196" s="9" t="s">
        <v>371</v>
      </c>
      <c r="E2196" s="9" t="str">
        <f>_xlfn.TEXTAFTER(Condiciones_acumuladas[[#This Row],[Descripción]], " ", -2)</f>
        <v>Rodrigo Galindo</v>
      </c>
      <c r="F2196" s="10" t="s">
        <v>2516</v>
      </c>
      <c r="G2196" s="11">
        <v>45946</v>
      </c>
    </row>
    <row r="2197" spans="1:7" ht="36.5" hidden="1" x14ac:dyDescent="0.35">
      <c r="A2197" s="8">
        <v>10059</v>
      </c>
      <c r="B2197" s="10" t="s">
        <v>4749</v>
      </c>
      <c r="C2197" s="10" t="s">
        <v>190</v>
      </c>
      <c r="D2197" s="9" t="s">
        <v>234</v>
      </c>
      <c r="E2197" s="9" t="str">
        <f>_xlfn.TEXTAFTER(Condiciones_acumuladas[[#This Row],[Descripción]], " ", -2)</f>
        <v>Bryan Neftali</v>
      </c>
      <c r="F2197" s="10" t="s">
        <v>2525</v>
      </c>
      <c r="G2197" s="11">
        <v>45947</v>
      </c>
    </row>
    <row r="2198" spans="1:7" ht="36.5" hidden="1" x14ac:dyDescent="0.35">
      <c r="A2198" s="8">
        <v>10061</v>
      </c>
      <c r="B2198" s="10" t="s">
        <v>4750</v>
      </c>
      <c r="C2198" s="10" t="s">
        <v>26</v>
      </c>
      <c r="D2198" s="9" t="s">
        <v>95</v>
      </c>
      <c r="E2198" s="9" t="str">
        <f>_xlfn.TEXTAFTER(Condiciones_acumuladas[[#This Row],[Descripción]], " ", -2)</f>
        <v>Nelson Godinez</v>
      </c>
      <c r="F2198" s="10" t="s">
        <v>2525</v>
      </c>
      <c r="G2198" s="11">
        <v>45946</v>
      </c>
    </row>
    <row r="2199" spans="1:7" ht="36.5" hidden="1" x14ac:dyDescent="0.35">
      <c r="A2199" s="8">
        <v>10063</v>
      </c>
      <c r="B2199" s="10" t="s">
        <v>4751</v>
      </c>
      <c r="C2199" s="10" t="s">
        <v>96</v>
      </c>
      <c r="D2199" s="9" t="s">
        <v>278</v>
      </c>
      <c r="E2199" s="9" t="str">
        <f>_xlfn.TEXTAFTER(Condiciones_acumuladas[[#This Row],[Descripción]], " ", -2)</f>
        <v>Mario Edilzer</v>
      </c>
      <c r="F2199" s="10" t="s">
        <v>2530</v>
      </c>
      <c r="G2199" s="11">
        <v>45949</v>
      </c>
    </row>
    <row r="2200" spans="1:7" ht="36.5" hidden="1" x14ac:dyDescent="0.35">
      <c r="A2200" s="8">
        <v>10082</v>
      </c>
      <c r="B2200" s="10" t="s">
        <v>4752</v>
      </c>
      <c r="C2200" s="10" t="s">
        <v>220</v>
      </c>
      <c r="D2200" s="9" t="s">
        <v>21</v>
      </c>
      <c r="E2200" s="9" t="str">
        <f>_xlfn.TEXTAFTER(Condiciones_acumuladas[[#This Row],[Descripción]], " ", -2)</f>
        <v>Oscar Ramirez</v>
      </c>
      <c r="F2200" s="10" t="s">
        <v>2516</v>
      </c>
      <c r="G2200" s="11">
        <v>45946</v>
      </c>
    </row>
    <row r="2201" spans="1:7" ht="36.5" hidden="1" x14ac:dyDescent="0.35">
      <c r="A2201" s="8">
        <v>10064</v>
      </c>
      <c r="B2201" s="10" t="s">
        <v>4753</v>
      </c>
      <c r="C2201" s="10" t="s">
        <v>96</v>
      </c>
      <c r="D2201" s="9" t="s">
        <v>278</v>
      </c>
      <c r="E2201" s="9" t="str">
        <f>_xlfn.TEXTAFTER(Condiciones_acumuladas[[#This Row],[Descripción]], " ", -2)</f>
        <v>Mario Edilzer</v>
      </c>
      <c r="F2201" s="10" t="s">
        <v>2530</v>
      </c>
      <c r="G2201" s="11">
        <v>45949</v>
      </c>
    </row>
    <row r="2202" spans="1:7" ht="36.5" hidden="1" x14ac:dyDescent="0.35">
      <c r="A2202" s="8">
        <v>10066</v>
      </c>
      <c r="B2202" s="10" t="s">
        <v>4754</v>
      </c>
      <c r="C2202" s="10" t="s">
        <v>96</v>
      </c>
      <c r="D2202" s="9" t="s">
        <v>278</v>
      </c>
      <c r="E2202" s="9" t="str">
        <f>_xlfn.TEXTAFTER(Condiciones_acumuladas[[#This Row],[Descripción]], " ", -2)</f>
        <v>Mario Edilzer</v>
      </c>
      <c r="F2202" s="10" t="s">
        <v>2530</v>
      </c>
      <c r="G2202" s="11">
        <v>45949</v>
      </c>
    </row>
    <row r="2203" spans="1:7" ht="48.5" hidden="1" x14ac:dyDescent="0.35">
      <c r="A2203" s="8">
        <v>10065</v>
      </c>
      <c r="B2203" s="10" t="s">
        <v>4755</v>
      </c>
      <c r="C2203" s="10" t="s">
        <v>96</v>
      </c>
      <c r="D2203" s="9" t="s">
        <v>278</v>
      </c>
      <c r="E2203" s="9" t="str">
        <f>_xlfn.TEXTAFTER(Condiciones_acumuladas[[#This Row],[Descripción]], " ", -2)</f>
        <v>Mario Edilzer</v>
      </c>
      <c r="F2203" s="10" t="s">
        <v>2559</v>
      </c>
      <c r="G2203" s="11">
        <v>45949</v>
      </c>
    </row>
    <row r="2204" spans="1:7" ht="36.5" hidden="1" x14ac:dyDescent="0.35">
      <c r="A2204" s="8">
        <v>10067</v>
      </c>
      <c r="B2204" s="10" t="s">
        <v>4756</v>
      </c>
      <c r="C2204" s="10" t="s">
        <v>96</v>
      </c>
      <c r="D2204" s="9" t="s">
        <v>278</v>
      </c>
      <c r="E2204" s="9" t="str">
        <f>_xlfn.TEXTAFTER(Condiciones_acumuladas[[#This Row],[Descripción]], " ", -2)</f>
        <v>Mario Edilzer</v>
      </c>
      <c r="F2204" s="10" t="s">
        <v>2530</v>
      </c>
      <c r="G2204" s="11">
        <v>45949</v>
      </c>
    </row>
    <row r="2205" spans="1:7" ht="36.5" hidden="1" x14ac:dyDescent="0.35">
      <c r="A2205" s="8">
        <v>10094</v>
      </c>
      <c r="B2205" s="10" t="s">
        <v>4757</v>
      </c>
      <c r="C2205" s="10" t="s">
        <v>220</v>
      </c>
      <c r="D2205" s="9" t="s">
        <v>234</v>
      </c>
      <c r="E2205" s="9" t="str">
        <f>_xlfn.TEXTAFTER(Condiciones_acumuladas[[#This Row],[Descripción]], " ", -2)</f>
        <v>Jaime Chilel</v>
      </c>
      <c r="F2205" s="10" t="s">
        <v>2516</v>
      </c>
      <c r="G2205" s="11">
        <v>45950</v>
      </c>
    </row>
    <row r="2206" spans="1:7" ht="48.5" hidden="1" x14ac:dyDescent="0.35">
      <c r="A2206" s="8">
        <v>10093</v>
      </c>
      <c r="B2206" s="10" t="s">
        <v>4758</v>
      </c>
      <c r="C2206" s="10" t="s">
        <v>220</v>
      </c>
      <c r="D2206" s="9" t="s">
        <v>104</v>
      </c>
      <c r="E2206" s="9" t="str">
        <f>_xlfn.TEXTAFTER(Condiciones_acumuladas[[#This Row],[Descripción]], " ", -2)</f>
        <v>Jaime Chilel</v>
      </c>
      <c r="F2206" s="10" t="s">
        <v>2559</v>
      </c>
      <c r="G2206" s="11">
        <v>45947</v>
      </c>
    </row>
    <row r="2207" spans="1:7" ht="36.5" hidden="1" x14ac:dyDescent="0.35">
      <c r="A2207" s="8">
        <v>10087</v>
      </c>
      <c r="B2207" s="10" t="s">
        <v>4759</v>
      </c>
      <c r="C2207" s="10" t="s">
        <v>220</v>
      </c>
      <c r="D2207" s="9" t="s">
        <v>220</v>
      </c>
      <c r="E2207" s="9" t="str">
        <f>_xlfn.TEXTAFTER(Condiciones_acumuladas[[#This Row],[Descripción]], " ", -2)</f>
        <v>Carlos Chavez</v>
      </c>
      <c r="F2207" s="10" t="s">
        <v>2516</v>
      </c>
      <c r="G2207" s="11">
        <v>45946</v>
      </c>
    </row>
    <row r="2208" spans="1:7" ht="36.5" hidden="1" x14ac:dyDescent="0.35">
      <c r="A2208" s="8">
        <v>10090</v>
      </c>
      <c r="B2208" s="10" t="s">
        <v>4760</v>
      </c>
      <c r="C2208" s="10" t="s">
        <v>26</v>
      </c>
      <c r="D2208" s="9" t="s">
        <v>95</v>
      </c>
      <c r="E2208" s="9" t="str">
        <f>_xlfn.TEXTAFTER(Condiciones_acumuladas[[#This Row],[Descripción]], " ", -2)</f>
        <v>Maria Obregón</v>
      </c>
      <c r="F2208" s="10" t="s">
        <v>2516</v>
      </c>
      <c r="G2208" s="11">
        <v>45946</v>
      </c>
    </row>
    <row r="2209" spans="1:7" ht="36.5" hidden="1" x14ac:dyDescent="0.35">
      <c r="A2209" s="8">
        <v>10091</v>
      </c>
      <c r="B2209" s="10" t="s">
        <v>4761</v>
      </c>
      <c r="C2209" s="10" t="s">
        <v>34</v>
      </c>
      <c r="D2209" s="9" t="s">
        <v>395</v>
      </c>
      <c r="E2209" s="9" t="str">
        <f>_xlfn.TEXTAFTER(Condiciones_acumuladas[[#This Row],[Descripción]], " ", -2)</f>
        <v>Daniel Pineda</v>
      </c>
      <c r="F2209" s="10" t="s">
        <v>2516</v>
      </c>
      <c r="G2209" s="11">
        <v>45950</v>
      </c>
    </row>
    <row r="2210" spans="1:7" ht="24.5" hidden="1" x14ac:dyDescent="0.35">
      <c r="A2210" s="8">
        <v>10088</v>
      </c>
      <c r="B2210" s="10" t="s">
        <v>4762</v>
      </c>
      <c r="C2210" s="10" t="s">
        <v>34</v>
      </c>
      <c r="D2210" s="9" t="s">
        <v>395</v>
      </c>
      <c r="E2210" s="9" t="str">
        <f>_xlfn.TEXTAFTER(Condiciones_acumuladas[[#This Row],[Descripción]], " ", -2)</f>
        <v>Yessi Guarcas</v>
      </c>
      <c r="F2210" s="10" t="s">
        <v>2522</v>
      </c>
      <c r="G2210" s="11">
        <v>45946</v>
      </c>
    </row>
    <row r="2211" spans="1:7" ht="36.5" hidden="1" x14ac:dyDescent="0.35">
      <c r="A2211" s="8">
        <v>10089</v>
      </c>
      <c r="B2211" s="10" t="s">
        <v>4763</v>
      </c>
      <c r="C2211" s="10" t="s">
        <v>21</v>
      </c>
      <c r="D2211" s="9" t="s">
        <v>95</v>
      </c>
      <c r="E2211" s="9" t="str">
        <f>_xlfn.TEXTAFTER(Condiciones_acumuladas[[#This Row],[Descripción]], " ", -2)</f>
        <v>Maria Obregón</v>
      </c>
      <c r="F2211" s="10" t="s">
        <v>2516</v>
      </c>
      <c r="G2211" s="11">
        <v>45946</v>
      </c>
    </row>
    <row r="2212" spans="1:7" ht="36.5" hidden="1" x14ac:dyDescent="0.35">
      <c r="A2212" s="8">
        <v>10085</v>
      </c>
      <c r="B2212" s="10" t="s">
        <v>4764</v>
      </c>
      <c r="C2212" s="10" t="s">
        <v>220</v>
      </c>
      <c r="D2212" s="9" t="s">
        <v>371</v>
      </c>
      <c r="E2212" s="9" t="str">
        <f>_xlfn.TEXTAFTER(Condiciones_acumuladas[[#This Row],[Descripción]], " ", -2)</f>
        <v>Rodrigo Galindo</v>
      </c>
      <c r="F2212" s="10" t="s">
        <v>2525</v>
      </c>
      <c r="G2212" s="11">
        <v>45946</v>
      </c>
    </row>
    <row r="2213" spans="1:7" ht="36.5" hidden="1" x14ac:dyDescent="0.35">
      <c r="A2213" s="8">
        <v>10084</v>
      </c>
      <c r="B2213" s="10" t="s">
        <v>4765</v>
      </c>
      <c r="C2213" s="10" t="s">
        <v>220</v>
      </c>
      <c r="D2213" s="9" t="s">
        <v>220</v>
      </c>
      <c r="E2213" s="9" t="str">
        <f>_xlfn.TEXTAFTER(Condiciones_acumuladas[[#This Row],[Descripción]], " ", -2)</f>
        <v>Alejandro Martínez</v>
      </c>
      <c r="F2213" s="10" t="s">
        <v>2516</v>
      </c>
      <c r="G2213" s="11">
        <v>45946</v>
      </c>
    </row>
    <row r="2214" spans="1:7" ht="36.5" hidden="1" x14ac:dyDescent="0.35">
      <c r="A2214" s="8">
        <v>10083</v>
      </c>
      <c r="B2214" s="10" t="s">
        <v>4766</v>
      </c>
      <c r="C2214" s="10" t="s">
        <v>220</v>
      </c>
      <c r="D2214" s="9" t="s">
        <v>95</v>
      </c>
      <c r="E2214" s="9" t="str">
        <f>_xlfn.TEXTAFTER(Condiciones_acumuladas[[#This Row],[Descripción]], " ", -2)</f>
        <v>Andrea Gonzalez</v>
      </c>
      <c r="F2214" s="10" t="s">
        <v>2530</v>
      </c>
      <c r="G2214" s="11">
        <v>45951</v>
      </c>
    </row>
    <row r="2215" spans="1:7" ht="36.5" hidden="1" x14ac:dyDescent="0.35">
      <c r="A2215" s="8">
        <v>10058</v>
      </c>
      <c r="B2215" s="10" t="s">
        <v>4767</v>
      </c>
      <c r="C2215" s="10" t="s">
        <v>34</v>
      </c>
      <c r="D2215" s="9" t="s">
        <v>234</v>
      </c>
      <c r="E2215" s="9" t="str">
        <f>_xlfn.TEXTAFTER(Condiciones_acumuladas[[#This Row],[Descripción]], " ", -2)</f>
        <v>Bryan Neftali</v>
      </c>
      <c r="F2215" s="10" t="s">
        <v>2516</v>
      </c>
      <c r="G2215" s="11">
        <v>45947</v>
      </c>
    </row>
    <row r="2216" spans="1:7" ht="36.5" hidden="1" x14ac:dyDescent="0.35">
      <c r="A2216" s="8">
        <v>10111</v>
      </c>
      <c r="B2216" s="10" t="s">
        <v>4768</v>
      </c>
      <c r="C2216" s="10" t="s">
        <v>26</v>
      </c>
      <c r="D2216" s="9" t="s">
        <v>196</v>
      </c>
      <c r="E2216" s="9" t="str">
        <f>_xlfn.TEXTAFTER(Condiciones_acumuladas[[#This Row],[Descripción]], " ", -2)</f>
        <v>Miguel Godinez</v>
      </c>
      <c r="F2216" s="10" t="s">
        <v>2516</v>
      </c>
      <c r="G2216" s="11">
        <v>45952</v>
      </c>
    </row>
    <row r="2217" spans="1:7" ht="36.5" hidden="1" x14ac:dyDescent="0.35">
      <c r="A2217" s="8">
        <v>10135</v>
      </c>
      <c r="B2217" s="10" t="s">
        <v>4769</v>
      </c>
      <c r="C2217" s="10" t="s">
        <v>21</v>
      </c>
      <c r="D2217" s="9" t="s">
        <v>21</v>
      </c>
      <c r="E2217" s="9" t="str">
        <f>_xlfn.TEXTAFTER(Condiciones_acumuladas[[#This Row],[Descripción]], " ", -2)</f>
        <v>Oscar Ramirez</v>
      </c>
      <c r="F2217" s="10" t="s">
        <v>2530</v>
      </c>
      <c r="G2217" s="11">
        <v>45957</v>
      </c>
    </row>
    <row r="2218" spans="1:7" ht="24.5" hidden="1" x14ac:dyDescent="0.35">
      <c r="A2218" s="8">
        <v>10136</v>
      </c>
      <c r="B2218" s="10" t="s">
        <v>4770</v>
      </c>
      <c r="C2218" s="10" t="s">
        <v>26</v>
      </c>
      <c r="D2218" s="9" t="s">
        <v>95</v>
      </c>
      <c r="E2218" s="9" t="str">
        <f>_xlfn.TEXTAFTER(Condiciones_acumuladas[[#This Row],[Descripción]], " ", -2)</f>
        <v>Gerson Castañeda</v>
      </c>
      <c r="F2218" s="10" t="s">
        <v>2522</v>
      </c>
      <c r="G2218" s="11">
        <v>45957</v>
      </c>
    </row>
    <row r="2219" spans="1:7" ht="36.5" hidden="1" x14ac:dyDescent="0.35">
      <c r="A2219" s="8">
        <v>10131</v>
      </c>
      <c r="B2219" s="10" t="s">
        <v>4771</v>
      </c>
      <c r="C2219" s="10" t="s">
        <v>104</v>
      </c>
      <c r="D2219" s="9" t="s">
        <v>104</v>
      </c>
      <c r="E2219" s="9" t="str">
        <f>_xlfn.TEXTAFTER(Condiciones_acumuladas[[#This Row],[Descripción]], " ", -2)</f>
        <v>Haydée Martínez</v>
      </c>
      <c r="F2219" s="10" t="s">
        <v>2530</v>
      </c>
      <c r="G2219" s="11">
        <v>45957</v>
      </c>
    </row>
    <row r="2220" spans="1:7" ht="36.5" hidden="1" x14ac:dyDescent="0.35">
      <c r="A2220" s="8">
        <v>10129</v>
      </c>
      <c r="B2220" s="10" t="s">
        <v>4772</v>
      </c>
      <c r="C2220" s="10" t="s">
        <v>21</v>
      </c>
      <c r="D2220" s="9" t="s">
        <v>21</v>
      </c>
      <c r="E2220" s="9" t="str">
        <f>_xlfn.TEXTAFTER(Condiciones_acumuladas[[#This Row],[Descripción]], " ", -2)</f>
        <v>Haydée Martínez</v>
      </c>
      <c r="F2220" s="10" t="s">
        <v>2516</v>
      </c>
      <c r="G2220" s="11">
        <v>45955</v>
      </c>
    </row>
    <row r="2221" spans="1:7" ht="36.5" hidden="1" x14ac:dyDescent="0.35">
      <c r="A2221" s="8">
        <v>10133</v>
      </c>
      <c r="B2221" s="10" t="s">
        <v>4773</v>
      </c>
      <c r="C2221" s="10" t="s">
        <v>104</v>
      </c>
      <c r="D2221" s="9" t="s">
        <v>104</v>
      </c>
      <c r="E2221" s="9" t="str">
        <f>_xlfn.TEXTAFTER(Condiciones_acumuladas[[#This Row],[Descripción]], " ", -2)</f>
        <v>Haydée Martínez</v>
      </c>
      <c r="F2221" s="10" t="s">
        <v>2516</v>
      </c>
      <c r="G2221" s="11">
        <v>45957</v>
      </c>
    </row>
    <row r="2222" spans="1:7" ht="36.5" hidden="1" x14ac:dyDescent="0.35">
      <c r="A2222" s="8">
        <v>10134</v>
      </c>
      <c r="B2222" s="10" t="s">
        <v>4774</v>
      </c>
      <c r="C2222" s="10" t="s">
        <v>104</v>
      </c>
      <c r="D2222" s="9" t="s">
        <v>104</v>
      </c>
      <c r="E2222" s="9" t="str">
        <f>_xlfn.TEXTAFTER(Condiciones_acumuladas[[#This Row],[Descripción]], " ", -2)</f>
        <v>Haydée Martínez</v>
      </c>
      <c r="F2222" s="10" t="s">
        <v>2516</v>
      </c>
      <c r="G2222" s="11">
        <v>45957</v>
      </c>
    </row>
    <row r="2223" spans="1:7" ht="36.5" hidden="1" x14ac:dyDescent="0.35">
      <c r="A2223" s="8">
        <v>10132</v>
      </c>
      <c r="B2223" s="10" t="s">
        <v>4775</v>
      </c>
      <c r="C2223" s="10" t="s">
        <v>104</v>
      </c>
      <c r="D2223" s="9" t="s">
        <v>104</v>
      </c>
      <c r="E2223" s="9" t="str">
        <f>_xlfn.TEXTAFTER(Condiciones_acumuladas[[#This Row],[Descripción]], " ", -2)</f>
        <v>Haydée Martínez</v>
      </c>
      <c r="F2223" s="10" t="s">
        <v>2516</v>
      </c>
      <c r="G2223" s="11">
        <v>45957</v>
      </c>
    </row>
    <row r="2224" spans="1:7" ht="24.5" hidden="1" x14ac:dyDescent="0.35">
      <c r="A2224" s="8">
        <v>10126</v>
      </c>
      <c r="B2224" s="10" t="s">
        <v>4776</v>
      </c>
      <c r="C2224" s="10" t="s">
        <v>234</v>
      </c>
      <c r="D2224" s="9" t="s">
        <v>95</v>
      </c>
      <c r="E2224" s="9" t="str">
        <f>_xlfn.TEXTAFTER(Condiciones_acumuladas[[#This Row],[Descripción]], " ", -2)</f>
        <v>Maria Obregón</v>
      </c>
      <c r="F2224" s="10" t="s">
        <v>2522</v>
      </c>
      <c r="G2224" s="11">
        <v>45954</v>
      </c>
    </row>
    <row r="2225" spans="1:7" ht="24.5" hidden="1" x14ac:dyDescent="0.35">
      <c r="A2225" s="8">
        <v>10120</v>
      </c>
      <c r="B2225" s="10" t="s">
        <v>4777</v>
      </c>
      <c r="C2225" s="10" t="s">
        <v>134</v>
      </c>
      <c r="D2225" s="9" t="s">
        <v>95</v>
      </c>
      <c r="E2225" s="9" t="str">
        <f>_xlfn.TEXTAFTER(Condiciones_acumuladas[[#This Row],[Descripción]], " ", -2)</f>
        <v>Efrain Valux</v>
      </c>
      <c r="F2225" s="10" t="s">
        <v>2522</v>
      </c>
      <c r="G2225" s="11">
        <v>45953</v>
      </c>
    </row>
    <row r="2226" spans="1:7" ht="36.5" hidden="1" x14ac:dyDescent="0.35">
      <c r="A2226" s="8">
        <v>10123</v>
      </c>
      <c r="B2226" s="10" t="s">
        <v>4778</v>
      </c>
      <c r="C2226" s="10" t="s">
        <v>34</v>
      </c>
      <c r="D2226" s="9" t="s">
        <v>278</v>
      </c>
      <c r="E2226" s="9" t="str">
        <f>_xlfn.TEXTAFTER(Condiciones_acumuladas[[#This Row],[Descripción]], " ", -2)</f>
        <v>jason Calderón</v>
      </c>
      <c r="F2226" s="10" t="s">
        <v>2516</v>
      </c>
      <c r="G2226" s="11">
        <v>45954</v>
      </c>
    </row>
    <row r="2227" spans="1:7" ht="24.5" hidden="1" x14ac:dyDescent="0.35">
      <c r="A2227" s="8">
        <v>10118</v>
      </c>
      <c r="B2227" s="10" t="s">
        <v>4779</v>
      </c>
      <c r="C2227" s="10" t="s">
        <v>395</v>
      </c>
      <c r="D2227" s="9" t="s">
        <v>190</v>
      </c>
      <c r="E2227" s="9" t="str">
        <f>_xlfn.TEXTAFTER(Condiciones_acumuladas[[#This Row],[Descripción]], " ", -2)</f>
        <v>Pablo Donis</v>
      </c>
      <c r="F2227" s="10" t="s">
        <v>2522</v>
      </c>
      <c r="G2227" s="11">
        <v>45952</v>
      </c>
    </row>
    <row r="2228" spans="1:7" ht="24.5" hidden="1" x14ac:dyDescent="0.35">
      <c r="A2228" s="8">
        <v>10130</v>
      </c>
      <c r="B2228" s="10" t="s">
        <v>4780</v>
      </c>
      <c r="C2228" s="10" t="s">
        <v>21</v>
      </c>
      <c r="D2228" s="9" t="s">
        <v>21</v>
      </c>
      <c r="E2228" s="9" t="str">
        <f>_xlfn.TEXTAFTER(Condiciones_acumuladas[[#This Row],[Descripción]], " ", -2)</f>
        <v>Haydée Martínez</v>
      </c>
      <c r="F2228" s="10" t="s">
        <v>2522</v>
      </c>
      <c r="G2228" s="11">
        <v>45955</v>
      </c>
    </row>
    <row r="2229" spans="1:7" ht="36.5" hidden="1" x14ac:dyDescent="0.35">
      <c r="A2229" s="8">
        <v>10125</v>
      </c>
      <c r="B2229" s="10" t="s">
        <v>4781</v>
      </c>
      <c r="C2229" s="10" t="s">
        <v>134</v>
      </c>
      <c r="D2229" s="9" t="s">
        <v>395</v>
      </c>
      <c r="E2229" s="9" t="str">
        <f>_xlfn.TEXTAFTER(Condiciones_acumuladas[[#This Row],[Descripción]], " ", -2)</f>
        <v>Yessi Guarcas</v>
      </c>
      <c r="F2229" s="10" t="s">
        <v>2516</v>
      </c>
      <c r="G2229" s="11">
        <v>45954</v>
      </c>
    </row>
    <row r="2230" spans="1:7" ht="24.5" hidden="1" x14ac:dyDescent="0.35">
      <c r="A2230" s="8">
        <v>10128</v>
      </c>
      <c r="B2230" s="10" t="s">
        <v>4782</v>
      </c>
      <c r="C2230" s="10" t="s">
        <v>134</v>
      </c>
      <c r="D2230" s="9" t="s">
        <v>134</v>
      </c>
      <c r="E2230" s="9" t="str">
        <f>_xlfn.TEXTAFTER(Condiciones_acumuladas[[#This Row],[Descripción]], " ", -2)</f>
        <v>Haydée Martínez</v>
      </c>
      <c r="F2230" s="10" t="s">
        <v>2834</v>
      </c>
      <c r="G2230" s="11">
        <v>45955</v>
      </c>
    </row>
    <row r="2231" spans="1:7" ht="36.5" hidden="1" x14ac:dyDescent="0.35">
      <c r="A2231" s="8">
        <v>10124</v>
      </c>
      <c r="B2231" s="10" t="s">
        <v>4783</v>
      </c>
      <c r="C2231" s="10" t="s">
        <v>134</v>
      </c>
      <c r="D2231" s="9" t="s">
        <v>395</v>
      </c>
      <c r="E2231" s="9" t="str">
        <f>_xlfn.TEXTAFTER(Condiciones_acumuladas[[#This Row],[Descripción]], " ", -2)</f>
        <v>Yessi Guarcas</v>
      </c>
      <c r="F2231" s="10" t="s">
        <v>2572</v>
      </c>
      <c r="G2231" s="11">
        <v>45954</v>
      </c>
    </row>
    <row r="2232" spans="1:7" ht="36.5" hidden="1" x14ac:dyDescent="0.35">
      <c r="A2232" s="8">
        <v>10127</v>
      </c>
      <c r="B2232" s="10" t="s">
        <v>4784</v>
      </c>
      <c r="C2232" s="10" t="s">
        <v>234</v>
      </c>
      <c r="D2232" s="9" t="s">
        <v>95</v>
      </c>
      <c r="E2232" s="9" t="str">
        <f>_xlfn.TEXTAFTER(Condiciones_acumuladas[[#This Row],[Descripción]], " ", -2)</f>
        <v>Maria Obregón</v>
      </c>
      <c r="F2232" s="10" t="s">
        <v>2516</v>
      </c>
      <c r="G2232" s="11">
        <v>45954</v>
      </c>
    </row>
    <row r="2233" spans="1:7" ht="24.5" hidden="1" x14ac:dyDescent="0.35">
      <c r="A2233" s="8">
        <v>10121</v>
      </c>
      <c r="B2233" s="10" t="s">
        <v>4785</v>
      </c>
      <c r="C2233" s="10" t="s">
        <v>96</v>
      </c>
      <c r="D2233" s="9" t="s">
        <v>96</v>
      </c>
      <c r="E2233" s="9" t="str">
        <f>_xlfn.TEXTAFTER(Condiciones_acumuladas[[#This Row],[Descripción]], " ", -2)</f>
        <v>Isabel Saquila</v>
      </c>
      <c r="F2233" s="10" t="s">
        <v>2522</v>
      </c>
      <c r="G2233" s="11">
        <v>45953</v>
      </c>
    </row>
    <row r="2234" spans="1:7" ht="36.5" hidden="1" x14ac:dyDescent="0.35">
      <c r="A2234" s="8">
        <v>10122</v>
      </c>
      <c r="B2234" s="10" t="s">
        <v>4786</v>
      </c>
      <c r="C2234" s="10" t="s">
        <v>196</v>
      </c>
      <c r="D2234" s="9" t="s">
        <v>95</v>
      </c>
      <c r="E2234" s="9" t="str">
        <f>_xlfn.TEXTAFTER(Condiciones_acumuladas[[#This Row],[Descripción]], " ", -2)</f>
        <v>Ana Sanchez</v>
      </c>
      <c r="F2234" s="10" t="s">
        <v>2516</v>
      </c>
      <c r="G2234" s="11">
        <v>45954</v>
      </c>
    </row>
    <row r="2235" spans="1:7" ht="24.5" hidden="1" x14ac:dyDescent="0.35">
      <c r="A2235" s="8">
        <v>10115</v>
      </c>
      <c r="B2235" s="10" t="s">
        <v>4787</v>
      </c>
      <c r="C2235" s="10" t="s">
        <v>26</v>
      </c>
      <c r="D2235" s="9" t="s">
        <v>234</v>
      </c>
      <c r="E2235" s="9" t="str">
        <f>_xlfn.TEXTAFTER(Condiciones_acumuladas[[#This Row],[Descripción]], " ", -2)</f>
        <v>Bryan Neftali</v>
      </c>
      <c r="F2235" s="10" t="s">
        <v>2522</v>
      </c>
      <c r="G2235" s="11">
        <v>45952</v>
      </c>
    </row>
    <row r="2236" spans="1:7" ht="36.5" hidden="1" x14ac:dyDescent="0.35">
      <c r="A2236" s="8">
        <v>10117</v>
      </c>
      <c r="B2236" s="10" t="s">
        <v>4788</v>
      </c>
      <c r="C2236" s="10" t="s">
        <v>104</v>
      </c>
      <c r="D2236" s="9" t="s">
        <v>234</v>
      </c>
      <c r="E2236" s="9" t="str">
        <f>_xlfn.TEXTAFTER(Condiciones_acumuladas[[#This Row],[Descripción]], " ", -2)</f>
        <v>Bryan Neftali</v>
      </c>
      <c r="F2236" s="10" t="s">
        <v>2525</v>
      </c>
      <c r="G2236" s="11">
        <v>45957</v>
      </c>
    </row>
    <row r="2237" spans="1:7" ht="36.5" hidden="1" x14ac:dyDescent="0.35">
      <c r="A2237" s="8">
        <v>10112</v>
      </c>
      <c r="B2237" s="10" t="s">
        <v>4789</v>
      </c>
      <c r="C2237" s="10" t="s">
        <v>95</v>
      </c>
      <c r="D2237" s="9" t="s">
        <v>395</v>
      </c>
      <c r="E2237" s="9" t="str">
        <f>_xlfn.TEXTAFTER(Condiciones_acumuladas[[#This Row],[Descripción]], " ", -2)</f>
        <v>Josué Vásquez</v>
      </c>
      <c r="F2237" s="10" t="s">
        <v>2525</v>
      </c>
      <c r="G2237" s="11">
        <v>45952</v>
      </c>
    </row>
    <row r="2238" spans="1:7" ht="36.5" hidden="1" x14ac:dyDescent="0.35">
      <c r="A2238" s="8">
        <v>10116</v>
      </c>
      <c r="B2238" s="10" t="s">
        <v>4790</v>
      </c>
      <c r="C2238" s="10" t="s">
        <v>134</v>
      </c>
      <c r="D2238" s="9" t="s">
        <v>134</v>
      </c>
      <c r="E2238" s="9" t="str">
        <f>_xlfn.TEXTAFTER(Condiciones_acumuladas[[#This Row],[Descripción]], " ", -2)</f>
        <v>Roger Rivas</v>
      </c>
      <c r="F2238" s="10" t="s">
        <v>2516</v>
      </c>
      <c r="G2238" s="11">
        <v>45952</v>
      </c>
    </row>
    <row r="2239" spans="1:7" ht="24.5" hidden="1" x14ac:dyDescent="0.35">
      <c r="A2239" s="8">
        <v>10114</v>
      </c>
      <c r="B2239" s="10" t="s">
        <v>4791</v>
      </c>
      <c r="C2239" s="10" t="s">
        <v>26</v>
      </c>
      <c r="D2239" s="9" t="s">
        <v>234</v>
      </c>
      <c r="E2239" s="9" t="str">
        <f>_xlfn.TEXTAFTER(Condiciones_acumuladas[[#This Row],[Descripción]], " ", -2)</f>
        <v>Bryan Neftali</v>
      </c>
      <c r="F2239" s="10" t="s">
        <v>2522</v>
      </c>
      <c r="G2239" s="11">
        <v>45952</v>
      </c>
    </row>
    <row r="2240" spans="1:7" ht="48.5" hidden="1" x14ac:dyDescent="0.35">
      <c r="A2240" s="8">
        <v>10103</v>
      </c>
      <c r="B2240" s="10" t="s">
        <v>4792</v>
      </c>
      <c r="C2240" s="10" t="s">
        <v>104</v>
      </c>
      <c r="D2240" s="9" t="s">
        <v>104</v>
      </c>
      <c r="E2240" s="9" t="str">
        <f>_xlfn.TEXTAFTER(Condiciones_acumuladas[[#This Row],[Descripción]], " ", -2)</f>
        <v>Haydée Martínez</v>
      </c>
      <c r="F2240" s="10" t="s">
        <v>2559</v>
      </c>
      <c r="G2240" s="11">
        <v>45952</v>
      </c>
    </row>
    <row r="2241" spans="1:7" ht="36.5" hidden="1" x14ac:dyDescent="0.35">
      <c r="A2241" s="8">
        <v>10113</v>
      </c>
      <c r="B2241" s="10" t="s">
        <v>4793</v>
      </c>
      <c r="C2241" s="10" t="s">
        <v>26</v>
      </c>
      <c r="D2241" s="9" t="s">
        <v>395</v>
      </c>
      <c r="E2241" s="9" t="str">
        <f>_xlfn.TEXTAFTER(Condiciones_acumuladas[[#This Row],[Descripción]], " ", -2)</f>
        <v>Yessi Guarcas</v>
      </c>
      <c r="F2241" s="10" t="s">
        <v>2516</v>
      </c>
      <c r="G2241" s="11">
        <v>45952</v>
      </c>
    </row>
    <row r="2242" spans="1:7" ht="24.5" hidden="1" x14ac:dyDescent="0.35">
      <c r="A2242" s="8">
        <v>10104</v>
      </c>
      <c r="B2242" s="10" t="s">
        <v>4794</v>
      </c>
      <c r="C2242" s="10" t="s">
        <v>104</v>
      </c>
      <c r="D2242" s="9" t="s">
        <v>104</v>
      </c>
      <c r="E2242" s="9" t="str">
        <f>_xlfn.TEXTAFTER(Condiciones_acumuladas[[#This Row],[Descripción]], " ", -2)</f>
        <v>Haydée Martínez</v>
      </c>
      <c r="F2242" s="10" t="s">
        <v>2522</v>
      </c>
      <c r="G2242" s="11">
        <v>45952</v>
      </c>
    </row>
    <row r="2243" spans="1:7" ht="48.5" hidden="1" x14ac:dyDescent="0.35">
      <c r="A2243" s="8">
        <v>10098</v>
      </c>
      <c r="B2243" s="10" t="s">
        <v>4795</v>
      </c>
      <c r="C2243" s="10" t="s">
        <v>234</v>
      </c>
      <c r="D2243" s="9" t="s">
        <v>234</v>
      </c>
      <c r="E2243" s="9" t="str">
        <f>_xlfn.TEXTAFTER(Condiciones_acumuladas[[#This Row],[Descripción]], " ", -2)</f>
        <v>Bryan Neftali</v>
      </c>
      <c r="F2243" s="10" t="s">
        <v>2559</v>
      </c>
      <c r="G2243" s="11">
        <v>45952</v>
      </c>
    </row>
    <row r="2244" spans="1:7" ht="24.5" hidden="1" x14ac:dyDescent="0.35">
      <c r="A2244" s="8">
        <v>10100</v>
      </c>
      <c r="B2244" s="10" t="s">
        <v>4796</v>
      </c>
      <c r="C2244" s="10" t="s">
        <v>104</v>
      </c>
      <c r="D2244" s="9" t="s">
        <v>95</v>
      </c>
      <c r="E2244" s="9" t="str">
        <f>_xlfn.TEXTAFTER(Condiciones_acumuladas[[#This Row],[Descripción]], " ", -2)</f>
        <v>Luis Cabrera</v>
      </c>
      <c r="F2244" s="10" t="s">
        <v>2522</v>
      </c>
      <c r="G2244" s="11">
        <v>45954</v>
      </c>
    </row>
    <row r="2245" spans="1:7" ht="48.5" hidden="1" x14ac:dyDescent="0.35">
      <c r="A2245" s="8">
        <v>10101</v>
      </c>
      <c r="B2245" s="10" t="s">
        <v>4797</v>
      </c>
      <c r="C2245" s="10" t="s">
        <v>96</v>
      </c>
      <c r="D2245" s="9" t="s">
        <v>95</v>
      </c>
      <c r="E2245" s="9" t="str">
        <f>_xlfn.TEXTAFTER(Condiciones_acumuladas[[#This Row],[Descripción]], " ", -2)</f>
        <v>Andrea Gonzalez</v>
      </c>
      <c r="F2245" s="10" t="s">
        <v>2559</v>
      </c>
      <c r="G2245" s="11">
        <v>45954</v>
      </c>
    </row>
    <row r="2246" spans="1:7" ht="36.5" hidden="1" x14ac:dyDescent="0.35">
      <c r="A2246" s="8">
        <v>10105</v>
      </c>
      <c r="B2246" s="10" t="s">
        <v>4798</v>
      </c>
      <c r="C2246" s="10" t="s">
        <v>13</v>
      </c>
      <c r="D2246" s="9" t="s">
        <v>13</v>
      </c>
      <c r="E2246" s="9" t="str">
        <f>_xlfn.TEXTAFTER(Condiciones_acumuladas[[#This Row],[Descripción]], " ", -2)</f>
        <v>Oscar Ramirez</v>
      </c>
      <c r="F2246" s="10" t="s">
        <v>2516</v>
      </c>
      <c r="G2246" s="11">
        <v>45952</v>
      </c>
    </row>
    <row r="2247" spans="1:7" ht="24.5" hidden="1" x14ac:dyDescent="0.35">
      <c r="A2247" s="8">
        <v>10107</v>
      </c>
      <c r="B2247" s="10" t="s">
        <v>4799</v>
      </c>
      <c r="C2247" s="10" t="s">
        <v>278</v>
      </c>
      <c r="D2247" s="9" t="s">
        <v>220</v>
      </c>
      <c r="E2247" s="9" t="str">
        <f>_xlfn.TEXTAFTER(Condiciones_acumuladas[[#This Row],[Descripción]], " ", -2)</f>
        <v>Elvis Oliva</v>
      </c>
      <c r="F2247" s="10" t="s">
        <v>2522</v>
      </c>
      <c r="G2247" s="11">
        <v>45952</v>
      </c>
    </row>
    <row r="2248" spans="1:7" ht="36.5" hidden="1" x14ac:dyDescent="0.35">
      <c r="A2248" s="8">
        <v>10110</v>
      </c>
      <c r="B2248" s="10" t="s">
        <v>4800</v>
      </c>
      <c r="C2248" s="10" t="s">
        <v>26</v>
      </c>
      <c r="D2248" s="9" t="s">
        <v>395</v>
      </c>
      <c r="E2248" s="9" t="str">
        <f>_xlfn.TEXTAFTER(Condiciones_acumuladas[[#This Row],[Descripción]], " ", -2)</f>
        <v>Yessi Guarcas</v>
      </c>
      <c r="F2248" s="10" t="s">
        <v>2530</v>
      </c>
      <c r="G2248" s="11">
        <v>45952</v>
      </c>
    </row>
    <row r="2249" spans="1:7" ht="36.5" hidden="1" x14ac:dyDescent="0.35">
      <c r="A2249" s="8">
        <v>10106</v>
      </c>
      <c r="B2249" s="10" t="s">
        <v>4801</v>
      </c>
      <c r="C2249" s="10" t="s">
        <v>21</v>
      </c>
      <c r="D2249" s="9" t="s">
        <v>395</v>
      </c>
      <c r="E2249" s="9" t="str">
        <f>_xlfn.TEXTAFTER(Condiciones_acumuladas[[#This Row],[Descripción]], " ", -2)</f>
        <v>Josué Vásquez</v>
      </c>
      <c r="F2249" s="10" t="s">
        <v>2516</v>
      </c>
      <c r="G2249" s="11">
        <v>45952</v>
      </c>
    </row>
    <row r="2250" spans="1:7" ht="48.5" hidden="1" x14ac:dyDescent="0.35">
      <c r="A2250" s="8">
        <v>10109</v>
      </c>
      <c r="B2250" s="10" t="s">
        <v>4802</v>
      </c>
      <c r="C2250" s="10" t="s">
        <v>104</v>
      </c>
      <c r="D2250" s="9" t="s">
        <v>96</v>
      </c>
      <c r="E2250" s="9" t="str">
        <f>_xlfn.TEXTAFTER(Condiciones_acumuladas[[#This Row],[Descripción]], " ", -2)</f>
        <v>Luis Pérez</v>
      </c>
      <c r="F2250" s="10" t="s">
        <v>2559</v>
      </c>
      <c r="G2250" s="11">
        <v>45952</v>
      </c>
    </row>
    <row r="2251" spans="1:7" ht="36.5" hidden="1" x14ac:dyDescent="0.35">
      <c r="A2251" s="8">
        <v>10108</v>
      </c>
      <c r="B2251" s="10" t="s">
        <v>4803</v>
      </c>
      <c r="C2251" s="10" t="s">
        <v>26</v>
      </c>
      <c r="D2251" s="9" t="s">
        <v>196</v>
      </c>
      <c r="E2251" s="9" t="str">
        <f>_xlfn.TEXTAFTER(Condiciones_acumuladas[[#This Row],[Descripción]], " ", -2)</f>
        <v>Miguel Godinez</v>
      </c>
      <c r="F2251" s="10" t="s">
        <v>2516</v>
      </c>
      <c r="G2251" s="11">
        <v>45952</v>
      </c>
    </row>
    <row r="2252" spans="1:7" ht="24.5" hidden="1" x14ac:dyDescent="0.35">
      <c r="A2252" s="8">
        <v>10147</v>
      </c>
      <c r="B2252" s="10" t="s">
        <v>4804</v>
      </c>
      <c r="C2252" s="10" t="s">
        <v>134</v>
      </c>
      <c r="D2252" s="9" t="s">
        <v>95</v>
      </c>
      <c r="E2252" s="9" t="str">
        <f>_xlfn.TEXTAFTER(Condiciones_acumuladas[[#This Row],[Descripción]], " ", -2)</f>
        <v>Nelson Godinez</v>
      </c>
      <c r="F2252" s="10" t="s">
        <v>2522</v>
      </c>
      <c r="G2252" s="11">
        <v>45961</v>
      </c>
    </row>
    <row r="2253" spans="1:7" ht="24.5" hidden="1" x14ac:dyDescent="0.35">
      <c r="A2253" s="8">
        <v>10154</v>
      </c>
      <c r="B2253" s="10" t="s">
        <v>4805</v>
      </c>
      <c r="C2253" s="10" t="s">
        <v>134</v>
      </c>
      <c r="D2253" s="9" t="s">
        <v>95</v>
      </c>
      <c r="E2253" s="9" t="str">
        <f>_xlfn.TEXTAFTER(Condiciones_acumuladas[[#This Row],[Descripción]], " ", -2)</f>
        <v>Nelson Godinez</v>
      </c>
      <c r="F2253" s="10" t="s">
        <v>2522</v>
      </c>
      <c r="G2253" s="11">
        <v>45961</v>
      </c>
    </row>
    <row r="2254" spans="1:7" ht="36.5" hidden="1" x14ac:dyDescent="0.35">
      <c r="A2254" s="8">
        <v>10170</v>
      </c>
      <c r="B2254" s="10" t="s">
        <v>4806</v>
      </c>
      <c r="C2254" s="10" t="s">
        <v>250</v>
      </c>
      <c r="D2254" s="9" t="s">
        <v>250</v>
      </c>
      <c r="E2254" s="9" t="str">
        <f>_xlfn.TEXTAFTER(Condiciones_acumuladas[[#This Row],[Descripción]], " ", -2)</f>
        <v>Ariel Cua</v>
      </c>
      <c r="F2254" s="10" t="s">
        <v>2572</v>
      </c>
      <c r="G2254" s="11">
        <v>45963</v>
      </c>
    </row>
    <row r="2255" spans="1:7" ht="24.5" hidden="1" x14ac:dyDescent="0.35">
      <c r="A2255" s="8">
        <v>10176</v>
      </c>
      <c r="B2255" s="10" t="s">
        <v>4807</v>
      </c>
      <c r="C2255" s="10" t="s">
        <v>21</v>
      </c>
      <c r="D2255" s="9" t="s">
        <v>190</v>
      </c>
      <c r="E2255" s="9" t="str">
        <f>_xlfn.TEXTAFTER(Condiciones_acumuladas[[#This Row],[Descripción]], " ", -2)</f>
        <v>Edson Bonifacio</v>
      </c>
      <c r="F2255" s="10" t="s">
        <v>2522</v>
      </c>
      <c r="G2255" s="11">
        <v>45961</v>
      </c>
    </row>
    <row r="2256" spans="1:7" ht="36.5" hidden="1" x14ac:dyDescent="0.35">
      <c r="A2256" s="8">
        <v>10194</v>
      </c>
      <c r="B2256" s="10" t="s">
        <v>4808</v>
      </c>
      <c r="C2256" s="10" t="s">
        <v>95</v>
      </c>
      <c r="D2256" s="9" t="s">
        <v>227</v>
      </c>
      <c r="E2256" s="9" t="str">
        <f>_xlfn.TEXTAFTER(Condiciones_acumuladas[[#This Row],[Descripción]], " ", -2)</f>
        <v>Astrid Macario</v>
      </c>
      <c r="F2256" s="10" t="s">
        <v>2525</v>
      </c>
      <c r="G2256" s="11">
        <v>45966</v>
      </c>
    </row>
    <row r="2257" spans="1:7" ht="36.5" hidden="1" x14ac:dyDescent="0.35">
      <c r="A2257" s="8">
        <v>10192</v>
      </c>
      <c r="B2257" s="10" t="s">
        <v>4809</v>
      </c>
      <c r="C2257" s="10" t="s">
        <v>21</v>
      </c>
      <c r="D2257" s="9" t="s">
        <v>21</v>
      </c>
      <c r="E2257" s="9" t="str">
        <f>_xlfn.TEXTAFTER(Condiciones_acumuladas[[#This Row],[Descripción]], " ", -2)</f>
        <v>Oscar Ramirez</v>
      </c>
      <c r="F2257" s="10" t="s">
        <v>2516</v>
      </c>
      <c r="G2257" s="11">
        <v>45965</v>
      </c>
    </row>
    <row r="2258" spans="1:7" ht="36.5" hidden="1" x14ac:dyDescent="0.35">
      <c r="A2258" s="8">
        <v>10196</v>
      </c>
      <c r="B2258" s="10" t="s">
        <v>4810</v>
      </c>
      <c r="C2258" s="10" t="s">
        <v>13</v>
      </c>
      <c r="D2258" s="9" t="s">
        <v>395</v>
      </c>
      <c r="E2258" s="9" t="str">
        <f>_xlfn.TEXTAFTER(Condiciones_acumuladas[[#This Row],[Descripción]], " ", -2)</f>
        <v>Antony Ramos</v>
      </c>
      <c r="F2258" s="10" t="s">
        <v>2516</v>
      </c>
      <c r="G2258" s="11">
        <v>45966</v>
      </c>
    </row>
    <row r="2259" spans="1:7" ht="36.5" hidden="1" x14ac:dyDescent="0.35">
      <c r="A2259" s="8">
        <v>10186</v>
      </c>
      <c r="B2259" s="10" t="s">
        <v>4811</v>
      </c>
      <c r="C2259" s="10" t="s">
        <v>34</v>
      </c>
      <c r="D2259" s="9" t="s">
        <v>250</v>
      </c>
      <c r="E2259" s="9" t="str">
        <f>_xlfn.TEXTAFTER(Condiciones_acumuladas[[#This Row],[Descripción]], " ", -2)</f>
        <v>Edson Bonifacio</v>
      </c>
      <c r="F2259" s="10" t="s">
        <v>2516</v>
      </c>
      <c r="G2259" s="11">
        <v>45964</v>
      </c>
    </row>
    <row r="2260" spans="1:7" ht="48.5" hidden="1" x14ac:dyDescent="0.35">
      <c r="A2260" s="8">
        <v>10182</v>
      </c>
      <c r="B2260" s="10" t="s">
        <v>4812</v>
      </c>
      <c r="C2260" s="10" t="s">
        <v>21</v>
      </c>
      <c r="D2260" s="9" t="s">
        <v>250</v>
      </c>
      <c r="E2260" s="9" t="str">
        <f>_xlfn.TEXTAFTER(Condiciones_acumuladas[[#This Row],[Descripción]], " ", -2)</f>
        <v>Edson Bonifacio</v>
      </c>
      <c r="F2260" s="10" t="s">
        <v>2559</v>
      </c>
      <c r="G2260" s="11">
        <v>45964</v>
      </c>
    </row>
    <row r="2261" spans="1:7" ht="36.5" hidden="1" x14ac:dyDescent="0.35">
      <c r="A2261" s="8">
        <v>10197</v>
      </c>
      <c r="B2261" s="10" t="s">
        <v>4813</v>
      </c>
      <c r="C2261" s="10" t="s">
        <v>190</v>
      </c>
      <c r="D2261" s="9" t="s">
        <v>234</v>
      </c>
      <c r="E2261" s="9" t="str">
        <f>_xlfn.TEXTAFTER(Condiciones_acumuladas[[#This Row],[Descripción]], " ", -2)</f>
        <v>Wilber López</v>
      </c>
      <c r="F2261" s="10" t="s">
        <v>2516</v>
      </c>
      <c r="G2261" s="11">
        <v>45966</v>
      </c>
    </row>
    <row r="2262" spans="1:7" ht="36.5" hidden="1" x14ac:dyDescent="0.35">
      <c r="A2262" s="8">
        <v>10189</v>
      </c>
      <c r="B2262" s="10" t="s">
        <v>4814</v>
      </c>
      <c r="C2262" s="10" t="s">
        <v>250</v>
      </c>
      <c r="D2262" s="9" t="s">
        <v>13</v>
      </c>
      <c r="E2262" s="9" t="str">
        <f>_xlfn.TEXTAFTER(Condiciones_acumuladas[[#This Row],[Descripción]], " ", -2)</f>
        <v>Oscar Ramirez</v>
      </c>
      <c r="F2262" s="10" t="s">
        <v>2516</v>
      </c>
      <c r="G2262" s="11">
        <v>45965</v>
      </c>
    </row>
    <row r="2263" spans="1:7" ht="24.5" hidden="1" x14ac:dyDescent="0.35">
      <c r="A2263" s="8">
        <v>10184</v>
      </c>
      <c r="B2263" s="10" t="s">
        <v>4815</v>
      </c>
      <c r="C2263" s="10" t="s">
        <v>190</v>
      </c>
      <c r="D2263" s="9" t="s">
        <v>190</v>
      </c>
      <c r="E2263" s="9" t="str">
        <f>_xlfn.TEXTAFTER(Condiciones_acumuladas[[#This Row],[Descripción]], " ", -2)</f>
        <v>Pablo Donis</v>
      </c>
      <c r="F2263" s="10" t="s">
        <v>2522</v>
      </c>
      <c r="G2263" s="11">
        <v>45964</v>
      </c>
    </row>
    <row r="2264" spans="1:7" ht="24.5" hidden="1" x14ac:dyDescent="0.35">
      <c r="A2264" s="8">
        <v>10185</v>
      </c>
      <c r="B2264" s="10" t="s">
        <v>4816</v>
      </c>
      <c r="C2264" s="10" t="s">
        <v>190</v>
      </c>
      <c r="D2264" s="9" t="s">
        <v>250</v>
      </c>
      <c r="E2264" s="9" t="str">
        <f>_xlfn.TEXTAFTER(Condiciones_acumuladas[[#This Row],[Descripción]], " ", -2)</f>
        <v>Pablo Donis</v>
      </c>
      <c r="F2264" s="10" t="s">
        <v>2522</v>
      </c>
      <c r="G2264" s="11">
        <v>45964</v>
      </c>
    </row>
    <row r="2265" spans="1:7" ht="36.5" hidden="1" x14ac:dyDescent="0.35">
      <c r="A2265" s="8">
        <v>10188</v>
      </c>
      <c r="B2265" s="10" t="s">
        <v>4817</v>
      </c>
      <c r="C2265" s="10" t="s">
        <v>13</v>
      </c>
      <c r="D2265" s="9" t="s">
        <v>21</v>
      </c>
      <c r="E2265" s="9" t="str">
        <f>_xlfn.TEXTAFTER(Condiciones_acumuladas[[#This Row],[Descripción]], " ", -2)</f>
        <v>Oscar Ramirez</v>
      </c>
      <c r="F2265" s="10" t="s">
        <v>2516</v>
      </c>
      <c r="G2265" s="11">
        <v>45965</v>
      </c>
    </row>
    <row r="2266" spans="1:7" ht="48.5" hidden="1" x14ac:dyDescent="0.35">
      <c r="A2266" s="8">
        <v>10311</v>
      </c>
      <c r="B2266" s="10" t="s">
        <v>4818</v>
      </c>
      <c r="C2266" s="10" t="s">
        <v>96</v>
      </c>
      <c r="D2266" s="9" t="s">
        <v>95</v>
      </c>
      <c r="E2266" s="9" t="str">
        <f>_xlfn.TEXTAFTER(Condiciones_acumuladas[[#This Row],[Descripción]], " ", -2)</f>
        <v>Alejandor Martinez</v>
      </c>
      <c r="F2266" s="10" t="s">
        <v>2559</v>
      </c>
      <c r="G2266" s="11">
        <v>45980</v>
      </c>
    </row>
    <row r="2267" spans="1:7" ht="36.5" hidden="1" x14ac:dyDescent="0.35">
      <c r="A2267" s="8">
        <v>10190</v>
      </c>
      <c r="B2267" s="10" t="s">
        <v>3245</v>
      </c>
      <c r="C2267" s="10" t="s">
        <v>13</v>
      </c>
      <c r="D2267" s="9" t="s">
        <v>13</v>
      </c>
      <c r="E2267" s="9" t="str">
        <f>_xlfn.TEXTAFTER(Condiciones_acumuladas[[#This Row],[Descripción]], " ", -2)</f>
        <v>Gustavo Hernández</v>
      </c>
      <c r="F2267" s="10" t="s">
        <v>2516</v>
      </c>
      <c r="G2267" s="11">
        <v>45965</v>
      </c>
    </row>
    <row r="2268" spans="1:7" ht="36.5" hidden="1" x14ac:dyDescent="0.35">
      <c r="A2268" s="8">
        <v>10191</v>
      </c>
      <c r="B2268" s="10" t="s">
        <v>4819</v>
      </c>
      <c r="C2268" s="10" t="s">
        <v>26</v>
      </c>
      <c r="D2268" s="9" t="s">
        <v>26</v>
      </c>
      <c r="E2268" s="9" t="str">
        <f>_xlfn.TEXTAFTER(Condiciones_acumuladas[[#This Row],[Descripción]], " ", -2)</f>
        <v>Adrian Santisteban</v>
      </c>
      <c r="F2268" s="10" t="s">
        <v>2572</v>
      </c>
      <c r="G2268" s="11">
        <v>45965</v>
      </c>
    </row>
    <row r="2269" spans="1:7" ht="24.5" hidden="1" x14ac:dyDescent="0.35">
      <c r="A2269" s="8">
        <v>10193</v>
      </c>
      <c r="B2269" s="10" t="s">
        <v>4820</v>
      </c>
      <c r="C2269" s="10" t="s">
        <v>96</v>
      </c>
      <c r="D2269" s="9" t="s">
        <v>96</v>
      </c>
      <c r="E2269" s="9" t="str">
        <f>_xlfn.TEXTAFTER(Condiciones_acumuladas[[#This Row],[Descripción]], " ", -2)</f>
        <v>Luis Pérez</v>
      </c>
      <c r="F2269" s="10" t="s">
        <v>2537</v>
      </c>
      <c r="G2269" s="11">
        <v>45965</v>
      </c>
    </row>
    <row r="2270" spans="1:7" ht="36.5" hidden="1" x14ac:dyDescent="0.35">
      <c r="A2270" s="8">
        <v>10199</v>
      </c>
      <c r="B2270" s="10" t="s">
        <v>4821</v>
      </c>
      <c r="C2270" s="10" t="s">
        <v>234</v>
      </c>
      <c r="D2270" s="9" t="s">
        <v>234</v>
      </c>
      <c r="E2270" s="9" t="str">
        <f>_xlfn.TEXTAFTER(Condiciones_acumuladas[[#This Row],[Descripción]], " ", -2)</f>
        <v>Elvis Oliva</v>
      </c>
      <c r="F2270" s="10" t="s">
        <v>2525</v>
      </c>
      <c r="G2270" s="11">
        <v>45966</v>
      </c>
    </row>
    <row r="2271" spans="1:7" ht="48.5" hidden="1" x14ac:dyDescent="0.35">
      <c r="A2271" s="8">
        <v>10195</v>
      </c>
      <c r="B2271" s="10" t="s">
        <v>4822</v>
      </c>
      <c r="C2271" s="10" t="s">
        <v>104</v>
      </c>
      <c r="D2271" s="9" t="s">
        <v>196</v>
      </c>
      <c r="E2271" s="9" t="str">
        <f>_xlfn.TEXTAFTER(Condiciones_acumuladas[[#This Row],[Descripción]], " ", -2)</f>
        <v>Luis Angel</v>
      </c>
      <c r="F2271" s="10" t="s">
        <v>2559</v>
      </c>
      <c r="G2271" s="11">
        <v>45966</v>
      </c>
    </row>
    <row r="2272" spans="1:7" ht="36.5" hidden="1" x14ac:dyDescent="0.35">
      <c r="A2272" s="8">
        <v>10198</v>
      </c>
      <c r="B2272" s="10" t="s">
        <v>4823</v>
      </c>
      <c r="C2272" s="10" t="s">
        <v>26</v>
      </c>
      <c r="D2272" s="9" t="s">
        <v>34</v>
      </c>
      <c r="E2272" s="9" t="str">
        <f>_xlfn.TEXTAFTER(Condiciones_acumuladas[[#This Row],[Descripción]], " ", -2)</f>
        <v>Adrian Santisteban</v>
      </c>
      <c r="F2272" s="10" t="s">
        <v>2516</v>
      </c>
      <c r="G2272" s="11">
        <v>45966</v>
      </c>
    </row>
    <row r="2273" spans="1:7" ht="24.5" hidden="1" x14ac:dyDescent="0.35">
      <c r="A2273" s="8">
        <v>10181</v>
      </c>
      <c r="B2273" s="10" t="s">
        <v>3245</v>
      </c>
      <c r="C2273" s="10" t="s">
        <v>13</v>
      </c>
      <c r="D2273" s="9" t="s">
        <v>13</v>
      </c>
      <c r="E2273" s="9" t="str">
        <f>_xlfn.TEXTAFTER(Condiciones_acumuladas[[#This Row],[Descripción]], " ", -2)</f>
        <v>Gustavo Hernández</v>
      </c>
      <c r="F2273" s="10" t="s">
        <v>2522</v>
      </c>
      <c r="G2273" s="11">
        <v>45964</v>
      </c>
    </row>
    <row r="2274" spans="1:7" ht="24.5" hidden="1" x14ac:dyDescent="0.35">
      <c r="A2274" s="8">
        <v>10200</v>
      </c>
      <c r="B2274" s="10" t="s">
        <v>4824</v>
      </c>
      <c r="C2274" s="10" t="s">
        <v>190</v>
      </c>
      <c r="D2274" s="9" t="s">
        <v>193</v>
      </c>
      <c r="E2274" s="9" t="str">
        <f>_xlfn.TEXTAFTER(Condiciones_acumuladas[[#This Row],[Descripción]], " ", -2)</f>
        <v>Pablo Donis</v>
      </c>
      <c r="F2274" s="10" t="s">
        <v>2522</v>
      </c>
      <c r="G2274" s="11">
        <v>45966</v>
      </c>
    </row>
    <row r="2275" spans="1:7" ht="36.5" hidden="1" x14ac:dyDescent="0.35">
      <c r="A2275" s="8">
        <v>10206</v>
      </c>
      <c r="B2275" s="10" t="s">
        <v>4825</v>
      </c>
      <c r="C2275" s="10" t="s">
        <v>13</v>
      </c>
      <c r="D2275" s="9" t="s">
        <v>395</v>
      </c>
      <c r="E2275" s="9" t="str">
        <f>_xlfn.TEXTAFTER(Condiciones_acumuladas[[#This Row],[Descripción]], " ", -2)</f>
        <v>Antony Ramos</v>
      </c>
      <c r="F2275" s="10" t="s">
        <v>2715</v>
      </c>
      <c r="G2275" s="11">
        <v>45966</v>
      </c>
    </row>
    <row r="2276" spans="1:7" ht="36.5" hidden="1" x14ac:dyDescent="0.35">
      <c r="A2276" s="8">
        <v>10202</v>
      </c>
      <c r="B2276" s="10" t="s">
        <v>4826</v>
      </c>
      <c r="C2276" s="10" t="s">
        <v>26</v>
      </c>
      <c r="D2276" s="9" t="s">
        <v>26</v>
      </c>
      <c r="E2276" s="9" t="str">
        <f>_xlfn.TEXTAFTER(Condiciones_acumuladas[[#This Row],[Descripción]], " ", -2)</f>
        <v>Adrian Santisteban</v>
      </c>
      <c r="F2276" s="10" t="s">
        <v>2530</v>
      </c>
      <c r="G2276" s="11">
        <v>45966</v>
      </c>
    </row>
    <row r="2277" spans="1:7" ht="24.5" hidden="1" x14ac:dyDescent="0.35">
      <c r="A2277" s="8">
        <v>10209</v>
      </c>
      <c r="B2277" s="10" t="s">
        <v>4827</v>
      </c>
      <c r="C2277" s="10" t="s">
        <v>234</v>
      </c>
      <c r="D2277" s="9" t="s">
        <v>234</v>
      </c>
      <c r="E2277" s="9" t="str">
        <f>_xlfn.TEXTAFTER(Condiciones_acumuladas[[#This Row],[Descripción]], " ", -2)</f>
        <v>Elvis Oliva</v>
      </c>
      <c r="F2277" s="10" t="s">
        <v>2522</v>
      </c>
      <c r="G2277" s="11">
        <v>45966</v>
      </c>
    </row>
    <row r="2278" spans="1:7" ht="36.5" hidden="1" x14ac:dyDescent="0.35">
      <c r="A2278" s="8">
        <v>10208</v>
      </c>
      <c r="B2278" s="10" t="s">
        <v>4828</v>
      </c>
      <c r="C2278" s="10" t="s">
        <v>220</v>
      </c>
      <c r="D2278" s="9" t="s">
        <v>220</v>
      </c>
      <c r="E2278" s="9" t="str">
        <f>_xlfn.TEXTAFTER(Condiciones_acumuladas[[#This Row],[Descripción]], " ", -2)</f>
        <v>Carlos Coc</v>
      </c>
      <c r="F2278" s="10" t="s">
        <v>2516</v>
      </c>
      <c r="G2278" s="11">
        <v>45966</v>
      </c>
    </row>
    <row r="2279" spans="1:7" ht="36.5" hidden="1" x14ac:dyDescent="0.35">
      <c r="A2279" s="8">
        <v>10207</v>
      </c>
      <c r="B2279" s="10" t="s">
        <v>4829</v>
      </c>
      <c r="C2279" s="10" t="s">
        <v>104</v>
      </c>
      <c r="D2279" s="9" t="s">
        <v>196</v>
      </c>
      <c r="E2279" s="9" t="str">
        <f>_xlfn.TEXTAFTER(Condiciones_acumuladas[[#This Row],[Descripción]], " ", -2)</f>
        <v>Luis Angel</v>
      </c>
      <c r="F2279" s="10" t="s">
        <v>2516</v>
      </c>
      <c r="G2279" s="11">
        <v>45966</v>
      </c>
    </row>
    <row r="2280" spans="1:7" ht="36.5" hidden="1" x14ac:dyDescent="0.35">
      <c r="A2280" s="8">
        <v>10203</v>
      </c>
      <c r="B2280" s="10" t="s">
        <v>4830</v>
      </c>
      <c r="C2280" s="10" t="s">
        <v>134</v>
      </c>
      <c r="D2280" s="9" t="s">
        <v>96</v>
      </c>
      <c r="E2280" s="9" t="str">
        <f>_xlfn.TEXTAFTER(Condiciones_acumuladas[[#This Row],[Descripción]], " ", -2)</f>
        <v>Mario Marroquin</v>
      </c>
      <c r="F2280" s="10" t="s">
        <v>2530</v>
      </c>
      <c r="G2280" s="11">
        <v>45966</v>
      </c>
    </row>
    <row r="2281" spans="1:7" ht="36.5" hidden="1" x14ac:dyDescent="0.35">
      <c r="A2281" s="8">
        <v>10201</v>
      </c>
      <c r="B2281" s="10" t="s">
        <v>4831</v>
      </c>
      <c r="C2281" s="10" t="s">
        <v>104</v>
      </c>
      <c r="D2281" s="9" t="s">
        <v>196</v>
      </c>
      <c r="E2281" s="9" t="str">
        <f>_xlfn.TEXTAFTER(Condiciones_acumuladas[[#This Row],[Descripción]], " ", -2)</f>
        <v>Luis Angel</v>
      </c>
      <c r="F2281" s="10" t="s">
        <v>2516</v>
      </c>
      <c r="G2281" s="11">
        <v>45966</v>
      </c>
    </row>
    <row r="2282" spans="1:7" ht="24.5" hidden="1" x14ac:dyDescent="0.35">
      <c r="A2282" s="8">
        <v>10211</v>
      </c>
      <c r="B2282" s="10" t="s">
        <v>4832</v>
      </c>
      <c r="C2282" s="10" t="s">
        <v>104</v>
      </c>
      <c r="D2282" s="9" t="s">
        <v>104</v>
      </c>
      <c r="E2282" s="9" t="str">
        <f>_xlfn.TEXTAFTER(Condiciones_acumuladas[[#This Row],[Descripción]], " ", -2)</f>
        <v>Alfonso Guatzin</v>
      </c>
      <c r="F2282" s="10" t="s">
        <v>2522</v>
      </c>
      <c r="G2282" s="11">
        <v>45967</v>
      </c>
    </row>
    <row r="2283" spans="1:7" ht="36.5" hidden="1" x14ac:dyDescent="0.35">
      <c r="A2283" s="8">
        <v>10217</v>
      </c>
      <c r="B2283" s="10" t="s">
        <v>4833</v>
      </c>
      <c r="C2283" s="10" t="s">
        <v>21</v>
      </c>
      <c r="D2283" s="9" t="s">
        <v>395</v>
      </c>
      <c r="E2283" s="9" t="str">
        <f>_xlfn.TEXTAFTER(Condiciones_acumuladas[[#This Row],[Descripción]], " ", -2)</f>
        <v xml:space="preserve">Amilcar Ralda
</v>
      </c>
      <c r="F2283" s="10" t="s">
        <v>2522</v>
      </c>
      <c r="G2283" s="11">
        <v>45971</v>
      </c>
    </row>
    <row r="2284" spans="1:7" ht="36.5" hidden="1" x14ac:dyDescent="0.35">
      <c r="A2284" s="8">
        <v>10219</v>
      </c>
      <c r="B2284" s="10" t="s">
        <v>4834</v>
      </c>
      <c r="C2284" s="10" t="s">
        <v>21</v>
      </c>
      <c r="D2284" s="9" t="s">
        <v>395</v>
      </c>
      <c r="E2284" s="9" t="str">
        <f>_xlfn.TEXTAFTER(Condiciones_acumuladas[[#This Row],[Descripción]], " ", -2)</f>
        <v xml:space="preserve">Amilcar Ralda
</v>
      </c>
      <c r="F2284" s="10" t="s">
        <v>2516</v>
      </c>
      <c r="G2284" s="11">
        <v>45971</v>
      </c>
    </row>
    <row r="2285" spans="1:7" ht="48.5" hidden="1" x14ac:dyDescent="0.35">
      <c r="A2285" s="8">
        <v>10218</v>
      </c>
      <c r="B2285" s="10" t="s">
        <v>4835</v>
      </c>
      <c r="C2285" s="10" t="s">
        <v>21</v>
      </c>
      <c r="D2285" s="9" t="s">
        <v>395</v>
      </c>
      <c r="E2285" s="9" t="str">
        <f>_xlfn.TEXTAFTER(Condiciones_acumuladas[[#This Row],[Descripción]], " ", -2)</f>
        <v xml:space="preserve">Amilcar Ralda
</v>
      </c>
      <c r="F2285" s="10" t="s">
        <v>2525</v>
      </c>
      <c r="G2285" s="11">
        <v>45971</v>
      </c>
    </row>
    <row r="2286" spans="1:7" ht="48.5" hidden="1" x14ac:dyDescent="0.35">
      <c r="A2286" s="8">
        <v>10214</v>
      </c>
      <c r="B2286" s="10" t="s">
        <v>4836</v>
      </c>
      <c r="C2286" s="10" t="s">
        <v>134</v>
      </c>
      <c r="D2286" s="9" t="s">
        <v>134</v>
      </c>
      <c r="E2286" s="9" t="str">
        <f>_xlfn.TEXTAFTER(Condiciones_acumuladas[[#This Row],[Descripción]], " ", -2)</f>
        <v>Roger Rivas</v>
      </c>
      <c r="F2286" s="10" t="s">
        <v>2559</v>
      </c>
      <c r="G2286" s="11">
        <v>45966</v>
      </c>
    </row>
    <row r="2287" spans="1:7" ht="24.5" hidden="1" x14ac:dyDescent="0.35">
      <c r="A2287" s="8">
        <v>10215</v>
      </c>
      <c r="B2287" s="10" t="s">
        <v>4837</v>
      </c>
      <c r="C2287" s="10" t="s">
        <v>34</v>
      </c>
      <c r="D2287" s="9" t="s">
        <v>34</v>
      </c>
      <c r="E2287" s="9" t="str">
        <f>_xlfn.TEXTAFTER(Condiciones_acumuladas[[#This Row],[Descripción]], " ", -2)</f>
        <v>Oscar Ramos</v>
      </c>
      <c r="F2287" s="10" t="s">
        <v>2537</v>
      </c>
      <c r="G2287" s="11">
        <v>45968</v>
      </c>
    </row>
    <row r="2288" spans="1:7" ht="24.5" hidden="1" x14ac:dyDescent="0.35">
      <c r="A2288" s="8">
        <v>10216</v>
      </c>
      <c r="B2288" s="10" t="s">
        <v>4838</v>
      </c>
      <c r="C2288" s="10" t="s">
        <v>26</v>
      </c>
      <c r="D2288" s="9" t="s">
        <v>26</v>
      </c>
      <c r="E2288" s="9" t="str">
        <f>_xlfn.TEXTAFTER(Condiciones_acumuladas[[#This Row],[Descripción]], " ", -2)</f>
        <v>Oscar Ramos</v>
      </c>
      <c r="F2288" s="10" t="s">
        <v>2537</v>
      </c>
      <c r="G2288" s="11">
        <v>45968</v>
      </c>
    </row>
    <row r="2289" spans="1:7" ht="36.5" hidden="1" x14ac:dyDescent="0.35">
      <c r="A2289" s="8">
        <v>10224</v>
      </c>
      <c r="B2289" s="10" t="s">
        <v>4839</v>
      </c>
      <c r="C2289" s="10" t="s">
        <v>278</v>
      </c>
      <c r="D2289" s="9" t="s">
        <v>193</v>
      </c>
      <c r="E2289" s="9" t="str">
        <f>_xlfn.TEXTAFTER(Condiciones_acumuladas[[#This Row],[Descripción]], " ", -2)</f>
        <v>Selvin Pérez</v>
      </c>
      <c r="F2289" s="10" t="s">
        <v>2516</v>
      </c>
      <c r="G2289" s="11">
        <v>45966</v>
      </c>
    </row>
    <row r="2290" spans="1:7" ht="60.5" hidden="1" x14ac:dyDescent="0.35">
      <c r="A2290" s="8">
        <v>10221</v>
      </c>
      <c r="B2290" s="10" t="s">
        <v>4840</v>
      </c>
      <c r="C2290" s="10" t="s">
        <v>96</v>
      </c>
      <c r="D2290" s="9" t="s">
        <v>395</v>
      </c>
      <c r="E2290" s="9" t="str">
        <f>_xlfn.TEXTAFTER(Condiciones_acumuladas[[#This Row],[Descripción]], " ", -2)</f>
        <v>Yessi Guarcas</v>
      </c>
      <c r="F2290" s="10" t="s">
        <v>2525</v>
      </c>
      <c r="G2290" s="11">
        <v>45966</v>
      </c>
    </row>
    <row r="2291" spans="1:7" ht="24.5" hidden="1" x14ac:dyDescent="0.35">
      <c r="A2291" s="8">
        <v>10220</v>
      </c>
      <c r="B2291" s="10" t="s">
        <v>4841</v>
      </c>
      <c r="C2291" s="10" t="s">
        <v>234</v>
      </c>
      <c r="D2291" s="9" t="s">
        <v>234</v>
      </c>
      <c r="E2291" s="9" t="str">
        <f>_xlfn.TEXTAFTER(Condiciones_acumuladas[[#This Row],[Descripción]], " ", -2)</f>
        <v>Elvis Oliva</v>
      </c>
      <c r="F2291" s="10" t="s">
        <v>2522</v>
      </c>
      <c r="G2291" s="11">
        <v>45966</v>
      </c>
    </row>
    <row r="2292" spans="1:7" ht="36.5" hidden="1" x14ac:dyDescent="0.35">
      <c r="A2292" s="8">
        <v>10239</v>
      </c>
      <c r="B2292" s="10" t="s">
        <v>4842</v>
      </c>
      <c r="C2292" s="10" t="s">
        <v>26</v>
      </c>
      <c r="D2292" s="9" t="s">
        <v>395</v>
      </c>
      <c r="E2292" s="9" t="str">
        <f>_xlfn.TEXTAFTER(Condiciones_acumuladas[[#This Row],[Descripción]], " ", -2)</f>
        <v>Josué Vásquez</v>
      </c>
      <c r="F2292" s="10" t="s">
        <v>2525</v>
      </c>
      <c r="G2292" s="11">
        <v>45968</v>
      </c>
    </row>
    <row r="2293" spans="1:7" ht="24.5" hidden="1" x14ac:dyDescent="0.35">
      <c r="A2293" s="8">
        <v>10234</v>
      </c>
      <c r="B2293" s="10" t="s">
        <v>4843</v>
      </c>
      <c r="C2293" s="10" t="s">
        <v>104</v>
      </c>
      <c r="D2293" s="9" t="s">
        <v>104</v>
      </c>
      <c r="E2293" s="9" t="str">
        <f>_xlfn.TEXTAFTER(Condiciones_acumuladas[[#This Row],[Descripción]], " ", -2)</f>
        <v>Haydée Hernández</v>
      </c>
      <c r="F2293" s="10" t="s">
        <v>2522</v>
      </c>
      <c r="G2293" s="11">
        <v>45967</v>
      </c>
    </row>
    <row r="2294" spans="1:7" ht="48.5" hidden="1" x14ac:dyDescent="0.35">
      <c r="A2294" s="8">
        <v>10237</v>
      </c>
      <c r="B2294" s="10" t="s">
        <v>4844</v>
      </c>
      <c r="C2294" s="10" t="s">
        <v>196</v>
      </c>
      <c r="D2294" s="9" t="s">
        <v>196</v>
      </c>
      <c r="E2294" s="9" t="str">
        <f>_xlfn.TEXTAFTER(Condiciones_acumuladas[[#This Row],[Descripción]], " ", -2)</f>
        <v>Jaime Chex</v>
      </c>
      <c r="F2294" s="10" t="s">
        <v>2559</v>
      </c>
      <c r="G2294" s="11">
        <v>45967</v>
      </c>
    </row>
    <row r="2295" spans="1:7" ht="36.5" hidden="1" x14ac:dyDescent="0.35">
      <c r="A2295" s="8">
        <v>10235</v>
      </c>
      <c r="B2295" s="10" t="s">
        <v>4845</v>
      </c>
      <c r="C2295" s="10" t="s">
        <v>104</v>
      </c>
      <c r="D2295" s="9" t="s">
        <v>104</v>
      </c>
      <c r="E2295" s="9" t="str">
        <f>_xlfn.TEXTAFTER(Condiciones_acumuladas[[#This Row],[Descripción]], " ", -2)</f>
        <v>Haydée Hernández</v>
      </c>
      <c r="F2295" s="10" t="s">
        <v>2516</v>
      </c>
      <c r="G2295" s="11">
        <v>45967</v>
      </c>
    </row>
    <row r="2296" spans="1:7" ht="36.5" hidden="1" x14ac:dyDescent="0.35">
      <c r="A2296" s="8">
        <v>10230</v>
      </c>
      <c r="B2296" s="10" t="s">
        <v>4846</v>
      </c>
      <c r="C2296" s="10" t="s">
        <v>13</v>
      </c>
      <c r="D2296" s="9" t="s">
        <v>21</v>
      </c>
      <c r="E2296" s="9" t="str">
        <f>_xlfn.TEXTAFTER(Condiciones_acumuladas[[#This Row],[Descripción]], " ", -2)</f>
        <v>Haydée Hernández</v>
      </c>
      <c r="F2296" s="10" t="s">
        <v>2516</v>
      </c>
      <c r="G2296" s="11">
        <v>45967</v>
      </c>
    </row>
    <row r="2297" spans="1:7" ht="24.5" hidden="1" x14ac:dyDescent="0.35">
      <c r="A2297" s="8">
        <v>10233</v>
      </c>
      <c r="B2297" s="10" t="s">
        <v>4847</v>
      </c>
      <c r="C2297" s="10" t="s">
        <v>34</v>
      </c>
      <c r="D2297" s="9" t="s">
        <v>220</v>
      </c>
      <c r="E2297" s="9" t="str">
        <f>_xlfn.TEXTAFTER(Condiciones_acumuladas[[#This Row],[Descripción]], " ", -2)</f>
        <v>Byron Roldan</v>
      </c>
      <c r="F2297" s="10" t="s">
        <v>2522</v>
      </c>
      <c r="G2297" s="11">
        <v>45967</v>
      </c>
    </row>
    <row r="2298" spans="1:7" ht="24.5" hidden="1" x14ac:dyDescent="0.35">
      <c r="A2298" s="8">
        <v>10223</v>
      </c>
      <c r="B2298" s="10" t="s">
        <v>4848</v>
      </c>
      <c r="C2298" s="10" t="s">
        <v>96</v>
      </c>
      <c r="D2298" s="9" t="s">
        <v>395</v>
      </c>
      <c r="E2298" s="9" t="str">
        <f>_xlfn.TEXTAFTER(Condiciones_acumuladas[[#This Row],[Descripción]], " ", -2)</f>
        <v>Yessi Guarcas</v>
      </c>
      <c r="F2298" s="10" t="s">
        <v>2537</v>
      </c>
      <c r="G2298" s="11">
        <v>45966</v>
      </c>
    </row>
    <row r="2299" spans="1:7" ht="24.5" hidden="1" x14ac:dyDescent="0.35">
      <c r="A2299" s="8">
        <v>10238</v>
      </c>
      <c r="B2299" s="10" t="s">
        <v>4849</v>
      </c>
      <c r="C2299" s="10" t="s">
        <v>13</v>
      </c>
      <c r="D2299" s="9" t="s">
        <v>13</v>
      </c>
      <c r="E2299" s="9" t="str">
        <f>_xlfn.TEXTAFTER(Condiciones_acumuladas[[#This Row],[Descripción]], " ", -2)</f>
        <v>Oscar Ramirez</v>
      </c>
      <c r="F2299" s="10" t="s">
        <v>2522</v>
      </c>
      <c r="G2299" s="11">
        <v>45967</v>
      </c>
    </row>
    <row r="2300" spans="1:7" ht="24.5" hidden="1" x14ac:dyDescent="0.35">
      <c r="A2300" s="8">
        <v>10226</v>
      </c>
      <c r="B2300" s="10" t="s">
        <v>4850</v>
      </c>
      <c r="C2300" s="10" t="s">
        <v>196</v>
      </c>
      <c r="D2300" s="9" t="s">
        <v>196</v>
      </c>
      <c r="E2300" s="9" t="str">
        <f>_xlfn.TEXTAFTER(Condiciones_acumuladas[[#This Row],[Descripción]], " ", -2)</f>
        <v>Jaime Chex</v>
      </c>
      <c r="F2300" s="10" t="s">
        <v>2537</v>
      </c>
      <c r="G2300" s="11">
        <v>45966</v>
      </c>
    </row>
    <row r="2301" spans="1:7" ht="36.5" hidden="1" x14ac:dyDescent="0.35">
      <c r="A2301" s="8">
        <v>10232</v>
      </c>
      <c r="B2301" s="10" t="s">
        <v>4851</v>
      </c>
      <c r="C2301" s="10" t="s">
        <v>21</v>
      </c>
      <c r="D2301" s="9" t="s">
        <v>21</v>
      </c>
      <c r="E2301" s="9" t="str">
        <f>_xlfn.TEXTAFTER(Condiciones_acumuladas[[#This Row],[Descripción]], " ", -2)</f>
        <v>Oscar Ramirez</v>
      </c>
      <c r="F2301" s="10" t="s">
        <v>2516</v>
      </c>
      <c r="G2301" s="11">
        <v>45967</v>
      </c>
    </row>
    <row r="2302" spans="1:7" ht="36.5" hidden="1" x14ac:dyDescent="0.35">
      <c r="A2302" s="8">
        <v>10225</v>
      </c>
      <c r="B2302" s="10" t="s">
        <v>4852</v>
      </c>
      <c r="C2302" s="10" t="s">
        <v>26</v>
      </c>
      <c r="D2302" s="9" t="s">
        <v>234</v>
      </c>
      <c r="E2302" s="9" t="str">
        <f>_xlfn.TEXTAFTER(Condiciones_acumuladas[[#This Row],[Descripción]], " ", -2)</f>
        <v>Eliú Tello</v>
      </c>
      <c r="F2302" s="10" t="s">
        <v>2516</v>
      </c>
      <c r="G2302" s="11">
        <v>45966</v>
      </c>
    </row>
    <row r="2303" spans="1:7" ht="36.5" hidden="1" x14ac:dyDescent="0.35">
      <c r="A2303" s="8">
        <v>10231</v>
      </c>
      <c r="B2303" s="10" t="s">
        <v>4853</v>
      </c>
      <c r="C2303" s="10" t="s">
        <v>13</v>
      </c>
      <c r="D2303" s="9" t="s">
        <v>13</v>
      </c>
      <c r="E2303" s="9" t="str">
        <f>_xlfn.TEXTAFTER(Condiciones_acumuladas[[#This Row],[Descripción]], " ", -2)</f>
        <v>Oscar Ramirez</v>
      </c>
      <c r="F2303" s="10" t="s">
        <v>2516</v>
      </c>
      <c r="G2303" s="11">
        <v>45967</v>
      </c>
    </row>
    <row r="2304" spans="1:7" ht="36.5" hidden="1" x14ac:dyDescent="0.35">
      <c r="A2304" s="8">
        <v>10236</v>
      </c>
      <c r="B2304" s="10" t="s">
        <v>4854</v>
      </c>
      <c r="C2304" s="10" t="s">
        <v>96</v>
      </c>
      <c r="D2304" s="9" t="s">
        <v>96</v>
      </c>
      <c r="E2304" s="9" t="str">
        <f>_xlfn.TEXTAFTER(Condiciones_acumuladas[[#This Row],[Descripción]], " ", -2)</f>
        <v>Luis Pérez</v>
      </c>
      <c r="F2304" s="10" t="s">
        <v>2516</v>
      </c>
      <c r="G2304" s="11">
        <v>45967</v>
      </c>
    </row>
    <row r="2305" spans="1:7" ht="24.5" hidden="1" x14ac:dyDescent="0.35">
      <c r="A2305" s="8">
        <v>10228</v>
      </c>
      <c r="B2305" s="10" t="s">
        <v>4855</v>
      </c>
      <c r="C2305" s="10" t="s">
        <v>13</v>
      </c>
      <c r="D2305" s="9" t="s">
        <v>13</v>
      </c>
      <c r="E2305" s="9" t="str">
        <f>_xlfn.TEXTAFTER(Condiciones_acumuladas[[#This Row],[Descripción]], " ", -2)</f>
        <v>Haydée Hernández</v>
      </c>
      <c r="F2305" s="10" t="s">
        <v>2522</v>
      </c>
      <c r="G2305" s="11">
        <v>45967</v>
      </c>
    </row>
    <row r="2306" spans="1:7" ht="48.5" hidden="1" x14ac:dyDescent="0.35">
      <c r="A2306" s="8">
        <v>10227</v>
      </c>
      <c r="B2306" s="10" t="s">
        <v>4856</v>
      </c>
      <c r="C2306" s="10" t="s">
        <v>96</v>
      </c>
      <c r="D2306" s="9" t="s">
        <v>96</v>
      </c>
      <c r="E2306" s="9" t="str">
        <f>_xlfn.TEXTAFTER(Condiciones_acumuladas[[#This Row],[Descripción]], " ", -2)</f>
        <v>Isabel Saquila</v>
      </c>
      <c r="F2306" s="10" t="s">
        <v>2559</v>
      </c>
      <c r="G2306" s="11">
        <v>45967</v>
      </c>
    </row>
    <row r="2307" spans="1:7" ht="36.5" hidden="1" x14ac:dyDescent="0.35">
      <c r="A2307" s="8">
        <v>10229</v>
      </c>
      <c r="B2307" s="10" t="s">
        <v>4857</v>
      </c>
      <c r="C2307" s="10" t="s">
        <v>13</v>
      </c>
      <c r="D2307" s="9" t="s">
        <v>13</v>
      </c>
      <c r="E2307" s="9" t="str">
        <f>_xlfn.TEXTAFTER(Condiciones_acumuladas[[#This Row],[Descripción]], " ", -2)</f>
        <v>Oscar Ramirez</v>
      </c>
      <c r="F2307" s="10" t="s">
        <v>2530</v>
      </c>
      <c r="G2307" s="11">
        <v>45967</v>
      </c>
    </row>
    <row r="2308" spans="1:7" ht="36.5" hidden="1" x14ac:dyDescent="0.35">
      <c r="A2308" s="8">
        <v>10245</v>
      </c>
      <c r="B2308" s="10" t="s">
        <v>4858</v>
      </c>
      <c r="C2308" s="10" t="s">
        <v>13</v>
      </c>
      <c r="D2308" s="9" t="s">
        <v>13</v>
      </c>
      <c r="E2308" s="9" t="str">
        <f>_xlfn.TEXTAFTER(Condiciones_acumuladas[[#This Row],[Descripción]], " ", -2)</f>
        <v>Haydée Hernández</v>
      </c>
      <c r="F2308" s="10" t="s">
        <v>2522</v>
      </c>
      <c r="G2308" s="11">
        <v>45970</v>
      </c>
    </row>
    <row r="2309" spans="1:7" ht="48.5" hidden="1" x14ac:dyDescent="0.35">
      <c r="A2309" s="8">
        <v>10243</v>
      </c>
      <c r="B2309" s="10" t="s">
        <v>4859</v>
      </c>
      <c r="C2309" s="10" t="s">
        <v>96</v>
      </c>
      <c r="D2309" s="9" t="s">
        <v>96</v>
      </c>
      <c r="E2309" s="9" t="str">
        <f>_xlfn.TEXTAFTER(Condiciones_acumuladas[[#This Row],[Descripción]], " ", -2)</f>
        <v>Isabel Saquila</v>
      </c>
      <c r="F2309" s="10" t="s">
        <v>2559</v>
      </c>
      <c r="G2309" s="11">
        <v>45969</v>
      </c>
    </row>
    <row r="2310" spans="1:7" ht="48.5" hidden="1" x14ac:dyDescent="0.35">
      <c r="A2310" s="8">
        <v>10242</v>
      </c>
      <c r="B2310" s="10" t="s">
        <v>4860</v>
      </c>
      <c r="C2310" s="10" t="s">
        <v>96</v>
      </c>
      <c r="D2310" s="9" t="s">
        <v>96</v>
      </c>
      <c r="E2310" s="9" t="str">
        <f>_xlfn.TEXTAFTER(Condiciones_acumuladas[[#This Row],[Descripción]], " ", -2)</f>
        <v>Isabel Saquila</v>
      </c>
      <c r="F2310" s="10" t="s">
        <v>2559</v>
      </c>
      <c r="G2310" s="11">
        <v>45969</v>
      </c>
    </row>
    <row r="2311" spans="1:7" ht="24.5" hidden="1" x14ac:dyDescent="0.35">
      <c r="A2311" s="8">
        <v>10241</v>
      </c>
      <c r="B2311" s="10" t="s">
        <v>4861</v>
      </c>
      <c r="C2311" s="10" t="s">
        <v>196</v>
      </c>
      <c r="D2311" s="9" t="s">
        <v>196</v>
      </c>
      <c r="E2311" s="9" t="str">
        <f>_xlfn.TEXTAFTER(Condiciones_acumuladas[[#This Row],[Descripción]], " ", -2)</f>
        <v>kelly Calderón</v>
      </c>
      <c r="F2311" s="10" t="s">
        <v>2537</v>
      </c>
      <c r="G2311" s="11">
        <v>45973</v>
      </c>
    </row>
    <row r="2312" spans="1:7" ht="24.5" hidden="1" x14ac:dyDescent="0.35">
      <c r="A2312" s="8">
        <v>10240</v>
      </c>
      <c r="B2312" s="10" t="s">
        <v>4862</v>
      </c>
      <c r="C2312" s="10" t="s">
        <v>196</v>
      </c>
      <c r="D2312" s="9" t="s">
        <v>196</v>
      </c>
      <c r="E2312" s="9" t="str">
        <f>_xlfn.TEXTAFTER(Condiciones_acumuladas[[#This Row],[Descripción]], " ", -2)</f>
        <v>Kelly Calderón</v>
      </c>
      <c r="F2312" s="10" t="s">
        <v>2537</v>
      </c>
      <c r="G2312" s="11">
        <v>45973</v>
      </c>
    </row>
    <row r="2313" spans="1:7" ht="24.5" hidden="1" x14ac:dyDescent="0.35">
      <c r="A2313" s="8">
        <v>10244</v>
      </c>
      <c r="B2313" s="10" t="s">
        <v>4863</v>
      </c>
      <c r="C2313" s="10" t="s">
        <v>96</v>
      </c>
      <c r="D2313" s="9" t="s">
        <v>96</v>
      </c>
      <c r="E2313" s="9" t="str">
        <f>_xlfn.TEXTAFTER(Condiciones_acumuladas[[#This Row],[Descripción]], " ", -2)</f>
        <v>Isabel Saquila</v>
      </c>
      <c r="F2313" s="10" t="s">
        <v>2537</v>
      </c>
      <c r="G2313" s="11">
        <v>45969</v>
      </c>
    </row>
    <row r="2314" spans="1:7" ht="24.5" hidden="1" x14ac:dyDescent="0.35">
      <c r="A2314" s="8">
        <v>10250</v>
      </c>
      <c r="B2314" s="10" t="s">
        <v>4864</v>
      </c>
      <c r="C2314" s="10" t="s">
        <v>134</v>
      </c>
      <c r="D2314" s="9" t="s">
        <v>134</v>
      </c>
      <c r="E2314" s="9" t="str">
        <f>_xlfn.TEXTAFTER(Condiciones_acumuladas[[#This Row],[Descripción]], " ", -2)</f>
        <v>Haydée Hernández</v>
      </c>
      <c r="F2314" s="10" t="s">
        <v>2540</v>
      </c>
      <c r="G2314" s="11">
        <v>45972</v>
      </c>
    </row>
    <row r="2315" spans="1:7" ht="36.5" hidden="1" x14ac:dyDescent="0.35">
      <c r="A2315" s="8">
        <v>10253</v>
      </c>
      <c r="B2315" s="10" t="s">
        <v>4865</v>
      </c>
      <c r="C2315" s="10" t="s">
        <v>220</v>
      </c>
      <c r="D2315" s="9" t="s">
        <v>190</v>
      </c>
      <c r="E2315" s="9" t="str">
        <f>_xlfn.TEXTAFTER(Condiciones_acumuladas[[#This Row],[Descripción]], " ", -2)</f>
        <v>Denni Guzman</v>
      </c>
      <c r="F2315" s="10" t="s">
        <v>2516</v>
      </c>
      <c r="G2315" s="11">
        <v>45972</v>
      </c>
    </row>
    <row r="2316" spans="1:7" ht="48.5" hidden="1" x14ac:dyDescent="0.35">
      <c r="A2316" s="8">
        <v>10251</v>
      </c>
      <c r="B2316" s="10" t="s">
        <v>4866</v>
      </c>
      <c r="C2316" s="10" t="s">
        <v>21</v>
      </c>
      <c r="D2316" s="9" t="s">
        <v>21</v>
      </c>
      <c r="E2316" s="9" t="str">
        <f>_xlfn.TEXTAFTER(Condiciones_acumuladas[[#This Row],[Descripción]], " ", -2)</f>
        <v>Haydée Hernández</v>
      </c>
      <c r="F2316" s="10" t="s">
        <v>2559</v>
      </c>
      <c r="G2316" s="11">
        <v>45972</v>
      </c>
    </row>
    <row r="2317" spans="1:7" ht="36.5" hidden="1" x14ac:dyDescent="0.35">
      <c r="A2317" s="8">
        <v>10254</v>
      </c>
      <c r="B2317" s="10" t="s">
        <v>4867</v>
      </c>
      <c r="C2317" s="10" t="s">
        <v>134</v>
      </c>
      <c r="D2317" s="9" t="s">
        <v>134</v>
      </c>
      <c r="E2317" s="9" t="str">
        <f>_xlfn.TEXTAFTER(Condiciones_acumuladas[[#This Row],[Descripción]], " ", -2)</f>
        <v>Gustavo Hernández</v>
      </c>
      <c r="F2317" s="10" t="s">
        <v>2516</v>
      </c>
      <c r="G2317" s="11">
        <v>45972</v>
      </c>
    </row>
    <row r="2318" spans="1:7" ht="36.5" hidden="1" x14ac:dyDescent="0.35">
      <c r="A2318" s="8">
        <v>10252</v>
      </c>
      <c r="B2318" s="10" t="s">
        <v>4868</v>
      </c>
      <c r="C2318" s="10" t="s">
        <v>21</v>
      </c>
      <c r="D2318" s="9" t="s">
        <v>21</v>
      </c>
      <c r="E2318" s="9" t="str">
        <f>_xlfn.TEXTAFTER(Condiciones_acumuladas[[#This Row],[Descripción]], " ", -2)</f>
        <v>Haydée Hernández</v>
      </c>
      <c r="F2318" s="10" t="s">
        <v>2516</v>
      </c>
      <c r="G2318" s="11">
        <v>45972</v>
      </c>
    </row>
    <row r="2319" spans="1:7" ht="48.5" hidden="1" x14ac:dyDescent="0.35">
      <c r="A2319" s="8">
        <v>10271</v>
      </c>
      <c r="B2319" s="10" t="s">
        <v>4869</v>
      </c>
      <c r="C2319" s="10" t="s">
        <v>34</v>
      </c>
      <c r="D2319" s="9" t="s">
        <v>395</v>
      </c>
      <c r="E2319" s="9" t="str">
        <f>_xlfn.TEXTAFTER(Condiciones_acumuladas[[#This Row],[Descripción]], " ", -2)</f>
        <v>Karla Hintz</v>
      </c>
      <c r="F2319" s="10" t="s">
        <v>2516</v>
      </c>
      <c r="G2319" s="11">
        <v>45973</v>
      </c>
    </row>
    <row r="2320" spans="1:7" ht="36.5" hidden="1" x14ac:dyDescent="0.35">
      <c r="A2320" s="8">
        <v>10255</v>
      </c>
      <c r="B2320" s="10" t="s">
        <v>4870</v>
      </c>
      <c r="C2320" s="10" t="s">
        <v>205</v>
      </c>
      <c r="D2320" s="9" t="s">
        <v>234</v>
      </c>
      <c r="E2320" s="9" t="str">
        <f>_xlfn.TEXTAFTER(Condiciones_acumuladas[[#This Row],[Descripción]], " ", -2)</f>
        <v>Bryan Neftali</v>
      </c>
      <c r="F2320" s="10" t="s">
        <v>2522</v>
      </c>
      <c r="G2320" s="11">
        <v>45973</v>
      </c>
    </row>
    <row r="2321" spans="1:7" ht="36.5" hidden="1" x14ac:dyDescent="0.35">
      <c r="A2321" s="8">
        <v>10260</v>
      </c>
      <c r="B2321" s="10" t="s">
        <v>4871</v>
      </c>
      <c r="C2321" s="10" t="s">
        <v>26</v>
      </c>
      <c r="D2321" s="9" t="s">
        <v>26</v>
      </c>
      <c r="E2321" s="9" t="str">
        <f>_xlfn.TEXTAFTER(Condiciones_acumuladas[[#This Row],[Descripción]], " ", -2)</f>
        <v>Wilber López</v>
      </c>
      <c r="F2321" s="10" t="s">
        <v>2522</v>
      </c>
      <c r="G2321" s="11">
        <v>45973</v>
      </c>
    </row>
    <row r="2322" spans="1:7" ht="36.5" hidden="1" x14ac:dyDescent="0.35">
      <c r="A2322" s="8">
        <v>10258</v>
      </c>
      <c r="B2322" s="10" t="s">
        <v>4872</v>
      </c>
      <c r="C2322" s="10" t="s">
        <v>26</v>
      </c>
      <c r="D2322" s="9" t="s">
        <v>234</v>
      </c>
      <c r="E2322" s="9" t="str">
        <f>_xlfn.TEXTAFTER(Condiciones_acumuladas[[#This Row],[Descripción]], " ", -2)</f>
        <v>Wilber López</v>
      </c>
      <c r="F2322" s="10" t="s">
        <v>2525</v>
      </c>
      <c r="G2322" s="11">
        <v>45973</v>
      </c>
    </row>
    <row r="2323" spans="1:7" ht="24.5" hidden="1" x14ac:dyDescent="0.35">
      <c r="A2323" s="8">
        <v>10270</v>
      </c>
      <c r="B2323" s="10" t="s">
        <v>4873</v>
      </c>
      <c r="C2323" s="10" t="s">
        <v>26</v>
      </c>
      <c r="D2323" s="9" t="s">
        <v>395</v>
      </c>
      <c r="E2323" s="9" t="str">
        <f>_xlfn.TEXTAFTER(Condiciones_acumuladas[[#This Row],[Descripción]], " ", -2)</f>
        <v>Josué Vásquez</v>
      </c>
      <c r="F2323" s="10" t="s">
        <v>2540</v>
      </c>
      <c r="G2323" s="11">
        <v>45973</v>
      </c>
    </row>
    <row r="2324" spans="1:7" ht="36.5" hidden="1" x14ac:dyDescent="0.35">
      <c r="A2324" s="8">
        <v>10273</v>
      </c>
      <c r="B2324" s="10" t="s">
        <v>4874</v>
      </c>
      <c r="C2324" s="10" t="s">
        <v>21</v>
      </c>
      <c r="D2324" s="9" t="s">
        <v>21</v>
      </c>
      <c r="E2324" s="9" t="str">
        <f>_xlfn.TEXTAFTER(Condiciones_acumuladas[[#This Row],[Descripción]], " ", -2)</f>
        <v>Oscar Ramirez</v>
      </c>
      <c r="F2324" s="10" t="s">
        <v>2516</v>
      </c>
      <c r="G2324" s="11">
        <v>45973</v>
      </c>
    </row>
    <row r="2325" spans="1:7" ht="36.5" hidden="1" x14ac:dyDescent="0.35">
      <c r="A2325" s="8">
        <v>10286</v>
      </c>
      <c r="B2325" s="10" t="s">
        <v>4875</v>
      </c>
      <c r="C2325" s="10" t="s">
        <v>134</v>
      </c>
      <c r="D2325" s="9" t="s">
        <v>134</v>
      </c>
      <c r="E2325" s="9" t="str">
        <f>_xlfn.TEXTAFTER(Condiciones_acumuladas[[#This Row],[Descripción]], " ", -2)</f>
        <v>Haydée Hernández</v>
      </c>
      <c r="F2325" s="10" t="s">
        <v>2540</v>
      </c>
      <c r="G2325" s="11">
        <v>45976</v>
      </c>
    </row>
    <row r="2326" spans="1:7" ht="36.5" hidden="1" x14ac:dyDescent="0.35">
      <c r="A2326" s="8">
        <v>10339</v>
      </c>
      <c r="B2326" s="10" t="s">
        <v>4876</v>
      </c>
      <c r="C2326" s="10" t="s">
        <v>95</v>
      </c>
      <c r="D2326" s="9" t="s">
        <v>95</v>
      </c>
      <c r="E2326" s="9" t="str">
        <f>_xlfn.TEXTAFTER(Condiciones_acumuladas[[#This Row],[Descripción]], " ", -2)</f>
        <v>Andrea Gonzalez</v>
      </c>
      <c r="F2326" s="10" t="s">
        <v>2530</v>
      </c>
      <c r="G2326" s="11">
        <v>45985</v>
      </c>
    </row>
    <row r="2327" spans="1:7" ht="24.5" hidden="1" x14ac:dyDescent="0.35">
      <c r="A2327" s="8">
        <v>10279</v>
      </c>
      <c r="B2327" s="10" t="s">
        <v>4877</v>
      </c>
      <c r="C2327" s="10" t="s">
        <v>26</v>
      </c>
      <c r="D2327" s="9" t="s">
        <v>26</v>
      </c>
      <c r="E2327" s="9" t="str">
        <f>_xlfn.TEXTAFTER(Condiciones_acumuladas[[#This Row],[Descripción]], " ", -2)</f>
        <v>Oscar Ramos</v>
      </c>
      <c r="F2327" s="10" t="s">
        <v>2522</v>
      </c>
      <c r="G2327" s="11">
        <v>45974</v>
      </c>
    </row>
    <row r="2328" spans="1:7" ht="48.5" hidden="1" x14ac:dyDescent="0.35">
      <c r="A2328" s="8">
        <v>10264</v>
      </c>
      <c r="B2328" s="10" t="s">
        <v>4878</v>
      </c>
      <c r="C2328" s="10" t="s">
        <v>26</v>
      </c>
      <c r="D2328" s="9" t="s">
        <v>34</v>
      </c>
      <c r="E2328" s="9" t="str">
        <f>_xlfn.TEXTAFTER(Condiciones_acumuladas[[#This Row],[Descripción]], " ", -2)</f>
        <v>Wilber López</v>
      </c>
      <c r="F2328" s="10" t="s">
        <v>2516</v>
      </c>
      <c r="G2328" s="11">
        <v>45973</v>
      </c>
    </row>
    <row r="2329" spans="1:7" ht="24.5" hidden="1" x14ac:dyDescent="0.35">
      <c r="A2329" s="8">
        <v>10284</v>
      </c>
      <c r="B2329" s="10" t="s">
        <v>4879</v>
      </c>
      <c r="C2329" s="10" t="s">
        <v>96</v>
      </c>
      <c r="D2329" s="9" t="s">
        <v>96</v>
      </c>
      <c r="E2329" s="9" t="str">
        <f>_xlfn.TEXTAFTER(Condiciones_acumuladas[[#This Row],[Descripción]], " ", -2)</f>
        <v>Bladimir López</v>
      </c>
      <c r="F2329" s="10" t="s">
        <v>2537</v>
      </c>
      <c r="G2329" s="11">
        <v>45975</v>
      </c>
    </row>
    <row r="2330" spans="1:7" ht="24.5" hidden="1" x14ac:dyDescent="0.35">
      <c r="A2330" s="8">
        <v>10282</v>
      </c>
      <c r="B2330" s="10" t="s">
        <v>4880</v>
      </c>
      <c r="C2330" s="10" t="s">
        <v>196</v>
      </c>
      <c r="D2330" s="9" t="s">
        <v>196</v>
      </c>
      <c r="E2330" s="9" t="str">
        <f>_xlfn.TEXTAFTER(Condiciones_acumuladas[[#This Row],[Descripción]], " ", -2)</f>
        <v>Luis Angel</v>
      </c>
      <c r="F2330" s="10" t="s">
        <v>2537</v>
      </c>
      <c r="G2330" s="11">
        <v>45975</v>
      </c>
    </row>
    <row r="2331" spans="1:7" ht="24.5" hidden="1" x14ac:dyDescent="0.35">
      <c r="A2331" s="8">
        <v>10291</v>
      </c>
      <c r="B2331" s="10" t="s">
        <v>4881</v>
      </c>
      <c r="C2331" s="10" t="s">
        <v>220</v>
      </c>
      <c r="D2331" s="9" t="s">
        <v>278</v>
      </c>
      <c r="E2331" s="9" t="str">
        <f>_xlfn.TEXTAFTER(Condiciones_acumuladas[[#This Row],[Descripción]], " ", -2)</f>
        <v>Jason Calderón</v>
      </c>
      <c r="F2331" s="10" t="s">
        <v>2522</v>
      </c>
      <c r="G2331" s="11">
        <v>45978</v>
      </c>
    </row>
    <row r="2332" spans="1:7" ht="36.5" hidden="1" x14ac:dyDescent="0.35">
      <c r="A2332" s="8">
        <v>10456</v>
      </c>
      <c r="B2332" s="10" t="s">
        <v>4882</v>
      </c>
      <c r="C2332" s="10" t="s">
        <v>26</v>
      </c>
      <c r="D2332" s="9" t="s">
        <v>26</v>
      </c>
      <c r="E2332" s="9" t="str">
        <f>_xlfn.TEXTAFTER(Condiciones_acumuladas[[#This Row],[Descripción]], " ", -2)</f>
        <v>Adrian Santisteban</v>
      </c>
      <c r="F2332" s="10" t="s">
        <v>2516</v>
      </c>
      <c r="G2332" s="11">
        <v>45999</v>
      </c>
    </row>
    <row r="2333" spans="1:7" ht="48.5" hidden="1" x14ac:dyDescent="0.35">
      <c r="A2333" s="8">
        <v>10278</v>
      </c>
      <c r="B2333" s="10" t="s">
        <v>4883</v>
      </c>
      <c r="C2333" s="10" t="s">
        <v>96</v>
      </c>
      <c r="D2333" s="9" t="s">
        <v>96</v>
      </c>
      <c r="E2333" s="9" t="str">
        <f>_xlfn.TEXTAFTER(Condiciones_acumuladas[[#This Row],[Descripción]], " ", -2)</f>
        <v>Hugo Oliva</v>
      </c>
      <c r="F2333" s="10" t="s">
        <v>2559</v>
      </c>
      <c r="G2333" s="11">
        <v>45974</v>
      </c>
    </row>
    <row r="2334" spans="1:7" ht="24.5" hidden="1" x14ac:dyDescent="0.35">
      <c r="A2334" s="8">
        <v>10287</v>
      </c>
      <c r="B2334" s="10" t="s">
        <v>4884</v>
      </c>
      <c r="C2334" s="10" t="s">
        <v>196</v>
      </c>
      <c r="D2334" s="9" t="s">
        <v>196</v>
      </c>
      <c r="E2334" s="9" t="str">
        <f>_xlfn.TEXTAFTER(Condiciones_acumuladas[[#This Row],[Descripción]], " ", -2)</f>
        <v>Luis Angel</v>
      </c>
      <c r="F2334" s="10" t="s">
        <v>2537</v>
      </c>
      <c r="G2334" s="11">
        <v>45976</v>
      </c>
    </row>
    <row r="2335" spans="1:7" ht="36.5" hidden="1" x14ac:dyDescent="0.35">
      <c r="A2335" s="8">
        <v>10272</v>
      </c>
      <c r="B2335" s="10" t="s">
        <v>4885</v>
      </c>
      <c r="C2335" s="10" t="s">
        <v>26</v>
      </c>
      <c r="D2335" s="9" t="s">
        <v>395</v>
      </c>
      <c r="E2335" s="9" t="str">
        <f>_xlfn.TEXTAFTER(Condiciones_acumuladas[[#This Row],[Descripción]], " ", -2)</f>
        <v>Josué Vásquez</v>
      </c>
      <c r="F2335" s="10" t="s">
        <v>2516</v>
      </c>
      <c r="G2335" s="11">
        <v>45973</v>
      </c>
    </row>
    <row r="2336" spans="1:7" ht="24.5" hidden="1" x14ac:dyDescent="0.35">
      <c r="A2336" s="8">
        <v>10274</v>
      </c>
      <c r="B2336" s="10" t="s">
        <v>4886</v>
      </c>
      <c r="C2336" s="10" t="s">
        <v>95</v>
      </c>
      <c r="D2336" s="9" t="s">
        <v>234</v>
      </c>
      <c r="E2336" s="9" t="str">
        <f>_xlfn.TEXTAFTER(Condiciones_acumuladas[[#This Row],[Descripción]], " ", -2)</f>
        <v>Hugo Oliva</v>
      </c>
      <c r="F2336" s="10" t="s">
        <v>2537</v>
      </c>
      <c r="G2336" s="11">
        <v>45974</v>
      </c>
    </row>
    <row r="2337" spans="1:7" ht="48.5" hidden="1" x14ac:dyDescent="0.35">
      <c r="A2337" s="8">
        <v>10346</v>
      </c>
      <c r="B2337" s="10" t="s">
        <v>4887</v>
      </c>
      <c r="C2337" s="10" t="s">
        <v>13</v>
      </c>
      <c r="D2337" s="9" t="s">
        <v>95</v>
      </c>
      <c r="E2337" s="9" t="str">
        <f>_xlfn.TEXTAFTER(Condiciones_acumuladas[[#This Row],[Descripción]], " ", -2)</f>
        <v>Benedicto Barrios</v>
      </c>
      <c r="F2337" s="10" t="s">
        <v>2559</v>
      </c>
      <c r="G2337" s="11">
        <v>45987</v>
      </c>
    </row>
    <row r="2338" spans="1:7" ht="24.5" hidden="1" x14ac:dyDescent="0.35">
      <c r="A2338" s="8">
        <v>10288</v>
      </c>
      <c r="B2338" s="10" t="s">
        <v>4888</v>
      </c>
      <c r="C2338" s="10" t="s">
        <v>96</v>
      </c>
      <c r="D2338" s="9" t="s">
        <v>96</v>
      </c>
      <c r="E2338" s="9" t="str">
        <f>_xlfn.TEXTAFTER(Condiciones_acumuladas[[#This Row],[Descripción]], " ", -2)</f>
        <v>Carlos Poz</v>
      </c>
      <c r="F2338" s="10" t="s">
        <v>2537</v>
      </c>
      <c r="G2338" s="11">
        <v>45976</v>
      </c>
    </row>
    <row r="2339" spans="1:7" ht="24.5" hidden="1" x14ac:dyDescent="0.35">
      <c r="A2339" s="8">
        <v>10290</v>
      </c>
      <c r="B2339" s="10" t="s">
        <v>4889</v>
      </c>
      <c r="C2339" s="10" t="s">
        <v>96</v>
      </c>
      <c r="D2339" s="9" t="s">
        <v>96</v>
      </c>
      <c r="E2339" s="9" t="str">
        <f>_xlfn.TEXTAFTER(Condiciones_acumuladas[[#This Row],[Descripción]], " ", -2)</f>
        <v>Jimmy Velasquez</v>
      </c>
      <c r="F2339" s="10" t="s">
        <v>2537</v>
      </c>
      <c r="G2339" s="11">
        <v>45978</v>
      </c>
    </row>
    <row r="2340" spans="1:7" ht="48.5" hidden="1" x14ac:dyDescent="0.35">
      <c r="A2340" s="8">
        <v>10285</v>
      </c>
      <c r="B2340" s="10" t="s">
        <v>4890</v>
      </c>
      <c r="C2340" s="10" t="s">
        <v>371</v>
      </c>
      <c r="D2340" s="9" t="s">
        <v>371</v>
      </c>
      <c r="E2340" s="9" t="str">
        <f>_xlfn.TEXTAFTER(Condiciones_acumuladas[[#This Row],[Descripción]], " ", -2)</f>
        <v>Emilo Cux</v>
      </c>
      <c r="F2340" s="10" t="s">
        <v>2516</v>
      </c>
      <c r="G2340" s="11">
        <v>45975</v>
      </c>
    </row>
    <row r="2341" spans="1:7" ht="36.5" hidden="1" x14ac:dyDescent="0.35">
      <c r="A2341" s="8">
        <v>10269</v>
      </c>
      <c r="B2341" s="10" t="s">
        <v>4891</v>
      </c>
      <c r="C2341" s="10" t="s">
        <v>26</v>
      </c>
      <c r="D2341" s="9" t="s">
        <v>395</v>
      </c>
      <c r="E2341" s="9" t="str">
        <f>_xlfn.TEXTAFTER(Condiciones_acumuladas[[#This Row],[Descripción]], " ", -2)</f>
        <v>Karla Hintz</v>
      </c>
      <c r="F2341" s="10" t="s">
        <v>2516</v>
      </c>
      <c r="G2341" s="11">
        <v>45973</v>
      </c>
    </row>
    <row r="2342" spans="1:7" ht="24.5" hidden="1" x14ac:dyDescent="0.35">
      <c r="A2342" s="8">
        <v>10277</v>
      </c>
      <c r="B2342" s="10" t="s">
        <v>4892</v>
      </c>
      <c r="C2342" s="10" t="s">
        <v>190</v>
      </c>
      <c r="D2342" s="9" t="s">
        <v>250</v>
      </c>
      <c r="E2342" s="9" t="str">
        <f>_xlfn.TEXTAFTER(Condiciones_acumuladas[[#This Row],[Descripción]], " ", -2)</f>
        <v>Pablo Donis</v>
      </c>
      <c r="F2342" s="10" t="s">
        <v>2522</v>
      </c>
      <c r="G2342" s="11">
        <v>45974</v>
      </c>
    </row>
    <row r="2343" spans="1:7" ht="48.5" hidden="1" x14ac:dyDescent="0.35">
      <c r="A2343" s="8">
        <v>10259</v>
      </c>
      <c r="B2343" s="10" t="s">
        <v>4893</v>
      </c>
      <c r="C2343" s="10" t="s">
        <v>96</v>
      </c>
      <c r="D2343" s="9" t="s">
        <v>96</v>
      </c>
      <c r="E2343" s="9" t="str">
        <f>_xlfn.TEXTAFTER(Condiciones_acumuladas[[#This Row],[Descripción]], " ", -2)</f>
        <v>Jimmy Velasquez</v>
      </c>
      <c r="F2343" s="10" t="s">
        <v>2559</v>
      </c>
      <c r="G2343" s="11">
        <v>45973</v>
      </c>
    </row>
    <row r="2344" spans="1:7" ht="36.5" hidden="1" x14ac:dyDescent="0.35">
      <c r="A2344" s="8">
        <v>10263</v>
      </c>
      <c r="B2344" s="10" t="s">
        <v>4894</v>
      </c>
      <c r="C2344" s="10" t="s">
        <v>26</v>
      </c>
      <c r="D2344" s="9" t="s">
        <v>395</v>
      </c>
      <c r="E2344" s="9" t="str">
        <f>_xlfn.TEXTAFTER(Condiciones_acumuladas[[#This Row],[Descripción]], " ", -2)</f>
        <v>Josué Vásquez</v>
      </c>
      <c r="F2344" s="10" t="s">
        <v>2516</v>
      </c>
      <c r="G2344" s="11">
        <v>45973</v>
      </c>
    </row>
    <row r="2345" spans="1:7" ht="36.5" hidden="1" x14ac:dyDescent="0.35">
      <c r="A2345" s="8">
        <v>10266</v>
      </c>
      <c r="B2345" s="10" t="s">
        <v>4895</v>
      </c>
      <c r="C2345" s="10" t="s">
        <v>220</v>
      </c>
      <c r="D2345" s="9" t="s">
        <v>220</v>
      </c>
      <c r="E2345" s="9" t="str">
        <f>_xlfn.TEXTAFTER(Condiciones_acumuladas[[#This Row],[Descripción]], " ", -2)</f>
        <v>Carlos Chavez</v>
      </c>
      <c r="F2345" s="10" t="s">
        <v>2530</v>
      </c>
      <c r="G2345" s="11">
        <v>45973</v>
      </c>
    </row>
    <row r="2346" spans="1:7" ht="36.5" hidden="1" x14ac:dyDescent="0.35">
      <c r="A2346" s="8">
        <v>10262</v>
      </c>
      <c r="B2346" s="10" t="s">
        <v>4896</v>
      </c>
      <c r="C2346" s="10" t="s">
        <v>26</v>
      </c>
      <c r="D2346" s="9" t="s">
        <v>26</v>
      </c>
      <c r="E2346" s="9" t="str">
        <f>_xlfn.TEXTAFTER(Condiciones_acumuladas[[#This Row],[Descripción]], " ", -2)</f>
        <v>Wilber López</v>
      </c>
      <c r="F2346" s="10" t="s">
        <v>2516</v>
      </c>
      <c r="G2346" s="11">
        <v>45973</v>
      </c>
    </row>
    <row r="2347" spans="1:7" ht="48.5" hidden="1" x14ac:dyDescent="0.35">
      <c r="A2347" s="8">
        <v>10281</v>
      </c>
      <c r="B2347" s="10" t="s">
        <v>4897</v>
      </c>
      <c r="C2347" s="10" t="s">
        <v>196</v>
      </c>
      <c r="D2347" s="9" t="s">
        <v>196</v>
      </c>
      <c r="E2347" s="9" t="str">
        <f>_xlfn.TEXTAFTER(Condiciones_acumuladas[[#This Row],[Descripción]], " ", -2)</f>
        <v>Luis Angel</v>
      </c>
      <c r="F2347" s="10" t="s">
        <v>2559</v>
      </c>
      <c r="G2347" s="11">
        <v>45975</v>
      </c>
    </row>
    <row r="2348" spans="1:7" ht="36.5" hidden="1" x14ac:dyDescent="0.35">
      <c r="A2348" s="8">
        <v>10275</v>
      </c>
      <c r="B2348" s="10" t="s">
        <v>4898</v>
      </c>
      <c r="C2348" s="10" t="s">
        <v>96</v>
      </c>
      <c r="D2348" s="9" t="s">
        <v>96</v>
      </c>
      <c r="E2348" s="9" t="str">
        <f>_xlfn.TEXTAFTER(Condiciones_acumuladas[[#This Row],[Descripción]], " ", -2)</f>
        <v>Jimmy Velasquez</v>
      </c>
      <c r="F2348" s="10" t="s">
        <v>2516</v>
      </c>
      <c r="G2348" s="11">
        <v>45974</v>
      </c>
    </row>
    <row r="2349" spans="1:7" ht="36.5" hidden="1" x14ac:dyDescent="0.35">
      <c r="A2349" s="8">
        <v>10280</v>
      </c>
      <c r="B2349" s="10" t="s">
        <v>4899</v>
      </c>
      <c r="C2349" s="10" t="s">
        <v>96</v>
      </c>
      <c r="D2349" s="9" t="s">
        <v>96</v>
      </c>
      <c r="E2349" s="9" t="str">
        <f>_xlfn.TEXTAFTER(Condiciones_acumuladas[[#This Row],[Descripción]], " ", -2)</f>
        <v>Daniel Pineda</v>
      </c>
      <c r="F2349" s="10" t="s">
        <v>2834</v>
      </c>
      <c r="G2349" s="11">
        <v>45974</v>
      </c>
    </row>
    <row r="2350" spans="1:7" ht="24.5" hidden="1" x14ac:dyDescent="0.35">
      <c r="A2350" s="8">
        <v>10267</v>
      </c>
      <c r="B2350" s="10" t="s">
        <v>4900</v>
      </c>
      <c r="C2350" s="10" t="s">
        <v>220</v>
      </c>
      <c r="D2350" s="9" t="s">
        <v>220</v>
      </c>
      <c r="E2350" s="9" t="str">
        <f>_xlfn.TEXTAFTER(Condiciones_acumuladas[[#This Row],[Descripción]], " ", -2)</f>
        <v>Carlos Chavez</v>
      </c>
      <c r="F2350" s="10" t="s">
        <v>2834</v>
      </c>
      <c r="G2350" s="11">
        <v>45973</v>
      </c>
    </row>
    <row r="2351" spans="1:7" ht="36.5" hidden="1" x14ac:dyDescent="0.35">
      <c r="A2351" s="8">
        <v>10261</v>
      </c>
      <c r="B2351" s="10" t="s">
        <v>4901</v>
      </c>
      <c r="C2351" s="10" t="s">
        <v>26</v>
      </c>
      <c r="D2351" s="9" t="s">
        <v>34</v>
      </c>
      <c r="E2351" s="9" t="str">
        <f>_xlfn.TEXTAFTER(Condiciones_acumuladas[[#This Row],[Descripción]], " ", -2)</f>
        <v>Wilber López</v>
      </c>
      <c r="F2351" s="10" t="s">
        <v>2516</v>
      </c>
      <c r="G2351" s="11">
        <v>45973</v>
      </c>
    </row>
    <row r="2352" spans="1:7" ht="48.5" hidden="1" x14ac:dyDescent="0.35">
      <c r="A2352" s="8">
        <v>10265</v>
      </c>
      <c r="B2352" s="10" t="s">
        <v>4902</v>
      </c>
      <c r="C2352" s="10" t="s">
        <v>96</v>
      </c>
      <c r="D2352" s="9" t="s">
        <v>96</v>
      </c>
      <c r="E2352" s="9" t="str">
        <f>_xlfn.TEXTAFTER(Condiciones_acumuladas[[#This Row],[Descripción]], " ", -2)</f>
        <v>Jimmy Velasquez</v>
      </c>
      <c r="F2352" s="10" t="s">
        <v>2559</v>
      </c>
      <c r="G2352" s="11">
        <v>45973</v>
      </c>
    </row>
    <row r="2353" spans="1:7" ht="24.5" hidden="1" x14ac:dyDescent="0.35">
      <c r="A2353" s="8">
        <v>10292</v>
      </c>
      <c r="B2353" s="10" t="s">
        <v>4903</v>
      </c>
      <c r="C2353" s="10" t="s">
        <v>250</v>
      </c>
      <c r="D2353" s="9" t="s">
        <v>250</v>
      </c>
      <c r="E2353" s="9" t="str">
        <f>_xlfn.TEXTAFTER(Condiciones_acumuladas[[#This Row],[Descripción]], " ", -2)</f>
        <v>Pablo Donis</v>
      </c>
      <c r="F2353" s="10" t="s">
        <v>2522</v>
      </c>
      <c r="G2353" s="11">
        <v>45978</v>
      </c>
    </row>
    <row r="2354" spans="1:7" ht="36.5" hidden="1" x14ac:dyDescent="0.35">
      <c r="A2354" s="8">
        <v>10338</v>
      </c>
      <c r="B2354" s="10" t="s">
        <v>4904</v>
      </c>
      <c r="C2354" s="10" t="s">
        <v>26</v>
      </c>
      <c r="D2354" s="9" t="s">
        <v>95</v>
      </c>
      <c r="E2354" s="9" t="str">
        <f>_xlfn.TEXTAFTER(Condiciones_acumuladas[[#This Row],[Descripción]], " ", -2)</f>
        <v>Domingo Yac.</v>
      </c>
      <c r="F2354" s="10" t="s">
        <v>2572</v>
      </c>
      <c r="G2354" s="11">
        <v>45983</v>
      </c>
    </row>
    <row r="2355" spans="1:7" ht="48.5" hidden="1" x14ac:dyDescent="0.35">
      <c r="A2355" s="8">
        <v>10304</v>
      </c>
      <c r="B2355" s="10" t="s">
        <v>4905</v>
      </c>
      <c r="C2355" s="10" t="s">
        <v>134</v>
      </c>
      <c r="D2355" s="9" t="s">
        <v>21</v>
      </c>
      <c r="E2355" s="9" t="str">
        <f>_xlfn.TEXTAFTER(Condiciones_acumuladas[[#This Row],[Descripción]], " ", -2)</f>
        <v>Oscar Ramirez</v>
      </c>
      <c r="F2355" s="10" t="s">
        <v>2559</v>
      </c>
      <c r="G2355" s="11">
        <v>45979</v>
      </c>
    </row>
    <row r="2356" spans="1:7" ht="36.5" hidden="1" x14ac:dyDescent="0.35">
      <c r="A2356" s="8">
        <v>10307</v>
      </c>
      <c r="B2356" s="10" t="s">
        <v>4906</v>
      </c>
      <c r="C2356" s="10" t="s">
        <v>134</v>
      </c>
      <c r="D2356" s="9" t="s">
        <v>13</v>
      </c>
      <c r="E2356" s="9" t="str">
        <f>_xlfn.TEXTAFTER(Condiciones_acumuladas[[#This Row],[Descripción]], " ", -2)</f>
        <v>Oscar Ramirez</v>
      </c>
      <c r="F2356" s="10" t="s">
        <v>2530</v>
      </c>
      <c r="G2356" s="11">
        <v>45979</v>
      </c>
    </row>
    <row r="2357" spans="1:7" ht="24.5" hidden="1" x14ac:dyDescent="0.35">
      <c r="A2357" s="8">
        <v>10591</v>
      </c>
      <c r="B2357" s="10" t="s">
        <v>4907</v>
      </c>
      <c r="C2357" s="10" t="s">
        <v>34</v>
      </c>
      <c r="D2357" s="9" t="s">
        <v>34</v>
      </c>
      <c r="E2357" s="9" t="str">
        <f>_xlfn.TEXTAFTER(Condiciones_acumuladas[[#This Row],[Descripción]], " ", -2)</f>
        <v>Adrian Santisteban</v>
      </c>
      <c r="F2357" s="10" t="s">
        <v>2540</v>
      </c>
      <c r="G2357" s="11">
        <v>46021</v>
      </c>
    </row>
    <row r="2358" spans="1:7" ht="36.5" hidden="1" x14ac:dyDescent="0.35">
      <c r="A2358" s="8">
        <v>10316</v>
      </c>
      <c r="B2358" s="10" t="s">
        <v>4908</v>
      </c>
      <c r="C2358" s="10" t="s">
        <v>104</v>
      </c>
      <c r="D2358" s="9" t="s">
        <v>196</v>
      </c>
      <c r="E2358" s="9" t="str">
        <f>_xlfn.TEXTAFTER(Condiciones_acumuladas[[#This Row],[Descripción]], " ", -2)</f>
        <v>Miguel Godinez</v>
      </c>
      <c r="F2358" s="10" t="s">
        <v>2516</v>
      </c>
      <c r="G2358" s="11">
        <v>45980</v>
      </c>
    </row>
    <row r="2359" spans="1:7" ht="36.5" hidden="1" x14ac:dyDescent="0.35">
      <c r="A2359" s="8">
        <v>10315</v>
      </c>
      <c r="B2359" s="10" t="s">
        <v>4909</v>
      </c>
      <c r="C2359" s="10" t="s">
        <v>104</v>
      </c>
      <c r="D2359" s="9" t="s">
        <v>104</v>
      </c>
      <c r="E2359" s="9" t="str">
        <f>_xlfn.TEXTAFTER(Condiciones_acumuladas[[#This Row],[Descripción]], " ", -2)</f>
        <v>Haydée Hernández</v>
      </c>
      <c r="F2359" s="10" t="s">
        <v>2530</v>
      </c>
      <c r="G2359" s="11">
        <v>45980</v>
      </c>
    </row>
    <row r="2360" spans="1:7" ht="36.5" hidden="1" x14ac:dyDescent="0.35">
      <c r="A2360" s="8">
        <v>10320</v>
      </c>
      <c r="B2360" s="10" t="s">
        <v>4910</v>
      </c>
      <c r="C2360" s="10" t="s">
        <v>134</v>
      </c>
      <c r="D2360" s="9" t="s">
        <v>395</v>
      </c>
      <c r="E2360" s="9" t="str">
        <f>_xlfn.TEXTAFTER(Condiciones_acumuladas[[#This Row],[Descripción]], " ", -2)</f>
        <v>Yessi Guarcas</v>
      </c>
      <c r="F2360" s="10" t="s">
        <v>2516</v>
      </c>
      <c r="G2360" s="11">
        <v>45980</v>
      </c>
    </row>
    <row r="2361" spans="1:7" ht="36.5" hidden="1" x14ac:dyDescent="0.35">
      <c r="A2361" s="8">
        <v>10318</v>
      </c>
      <c r="B2361" s="10" t="s">
        <v>4911</v>
      </c>
      <c r="C2361" s="10" t="s">
        <v>13</v>
      </c>
      <c r="D2361" s="9" t="s">
        <v>395</v>
      </c>
      <c r="E2361" s="9" t="str">
        <f>_xlfn.TEXTAFTER(Condiciones_acumuladas[[#This Row],[Descripción]], " ", -2)</f>
        <v>Josué Vásquez</v>
      </c>
      <c r="F2361" s="10" t="s">
        <v>2516</v>
      </c>
      <c r="G2361" s="11">
        <v>45980</v>
      </c>
    </row>
    <row r="2362" spans="1:7" ht="36.5" hidden="1" x14ac:dyDescent="0.35">
      <c r="A2362" s="8">
        <v>10319</v>
      </c>
      <c r="B2362" s="10" t="s">
        <v>4912</v>
      </c>
      <c r="C2362" s="10" t="s">
        <v>13</v>
      </c>
      <c r="D2362" s="9" t="s">
        <v>395</v>
      </c>
      <c r="E2362" s="9" t="str">
        <f>_xlfn.TEXTAFTER(Condiciones_acumuladas[[#This Row],[Descripción]], " ", -2)</f>
        <v>Josué Vásquez</v>
      </c>
      <c r="F2362" s="10" t="s">
        <v>2525</v>
      </c>
      <c r="G2362" s="11">
        <v>45980</v>
      </c>
    </row>
    <row r="2363" spans="1:7" ht="24.5" hidden="1" x14ac:dyDescent="0.35">
      <c r="A2363" s="8">
        <v>10317</v>
      </c>
      <c r="B2363" s="10" t="s">
        <v>4913</v>
      </c>
      <c r="C2363" s="10" t="s">
        <v>234</v>
      </c>
      <c r="D2363" s="9" t="s">
        <v>234</v>
      </c>
      <c r="E2363" s="9" t="str">
        <f>_xlfn.TEXTAFTER(Condiciones_acumuladas[[#This Row],[Descripción]], " ", -2)</f>
        <v>Haydée Hernández</v>
      </c>
      <c r="F2363" s="10" t="s">
        <v>2522</v>
      </c>
      <c r="G2363" s="11">
        <v>45980</v>
      </c>
    </row>
    <row r="2364" spans="1:7" ht="36.5" hidden="1" x14ac:dyDescent="0.35">
      <c r="A2364" s="8">
        <v>10314</v>
      </c>
      <c r="B2364" s="10" t="s">
        <v>4914</v>
      </c>
      <c r="C2364" s="10" t="s">
        <v>21</v>
      </c>
      <c r="D2364" s="9" t="s">
        <v>395</v>
      </c>
      <c r="E2364" s="9" t="str">
        <f>_xlfn.TEXTAFTER(Condiciones_acumuladas[[#This Row],[Descripción]], " ", -2)</f>
        <v>Josué Vásquez</v>
      </c>
      <c r="F2364" s="10" t="s">
        <v>2516</v>
      </c>
      <c r="G2364" s="11">
        <v>45980</v>
      </c>
    </row>
    <row r="2365" spans="1:7" ht="36.5" hidden="1" x14ac:dyDescent="0.35">
      <c r="A2365" s="8">
        <v>10313</v>
      </c>
      <c r="B2365" s="10" t="s">
        <v>4915</v>
      </c>
      <c r="C2365" s="10" t="s">
        <v>371</v>
      </c>
      <c r="D2365" s="9" t="s">
        <v>371</v>
      </c>
      <c r="E2365" s="9" t="str">
        <f>_xlfn.TEXTAFTER(Condiciones_acumuladas[[#This Row],[Descripción]], " ", -2)</f>
        <v>Josué Lepe</v>
      </c>
      <c r="F2365" s="10" t="s">
        <v>2572</v>
      </c>
      <c r="G2365" s="11">
        <v>45980</v>
      </c>
    </row>
    <row r="2366" spans="1:7" ht="36.5" hidden="1" x14ac:dyDescent="0.35">
      <c r="A2366" s="8">
        <v>10312</v>
      </c>
      <c r="B2366" s="10" t="s">
        <v>4916</v>
      </c>
      <c r="C2366" s="10" t="s">
        <v>134</v>
      </c>
      <c r="D2366" s="9" t="s">
        <v>134</v>
      </c>
      <c r="E2366" s="9" t="str">
        <f>_xlfn.TEXTAFTER(Condiciones_acumuladas[[#This Row],[Descripción]], " ", -2)</f>
        <v>Hugo Oliva</v>
      </c>
      <c r="F2366" s="10" t="s">
        <v>2516</v>
      </c>
      <c r="G2366" s="11">
        <v>45980</v>
      </c>
    </row>
    <row r="2367" spans="1:7" ht="36.5" hidden="1" x14ac:dyDescent="0.35">
      <c r="A2367" s="8">
        <v>10309</v>
      </c>
      <c r="B2367" s="10" t="s">
        <v>4917</v>
      </c>
      <c r="C2367" s="10" t="s">
        <v>234</v>
      </c>
      <c r="D2367" s="9" t="s">
        <v>190</v>
      </c>
      <c r="E2367" s="9" t="str">
        <f>_xlfn.TEXTAFTER(Condiciones_acumuladas[[#This Row],[Descripción]], " ", -2)</f>
        <v>Jorge Ixtacuy</v>
      </c>
      <c r="F2367" s="10" t="s">
        <v>2516</v>
      </c>
      <c r="G2367" s="11">
        <v>45979</v>
      </c>
    </row>
    <row r="2368" spans="1:7" ht="36.5" hidden="1" x14ac:dyDescent="0.35">
      <c r="A2368" s="8">
        <v>10305</v>
      </c>
      <c r="B2368" s="10" t="s">
        <v>4918</v>
      </c>
      <c r="C2368" s="10" t="s">
        <v>134</v>
      </c>
      <c r="D2368" s="9" t="s">
        <v>13</v>
      </c>
      <c r="E2368" s="9" t="str">
        <f>_xlfn.TEXTAFTER(Condiciones_acumuladas[[#This Row],[Descripción]], " ", -2)</f>
        <v>Oscar Ramirez</v>
      </c>
      <c r="F2368" s="10" t="s">
        <v>2516</v>
      </c>
      <c r="G2368" s="11">
        <v>45980</v>
      </c>
    </row>
    <row r="2369" spans="1:7" ht="36.5" hidden="1" x14ac:dyDescent="0.35">
      <c r="A2369" s="8">
        <v>10308</v>
      </c>
      <c r="B2369" s="10" t="s">
        <v>4919</v>
      </c>
      <c r="C2369" s="10" t="s">
        <v>371</v>
      </c>
      <c r="D2369" s="9" t="s">
        <v>371</v>
      </c>
      <c r="E2369" s="9" t="str">
        <f>_xlfn.TEXTAFTER(Condiciones_acumuladas[[#This Row],[Descripción]], " ", -2)</f>
        <v>Rodrigo Galindo</v>
      </c>
      <c r="F2369" s="10" t="s">
        <v>2572</v>
      </c>
      <c r="G2369" s="11">
        <v>45979</v>
      </c>
    </row>
    <row r="2370" spans="1:7" ht="36.5" hidden="1" x14ac:dyDescent="0.35">
      <c r="A2370" s="8">
        <v>10306</v>
      </c>
      <c r="B2370" s="10" t="s">
        <v>4920</v>
      </c>
      <c r="C2370" s="10" t="s">
        <v>134</v>
      </c>
      <c r="D2370" s="9" t="s">
        <v>21</v>
      </c>
      <c r="E2370" s="9" t="str">
        <f>_xlfn.TEXTAFTER(Condiciones_acumuladas[[#This Row],[Descripción]], " ", -2)</f>
        <v>Oscar Ramirez</v>
      </c>
      <c r="F2370" s="10" t="s">
        <v>2516</v>
      </c>
      <c r="G2370" s="11">
        <v>45979</v>
      </c>
    </row>
    <row r="2371" spans="1:7" ht="24.5" hidden="1" x14ac:dyDescent="0.35">
      <c r="A2371" s="8">
        <v>10303</v>
      </c>
      <c r="B2371" s="10" t="s">
        <v>4921</v>
      </c>
      <c r="C2371" s="10" t="s">
        <v>96</v>
      </c>
      <c r="D2371" s="9" t="s">
        <v>395</v>
      </c>
      <c r="E2371" s="9" t="str">
        <f>_xlfn.TEXTAFTER(Condiciones_acumuladas[[#This Row],[Descripción]], " ", -2)</f>
        <v>Antony Ramos</v>
      </c>
      <c r="F2371" s="10" t="s">
        <v>2834</v>
      </c>
      <c r="G2371" s="11">
        <v>45979</v>
      </c>
    </row>
    <row r="2372" spans="1:7" ht="24.5" hidden="1" x14ac:dyDescent="0.35">
      <c r="A2372" s="8">
        <v>10302</v>
      </c>
      <c r="B2372" s="10" t="s">
        <v>4922</v>
      </c>
      <c r="C2372" s="10" t="s">
        <v>220</v>
      </c>
      <c r="D2372" s="9" t="s">
        <v>234</v>
      </c>
      <c r="E2372" s="9" t="str">
        <f>_xlfn.TEXTAFTER(Condiciones_acumuladas[[#This Row],[Descripción]], " ", -2)</f>
        <v>Brian Neftaly</v>
      </c>
      <c r="F2372" s="10" t="s">
        <v>2522</v>
      </c>
      <c r="G2372" s="11">
        <v>45980</v>
      </c>
    </row>
    <row r="2373" spans="1:7" ht="36.5" hidden="1" x14ac:dyDescent="0.35">
      <c r="A2373" s="8">
        <v>10321</v>
      </c>
      <c r="B2373" s="10" t="s">
        <v>4923</v>
      </c>
      <c r="C2373" s="10" t="s">
        <v>134</v>
      </c>
      <c r="D2373" s="9" t="s">
        <v>395</v>
      </c>
      <c r="E2373" s="9" t="str">
        <f>_xlfn.TEXTAFTER(Condiciones_acumuladas[[#This Row],[Descripción]], " ", -2)</f>
        <v>Yessi Guarcas</v>
      </c>
      <c r="F2373" s="10" t="s">
        <v>2530</v>
      </c>
      <c r="G2373" s="11">
        <v>45980</v>
      </c>
    </row>
    <row r="2374" spans="1:7" ht="24.5" hidden="1" x14ac:dyDescent="0.35">
      <c r="A2374" s="8">
        <v>10322</v>
      </c>
      <c r="B2374" s="10" t="s">
        <v>4924</v>
      </c>
      <c r="C2374" s="10" t="s">
        <v>190</v>
      </c>
      <c r="D2374" s="9" t="s">
        <v>193</v>
      </c>
      <c r="E2374" s="9" t="str">
        <f>_xlfn.TEXTAFTER(Condiciones_acumuladas[[#This Row],[Descripción]], " ", -2)</f>
        <v>Selvin Pérez</v>
      </c>
      <c r="F2374" s="10" t="s">
        <v>2522</v>
      </c>
      <c r="G2374" s="11">
        <v>45980</v>
      </c>
    </row>
    <row r="2375" spans="1:7" ht="36.5" hidden="1" x14ac:dyDescent="0.35">
      <c r="A2375" s="8">
        <v>10333</v>
      </c>
      <c r="B2375" s="10" t="s">
        <v>4925</v>
      </c>
      <c r="C2375" s="10" t="s">
        <v>96</v>
      </c>
      <c r="D2375" s="9" t="s">
        <v>96</v>
      </c>
      <c r="E2375" s="9" t="str">
        <f>_xlfn.TEXTAFTER(Condiciones_acumuladas[[#This Row],[Descripción]], " ", -2)</f>
        <v>Bladimir López</v>
      </c>
      <c r="F2375" s="10" t="s">
        <v>2516</v>
      </c>
      <c r="G2375" s="11">
        <v>45982</v>
      </c>
    </row>
    <row r="2376" spans="1:7" ht="36.5" hidden="1" x14ac:dyDescent="0.35">
      <c r="A2376" s="8">
        <v>10329</v>
      </c>
      <c r="B2376" s="10" t="s">
        <v>4926</v>
      </c>
      <c r="C2376" s="10" t="s">
        <v>250</v>
      </c>
      <c r="D2376" s="9" t="s">
        <v>250</v>
      </c>
      <c r="E2376" s="9" t="str">
        <f>_xlfn.TEXTAFTER(Condiciones_acumuladas[[#This Row],[Descripción]], " ", -2)</f>
        <v>Edson Bonifacio</v>
      </c>
      <c r="F2376" s="10" t="s">
        <v>2522</v>
      </c>
      <c r="G2376" s="11">
        <v>45981</v>
      </c>
    </row>
    <row r="2377" spans="1:7" ht="36.5" hidden="1" x14ac:dyDescent="0.35">
      <c r="A2377" s="8">
        <v>10324</v>
      </c>
      <c r="B2377" s="10" t="s">
        <v>4927</v>
      </c>
      <c r="C2377" s="10" t="s">
        <v>190</v>
      </c>
      <c r="D2377" s="9" t="s">
        <v>193</v>
      </c>
      <c r="E2377" s="9" t="str">
        <f>_xlfn.TEXTAFTER(Condiciones_acumuladas[[#This Row],[Descripción]], " ", -2)</f>
        <v>Selvin Pérez</v>
      </c>
      <c r="F2377" s="10" t="s">
        <v>2516</v>
      </c>
      <c r="G2377" s="11">
        <v>45980</v>
      </c>
    </row>
    <row r="2378" spans="1:7" ht="36.5" hidden="1" x14ac:dyDescent="0.35">
      <c r="A2378" s="8">
        <v>10327</v>
      </c>
      <c r="B2378" s="10" t="s">
        <v>4928</v>
      </c>
      <c r="C2378" s="10" t="s">
        <v>13</v>
      </c>
      <c r="D2378" s="9" t="s">
        <v>13</v>
      </c>
      <c r="E2378" s="9" t="str">
        <f>_xlfn.TEXTAFTER(Condiciones_acumuladas[[#This Row],[Descripción]], " ", -2)</f>
        <v>Haydée Hernández</v>
      </c>
      <c r="F2378" s="10" t="s">
        <v>2530</v>
      </c>
      <c r="G2378" s="11">
        <v>45981</v>
      </c>
    </row>
    <row r="2379" spans="1:7" ht="36.5" hidden="1" x14ac:dyDescent="0.35">
      <c r="A2379" s="8">
        <v>10328</v>
      </c>
      <c r="B2379" s="10" t="s">
        <v>4929</v>
      </c>
      <c r="C2379" s="10" t="s">
        <v>21</v>
      </c>
      <c r="D2379" s="9" t="s">
        <v>395</v>
      </c>
      <c r="E2379" s="9" t="str">
        <f>_xlfn.TEXTAFTER(Condiciones_acumuladas[[#This Row],[Descripción]], " ", -2)</f>
        <v>Josué Vásquez</v>
      </c>
      <c r="F2379" s="10" t="s">
        <v>2572</v>
      </c>
      <c r="G2379" s="11">
        <v>45981</v>
      </c>
    </row>
    <row r="2380" spans="1:7" ht="24.5" hidden="1" x14ac:dyDescent="0.35">
      <c r="A2380" s="8">
        <v>10323</v>
      </c>
      <c r="B2380" s="10" t="s">
        <v>4930</v>
      </c>
      <c r="C2380" s="10" t="s">
        <v>190</v>
      </c>
      <c r="D2380" s="9" t="s">
        <v>193</v>
      </c>
      <c r="E2380" s="9" t="str">
        <f>_xlfn.TEXTAFTER(Condiciones_acumuladas[[#This Row],[Descripción]], " ", -2)</f>
        <v>Selvin Pérez</v>
      </c>
      <c r="F2380" s="10" t="s">
        <v>2522</v>
      </c>
      <c r="G2380" s="11">
        <v>45980</v>
      </c>
    </row>
    <row r="2381" spans="1:7" ht="36.5" hidden="1" x14ac:dyDescent="0.35">
      <c r="A2381" s="8">
        <v>10325</v>
      </c>
      <c r="B2381" s="10" t="s">
        <v>4931</v>
      </c>
      <c r="C2381" s="10" t="s">
        <v>96</v>
      </c>
      <c r="D2381" s="9" t="s">
        <v>395</v>
      </c>
      <c r="E2381" s="9" t="str">
        <f>_xlfn.TEXTAFTER(Condiciones_acumuladas[[#This Row],[Descripción]], " ", -2)</f>
        <v>Daniel Pineda</v>
      </c>
      <c r="F2381" s="10" t="s">
        <v>2516</v>
      </c>
      <c r="G2381" s="11">
        <v>45980</v>
      </c>
    </row>
    <row r="2382" spans="1:7" ht="24.5" hidden="1" x14ac:dyDescent="0.35">
      <c r="A2382" s="8">
        <v>10187</v>
      </c>
      <c r="B2382" s="10" t="s">
        <v>4932</v>
      </c>
      <c r="C2382" s="10" t="s">
        <v>104</v>
      </c>
      <c r="D2382" s="9" t="s">
        <v>95</v>
      </c>
      <c r="E2382" s="9" t="str">
        <f>_xlfn.TEXTAFTER(Condiciones_acumuladas[[#This Row],[Descripción]], " ", -2)</f>
        <v>Efrain Valux</v>
      </c>
      <c r="F2382" s="10" t="s">
        <v>2522</v>
      </c>
      <c r="G2382" s="11">
        <v>45964</v>
      </c>
    </row>
    <row r="2383" spans="1:7" ht="36.5" hidden="1" x14ac:dyDescent="0.35">
      <c r="A2383" s="8">
        <v>10345</v>
      </c>
      <c r="B2383" s="10" t="s">
        <v>4933</v>
      </c>
      <c r="C2383" s="10" t="s">
        <v>21</v>
      </c>
      <c r="D2383" s="9" t="s">
        <v>21</v>
      </c>
      <c r="E2383" s="9" t="str">
        <f>_xlfn.TEXTAFTER(Condiciones_acumuladas[[#This Row],[Descripción]], " ", -2)</f>
        <v>Haydée Hernández</v>
      </c>
      <c r="F2383" s="10" t="s">
        <v>2516</v>
      </c>
      <c r="G2383" s="11">
        <v>45982</v>
      </c>
    </row>
    <row r="2384" spans="1:7" ht="36.5" hidden="1" x14ac:dyDescent="0.35">
      <c r="A2384" s="8">
        <v>10340</v>
      </c>
      <c r="B2384" s="10" t="s">
        <v>4934</v>
      </c>
      <c r="C2384" s="10" t="s">
        <v>278</v>
      </c>
      <c r="D2384" s="9" t="s">
        <v>278</v>
      </c>
      <c r="E2384" s="9" t="str">
        <f>_xlfn.TEXTAFTER(Condiciones_acumuladas[[#This Row],[Descripción]], " ", -2)</f>
        <v>Jason Calderón</v>
      </c>
      <c r="F2384" s="10" t="s">
        <v>2537</v>
      </c>
      <c r="G2384" s="11">
        <v>45985</v>
      </c>
    </row>
    <row r="2385" spans="1:7" ht="36.5" hidden="1" x14ac:dyDescent="0.35">
      <c r="A2385" s="8">
        <v>10276</v>
      </c>
      <c r="B2385" s="10" t="s">
        <v>4935</v>
      </c>
      <c r="C2385" s="10" t="s">
        <v>134</v>
      </c>
      <c r="D2385" s="9" t="s">
        <v>95</v>
      </c>
      <c r="E2385" s="9" t="str">
        <f>_xlfn.TEXTAFTER(Condiciones_acumuladas[[#This Row],[Descripción]], " ", -2)</f>
        <v>Efrain Valux</v>
      </c>
      <c r="F2385" s="10" t="s">
        <v>2516</v>
      </c>
      <c r="G2385" s="11">
        <v>45974</v>
      </c>
    </row>
    <row r="2386" spans="1:7" ht="36.5" hidden="1" x14ac:dyDescent="0.35">
      <c r="A2386" s="8">
        <v>10283</v>
      </c>
      <c r="B2386" s="10" t="s">
        <v>4936</v>
      </c>
      <c r="C2386" s="10" t="s">
        <v>95</v>
      </c>
      <c r="D2386" s="9" t="s">
        <v>95</v>
      </c>
      <c r="E2386" s="9" t="str">
        <f>_xlfn.TEXTAFTER(Condiciones_acumuladas[[#This Row],[Descripción]], " ", -2)</f>
        <v>Gerson Castañeda</v>
      </c>
      <c r="F2386" s="10" t="s">
        <v>2516</v>
      </c>
      <c r="G2386" s="11">
        <v>45975</v>
      </c>
    </row>
    <row r="2387" spans="1:7" ht="36.5" hidden="1" x14ac:dyDescent="0.35">
      <c r="A2387" s="8">
        <v>10348</v>
      </c>
      <c r="B2387" s="10" t="s">
        <v>4937</v>
      </c>
      <c r="C2387" s="10" t="s">
        <v>134</v>
      </c>
      <c r="D2387" s="9" t="s">
        <v>95</v>
      </c>
      <c r="E2387" s="9"/>
      <c r="F2387" s="10" t="s">
        <v>2525</v>
      </c>
      <c r="G2387" s="11">
        <v>45946</v>
      </c>
    </row>
    <row r="2388" spans="1:7" ht="48.5" hidden="1" x14ac:dyDescent="0.35">
      <c r="A2388" s="8">
        <v>10289</v>
      </c>
      <c r="B2388" s="10" t="s">
        <v>4938</v>
      </c>
      <c r="C2388" s="10" t="s">
        <v>234</v>
      </c>
      <c r="D2388" s="9" t="s">
        <v>95</v>
      </c>
      <c r="E2388" s="9" t="str">
        <f>_xlfn.TEXTAFTER(Condiciones_acumuladas[[#This Row],[Descripción]], " ", -2)</f>
        <v>Gilmar Mazariegos</v>
      </c>
      <c r="F2388" s="10" t="s">
        <v>2559</v>
      </c>
      <c r="G2388" s="11">
        <v>45977</v>
      </c>
    </row>
    <row r="2389" spans="1:7" ht="36.5" hidden="1" x14ac:dyDescent="0.35">
      <c r="A2389" s="8">
        <v>10354</v>
      </c>
      <c r="B2389" s="10" t="s">
        <v>4939</v>
      </c>
      <c r="C2389" s="10" t="s">
        <v>134</v>
      </c>
      <c r="D2389" s="9" t="s">
        <v>95</v>
      </c>
      <c r="E2389" s="9" t="str">
        <f>_xlfn.TEXTAFTER(Condiciones_acumuladas[[#This Row],[Descripción]], " ", -2)</f>
        <v>Luis Cabrera</v>
      </c>
      <c r="F2389" s="10" t="s">
        <v>2715</v>
      </c>
      <c r="G2389" s="11">
        <v>45986</v>
      </c>
    </row>
    <row r="2390" spans="1:7" ht="36.5" hidden="1" x14ac:dyDescent="0.35">
      <c r="A2390" s="8">
        <v>10355</v>
      </c>
      <c r="B2390" s="10" t="s">
        <v>4940</v>
      </c>
      <c r="C2390" s="10" t="s">
        <v>134</v>
      </c>
      <c r="D2390" s="9" t="s">
        <v>95</v>
      </c>
      <c r="E2390" s="9" t="str">
        <f>_xlfn.TEXTAFTER(Condiciones_acumuladas[[#This Row],[Descripción]], " ", -2)</f>
        <v>Luis Cabrera</v>
      </c>
      <c r="F2390" s="10" t="s">
        <v>2516</v>
      </c>
      <c r="G2390" s="11">
        <v>45986</v>
      </c>
    </row>
    <row r="2391" spans="1:7" ht="24.5" hidden="1" x14ac:dyDescent="0.35">
      <c r="A2391" s="8">
        <v>10310</v>
      </c>
      <c r="B2391" s="10" t="s">
        <v>4941</v>
      </c>
      <c r="C2391" s="10" t="s">
        <v>220</v>
      </c>
      <c r="D2391" s="9" t="s">
        <v>95</v>
      </c>
      <c r="E2391" s="9" t="str">
        <f>_xlfn.TEXTAFTER(Condiciones_acumuladas[[#This Row],[Descripción]], " ", -2)</f>
        <v>Maria Obregón</v>
      </c>
      <c r="F2391" s="10" t="s">
        <v>2834</v>
      </c>
      <c r="G2391" s="11">
        <v>45979</v>
      </c>
    </row>
    <row r="2392" spans="1:7" ht="36.5" hidden="1" x14ac:dyDescent="0.35">
      <c r="A2392" s="8">
        <v>10590</v>
      </c>
      <c r="B2392" s="10" t="s">
        <v>4942</v>
      </c>
      <c r="C2392" s="10" t="s">
        <v>26</v>
      </c>
      <c r="D2392" s="9" t="s">
        <v>26</v>
      </c>
      <c r="E2392" s="9" t="str">
        <f>_xlfn.TEXTAFTER(Condiciones_acumuladas[[#This Row],[Descripción]], " ", -2)</f>
        <v>Adrian Santisteban</v>
      </c>
      <c r="F2392" s="10" t="s">
        <v>2525</v>
      </c>
      <c r="G2392" s="11">
        <v>46022</v>
      </c>
    </row>
    <row r="2393" spans="1:7" ht="36.5" hidden="1" x14ac:dyDescent="0.35">
      <c r="A2393" s="8">
        <v>10589</v>
      </c>
      <c r="B2393" s="10" t="s">
        <v>4943</v>
      </c>
      <c r="C2393" s="10" t="s">
        <v>34</v>
      </c>
      <c r="D2393" s="9" t="s">
        <v>34</v>
      </c>
      <c r="E2393" s="9" t="str">
        <f>_xlfn.TEXTAFTER(Condiciones_acumuladas[[#This Row],[Descripción]], " ", -2)</f>
        <v>Adrian Santisteban</v>
      </c>
      <c r="F2393" s="10" t="s">
        <v>2516</v>
      </c>
      <c r="G2393" s="11">
        <v>46019</v>
      </c>
    </row>
    <row r="2394" spans="1:7" ht="48.5" hidden="1" x14ac:dyDescent="0.35">
      <c r="A2394" s="8">
        <v>10350</v>
      </c>
      <c r="B2394" s="10" t="s">
        <v>4944</v>
      </c>
      <c r="C2394" s="10" t="s">
        <v>104</v>
      </c>
      <c r="D2394" s="9" t="s">
        <v>95</v>
      </c>
      <c r="E2394" s="9" t="str">
        <f>_xlfn.TEXTAFTER(Condiciones_acumuladas[[#This Row],[Descripción]], " ", -2)</f>
        <v>Vanesa Camey</v>
      </c>
      <c r="F2394" s="10" t="s">
        <v>2559</v>
      </c>
      <c r="G2394" s="11">
        <v>45986</v>
      </c>
    </row>
    <row r="2395" spans="1:7" ht="48.5" hidden="1" x14ac:dyDescent="0.35">
      <c r="A2395" s="8">
        <v>10587</v>
      </c>
      <c r="B2395" s="10" t="s">
        <v>4945</v>
      </c>
      <c r="C2395" s="10" t="s">
        <v>26</v>
      </c>
      <c r="D2395" s="9" t="s">
        <v>26</v>
      </c>
      <c r="E2395" s="9" t="str">
        <f>_xlfn.TEXTAFTER(Condiciones_acumuladas[[#This Row],[Descripción]], " ", -2)</f>
        <v>Adrian Santisteban</v>
      </c>
      <c r="F2395" s="10" t="s">
        <v>2559</v>
      </c>
      <c r="G2395" s="11">
        <v>46021</v>
      </c>
    </row>
    <row r="2396" spans="1:7" ht="24.5" hidden="1" x14ac:dyDescent="0.35">
      <c r="A2396" s="8">
        <v>10585</v>
      </c>
      <c r="B2396" s="10" t="s">
        <v>4946</v>
      </c>
      <c r="C2396" s="10" t="s">
        <v>26</v>
      </c>
      <c r="D2396" s="9" t="s">
        <v>26</v>
      </c>
      <c r="E2396" s="9" t="str">
        <f>_xlfn.TEXTAFTER(Condiciones_acumuladas[[#This Row],[Descripción]], " ", -2)</f>
        <v>Adrian Santisteban</v>
      </c>
      <c r="F2396" s="10" t="s">
        <v>2540</v>
      </c>
      <c r="G2396" s="11">
        <v>46020</v>
      </c>
    </row>
    <row r="2397" spans="1:7" ht="24.5" hidden="1" x14ac:dyDescent="0.35">
      <c r="A2397" s="8">
        <v>10583</v>
      </c>
      <c r="B2397" s="10" t="s">
        <v>4947</v>
      </c>
      <c r="C2397" s="10" t="s">
        <v>34</v>
      </c>
      <c r="D2397" s="9" t="s">
        <v>34</v>
      </c>
      <c r="E2397" s="9" t="str">
        <f>_xlfn.TEXTAFTER(Condiciones_acumuladas[[#This Row],[Descripción]], " ", -2)</f>
        <v>Adrian Santisteban</v>
      </c>
      <c r="F2397" s="10" t="s">
        <v>2540</v>
      </c>
      <c r="G2397" s="11">
        <v>46017</v>
      </c>
    </row>
    <row r="2398" spans="1:7" ht="48.5" hidden="1" x14ac:dyDescent="0.35">
      <c r="A2398" s="8">
        <v>10581</v>
      </c>
      <c r="B2398" s="10" t="s">
        <v>4948</v>
      </c>
      <c r="C2398" s="10" t="s">
        <v>26</v>
      </c>
      <c r="D2398" s="9" t="s">
        <v>26</v>
      </c>
      <c r="E2398" s="9" t="str">
        <f>_xlfn.TEXTAFTER(Condiciones_acumuladas[[#This Row],[Descripción]], " ", -2)</f>
        <v>Adrian Santisteban</v>
      </c>
      <c r="F2398" s="10" t="s">
        <v>2559</v>
      </c>
      <c r="G2398" s="11">
        <v>46022</v>
      </c>
    </row>
    <row r="2399" spans="1:7" ht="24.5" hidden="1" x14ac:dyDescent="0.35">
      <c r="A2399" s="8">
        <v>10580</v>
      </c>
      <c r="B2399" s="10" t="s">
        <v>4949</v>
      </c>
      <c r="C2399" s="10" t="s">
        <v>34</v>
      </c>
      <c r="D2399" s="9" t="s">
        <v>34</v>
      </c>
      <c r="E2399" s="9" t="str">
        <f>_xlfn.TEXTAFTER(Condiciones_acumuladas[[#This Row],[Descripción]], " ", -2)</f>
        <v>Adrian Santisteban</v>
      </c>
      <c r="F2399" s="10" t="s">
        <v>2540</v>
      </c>
      <c r="G2399" s="11">
        <v>46022</v>
      </c>
    </row>
    <row r="2400" spans="1:7" ht="24.5" hidden="1" x14ac:dyDescent="0.35">
      <c r="A2400" s="8">
        <v>10381</v>
      </c>
      <c r="B2400" s="10" t="s">
        <v>4950</v>
      </c>
      <c r="C2400" s="10" t="s">
        <v>104</v>
      </c>
      <c r="D2400" s="9" t="s">
        <v>104</v>
      </c>
      <c r="E2400" s="9" t="str">
        <f>_xlfn.TEXTAFTER(Condiciones_acumuladas[[#This Row],[Descripción]], " ", -2)</f>
        <v>Alfonso Guatzin</v>
      </c>
      <c r="F2400" s="10" t="s">
        <v>2522</v>
      </c>
      <c r="G2400" s="11">
        <v>45988</v>
      </c>
    </row>
    <row r="2401" spans="1:7" ht="48.5" hidden="1" x14ac:dyDescent="0.35">
      <c r="A2401" s="8">
        <v>10504</v>
      </c>
      <c r="B2401" s="10" t="s">
        <v>4951</v>
      </c>
      <c r="C2401" s="10" t="s">
        <v>104</v>
      </c>
      <c r="D2401" s="9" t="s">
        <v>104</v>
      </c>
      <c r="E2401" s="9" t="str">
        <f>_xlfn.TEXTAFTER(Condiciones_acumuladas[[#This Row],[Descripción]], " ", -2)</f>
        <v>Alfonso Guatzin</v>
      </c>
      <c r="F2401" s="10" t="s">
        <v>2559</v>
      </c>
      <c r="G2401" s="11">
        <v>46013</v>
      </c>
    </row>
    <row r="2402" spans="1:7" ht="24.5" hidden="1" x14ac:dyDescent="0.35">
      <c r="A2402" s="8">
        <v>10525</v>
      </c>
      <c r="B2402" s="10" t="s">
        <v>4952</v>
      </c>
      <c r="C2402" s="10" t="s">
        <v>104</v>
      </c>
      <c r="D2402" s="9" t="s">
        <v>104</v>
      </c>
      <c r="E2402" s="9" t="str">
        <f>_xlfn.TEXTAFTER(Condiciones_acumuladas[[#This Row],[Descripción]], " ", -2)</f>
        <v>Alfonso Guatzin</v>
      </c>
      <c r="F2402" s="10" t="s">
        <v>2522</v>
      </c>
      <c r="G2402" s="11">
        <v>45996</v>
      </c>
    </row>
    <row r="2403" spans="1:7" ht="24.5" hidden="1" x14ac:dyDescent="0.35">
      <c r="A2403" s="8">
        <v>10524</v>
      </c>
      <c r="B2403" s="10" t="s">
        <v>4953</v>
      </c>
      <c r="C2403" s="10" t="s">
        <v>104</v>
      </c>
      <c r="D2403" s="9" t="s">
        <v>104</v>
      </c>
      <c r="E2403" s="9" t="str">
        <f>_xlfn.TEXTAFTER(Condiciones_acumuladas[[#This Row],[Descripción]], " ", -2)</f>
        <v>Alfonso Guatzin</v>
      </c>
      <c r="F2403" s="10" t="s">
        <v>2522</v>
      </c>
      <c r="G2403" s="11">
        <v>46003</v>
      </c>
    </row>
    <row r="2404" spans="1:7" ht="24.5" hidden="1" x14ac:dyDescent="0.35">
      <c r="A2404" s="8">
        <v>10555</v>
      </c>
      <c r="B2404" s="10" t="s">
        <v>4954</v>
      </c>
      <c r="C2404" s="10" t="s">
        <v>104</v>
      </c>
      <c r="D2404" s="9" t="s">
        <v>104</v>
      </c>
      <c r="E2404" s="9" t="str">
        <f>_xlfn.TEXTAFTER(Condiciones_acumuladas[[#This Row],[Descripción]], " ", -2)</f>
        <v>Alfonso Guatzin</v>
      </c>
      <c r="F2404" s="10" t="s">
        <v>2522</v>
      </c>
      <c r="G2404" s="11">
        <v>46006</v>
      </c>
    </row>
    <row r="2405" spans="1:7" ht="36.5" hidden="1" x14ac:dyDescent="0.35">
      <c r="A2405" s="8">
        <v>10475</v>
      </c>
      <c r="B2405" s="10" t="s">
        <v>4955</v>
      </c>
      <c r="C2405" s="10" t="s">
        <v>134</v>
      </c>
      <c r="D2405" s="9" t="s">
        <v>21</v>
      </c>
      <c r="E2405" s="9" t="str">
        <f>_xlfn.TEXTAFTER(Condiciones_acumuladas[[#This Row],[Descripción]], " ", -2)</f>
        <v>Amilcar Ralda</v>
      </c>
      <c r="F2405" s="10" t="s">
        <v>2530</v>
      </c>
      <c r="G2405" s="11">
        <v>46001</v>
      </c>
    </row>
    <row r="2406" spans="1:7" ht="36.5" hidden="1" x14ac:dyDescent="0.35">
      <c r="A2406" s="8">
        <v>10356</v>
      </c>
      <c r="B2406" s="10" t="s">
        <v>4956</v>
      </c>
      <c r="C2406" s="10" t="s">
        <v>95</v>
      </c>
      <c r="D2406" s="9" t="s">
        <v>95</v>
      </c>
      <c r="E2406" s="9" t="str">
        <f>_xlfn.TEXTAFTER(Condiciones_acumuladas[[#This Row],[Descripción]], " ", -2)</f>
        <v>Andrea Gonzalez</v>
      </c>
      <c r="F2406" s="10" t="s">
        <v>2516</v>
      </c>
      <c r="G2406" s="11">
        <v>45989</v>
      </c>
    </row>
    <row r="2407" spans="1:7" ht="24.5" hidden="1" x14ac:dyDescent="0.35">
      <c r="A2407" s="8">
        <v>10438</v>
      </c>
      <c r="B2407" s="10" t="s">
        <v>4957</v>
      </c>
      <c r="C2407" s="10" t="s">
        <v>26</v>
      </c>
      <c r="D2407" s="9" t="s">
        <v>95</v>
      </c>
      <c r="E2407" s="9" t="str">
        <f>_xlfn.TEXTAFTER(Condiciones_acumuladas[[#This Row],[Descripción]], " ", -2)</f>
        <v>Andrea Gonzalez</v>
      </c>
      <c r="F2407" s="10" t="s">
        <v>2540</v>
      </c>
      <c r="G2407" s="11">
        <v>45999</v>
      </c>
    </row>
    <row r="2408" spans="1:7" ht="48.5" hidden="1" x14ac:dyDescent="0.35">
      <c r="A2408" s="8">
        <v>10451</v>
      </c>
      <c r="B2408" s="10" t="s">
        <v>4958</v>
      </c>
      <c r="C2408" s="10" t="s">
        <v>371</v>
      </c>
      <c r="D2408" s="9" t="s">
        <v>95</v>
      </c>
      <c r="E2408" s="9" t="str">
        <f>_xlfn.TEXTAFTER(Condiciones_acumuladas[[#This Row],[Descripción]], " ", -2)</f>
        <v>Andrea Gonzalez</v>
      </c>
      <c r="F2408" s="10" t="s">
        <v>2559</v>
      </c>
      <c r="G2408" s="11">
        <v>46000</v>
      </c>
    </row>
    <row r="2409" spans="1:7" ht="36.5" hidden="1" x14ac:dyDescent="0.35">
      <c r="A2409" s="8">
        <v>10510</v>
      </c>
      <c r="B2409" s="10" t="s">
        <v>4959</v>
      </c>
      <c r="C2409" s="10" t="s">
        <v>13</v>
      </c>
      <c r="D2409" s="9" t="s">
        <v>95</v>
      </c>
      <c r="E2409" s="9" t="str">
        <f>_xlfn.TEXTAFTER(Condiciones_acumuladas[[#This Row],[Descripción]], " ", -2)</f>
        <v>Andrea Gonzalez</v>
      </c>
      <c r="F2409" s="10" t="s">
        <v>2530</v>
      </c>
      <c r="G2409" s="11">
        <v>46015</v>
      </c>
    </row>
    <row r="2410" spans="1:7" ht="48.5" hidden="1" x14ac:dyDescent="0.35">
      <c r="A2410" s="8">
        <v>10420</v>
      </c>
      <c r="B2410" s="10" t="s">
        <v>4960</v>
      </c>
      <c r="C2410" s="10" t="s">
        <v>26</v>
      </c>
      <c r="D2410" s="9" t="s">
        <v>395</v>
      </c>
      <c r="E2410" s="9" t="str">
        <f>_xlfn.TEXTAFTER(Condiciones_acumuladas[[#This Row],[Descripción]], " ", -2)</f>
        <v>Antony Ramos</v>
      </c>
      <c r="F2410" s="10" t="s">
        <v>2516</v>
      </c>
      <c r="G2410" s="11">
        <v>45992</v>
      </c>
    </row>
    <row r="2411" spans="1:7" ht="36.5" hidden="1" x14ac:dyDescent="0.35">
      <c r="A2411" s="8">
        <v>10458</v>
      </c>
      <c r="B2411" s="10" t="s">
        <v>4961</v>
      </c>
      <c r="C2411" s="10" t="s">
        <v>13</v>
      </c>
      <c r="D2411" s="9" t="s">
        <v>395</v>
      </c>
      <c r="E2411" s="9" t="str">
        <f>_xlfn.TEXTAFTER(Condiciones_acumuladas[[#This Row],[Descripción]], " ", -2)</f>
        <v>Antony Ramos</v>
      </c>
      <c r="F2411" s="10" t="s">
        <v>2572</v>
      </c>
      <c r="G2411" s="11">
        <v>45999</v>
      </c>
    </row>
    <row r="2412" spans="1:7" ht="36.5" hidden="1" x14ac:dyDescent="0.35">
      <c r="A2412" s="8">
        <v>10550</v>
      </c>
      <c r="B2412" s="10" t="s">
        <v>4962</v>
      </c>
      <c r="C2412" s="10" t="s">
        <v>134</v>
      </c>
      <c r="D2412" s="9" t="s">
        <v>395</v>
      </c>
      <c r="E2412" s="9" t="str">
        <f>_xlfn.TEXTAFTER(Condiciones_acumuladas[[#This Row],[Descripción]], " ", -2)</f>
        <v>Antony Ramos</v>
      </c>
      <c r="F2412" s="10" t="s">
        <v>2516</v>
      </c>
      <c r="G2412" s="11">
        <v>46003</v>
      </c>
    </row>
    <row r="2413" spans="1:7" ht="36.5" hidden="1" x14ac:dyDescent="0.35">
      <c r="A2413" s="8">
        <v>10549</v>
      </c>
      <c r="B2413" s="10" t="s">
        <v>4963</v>
      </c>
      <c r="C2413" s="10" t="s">
        <v>104</v>
      </c>
      <c r="D2413" s="9" t="s">
        <v>395</v>
      </c>
      <c r="E2413" s="9" t="str">
        <f>_xlfn.TEXTAFTER(Condiciones_acumuladas[[#This Row],[Descripción]], " ", -2)</f>
        <v>Antony Ramos</v>
      </c>
      <c r="F2413" s="10" t="s">
        <v>2516</v>
      </c>
      <c r="G2413" s="11">
        <v>46003</v>
      </c>
    </row>
    <row r="2414" spans="1:7" ht="48.5" hidden="1" x14ac:dyDescent="0.35">
      <c r="A2414" s="8">
        <v>10390</v>
      </c>
      <c r="B2414" s="10" t="s">
        <v>4964</v>
      </c>
      <c r="C2414" s="10" t="s">
        <v>104</v>
      </c>
      <c r="D2414" s="9" t="s">
        <v>95</v>
      </c>
      <c r="E2414" s="9" t="str">
        <f>_xlfn.TEXTAFTER(Condiciones_acumuladas[[#This Row],[Descripción]], " ", -2)</f>
        <v>Benedicto Barrios</v>
      </c>
      <c r="F2414" s="10" t="s">
        <v>2559</v>
      </c>
      <c r="G2414" s="11">
        <v>45989</v>
      </c>
    </row>
    <row r="2415" spans="1:7" ht="36.5" hidden="1" x14ac:dyDescent="0.35">
      <c r="A2415" s="8">
        <v>10406</v>
      </c>
      <c r="B2415" s="10" t="s">
        <v>4965</v>
      </c>
      <c r="C2415" s="10" t="s">
        <v>96</v>
      </c>
      <c r="D2415" s="9" t="s">
        <v>96</v>
      </c>
      <c r="E2415" s="9" t="str">
        <f>_xlfn.TEXTAFTER(Condiciones_acumuladas[[#This Row],[Descripción]], " ", -2)</f>
        <v>Bladimir López</v>
      </c>
      <c r="F2415" s="10" t="s">
        <v>2516</v>
      </c>
      <c r="G2415" s="11">
        <v>45992</v>
      </c>
    </row>
    <row r="2416" spans="1:7" ht="36.5" hidden="1" x14ac:dyDescent="0.35">
      <c r="A2416" s="8">
        <v>10403</v>
      </c>
      <c r="B2416" s="10" t="s">
        <v>4966</v>
      </c>
      <c r="C2416" s="10" t="s">
        <v>96</v>
      </c>
      <c r="D2416" s="9" t="s">
        <v>96</v>
      </c>
      <c r="E2416" s="9" t="str">
        <f>_xlfn.TEXTAFTER(Condiciones_acumuladas[[#This Row],[Descripción]], " ", -2)</f>
        <v>Bladimir López</v>
      </c>
      <c r="F2416" s="10" t="s">
        <v>2516</v>
      </c>
      <c r="G2416" s="11">
        <v>45992</v>
      </c>
    </row>
    <row r="2417" spans="1:7" ht="36.5" hidden="1" x14ac:dyDescent="0.35">
      <c r="A2417" s="8">
        <v>10601</v>
      </c>
      <c r="B2417" s="10" t="s">
        <v>4967</v>
      </c>
      <c r="C2417" s="10" t="s">
        <v>96</v>
      </c>
      <c r="D2417" s="9" t="s">
        <v>96</v>
      </c>
      <c r="E2417" s="9" t="str">
        <f>_xlfn.TEXTAFTER(Condiciones_acumuladas[[#This Row],[Descripción]], " ", -2)</f>
        <v>Bladimir López</v>
      </c>
      <c r="F2417" s="10" t="s">
        <v>2516</v>
      </c>
      <c r="G2417" s="11">
        <v>46013</v>
      </c>
    </row>
    <row r="2418" spans="1:7" ht="24.5" hidden="1" x14ac:dyDescent="0.35">
      <c r="A2418" s="8">
        <v>10464</v>
      </c>
      <c r="B2418" s="10" t="s">
        <v>4968</v>
      </c>
      <c r="C2418" s="10" t="s">
        <v>234</v>
      </c>
      <c r="D2418" s="9" t="s">
        <v>234</v>
      </c>
      <c r="E2418" s="9" t="str">
        <f>_xlfn.TEXTAFTER(Condiciones_acumuladas[[#This Row],[Descripción]], " ", -2)</f>
        <v>Bryan Neftaly</v>
      </c>
      <c r="F2418" s="10" t="s">
        <v>2522</v>
      </c>
      <c r="G2418" s="11">
        <v>46001</v>
      </c>
    </row>
    <row r="2419" spans="1:7" ht="48.5" hidden="1" x14ac:dyDescent="0.35">
      <c r="A2419" s="8">
        <v>10495</v>
      </c>
      <c r="B2419" s="10" t="s">
        <v>4969</v>
      </c>
      <c r="C2419" s="10" t="s">
        <v>234</v>
      </c>
      <c r="D2419" s="9" t="s">
        <v>234</v>
      </c>
      <c r="E2419" s="9" t="str">
        <f>_xlfn.TEXTAFTER(Condiciones_acumuladas[[#This Row],[Descripción]], " ", -2)</f>
        <v>Bryan Neftaly</v>
      </c>
      <c r="F2419" s="10" t="s">
        <v>2559</v>
      </c>
      <c r="G2419" s="11">
        <v>46009</v>
      </c>
    </row>
    <row r="2420" spans="1:7" ht="48.5" hidden="1" x14ac:dyDescent="0.35">
      <c r="A2420" s="8">
        <v>10496</v>
      </c>
      <c r="B2420" s="10" t="s">
        <v>4970</v>
      </c>
      <c r="C2420" s="10" t="s">
        <v>196</v>
      </c>
      <c r="D2420" s="9" t="s">
        <v>234</v>
      </c>
      <c r="E2420" s="9" t="str">
        <f>_xlfn.TEXTAFTER(Condiciones_acumuladas[[#This Row],[Descripción]], " ", -2)</f>
        <v>Bryan Neftaly</v>
      </c>
      <c r="F2420" s="10" t="s">
        <v>2559</v>
      </c>
      <c r="G2420" s="11">
        <v>46009</v>
      </c>
    </row>
    <row r="2421" spans="1:7" ht="48.5" hidden="1" x14ac:dyDescent="0.35">
      <c r="A2421" s="8">
        <v>10520</v>
      </c>
      <c r="B2421" s="10" t="s">
        <v>4971</v>
      </c>
      <c r="C2421" s="10" t="s">
        <v>196</v>
      </c>
      <c r="D2421" s="9" t="s">
        <v>234</v>
      </c>
      <c r="E2421" s="9" t="str">
        <f>_xlfn.TEXTAFTER(Condiciones_acumuladas[[#This Row],[Descripción]], " ", -2)</f>
        <v>Bryan Neftaly</v>
      </c>
      <c r="F2421" s="10" t="s">
        <v>2559</v>
      </c>
      <c r="G2421" s="11">
        <v>46020</v>
      </c>
    </row>
    <row r="2422" spans="1:7" ht="48.5" hidden="1" x14ac:dyDescent="0.35">
      <c r="A2422" s="8">
        <v>10494</v>
      </c>
      <c r="B2422" s="10" t="s">
        <v>4972</v>
      </c>
      <c r="C2422" s="10" t="s">
        <v>234</v>
      </c>
      <c r="D2422" s="9" t="s">
        <v>234</v>
      </c>
      <c r="E2422" s="9" t="str">
        <f>_xlfn.TEXTAFTER(Condiciones_acumuladas[[#This Row],[Descripción]], " ", -2)</f>
        <v>Bryan Neftaly</v>
      </c>
      <c r="F2422" s="10" t="s">
        <v>2559</v>
      </c>
      <c r="G2422" s="11">
        <v>46007</v>
      </c>
    </row>
    <row r="2423" spans="1:7" ht="48.5" hidden="1" x14ac:dyDescent="0.35">
      <c r="A2423" s="8">
        <v>10500</v>
      </c>
      <c r="B2423" s="10" t="s">
        <v>4973</v>
      </c>
      <c r="C2423" s="10" t="s">
        <v>250</v>
      </c>
      <c r="D2423" s="9" t="s">
        <v>234</v>
      </c>
      <c r="E2423" s="9" t="str">
        <f>_xlfn.TEXTAFTER(Condiciones_acumuladas[[#This Row],[Descripción]], " ", -2)</f>
        <v>Bryan Neftaly</v>
      </c>
      <c r="F2423" s="10" t="s">
        <v>2559</v>
      </c>
      <c r="G2423" s="11">
        <v>46010</v>
      </c>
    </row>
    <row r="2424" spans="1:7" ht="48.5" hidden="1" x14ac:dyDescent="0.35">
      <c r="A2424" s="8">
        <v>10405</v>
      </c>
      <c r="B2424" s="10" t="s">
        <v>4974</v>
      </c>
      <c r="C2424" s="10" t="s">
        <v>220</v>
      </c>
      <c r="D2424" s="9" t="s">
        <v>220</v>
      </c>
      <c r="E2424" s="9" t="str">
        <f>_xlfn.TEXTAFTER(Condiciones_acumuladas[[#This Row],[Descripción]], " ", -2)</f>
        <v>Carlos Coc</v>
      </c>
      <c r="F2424" s="10" t="s">
        <v>2559</v>
      </c>
      <c r="G2424" s="11">
        <v>45992</v>
      </c>
    </row>
    <row r="2425" spans="1:7" ht="48.5" hidden="1" x14ac:dyDescent="0.35">
      <c r="A2425" s="8">
        <v>10572</v>
      </c>
      <c r="B2425" s="10" t="s">
        <v>4975</v>
      </c>
      <c r="C2425" s="10" t="s">
        <v>34</v>
      </c>
      <c r="D2425" s="9" t="s">
        <v>220</v>
      </c>
      <c r="E2425" s="9" t="str">
        <f>_xlfn.TEXTAFTER(Condiciones_acumuladas[[#This Row],[Descripción]], " ", -2)</f>
        <v>Carlos Coc</v>
      </c>
      <c r="F2425" s="10" t="s">
        <v>2559</v>
      </c>
      <c r="G2425" s="11">
        <v>46008</v>
      </c>
    </row>
    <row r="2426" spans="1:7" ht="36.5" hidden="1" x14ac:dyDescent="0.35">
      <c r="A2426" s="8">
        <v>10574</v>
      </c>
      <c r="B2426" s="10" t="s">
        <v>4976</v>
      </c>
      <c r="C2426" s="10" t="s">
        <v>220</v>
      </c>
      <c r="D2426" s="9" t="s">
        <v>220</v>
      </c>
      <c r="E2426" s="9" t="str">
        <f>_xlfn.TEXTAFTER(Condiciones_acumuladas[[#This Row],[Descripción]], " ", -2)</f>
        <v>Carlos coc</v>
      </c>
      <c r="F2426" s="10" t="s">
        <v>2516</v>
      </c>
      <c r="G2426" s="11">
        <v>46008</v>
      </c>
    </row>
    <row r="2427" spans="1:7" ht="24.5" hidden="1" x14ac:dyDescent="0.35">
      <c r="A2427" s="8">
        <v>10614</v>
      </c>
      <c r="B2427" s="10" t="s">
        <v>4977</v>
      </c>
      <c r="C2427" s="10" t="s">
        <v>220</v>
      </c>
      <c r="D2427" s="9" t="s">
        <v>220</v>
      </c>
      <c r="E2427" s="9" t="str">
        <f>_xlfn.TEXTAFTER(Condiciones_acumuladas[[#This Row],[Descripción]], " ", -2)</f>
        <v>Carlos Coc</v>
      </c>
      <c r="F2427" s="10" t="s">
        <v>2522</v>
      </c>
      <c r="G2427" s="11">
        <v>46021</v>
      </c>
    </row>
    <row r="2428" spans="1:7" ht="48.5" hidden="1" x14ac:dyDescent="0.35">
      <c r="A2428" s="8">
        <v>10376</v>
      </c>
      <c r="B2428" s="10" t="s">
        <v>4978</v>
      </c>
      <c r="C2428" s="10" t="s">
        <v>26</v>
      </c>
      <c r="D2428" s="9" t="s">
        <v>395</v>
      </c>
      <c r="E2428" s="9" t="str">
        <f>_xlfn.TEXTAFTER(Condiciones_acumuladas[[#This Row],[Descripción]], " ", -2)</f>
        <v>Daniel Pineda</v>
      </c>
      <c r="F2428" s="10" t="s">
        <v>2516</v>
      </c>
      <c r="G2428" s="11">
        <v>45989</v>
      </c>
    </row>
    <row r="2429" spans="1:7" ht="48.5" hidden="1" x14ac:dyDescent="0.35">
      <c r="A2429" s="8">
        <v>10552</v>
      </c>
      <c r="B2429" s="10" t="s">
        <v>4979</v>
      </c>
      <c r="C2429" s="10" t="s">
        <v>196</v>
      </c>
      <c r="D2429" s="9" t="s">
        <v>395</v>
      </c>
      <c r="E2429" s="9" t="str">
        <f>_xlfn.TEXTAFTER(Condiciones_acumuladas[[#This Row],[Descripción]], " ", -2)</f>
        <v>Daniel Pineda</v>
      </c>
      <c r="F2429" s="10" t="s">
        <v>2559</v>
      </c>
      <c r="G2429" s="11">
        <v>46004</v>
      </c>
    </row>
    <row r="2430" spans="1:7" ht="36.5" hidden="1" x14ac:dyDescent="0.35">
      <c r="A2430" s="8">
        <v>10598</v>
      </c>
      <c r="B2430" s="10" t="s">
        <v>4980</v>
      </c>
      <c r="C2430" s="10" t="s">
        <v>96</v>
      </c>
      <c r="D2430" s="9" t="s">
        <v>395</v>
      </c>
      <c r="E2430" s="9" t="str">
        <f>_xlfn.TEXTAFTER(Condiciones_acumuladas[[#This Row],[Descripción]], " ", -2)</f>
        <v>Daniel Pineda</v>
      </c>
      <c r="F2430" s="10" t="s">
        <v>2525</v>
      </c>
      <c r="G2430" s="11">
        <v>46010</v>
      </c>
    </row>
    <row r="2431" spans="1:7" ht="36.5" hidden="1" x14ac:dyDescent="0.35">
      <c r="A2431" s="8">
        <v>10402</v>
      </c>
      <c r="B2431" s="10" t="s">
        <v>4981</v>
      </c>
      <c r="C2431" s="10" t="s">
        <v>234</v>
      </c>
      <c r="D2431" s="9" t="s">
        <v>234</v>
      </c>
      <c r="E2431" s="9" t="str">
        <f>_xlfn.TEXTAFTER(Condiciones_acumuladas[[#This Row],[Descripción]], " ", -2)</f>
        <v>Hugo Oliva</v>
      </c>
      <c r="F2431" s="10" t="s">
        <v>2516</v>
      </c>
      <c r="G2431" s="11">
        <v>45992</v>
      </c>
    </row>
    <row r="2432" spans="1:7" ht="24.5" hidden="1" x14ac:dyDescent="0.35">
      <c r="A2432" s="8">
        <v>10612</v>
      </c>
      <c r="B2432" s="10" t="s">
        <v>4982</v>
      </c>
      <c r="C2432" s="10" t="s">
        <v>190</v>
      </c>
      <c r="D2432" s="9" t="s">
        <v>190</v>
      </c>
      <c r="E2432" s="9" t="str">
        <f>_xlfn.TEXTAFTER(Condiciones_acumuladas[[#This Row],[Descripción]], " ", -2)</f>
        <v>Denni León</v>
      </c>
      <c r="F2432" s="10" t="s">
        <v>2522</v>
      </c>
      <c r="G2432" s="11">
        <v>46020</v>
      </c>
    </row>
    <row r="2433" spans="1:7" ht="36.5" hidden="1" x14ac:dyDescent="0.35">
      <c r="A2433" s="8">
        <v>10437</v>
      </c>
      <c r="B2433" s="10" t="s">
        <v>4983</v>
      </c>
      <c r="C2433" s="10" t="s">
        <v>26</v>
      </c>
      <c r="D2433" s="9" t="s">
        <v>95</v>
      </c>
      <c r="E2433" s="9" t="str">
        <f>_xlfn.TEXTAFTER(Condiciones_acumuladas[[#This Row],[Descripción]], " ", -2)</f>
        <v>Domingo Yac</v>
      </c>
      <c r="F2433" s="10" t="s">
        <v>2522</v>
      </c>
      <c r="G2433" s="11">
        <v>45997</v>
      </c>
    </row>
    <row r="2434" spans="1:7" ht="36.5" hidden="1" x14ac:dyDescent="0.35">
      <c r="A2434" s="8">
        <v>10491</v>
      </c>
      <c r="B2434" s="10" t="s">
        <v>4984</v>
      </c>
      <c r="C2434" s="10" t="s">
        <v>21</v>
      </c>
      <c r="D2434" s="9" t="s">
        <v>95</v>
      </c>
      <c r="E2434" s="9" t="str">
        <f>_xlfn.TEXTAFTER(Condiciones_acumuladas[[#This Row],[Descripción]], " ", -2)</f>
        <v>Domingo Yac</v>
      </c>
      <c r="F2434" s="10" t="s">
        <v>2572</v>
      </c>
      <c r="G2434" s="11">
        <v>46006</v>
      </c>
    </row>
    <row r="2435" spans="1:7" ht="48.5" hidden="1" x14ac:dyDescent="0.35">
      <c r="A2435" s="8">
        <v>10360</v>
      </c>
      <c r="B2435" s="10" t="s">
        <v>4985</v>
      </c>
      <c r="C2435" s="10" t="s">
        <v>34</v>
      </c>
      <c r="D2435" s="9" t="s">
        <v>95</v>
      </c>
      <c r="E2435" s="9" t="str">
        <f>_xlfn.TEXTAFTER(Condiciones_acumuladas[[#This Row],[Descripción]], " ", -2)</f>
        <v>Edgar Coti</v>
      </c>
      <c r="F2435" s="10" t="s">
        <v>2559</v>
      </c>
      <c r="G2435" s="11">
        <v>45988</v>
      </c>
    </row>
    <row r="2436" spans="1:7" ht="36.5" hidden="1" x14ac:dyDescent="0.35">
      <c r="A2436" s="8">
        <v>10486</v>
      </c>
      <c r="B2436" s="10" t="s">
        <v>4986</v>
      </c>
      <c r="C2436" s="10" t="s">
        <v>134</v>
      </c>
      <c r="D2436" s="9" t="s">
        <v>95</v>
      </c>
      <c r="E2436" s="9" t="str">
        <f>_xlfn.TEXTAFTER(Condiciones_acumuladas[[#This Row],[Descripción]], " ", -2)</f>
        <v>Edgar Coti</v>
      </c>
      <c r="F2436" s="10" t="s">
        <v>2530</v>
      </c>
      <c r="G2436" s="11">
        <v>46002</v>
      </c>
    </row>
    <row r="2437" spans="1:7" ht="36.5" hidden="1" x14ac:dyDescent="0.35">
      <c r="A2437" s="8">
        <v>10487</v>
      </c>
      <c r="B2437" s="10" t="s">
        <v>4987</v>
      </c>
      <c r="C2437" s="10" t="s">
        <v>134</v>
      </c>
      <c r="D2437" s="9" t="s">
        <v>95</v>
      </c>
      <c r="E2437" s="9" t="str">
        <f>_xlfn.TEXTAFTER(Condiciones_acumuladas[[#This Row],[Descripción]], " ", -2)</f>
        <v>Edgar Coti</v>
      </c>
      <c r="F2437" s="10" t="s">
        <v>2530</v>
      </c>
      <c r="G2437" s="11">
        <v>46002</v>
      </c>
    </row>
    <row r="2438" spans="1:7" ht="48.5" hidden="1" x14ac:dyDescent="0.35">
      <c r="A2438" s="8">
        <v>10401</v>
      </c>
      <c r="B2438" s="10" t="s">
        <v>4988</v>
      </c>
      <c r="C2438" s="10" t="s">
        <v>190</v>
      </c>
      <c r="D2438" s="9" t="s">
        <v>190</v>
      </c>
      <c r="E2438" s="9" t="str">
        <f>_xlfn.TEXTAFTER(Condiciones_acumuladas[[#This Row],[Descripción]], " ", -2)</f>
        <v>Edson Bonifacio</v>
      </c>
      <c r="F2438" s="10" t="s">
        <v>2559</v>
      </c>
      <c r="G2438" s="11">
        <v>45992</v>
      </c>
    </row>
    <row r="2439" spans="1:7" ht="48.5" hidden="1" x14ac:dyDescent="0.35">
      <c r="A2439" s="8">
        <v>10417</v>
      </c>
      <c r="B2439" s="10" t="s">
        <v>4989</v>
      </c>
      <c r="C2439" s="10" t="s">
        <v>371</v>
      </c>
      <c r="D2439" s="9" t="s">
        <v>250</v>
      </c>
      <c r="E2439" s="9" t="str">
        <f>_xlfn.TEXTAFTER(Condiciones_acumuladas[[#This Row],[Descripción]], " ", -2)</f>
        <v>Edson Bonifacio</v>
      </c>
      <c r="F2439" s="10" t="s">
        <v>2522</v>
      </c>
      <c r="G2439" s="11">
        <v>45992</v>
      </c>
    </row>
    <row r="2440" spans="1:7" ht="24.5" hidden="1" x14ac:dyDescent="0.35">
      <c r="A2440" s="8">
        <v>10442</v>
      </c>
      <c r="B2440" s="10" t="s">
        <v>4990</v>
      </c>
      <c r="C2440" s="10" t="s">
        <v>190</v>
      </c>
      <c r="D2440" s="9" t="s">
        <v>190</v>
      </c>
      <c r="E2440" s="9" t="str">
        <f>_xlfn.TEXTAFTER(Condiciones_acumuladas[[#This Row],[Descripción]], " ", -2)</f>
        <v>Edson Bonifacio</v>
      </c>
      <c r="F2440" s="10" t="s">
        <v>2540</v>
      </c>
      <c r="G2440" s="11">
        <v>45999</v>
      </c>
    </row>
    <row r="2441" spans="1:7" ht="24.5" hidden="1" x14ac:dyDescent="0.35">
      <c r="A2441" s="8">
        <v>10563</v>
      </c>
      <c r="B2441" s="10" t="s">
        <v>4991</v>
      </c>
      <c r="C2441" s="10" t="s">
        <v>250</v>
      </c>
      <c r="D2441" s="9" t="s">
        <v>250</v>
      </c>
      <c r="E2441" s="9" t="str">
        <f>_xlfn.TEXTAFTER(Condiciones_acumuladas[[#This Row],[Descripción]], " ", -2)</f>
        <v>Edson Bonifacio</v>
      </c>
      <c r="F2441" s="10" t="s">
        <v>2540</v>
      </c>
      <c r="G2441" s="11">
        <v>46008</v>
      </c>
    </row>
    <row r="2442" spans="1:7" ht="36.5" hidden="1" x14ac:dyDescent="0.35">
      <c r="A2442" s="8">
        <v>10564</v>
      </c>
      <c r="B2442" s="10" t="s">
        <v>4992</v>
      </c>
      <c r="C2442" s="10" t="s">
        <v>21</v>
      </c>
      <c r="D2442" s="9" t="s">
        <v>250</v>
      </c>
      <c r="E2442" s="9" t="str">
        <f>_xlfn.TEXTAFTER(Condiciones_acumuladas[[#This Row],[Descripción]], " ", -2)</f>
        <v>Edson Bonifacio</v>
      </c>
      <c r="F2442" s="10" t="s">
        <v>2516</v>
      </c>
      <c r="G2442" s="11">
        <v>46007</v>
      </c>
    </row>
    <row r="2443" spans="1:7" ht="48.5" hidden="1" x14ac:dyDescent="0.35">
      <c r="A2443" s="8">
        <v>10547</v>
      </c>
      <c r="B2443" s="10" t="s">
        <v>4993</v>
      </c>
      <c r="C2443" s="10" t="s">
        <v>190</v>
      </c>
      <c r="D2443" s="9" t="s">
        <v>190</v>
      </c>
      <c r="E2443" s="9" t="str">
        <f>_xlfn.TEXTAFTER(Condiciones_acumuladas[[#This Row],[Descripción]], " ", -2)</f>
        <v>Edson Bonifacio</v>
      </c>
      <c r="F2443" s="10" t="s">
        <v>2559</v>
      </c>
      <c r="G2443" s="11">
        <v>46003</v>
      </c>
    </row>
    <row r="2444" spans="1:7" ht="36.5" hidden="1" x14ac:dyDescent="0.35">
      <c r="A2444" s="8">
        <v>10411</v>
      </c>
      <c r="B2444" s="10" t="s">
        <v>4994</v>
      </c>
      <c r="C2444" s="10" t="s">
        <v>190</v>
      </c>
      <c r="D2444" s="9" t="s">
        <v>190</v>
      </c>
      <c r="E2444" s="9" t="str">
        <f>_xlfn.TEXTAFTER(Condiciones_acumuladas[[#This Row],[Descripción]], " ", -2)</f>
        <v>Edson Bonifacio</v>
      </c>
      <c r="F2444" s="10" t="s">
        <v>2516</v>
      </c>
      <c r="G2444" s="11">
        <v>45992</v>
      </c>
    </row>
    <row r="2445" spans="1:7" ht="36.5" hidden="1" x14ac:dyDescent="0.35">
      <c r="A2445" s="8">
        <v>10404</v>
      </c>
      <c r="B2445" s="10" t="s">
        <v>4995</v>
      </c>
      <c r="C2445" s="10" t="s">
        <v>95</v>
      </c>
      <c r="D2445" s="9" t="s">
        <v>234</v>
      </c>
      <c r="E2445" s="9" t="str">
        <f>_xlfn.TEXTAFTER(Condiciones_acumuladas[[#This Row],[Descripción]], " ", -2)</f>
        <v>Eliú Tello</v>
      </c>
      <c r="F2445" s="10" t="s">
        <v>2516</v>
      </c>
      <c r="G2445" s="11">
        <v>45992</v>
      </c>
    </row>
    <row r="2446" spans="1:7" ht="36.5" hidden="1" x14ac:dyDescent="0.35">
      <c r="A2446" s="8">
        <v>10466</v>
      </c>
      <c r="B2446" s="10" t="s">
        <v>4996</v>
      </c>
      <c r="C2446" s="10" t="s">
        <v>234</v>
      </c>
      <c r="D2446" s="9" t="s">
        <v>234</v>
      </c>
      <c r="E2446" s="9" t="str">
        <f>_xlfn.TEXTAFTER(Condiciones_acumuladas[[#This Row],[Descripción]], " ", -2)</f>
        <v>Eliú Tello</v>
      </c>
      <c r="F2446" s="10" t="s">
        <v>2540</v>
      </c>
      <c r="G2446" s="11">
        <v>46002</v>
      </c>
    </row>
    <row r="2447" spans="1:7" ht="36.5" hidden="1" x14ac:dyDescent="0.35">
      <c r="A2447" s="8">
        <v>10418</v>
      </c>
      <c r="B2447" s="10" t="s">
        <v>4997</v>
      </c>
      <c r="C2447" s="10" t="s">
        <v>21</v>
      </c>
      <c r="D2447" s="9" t="s">
        <v>278</v>
      </c>
      <c r="E2447" s="9" t="str">
        <f>_xlfn.TEXTAFTER(Condiciones_acumuladas[[#This Row],[Descripción]], " ", -2)</f>
        <v>Fredy Fuentes</v>
      </c>
      <c r="F2447" s="10" t="s">
        <v>2530</v>
      </c>
      <c r="G2447" s="11">
        <v>45992</v>
      </c>
    </row>
    <row r="2448" spans="1:7" ht="36.5" hidden="1" x14ac:dyDescent="0.35">
      <c r="A2448" s="8">
        <v>10419</v>
      </c>
      <c r="B2448" s="10" t="s">
        <v>4998</v>
      </c>
      <c r="C2448" s="10" t="s">
        <v>21</v>
      </c>
      <c r="D2448" s="9" t="s">
        <v>278</v>
      </c>
      <c r="E2448" s="9" t="str">
        <f>_xlfn.TEXTAFTER(Condiciones_acumuladas[[#This Row],[Descripción]], " ", -2)</f>
        <v>Fredy Fuentes</v>
      </c>
      <c r="F2448" s="10" t="s">
        <v>2516</v>
      </c>
      <c r="G2448" s="11">
        <v>45992</v>
      </c>
    </row>
    <row r="2449" spans="1:7" ht="36.5" hidden="1" x14ac:dyDescent="0.35">
      <c r="A2449" s="8">
        <v>10448</v>
      </c>
      <c r="B2449" s="10" t="s">
        <v>4999</v>
      </c>
      <c r="C2449" s="10" t="s">
        <v>278</v>
      </c>
      <c r="D2449" s="9" t="s">
        <v>278</v>
      </c>
      <c r="E2449" s="9" t="str">
        <f>_xlfn.TEXTAFTER(Condiciones_acumuladas[[#This Row],[Descripción]], " ", -2)</f>
        <v>Fredy Fuentes</v>
      </c>
      <c r="F2449" s="10" t="s">
        <v>2516</v>
      </c>
      <c r="G2449" s="11">
        <v>45999</v>
      </c>
    </row>
    <row r="2450" spans="1:7" ht="48.5" hidden="1" x14ac:dyDescent="0.35">
      <c r="A2450" s="8">
        <v>10416</v>
      </c>
      <c r="B2450" s="10" t="s">
        <v>5000</v>
      </c>
      <c r="C2450" s="10" t="s">
        <v>21</v>
      </c>
      <c r="D2450" s="9" t="s">
        <v>95</v>
      </c>
      <c r="E2450" s="9" t="str">
        <f>_xlfn.TEXTAFTER(Condiciones_acumuladas[[#This Row],[Descripción]], " ", -2)</f>
        <v xml:space="preserve">Gerson Castañeda
</v>
      </c>
      <c r="F2450" s="10" t="s">
        <v>2516</v>
      </c>
      <c r="G2450" s="11">
        <v>45992</v>
      </c>
    </row>
    <row r="2451" spans="1:7" ht="24.5" hidden="1" x14ac:dyDescent="0.35">
      <c r="A2451" s="8">
        <v>10433</v>
      </c>
      <c r="B2451" s="10" t="s">
        <v>5001</v>
      </c>
      <c r="C2451" s="10" t="s">
        <v>104</v>
      </c>
      <c r="D2451" s="9" t="s">
        <v>95</v>
      </c>
      <c r="E2451" s="9" t="str">
        <f>_xlfn.TEXTAFTER(Condiciones_acumuladas[[#This Row],[Descripción]], " ", -2)</f>
        <v>Gilmar Mazariegos</v>
      </c>
      <c r="F2451" s="10" t="s">
        <v>2522</v>
      </c>
      <c r="G2451" s="11">
        <v>45996</v>
      </c>
    </row>
    <row r="2452" spans="1:7" ht="36.5" hidden="1" x14ac:dyDescent="0.35">
      <c r="A2452" s="8">
        <v>10427</v>
      </c>
      <c r="B2452" s="10" t="s">
        <v>5002</v>
      </c>
      <c r="C2452" s="10" t="s">
        <v>21</v>
      </c>
      <c r="D2452" s="9" t="s">
        <v>21</v>
      </c>
      <c r="E2452" s="9" t="str">
        <f>_xlfn.TEXTAFTER(Condiciones_acumuladas[[#This Row],[Descripción]], " ", -2)</f>
        <v>Gustavo Hernández</v>
      </c>
      <c r="F2452" s="10" t="s">
        <v>2516</v>
      </c>
      <c r="G2452" s="11">
        <v>45994</v>
      </c>
    </row>
    <row r="2453" spans="1:7" ht="24.5" hidden="1" x14ac:dyDescent="0.35">
      <c r="A2453" s="8">
        <v>10423</v>
      </c>
      <c r="B2453" s="10" t="s">
        <v>5003</v>
      </c>
      <c r="C2453" s="10" t="s">
        <v>134</v>
      </c>
      <c r="D2453" s="9" t="s">
        <v>134</v>
      </c>
      <c r="E2453" s="9" t="str">
        <f>_xlfn.TEXTAFTER(Condiciones_acumuladas[[#This Row],[Descripción]], " ", -2)</f>
        <v>Gustavo Hernández</v>
      </c>
      <c r="F2453" s="10" t="s">
        <v>2522</v>
      </c>
      <c r="G2453" s="11">
        <v>45994</v>
      </c>
    </row>
    <row r="2454" spans="1:7" ht="24.5" hidden="1" x14ac:dyDescent="0.35">
      <c r="A2454" s="8">
        <v>10431</v>
      </c>
      <c r="B2454" s="10" t="s">
        <v>5004</v>
      </c>
      <c r="C2454" s="10" t="s">
        <v>13</v>
      </c>
      <c r="D2454" s="9" t="s">
        <v>13</v>
      </c>
      <c r="E2454" s="9" t="str">
        <f>_xlfn.TEXTAFTER(Condiciones_acumuladas[[#This Row],[Descripción]], " ", -2)</f>
        <v>Gustavo Hernández</v>
      </c>
      <c r="F2454" s="10" t="s">
        <v>2522</v>
      </c>
      <c r="G2454" s="11">
        <v>45995</v>
      </c>
    </row>
    <row r="2455" spans="1:7" ht="36.5" hidden="1" x14ac:dyDescent="0.35">
      <c r="A2455" s="8">
        <v>10432</v>
      </c>
      <c r="B2455" s="10" t="s">
        <v>5005</v>
      </c>
      <c r="C2455" s="10" t="s">
        <v>13</v>
      </c>
      <c r="D2455" s="9" t="s">
        <v>13</v>
      </c>
      <c r="E2455" s="9" t="str">
        <f>_xlfn.TEXTAFTER(Condiciones_acumuladas[[#This Row],[Descripción]], " ", -2)</f>
        <v>Gustavo Hernández</v>
      </c>
      <c r="F2455" s="10" t="s">
        <v>2516</v>
      </c>
      <c r="G2455" s="11">
        <v>45995</v>
      </c>
    </row>
    <row r="2456" spans="1:7" ht="36.5" hidden="1" x14ac:dyDescent="0.35">
      <c r="A2456" s="8">
        <v>10415</v>
      </c>
      <c r="B2456" s="10" t="s">
        <v>5006</v>
      </c>
      <c r="C2456" s="10" t="s">
        <v>13</v>
      </c>
      <c r="D2456" s="9" t="s">
        <v>13</v>
      </c>
      <c r="E2456" s="9" t="str">
        <f>_xlfn.TEXTAFTER(Condiciones_acumuladas[[#This Row],[Descripción]], " ", -2)</f>
        <v>Haydée Martínez</v>
      </c>
      <c r="F2456" s="10" t="s">
        <v>2516</v>
      </c>
      <c r="G2456" s="11">
        <v>45992</v>
      </c>
    </row>
    <row r="2457" spans="1:7" ht="24.5" hidden="1" x14ac:dyDescent="0.35">
      <c r="A2457" s="8">
        <v>10398</v>
      </c>
      <c r="B2457" s="10" t="s">
        <v>5007</v>
      </c>
      <c r="C2457" s="10" t="s">
        <v>13</v>
      </c>
      <c r="D2457" s="9" t="s">
        <v>13</v>
      </c>
      <c r="E2457" s="9" t="str">
        <f>_xlfn.TEXTAFTER(Condiciones_acumuladas[[#This Row],[Descripción]], " ", -2)</f>
        <v>Haydée Martínez</v>
      </c>
      <c r="F2457" s="10" t="s">
        <v>2540</v>
      </c>
      <c r="G2457" s="11">
        <v>45992</v>
      </c>
    </row>
    <row r="2458" spans="1:7" ht="36.5" hidden="1" x14ac:dyDescent="0.35">
      <c r="A2458" s="8">
        <v>10481</v>
      </c>
      <c r="B2458" s="10" t="s">
        <v>5008</v>
      </c>
      <c r="C2458" s="10" t="s">
        <v>21</v>
      </c>
      <c r="D2458" s="9" t="s">
        <v>13</v>
      </c>
      <c r="E2458" s="9" t="str">
        <f>_xlfn.TEXTAFTER(Condiciones_acumuladas[[#This Row],[Descripción]], " ", -2)</f>
        <v>Haydée Martínez</v>
      </c>
      <c r="F2458" s="10" t="s">
        <v>2516</v>
      </c>
      <c r="G2458" s="11">
        <v>46002</v>
      </c>
    </row>
    <row r="2459" spans="1:7" ht="24.5" hidden="1" x14ac:dyDescent="0.35">
      <c r="A2459" s="8">
        <v>10613</v>
      </c>
      <c r="B2459" s="10" t="s">
        <v>5009</v>
      </c>
      <c r="C2459" s="10" t="s">
        <v>21</v>
      </c>
      <c r="D2459" s="9" t="s">
        <v>21</v>
      </c>
      <c r="E2459" s="9" t="str">
        <f>_xlfn.TEXTAFTER(Condiciones_acumuladas[[#This Row],[Descripción]], " ", -2)</f>
        <v>Haydée Martínez</v>
      </c>
      <c r="F2459" s="10" t="s">
        <v>2834</v>
      </c>
      <c r="G2459" s="11">
        <v>46020</v>
      </c>
    </row>
    <row r="2460" spans="1:7" ht="36.5" hidden="1" x14ac:dyDescent="0.35">
      <c r="A2460" s="8">
        <v>10600</v>
      </c>
      <c r="B2460" s="10" t="s">
        <v>5010</v>
      </c>
      <c r="C2460" s="10" t="s">
        <v>21</v>
      </c>
      <c r="D2460" s="9" t="s">
        <v>21</v>
      </c>
      <c r="E2460" s="9" t="str">
        <f>_xlfn.TEXTAFTER(Condiciones_acumuladas[[#This Row],[Descripción]], " ", -2)</f>
        <v>Haydée Martínez</v>
      </c>
      <c r="F2460" s="10" t="s">
        <v>2516</v>
      </c>
      <c r="G2460" s="11">
        <v>46012</v>
      </c>
    </row>
    <row r="2461" spans="1:7" ht="48.5" hidden="1" x14ac:dyDescent="0.35">
      <c r="A2461" s="8">
        <v>10348</v>
      </c>
      <c r="B2461" s="10" t="s">
        <v>5011</v>
      </c>
      <c r="C2461" s="10" t="s">
        <v>134</v>
      </c>
      <c r="D2461" s="9" t="s">
        <v>95</v>
      </c>
      <c r="E2461" s="9" t="str">
        <f>_xlfn.TEXTAFTER(Condiciones_acumuladas[[#This Row],[Descripción]], " ", -2)</f>
        <v>Hellen Consuelo</v>
      </c>
      <c r="F2461" s="10" t="s">
        <v>2559</v>
      </c>
      <c r="G2461" s="11">
        <v>45988</v>
      </c>
    </row>
    <row r="2462" spans="1:7" ht="48.5" hidden="1" x14ac:dyDescent="0.35">
      <c r="A2462" s="8">
        <v>10349</v>
      </c>
      <c r="B2462" s="10" t="s">
        <v>5012</v>
      </c>
      <c r="C2462" s="10" t="s">
        <v>193</v>
      </c>
      <c r="D2462" s="9" t="s">
        <v>95</v>
      </c>
      <c r="E2462" s="9" t="str">
        <f>_xlfn.TEXTAFTER(Condiciones_acumuladas[[#This Row],[Descripción]], " ", -2)</f>
        <v>Hellen Consuelo</v>
      </c>
      <c r="F2462" s="10" t="s">
        <v>2559</v>
      </c>
      <c r="G2462" s="11">
        <v>45988</v>
      </c>
    </row>
    <row r="2463" spans="1:7" ht="36.5" hidden="1" x14ac:dyDescent="0.35">
      <c r="A2463" s="8">
        <v>10554</v>
      </c>
      <c r="B2463" s="10" t="s">
        <v>5013</v>
      </c>
      <c r="C2463" s="10" t="s">
        <v>21</v>
      </c>
      <c r="D2463" s="9" t="s">
        <v>21</v>
      </c>
      <c r="E2463" s="9" t="str">
        <f>_xlfn.TEXTAFTER(Condiciones_acumuladas[[#This Row],[Descripción]], " ", -2)</f>
        <v>Hugo Oliva</v>
      </c>
      <c r="F2463" s="10" t="s">
        <v>2516</v>
      </c>
      <c r="G2463" s="11">
        <v>46005</v>
      </c>
    </row>
    <row r="2464" spans="1:7" ht="24.5" hidden="1" x14ac:dyDescent="0.35">
      <c r="A2464" s="8">
        <v>10616</v>
      </c>
      <c r="B2464" s="10" t="s">
        <v>5014</v>
      </c>
      <c r="C2464" s="10" t="s">
        <v>21</v>
      </c>
      <c r="D2464" s="9" t="s">
        <v>21</v>
      </c>
      <c r="E2464" s="9" t="str">
        <f>_xlfn.TEXTAFTER(Condiciones_acumuladas[[#This Row],[Descripción]], " ", -2)</f>
        <v>Hugo Oliva</v>
      </c>
      <c r="F2464" s="10" t="s">
        <v>2522</v>
      </c>
      <c r="G2464" s="11">
        <v>46022</v>
      </c>
    </row>
    <row r="2465" spans="1:7" ht="36.5" hidden="1" x14ac:dyDescent="0.35">
      <c r="A2465" s="8">
        <v>10441</v>
      </c>
      <c r="B2465" s="10" t="s">
        <v>5015</v>
      </c>
      <c r="C2465" s="10" t="s">
        <v>96</v>
      </c>
      <c r="D2465" s="9" t="s">
        <v>96</v>
      </c>
      <c r="E2465" s="9" t="str">
        <f>_xlfn.TEXTAFTER(Condiciones_acumuladas[[#This Row],[Descripción]], " ", -2)</f>
        <v>Isabel Saquila</v>
      </c>
      <c r="F2465" s="10" t="s">
        <v>2516</v>
      </c>
      <c r="G2465" s="11">
        <v>45998</v>
      </c>
    </row>
    <row r="2466" spans="1:7" ht="24.5" hidden="1" x14ac:dyDescent="0.35">
      <c r="A2466" s="8">
        <v>10469</v>
      </c>
      <c r="B2466" s="10" t="s">
        <v>5016</v>
      </c>
      <c r="C2466" s="10" t="s">
        <v>96</v>
      </c>
      <c r="D2466" s="9" t="s">
        <v>96</v>
      </c>
      <c r="E2466" s="9" t="str">
        <f>_xlfn.TEXTAFTER(Condiciones_acumuladas[[#This Row],[Descripción]], " ", -2)</f>
        <v>Isabel Saquila</v>
      </c>
      <c r="F2466" s="10" t="s">
        <v>2537</v>
      </c>
      <c r="G2466" s="11">
        <v>46000</v>
      </c>
    </row>
    <row r="2467" spans="1:7" ht="24.5" hidden="1" x14ac:dyDescent="0.35">
      <c r="A2467" s="8">
        <v>10553</v>
      </c>
      <c r="B2467" s="10" t="s">
        <v>5017</v>
      </c>
      <c r="C2467" s="10" t="s">
        <v>96</v>
      </c>
      <c r="D2467" s="9" t="s">
        <v>96</v>
      </c>
      <c r="E2467" s="9" t="str">
        <f>_xlfn.TEXTAFTER(Condiciones_acumuladas[[#This Row],[Descripción]], " ", -2)</f>
        <v>Isabel Saquila</v>
      </c>
      <c r="F2467" s="10" t="s">
        <v>2537</v>
      </c>
      <c r="G2467" s="11">
        <v>46004</v>
      </c>
    </row>
    <row r="2468" spans="1:7" ht="24.5" hidden="1" x14ac:dyDescent="0.35">
      <c r="A2468" s="8">
        <v>10551</v>
      </c>
      <c r="B2468" s="10" t="s">
        <v>5018</v>
      </c>
      <c r="C2468" s="10" t="s">
        <v>96</v>
      </c>
      <c r="D2468" s="9" t="s">
        <v>96</v>
      </c>
      <c r="E2468" s="9" t="str">
        <f>_xlfn.TEXTAFTER(Condiciones_acumuladas[[#This Row],[Descripción]], " ", -2)</f>
        <v>Isabel Saquila</v>
      </c>
      <c r="F2468" s="10" t="s">
        <v>2537</v>
      </c>
      <c r="G2468" s="11">
        <v>46003</v>
      </c>
    </row>
    <row r="2469" spans="1:7" ht="24.5" hidden="1" x14ac:dyDescent="0.35">
      <c r="A2469" s="8">
        <v>10434</v>
      </c>
      <c r="B2469" s="10" t="s">
        <v>5019</v>
      </c>
      <c r="C2469" s="10" t="s">
        <v>196</v>
      </c>
      <c r="D2469" s="9" t="s">
        <v>196</v>
      </c>
      <c r="E2469" s="9" t="str">
        <f>_xlfn.TEXTAFTER(Condiciones_acumuladas[[#This Row],[Descripción]], " ", -2)</f>
        <v>Jaime Chex</v>
      </c>
      <c r="F2469" s="10" t="s">
        <v>2537</v>
      </c>
      <c r="G2469" s="11">
        <v>45996</v>
      </c>
    </row>
    <row r="2470" spans="1:7" ht="24.5" hidden="1" x14ac:dyDescent="0.35">
      <c r="A2470" s="8">
        <v>10443</v>
      </c>
      <c r="B2470" s="10" t="s">
        <v>5020</v>
      </c>
      <c r="C2470" s="10" t="s">
        <v>196</v>
      </c>
      <c r="D2470" s="9" t="s">
        <v>196</v>
      </c>
      <c r="E2470" s="9" t="str">
        <f>_xlfn.TEXTAFTER(Condiciones_acumuladas[[#This Row],[Descripción]], " ", -2)</f>
        <v>Jaime Chex</v>
      </c>
      <c r="F2470" s="10" t="s">
        <v>2537</v>
      </c>
      <c r="G2470" s="11">
        <v>45999</v>
      </c>
    </row>
    <row r="2471" spans="1:7" ht="48.5" hidden="1" x14ac:dyDescent="0.35">
      <c r="A2471" s="8">
        <v>10493</v>
      </c>
      <c r="B2471" s="10" t="s">
        <v>5021</v>
      </c>
      <c r="C2471" s="10" t="s">
        <v>278</v>
      </c>
      <c r="D2471" s="9" t="s">
        <v>278</v>
      </c>
      <c r="E2471" s="9" t="str">
        <f>_xlfn.TEXTAFTER(Condiciones_acumuladas[[#This Row],[Descripción]], " ", -2)</f>
        <v>Jason Calderón</v>
      </c>
      <c r="F2471" s="10" t="s">
        <v>2559</v>
      </c>
      <c r="G2471" s="11">
        <v>46009</v>
      </c>
    </row>
    <row r="2472" spans="1:7" ht="36.5" hidden="1" x14ac:dyDescent="0.35">
      <c r="A2472" s="8">
        <v>10569</v>
      </c>
      <c r="B2472" s="10" t="s">
        <v>5022</v>
      </c>
      <c r="C2472" s="10" t="s">
        <v>250</v>
      </c>
      <c r="D2472" s="9" t="s">
        <v>371</v>
      </c>
      <c r="E2472" s="9" t="str">
        <f>_xlfn.TEXTAFTER(Condiciones_acumuladas[[#This Row],[Descripción]], " ", -2)</f>
        <v>Jessica Loarca</v>
      </c>
      <c r="F2472" s="10" t="s">
        <v>2516</v>
      </c>
      <c r="G2472" s="11">
        <v>46008</v>
      </c>
    </row>
    <row r="2473" spans="1:7" ht="36.5" hidden="1" x14ac:dyDescent="0.35">
      <c r="A2473" s="8">
        <v>10365</v>
      </c>
      <c r="B2473" s="10" t="s">
        <v>5023</v>
      </c>
      <c r="C2473" s="10" t="s">
        <v>104</v>
      </c>
      <c r="D2473" s="9" t="s">
        <v>190</v>
      </c>
      <c r="E2473" s="9" t="str">
        <f>_xlfn.TEXTAFTER(Condiciones_acumuladas[[#This Row],[Descripción]], " ", -2)</f>
        <v>Jorge Ixtacuy</v>
      </c>
      <c r="F2473" s="10" t="s">
        <v>2530</v>
      </c>
      <c r="G2473" s="11">
        <v>45989</v>
      </c>
    </row>
    <row r="2474" spans="1:7" ht="24.5" hidden="1" x14ac:dyDescent="0.35">
      <c r="A2474" s="8">
        <v>10556</v>
      </c>
      <c r="B2474" s="10" t="s">
        <v>5024</v>
      </c>
      <c r="C2474" s="10" t="s">
        <v>250</v>
      </c>
      <c r="D2474" s="9" t="s">
        <v>395</v>
      </c>
      <c r="E2474" s="9" t="str">
        <f>_xlfn.TEXTAFTER(Condiciones_acumuladas[[#This Row],[Descripción]], " ", -2)</f>
        <v>Josue Abraham</v>
      </c>
      <c r="F2474" s="10" t="s">
        <v>2834</v>
      </c>
      <c r="G2474" s="11">
        <v>46006</v>
      </c>
    </row>
    <row r="2475" spans="1:7" ht="36.5" hidden="1" x14ac:dyDescent="0.35">
      <c r="A2475" s="8">
        <v>10378</v>
      </c>
      <c r="B2475" s="10" t="s">
        <v>5025</v>
      </c>
      <c r="C2475" s="10" t="s">
        <v>196</v>
      </c>
      <c r="D2475" s="9" t="s">
        <v>395</v>
      </c>
      <c r="E2475" s="9" t="str">
        <f>_xlfn.TEXTAFTER(Condiciones_acumuladas[[#This Row],[Descripción]], " ", -2)</f>
        <v>Josué Vásquez</v>
      </c>
      <c r="F2475" s="10" t="s">
        <v>2715</v>
      </c>
      <c r="G2475" s="11">
        <v>45989</v>
      </c>
    </row>
    <row r="2476" spans="1:7" ht="36.5" hidden="1" x14ac:dyDescent="0.35">
      <c r="A2476" s="8">
        <v>10399</v>
      </c>
      <c r="B2476" s="10" t="s">
        <v>5026</v>
      </c>
      <c r="C2476" s="10" t="s">
        <v>250</v>
      </c>
      <c r="D2476" s="9" t="s">
        <v>395</v>
      </c>
      <c r="E2476" s="9" t="str">
        <f>_xlfn.TEXTAFTER(Condiciones_acumuladas[[#This Row],[Descripción]], " ", -2)</f>
        <v>Josué Vásquez</v>
      </c>
      <c r="F2476" s="10" t="s">
        <v>2572</v>
      </c>
      <c r="G2476" s="11">
        <v>45992</v>
      </c>
    </row>
    <row r="2477" spans="1:7" ht="36.5" hidden="1" x14ac:dyDescent="0.35">
      <c r="A2477" s="8">
        <v>10414</v>
      </c>
      <c r="B2477" s="10" t="s">
        <v>5027</v>
      </c>
      <c r="C2477" s="10" t="s">
        <v>21</v>
      </c>
      <c r="D2477" s="9" t="s">
        <v>395</v>
      </c>
      <c r="E2477" s="9" t="str">
        <f>_xlfn.TEXTAFTER(Condiciones_acumuladas[[#This Row],[Descripción]], " ", -2)</f>
        <v>Josué Vásquez</v>
      </c>
      <c r="F2477" s="10" t="s">
        <v>2516</v>
      </c>
      <c r="G2477" s="11">
        <v>45992</v>
      </c>
    </row>
    <row r="2478" spans="1:7" ht="36.5" hidden="1" x14ac:dyDescent="0.35">
      <c r="A2478" s="8">
        <v>10413</v>
      </c>
      <c r="B2478" s="10" t="s">
        <v>5028</v>
      </c>
      <c r="C2478" s="10" t="s">
        <v>104</v>
      </c>
      <c r="D2478" s="9" t="s">
        <v>395</v>
      </c>
      <c r="E2478" s="9" t="str">
        <f>_xlfn.TEXTAFTER(Condiciones_acumuladas[[#This Row],[Descripción]], " ", -2)</f>
        <v>Josué Vásquez</v>
      </c>
      <c r="F2478" s="10" t="s">
        <v>2525</v>
      </c>
      <c r="G2478" s="11">
        <v>45992</v>
      </c>
    </row>
    <row r="2479" spans="1:7" ht="24.5" hidden="1" x14ac:dyDescent="0.35">
      <c r="A2479" s="8">
        <v>10422</v>
      </c>
      <c r="B2479" s="10" t="s">
        <v>5029</v>
      </c>
      <c r="C2479" s="10" t="s">
        <v>220</v>
      </c>
      <c r="D2479" s="9" t="s">
        <v>395</v>
      </c>
      <c r="E2479" s="9" t="str">
        <f>_xlfn.TEXTAFTER(Condiciones_acumuladas[[#This Row],[Descripción]], " ", -2)</f>
        <v>Josué Vásquez</v>
      </c>
      <c r="F2479" s="10" t="s">
        <v>2834</v>
      </c>
      <c r="G2479" s="11">
        <v>45995</v>
      </c>
    </row>
    <row r="2480" spans="1:7" ht="36.5" hidden="1" x14ac:dyDescent="0.35">
      <c r="A2480" s="8">
        <v>10480</v>
      </c>
      <c r="B2480" s="10" t="s">
        <v>5030</v>
      </c>
      <c r="C2480" s="10" t="s">
        <v>104</v>
      </c>
      <c r="D2480" s="9" t="s">
        <v>395</v>
      </c>
      <c r="E2480" s="9" t="str">
        <f>_xlfn.TEXTAFTER(Condiciones_acumuladas[[#This Row],[Descripción]], " ", -2)</f>
        <v>Josué Vásquez</v>
      </c>
      <c r="F2480" s="10" t="s">
        <v>2572</v>
      </c>
      <c r="G2480" s="11">
        <v>46001</v>
      </c>
    </row>
    <row r="2481" spans="1:7" ht="36.5" hidden="1" x14ac:dyDescent="0.35">
      <c r="A2481" s="8">
        <v>10478</v>
      </c>
      <c r="B2481" s="10" t="s">
        <v>5031</v>
      </c>
      <c r="C2481" s="10" t="s">
        <v>13</v>
      </c>
      <c r="D2481" s="9" t="s">
        <v>395</v>
      </c>
      <c r="E2481" s="9" t="str">
        <f>_xlfn.TEXTAFTER(Condiciones_acumuladas[[#This Row],[Descripción]], " ", -2)</f>
        <v>Josué Vásquez</v>
      </c>
      <c r="F2481" s="10" t="s">
        <v>2572</v>
      </c>
      <c r="G2481" s="11">
        <v>46001</v>
      </c>
    </row>
    <row r="2482" spans="1:7" ht="36.5" hidden="1" x14ac:dyDescent="0.35">
      <c r="A2482" s="8">
        <v>10561</v>
      </c>
      <c r="B2482" s="10" t="s">
        <v>5032</v>
      </c>
      <c r="C2482" s="10" t="s">
        <v>96</v>
      </c>
      <c r="D2482" s="9" t="s">
        <v>395</v>
      </c>
      <c r="E2482" s="9" t="str">
        <f>_xlfn.TEXTAFTER(Condiciones_acumuladas[[#This Row],[Descripción]], " ", -2)</f>
        <v>Josué Vásquez</v>
      </c>
      <c r="F2482" s="10" t="s">
        <v>2516</v>
      </c>
      <c r="G2482" s="11">
        <v>46007</v>
      </c>
    </row>
    <row r="2483" spans="1:7" ht="24.5" hidden="1" x14ac:dyDescent="0.35">
      <c r="A2483" s="8">
        <v>10560</v>
      </c>
      <c r="B2483" s="10" t="s">
        <v>5033</v>
      </c>
      <c r="C2483" s="10" t="s">
        <v>96</v>
      </c>
      <c r="D2483" s="9" t="s">
        <v>395</v>
      </c>
      <c r="E2483" s="9" t="str">
        <f>_xlfn.TEXTAFTER(Condiciones_acumuladas[[#This Row],[Descripción]], " ", -2)</f>
        <v>Josué Vásquez</v>
      </c>
      <c r="F2483" s="10" t="s">
        <v>2834</v>
      </c>
      <c r="G2483" s="11">
        <v>46007</v>
      </c>
    </row>
    <row r="2484" spans="1:7" ht="24.5" hidden="1" x14ac:dyDescent="0.35">
      <c r="A2484" s="8">
        <v>10559</v>
      </c>
      <c r="B2484" s="10" t="s">
        <v>5034</v>
      </c>
      <c r="C2484" s="10" t="s">
        <v>96</v>
      </c>
      <c r="D2484" s="9" t="s">
        <v>395</v>
      </c>
      <c r="E2484" s="9" t="str">
        <f>_xlfn.TEXTAFTER(Condiciones_acumuladas[[#This Row],[Descripción]], " ", -2)</f>
        <v>Josué Vásquez</v>
      </c>
      <c r="F2484" s="10" t="s">
        <v>2834</v>
      </c>
      <c r="G2484" s="11">
        <v>46007</v>
      </c>
    </row>
    <row r="2485" spans="1:7" ht="24.5" hidden="1" x14ac:dyDescent="0.35">
      <c r="A2485" s="8">
        <v>10558</v>
      </c>
      <c r="B2485" s="10" t="s">
        <v>5035</v>
      </c>
      <c r="C2485" s="10" t="s">
        <v>96</v>
      </c>
      <c r="D2485" s="9" t="s">
        <v>395</v>
      </c>
      <c r="E2485" s="9" t="str">
        <f>_xlfn.TEXTAFTER(Condiciones_acumuladas[[#This Row],[Descripción]], " ", -2)</f>
        <v>Josué Vásquez</v>
      </c>
      <c r="F2485" s="10" t="s">
        <v>2834</v>
      </c>
      <c r="G2485" s="11">
        <v>46007</v>
      </c>
    </row>
    <row r="2486" spans="1:7" ht="24.5" hidden="1" x14ac:dyDescent="0.35">
      <c r="A2486" s="8">
        <v>10557</v>
      </c>
      <c r="B2486" s="10" t="s">
        <v>5036</v>
      </c>
      <c r="C2486" s="10" t="s">
        <v>250</v>
      </c>
      <c r="D2486" s="9" t="s">
        <v>395</v>
      </c>
      <c r="E2486" s="9" t="str">
        <f>_xlfn.TEXTAFTER(Condiciones_acumuladas[[#This Row],[Descripción]], " ", -2)</f>
        <v>Josué Vásquez</v>
      </c>
      <c r="F2486" s="10" t="s">
        <v>2834</v>
      </c>
      <c r="G2486" s="11">
        <v>46006</v>
      </c>
    </row>
    <row r="2487" spans="1:7" ht="24.5" hidden="1" x14ac:dyDescent="0.35">
      <c r="A2487" s="8">
        <v>10562</v>
      </c>
      <c r="B2487" s="10" t="s">
        <v>5037</v>
      </c>
      <c r="C2487" s="10" t="s">
        <v>96</v>
      </c>
      <c r="D2487" s="9" t="s">
        <v>395</v>
      </c>
      <c r="E2487" s="9" t="str">
        <f>_xlfn.TEXTAFTER(Condiciones_acumuladas[[#This Row],[Descripción]], " ", -2)</f>
        <v>Josué Vásquez</v>
      </c>
      <c r="F2487" s="10" t="s">
        <v>2834</v>
      </c>
      <c r="G2487" s="11">
        <v>46007</v>
      </c>
    </row>
    <row r="2488" spans="1:7" ht="36.5" hidden="1" x14ac:dyDescent="0.35">
      <c r="A2488" s="8">
        <v>10576</v>
      </c>
      <c r="B2488" s="10" t="s">
        <v>5038</v>
      </c>
      <c r="C2488" s="10" t="s">
        <v>21</v>
      </c>
      <c r="D2488" s="9" t="s">
        <v>21</v>
      </c>
      <c r="E2488" s="9" t="str">
        <f>_xlfn.TEXTAFTER(Condiciones_acumuladas[[#This Row],[Descripción]], " ", -2)</f>
        <v>Josué Vásquez</v>
      </c>
      <c r="F2488" s="10" t="s">
        <v>2516</v>
      </c>
      <c r="G2488" s="11">
        <v>46008</v>
      </c>
    </row>
    <row r="2489" spans="1:7" ht="36.5" hidden="1" x14ac:dyDescent="0.35">
      <c r="A2489" s="8">
        <v>10597</v>
      </c>
      <c r="B2489" s="10" t="s">
        <v>5039</v>
      </c>
      <c r="C2489" s="10" t="s">
        <v>220</v>
      </c>
      <c r="D2489" s="9" t="s">
        <v>395</v>
      </c>
      <c r="E2489" s="9" t="str">
        <f>_xlfn.TEXTAFTER(Condiciones_acumuladas[[#This Row],[Descripción]], " ", -2)</f>
        <v>Josué Vásquez</v>
      </c>
      <c r="F2489" s="10" t="s">
        <v>2516</v>
      </c>
      <c r="G2489" s="11">
        <v>46008</v>
      </c>
    </row>
    <row r="2490" spans="1:7" ht="36.5" hidden="1" x14ac:dyDescent="0.35">
      <c r="A2490" s="8">
        <v>10435</v>
      </c>
      <c r="B2490" s="10" t="s">
        <v>5040</v>
      </c>
      <c r="C2490" s="10" t="s">
        <v>26</v>
      </c>
      <c r="D2490" s="9" t="s">
        <v>395</v>
      </c>
      <c r="E2490" s="9" t="str">
        <f>_xlfn.TEXTAFTER(Condiciones_acumuladas[[#This Row],[Descripción]], " ", -2)</f>
        <v>Karla Hintz</v>
      </c>
      <c r="F2490" s="10" t="s">
        <v>2540</v>
      </c>
      <c r="G2490" s="11">
        <v>45996</v>
      </c>
    </row>
    <row r="2491" spans="1:7" ht="36.5" hidden="1" x14ac:dyDescent="0.35">
      <c r="A2491" s="8">
        <v>10460</v>
      </c>
      <c r="B2491" s="10" t="s">
        <v>5041</v>
      </c>
      <c r="C2491" s="10" t="s">
        <v>196</v>
      </c>
      <c r="D2491" s="9" t="s">
        <v>196</v>
      </c>
      <c r="E2491" s="9" t="str">
        <f>_xlfn.TEXTAFTER(Condiciones_acumuladas[[#This Row],[Descripción]], " ", -2)</f>
        <v>kelly Calderón</v>
      </c>
      <c r="F2491" s="10" t="s">
        <v>2522</v>
      </c>
      <c r="G2491" s="11">
        <v>46000</v>
      </c>
    </row>
    <row r="2492" spans="1:7" ht="24.5" hidden="1" x14ac:dyDescent="0.35">
      <c r="A2492" s="8">
        <v>10502</v>
      </c>
      <c r="B2492" s="10" t="s">
        <v>5042</v>
      </c>
      <c r="C2492" s="10" t="s">
        <v>196</v>
      </c>
      <c r="D2492" s="9" t="s">
        <v>95</v>
      </c>
      <c r="E2492" s="9" t="str">
        <f>_xlfn.TEXTAFTER(Condiciones_acumuladas[[#This Row],[Descripción]], " ", -2)</f>
        <v>Leidy Camey</v>
      </c>
      <c r="F2492" s="10" t="s">
        <v>2537</v>
      </c>
      <c r="G2492" s="11">
        <v>46013</v>
      </c>
    </row>
    <row r="2493" spans="1:7" ht="24.5" hidden="1" x14ac:dyDescent="0.35">
      <c r="A2493" s="8">
        <v>10409</v>
      </c>
      <c r="B2493" s="10" t="s">
        <v>5043</v>
      </c>
      <c r="C2493" s="10" t="s">
        <v>96</v>
      </c>
      <c r="D2493" s="9" t="s">
        <v>196</v>
      </c>
      <c r="E2493" s="9" t="str">
        <f>_xlfn.TEXTAFTER(Condiciones_acumuladas[[#This Row],[Descripción]], " ", -2)</f>
        <v>Luis Angel</v>
      </c>
      <c r="F2493" s="10" t="s">
        <v>2522</v>
      </c>
      <c r="G2493" s="11">
        <v>45992</v>
      </c>
    </row>
    <row r="2494" spans="1:7" ht="36.5" hidden="1" x14ac:dyDescent="0.35">
      <c r="A2494" s="8">
        <v>10412</v>
      </c>
      <c r="B2494" s="10" t="s">
        <v>5044</v>
      </c>
      <c r="C2494" s="10" t="s">
        <v>96</v>
      </c>
      <c r="D2494" s="9" t="s">
        <v>196</v>
      </c>
      <c r="E2494" s="9" t="str">
        <f>_xlfn.TEXTAFTER(Condiciones_acumuladas[[#This Row],[Descripción]], " ", -2)</f>
        <v>Luis Angel</v>
      </c>
      <c r="F2494" s="10" t="s">
        <v>2516</v>
      </c>
      <c r="G2494" s="11">
        <v>45992</v>
      </c>
    </row>
    <row r="2495" spans="1:7" ht="24.5" hidden="1" x14ac:dyDescent="0.35">
      <c r="A2495" s="8">
        <v>10440</v>
      </c>
      <c r="B2495" s="10" t="s">
        <v>5045</v>
      </c>
      <c r="C2495" s="10" t="s">
        <v>196</v>
      </c>
      <c r="D2495" s="9" t="s">
        <v>196</v>
      </c>
      <c r="E2495" s="9" t="str">
        <f>_xlfn.TEXTAFTER(Condiciones_acumuladas[[#This Row],[Descripción]], " ", -2)</f>
        <v>Luis Angel</v>
      </c>
      <c r="F2495" s="10" t="s">
        <v>2537</v>
      </c>
      <c r="G2495" s="11">
        <v>45997</v>
      </c>
    </row>
    <row r="2496" spans="1:7" ht="36.5" hidden="1" x14ac:dyDescent="0.35">
      <c r="A2496" s="8">
        <v>10462</v>
      </c>
      <c r="B2496" s="10" t="s">
        <v>5046</v>
      </c>
      <c r="C2496" s="10" t="s">
        <v>234</v>
      </c>
      <c r="D2496" s="9" t="s">
        <v>196</v>
      </c>
      <c r="E2496" s="9" t="str">
        <f>_xlfn.TEXTAFTER(Condiciones_acumuladas[[#This Row],[Descripción]], " ", -2)</f>
        <v>Luis Angel</v>
      </c>
      <c r="F2496" s="10" t="s">
        <v>2516</v>
      </c>
      <c r="G2496" s="11">
        <v>46000</v>
      </c>
    </row>
    <row r="2497" spans="1:7" ht="48.5" hidden="1" x14ac:dyDescent="0.35">
      <c r="A2497" s="8">
        <v>10470</v>
      </c>
      <c r="B2497" s="10" t="s">
        <v>5047</v>
      </c>
      <c r="C2497" s="10" t="s">
        <v>96</v>
      </c>
      <c r="D2497" s="9" t="s">
        <v>96</v>
      </c>
      <c r="E2497" s="9" t="str">
        <f>_xlfn.TEXTAFTER(Condiciones_acumuladas[[#This Row],[Descripción]], " ", -2)</f>
        <v>Luis Angel</v>
      </c>
      <c r="F2497" s="10" t="s">
        <v>2559</v>
      </c>
      <c r="G2497" s="11">
        <v>46001</v>
      </c>
    </row>
    <row r="2498" spans="1:7" ht="36.5" hidden="1" x14ac:dyDescent="0.35">
      <c r="A2498" s="8">
        <v>10471</v>
      </c>
      <c r="B2498" s="10" t="s">
        <v>5048</v>
      </c>
      <c r="C2498" s="10" t="s">
        <v>96</v>
      </c>
      <c r="D2498" s="9" t="s">
        <v>96</v>
      </c>
      <c r="E2498" s="9" t="str">
        <f>_xlfn.TEXTAFTER(Condiciones_acumuladas[[#This Row],[Descripción]], " ", -2)</f>
        <v>Luis Angel</v>
      </c>
      <c r="F2498" s="10" t="s">
        <v>2516</v>
      </c>
      <c r="G2498" s="11">
        <v>46001</v>
      </c>
    </row>
    <row r="2499" spans="1:7" ht="48.5" hidden="1" x14ac:dyDescent="0.35">
      <c r="A2499" s="8">
        <v>10477</v>
      </c>
      <c r="B2499" s="10" t="s">
        <v>5049</v>
      </c>
      <c r="C2499" s="10" t="s">
        <v>96</v>
      </c>
      <c r="D2499" s="9" t="s">
        <v>96</v>
      </c>
      <c r="E2499" s="9" t="str">
        <f>_xlfn.TEXTAFTER(Condiciones_acumuladas[[#This Row],[Descripción]], " ", -2)</f>
        <v>Luis Angel</v>
      </c>
      <c r="F2499" s="10" t="s">
        <v>2559</v>
      </c>
      <c r="G2499" s="11">
        <v>46001</v>
      </c>
    </row>
    <row r="2500" spans="1:7" ht="36.5" hidden="1" x14ac:dyDescent="0.35">
      <c r="A2500" s="8">
        <v>10599</v>
      </c>
      <c r="B2500" s="10" t="s">
        <v>5050</v>
      </c>
      <c r="C2500" s="10" t="s">
        <v>196</v>
      </c>
      <c r="D2500" s="9" t="s">
        <v>196</v>
      </c>
      <c r="E2500" s="9" t="str">
        <f>_xlfn.TEXTAFTER(Condiciones_acumuladas[[#This Row],[Descripción]], " ", -2)</f>
        <v>Luis Angel</v>
      </c>
      <c r="F2500" s="10" t="s">
        <v>2516</v>
      </c>
      <c r="G2500" s="11">
        <v>46011</v>
      </c>
    </row>
    <row r="2501" spans="1:7" ht="48.5" hidden="1" x14ac:dyDescent="0.35">
      <c r="A2501" s="8">
        <v>10602</v>
      </c>
      <c r="B2501" s="10" t="s">
        <v>5051</v>
      </c>
      <c r="C2501" s="10" t="s">
        <v>220</v>
      </c>
      <c r="D2501" s="9" t="s">
        <v>196</v>
      </c>
      <c r="E2501" s="9" t="str">
        <f>_xlfn.TEXTAFTER(Condiciones_acumuladas[[#This Row],[Descripción]], " ", -2)</f>
        <v>Luis Angel</v>
      </c>
      <c r="F2501" s="10" t="s">
        <v>2559</v>
      </c>
      <c r="G2501" s="11">
        <v>46014</v>
      </c>
    </row>
    <row r="2502" spans="1:7" ht="24.5" hidden="1" x14ac:dyDescent="0.35">
      <c r="A2502" s="8">
        <v>10497</v>
      </c>
      <c r="B2502" s="10" t="s">
        <v>5052</v>
      </c>
      <c r="C2502" s="10" t="s">
        <v>95</v>
      </c>
      <c r="D2502" s="9" t="s">
        <v>95</v>
      </c>
      <c r="E2502" s="9" t="str">
        <f>_xlfn.TEXTAFTER(Condiciones_acumuladas[[#This Row],[Descripción]], " ", -2)</f>
        <v>Luis Cabrera</v>
      </c>
      <c r="F2502" s="10" t="s">
        <v>2834</v>
      </c>
      <c r="G2502" s="11">
        <v>46009</v>
      </c>
    </row>
    <row r="2503" spans="1:7" ht="24.5" hidden="1" x14ac:dyDescent="0.35">
      <c r="A2503" s="8">
        <v>10426</v>
      </c>
      <c r="B2503" s="10" t="s">
        <v>5053</v>
      </c>
      <c r="C2503" s="10" t="s">
        <v>96</v>
      </c>
      <c r="D2503" s="9" t="s">
        <v>96</v>
      </c>
      <c r="E2503" s="9" t="str">
        <f>_xlfn.TEXTAFTER(Condiciones_acumuladas[[#This Row],[Descripción]], " ", -2)</f>
        <v>Luis Pérez</v>
      </c>
      <c r="F2503" s="10" t="s">
        <v>2537</v>
      </c>
      <c r="G2503" s="11">
        <v>45994</v>
      </c>
    </row>
    <row r="2504" spans="1:7" ht="48.5" hidden="1" x14ac:dyDescent="0.35">
      <c r="A2504" s="8">
        <v>10444</v>
      </c>
      <c r="B2504" s="10" t="s">
        <v>5054</v>
      </c>
      <c r="C2504" s="10" t="s">
        <v>96</v>
      </c>
      <c r="D2504" s="9" t="s">
        <v>96</v>
      </c>
      <c r="E2504" s="9" t="str">
        <f>_xlfn.TEXTAFTER(Condiciones_acumuladas[[#This Row],[Descripción]], " ", -2)</f>
        <v>Luis Pérez</v>
      </c>
      <c r="F2504" s="10" t="s">
        <v>2559</v>
      </c>
      <c r="G2504" s="11">
        <v>45999</v>
      </c>
    </row>
    <row r="2505" spans="1:7" ht="48.5" hidden="1" x14ac:dyDescent="0.35">
      <c r="A2505" s="8">
        <v>10457</v>
      </c>
      <c r="B2505" s="10" t="s">
        <v>5055</v>
      </c>
      <c r="C2505" s="10" t="s">
        <v>96</v>
      </c>
      <c r="D2505" s="9" t="s">
        <v>96</v>
      </c>
      <c r="E2505" s="9" t="str">
        <f>_xlfn.TEXTAFTER(Condiciones_acumuladas[[#This Row],[Descripción]], " ", -2)</f>
        <v>Luis Pérez</v>
      </c>
      <c r="F2505" s="10" t="s">
        <v>2559</v>
      </c>
      <c r="G2505" s="11">
        <v>45999</v>
      </c>
    </row>
    <row r="2506" spans="1:7" ht="36.5" hidden="1" x14ac:dyDescent="0.35">
      <c r="A2506" s="8">
        <v>10459</v>
      </c>
      <c r="B2506" s="10" t="s">
        <v>5056</v>
      </c>
      <c r="C2506" s="10" t="s">
        <v>96</v>
      </c>
      <c r="D2506" s="9" t="s">
        <v>96</v>
      </c>
      <c r="E2506" s="9" t="str">
        <f>_xlfn.TEXTAFTER(Condiciones_acumuladas[[#This Row],[Descripción]], " ", -2)</f>
        <v>Luis Pérez</v>
      </c>
      <c r="F2506" s="10" t="s">
        <v>2516</v>
      </c>
      <c r="G2506" s="11">
        <v>46000</v>
      </c>
    </row>
    <row r="2507" spans="1:7" ht="48.5" hidden="1" x14ac:dyDescent="0.35">
      <c r="A2507" s="8">
        <v>10461</v>
      </c>
      <c r="B2507" s="10" t="s">
        <v>5057</v>
      </c>
      <c r="C2507" s="10" t="s">
        <v>96</v>
      </c>
      <c r="D2507" s="9" t="s">
        <v>96</v>
      </c>
      <c r="E2507" s="9" t="str">
        <f>_xlfn.TEXTAFTER(Condiciones_acumuladas[[#This Row],[Descripción]], " ", -2)</f>
        <v>Luis Pérez</v>
      </c>
      <c r="F2507" s="10" t="s">
        <v>2559</v>
      </c>
      <c r="G2507" s="11">
        <v>46000</v>
      </c>
    </row>
    <row r="2508" spans="1:7" ht="24.5" hidden="1" x14ac:dyDescent="0.35">
      <c r="A2508" s="8">
        <v>10482</v>
      </c>
      <c r="B2508" s="10" t="s">
        <v>5058</v>
      </c>
      <c r="C2508" s="10" t="s">
        <v>96</v>
      </c>
      <c r="D2508" s="9" t="s">
        <v>96</v>
      </c>
      <c r="E2508" s="9" t="str">
        <f>_xlfn.TEXTAFTER(Condiciones_acumuladas[[#This Row],[Descripción]], " ", -2)</f>
        <v>Luis Pérez</v>
      </c>
      <c r="F2508" s="10" t="s">
        <v>2537</v>
      </c>
      <c r="G2508" s="11">
        <v>46002</v>
      </c>
    </row>
    <row r="2509" spans="1:7" ht="24.5" hidden="1" x14ac:dyDescent="0.35">
      <c r="A2509" s="8">
        <v>10396</v>
      </c>
      <c r="B2509" s="10" t="s">
        <v>5059</v>
      </c>
      <c r="C2509" s="10" t="s">
        <v>196</v>
      </c>
      <c r="D2509" s="9" t="s">
        <v>95</v>
      </c>
      <c r="E2509" s="9" t="str">
        <f>_xlfn.TEXTAFTER(Condiciones_acumuladas[[#This Row],[Descripción]], " ", -2)</f>
        <v>Hellen Consuelo</v>
      </c>
      <c r="F2509" s="10" t="s">
        <v>2537</v>
      </c>
      <c r="G2509" s="11">
        <v>45994</v>
      </c>
    </row>
    <row r="2510" spans="1:7" ht="36.5" hidden="1" x14ac:dyDescent="0.35">
      <c r="A2510" s="8">
        <v>10446</v>
      </c>
      <c r="B2510" s="10" t="s">
        <v>5060</v>
      </c>
      <c r="C2510" s="10" t="s">
        <v>21</v>
      </c>
      <c r="D2510" s="9" t="s">
        <v>95</v>
      </c>
      <c r="E2510" s="9" t="str">
        <f>_xlfn.TEXTAFTER(Condiciones_acumuladas[[#This Row],[Descripción]], " ", -2)</f>
        <v>Maria Obregón</v>
      </c>
      <c r="F2510" s="10" t="s">
        <v>2516</v>
      </c>
      <c r="G2510" s="11">
        <v>45999</v>
      </c>
    </row>
    <row r="2511" spans="1:7" ht="24.5" hidden="1" x14ac:dyDescent="0.35">
      <c r="A2511" s="8">
        <v>10445</v>
      </c>
      <c r="B2511" s="10" t="s">
        <v>5061</v>
      </c>
      <c r="C2511" s="10" t="s">
        <v>96</v>
      </c>
      <c r="D2511" s="9" t="s">
        <v>95</v>
      </c>
      <c r="E2511" s="9" t="str">
        <f>_xlfn.TEXTAFTER(Condiciones_acumuladas[[#This Row],[Descripción]], " ", -2)</f>
        <v>Maria Obregón</v>
      </c>
      <c r="F2511" s="10" t="s">
        <v>2522</v>
      </c>
      <c r="G2511" s="11">
        <v>45999</v>
      </c>
    </row>
    <row r="2512" spans="1:7" ht="36.5" hidden="1" x14ac:dyDescent="0.35">
      <c r="A2512" s="8">
        <v>10447</v>
      </c>
      <c r="B2512" s="10" t="s">
        <v>5062</v>
      </c>
      <c r="C2512" s="10" t="s">
        <v>21</v>
      </c>
      <c r="D2512" s="9" t="s">
        <v>95</v>
      </c>
      <c r="E2512" s="9" t="str">
        <f>_xlfn.TEXTAFTER(Condiciones_acumuladas[[#This Row],[Descripción]], " ", -2)</f>
        <v>Maria Obregón</v>
      </c>
      <c r="F2512" s="10" t="s">
        <v>2516</v>
      </c>
      <c r="G2512" s="11">
        <v>45999</v>
      </c>
    </row>
    <row r="2513" spans="1:7" ht="48.5" hidden="1" x14ac:dyDescent="0.35">
      <c r="A2513" s="8">
        <v>10358</v>
      </c>
      <c r="B2513" s="10" t="s">
        <v>5063</v>
      </c>
      <c r="C2513" s="10" t="s">
        <v>13</v>
      </c>
      <c r="D2513" s="9" t="s">
        <v>95</v>
      </c>
      <c r="E2513" s="9" t="str">
        <f>_xlfn.TEXTAFTER(Condiciones_acumuladas[[#This Row],[Descripción]], " ", -2)</f>
        <v>Nelson Godinez</v>
      </c>
      <c r="F2513" s="10" t="s">
        <v>2559</v>
      </c>
      <c r="G2513" s="11">
        <v>45989</v>
      </c>
    </row>
    <row r="2514" spans="1:7" ht="48.5" hidden="1" x14ac:dyDescent="0.35">
      <c r="A2514" s="8">
        <v>10357</v>
      </c>
      <c r="B2514" s="10" t="s">
        <v>5064</v>
      </c>
      <c r="C2514" s="10" t="s">
        <v>134</v>
      </c>
      <c r="D2514" s="9" t="s">
        <v>95</v>
      </c>
      <c r="E2514" s="9" t="str">
        <f>_xlfn.TEXTAFTER(Condiciones_acumuladas[[#This Row],[Descripción]], " ", -2)</f>
        <v>Nelson Godinez</v>
      </c>
      <c r="F2514" s="10" t="s">
        <v>2559</v>
      </c>
      <c r="G2514" s="11">
        <v>45989</v>
      </c>
    </row>
    <row r="2515" spans="1:7" ht="24.5" hidden="1" x14ac:dyDescent="0.35">
      <c r="A2515" s="8">
        <v>10439</v>
      </c>
      <c r="B2515" s="10" t="s">
        <v>5065</v>
      </c>
      <c r="C2515" s="10" t="s">
        <v>96</v>
      </c>
      <c r="D2515" s="9" t="s">
        <v>95</v>
      </c>
      <c r="E2515" s="9" t="str">
        <f>_xlfn.TEXTAFTER(Condiciones_acumuladas[[#This Row],[Descripción]], " ", -2)</f>
        <v>Nelson Godinez</v>
      </c>
      <c r="F2515" s="10" t="s">
        <v>2537</v>
      </c>
      <c r="G2515" s="11">
        <v>45996</v>
      </c>
    </row>
    <row r="2516" spans="1:7" ht="36.5" hidden="1" x14ac:dyDescent="0.35">
      <c r="A2516" s="8">
        <v>10492</v>
      </c>
      <c r="B2516" s="10" t="s">
        <v>5066</v>
      </c>
      <c r="C2516" s="10" t="s">
        <v>26</v>
      </c>
      <c r="D2516" s="9" t="s">
        <v>95</v>
      </c>
      <c r="E2516" s="9" t="str">
        <f>_xlfn.TEXTAFTER(Condiciones_acumuladas[[#This Row],[Descripción]], " ", -2)</f>
        <v>Nelson Godinez</v>
      </c>
      <c r="F2516" s="10" t="s">
        <v>2516</v>
      </c>
      <c r="G2516" s="11">
        <v>46008</v>
      </c>
    </row>
    <row r="2517" spans="1:7" ht="24.5" hidden="1" x14ac:dyDescent="0.35">
      <c r="A2517" s="8">
        <v>10513</v>
      </c>
      <c r="B2517" s="10" t="s">
        <v>5067</v>
      </c>
      <c r="C2517" s="10" t="s">
        <v>134</v>
      </c>
      <c r="D2517" s="9" t="s">
        <v>95</v>
      </c>
      <c r="E2517" s="9" t="str">
        <f>_xlfn.TEXTAFTER(Condiciones_acumuladas[[#This Row],[Descripción]], " ", -2)</f>
        <v>Nelson Godinez</v>
      </c>
      <c r="F2517" s="10" t="s">
        <v>2522</v>
      </c>
      <c r="G2517" s="11">
        <v>46017</v>
      </c>
    </row>
    <row r="2518" spans="1:7" ht="48.5" hidden="1" x14ac:dyDescent="0.35">
      <c r="A2518" s="8">
        <v>10518</v>
      </c>
      <c r="B2518" s="10" t="s">
        <v>5068</v>
      </c>
      <c r="C2518" s="10" t="s">
        <v>234</v>
      </c>
      <c r="D2518" s="9" t="s">
        <v>95</v>
      </c>
      <c r="E2518" s="9" t="str">
        <f>_xlfn.TEXTAFTER(Condiciones_acumuladas[[#This Row],[Descripción]], " ", -2)</f>
        <v>Nelson Godinez</v>
      </c>
      <c r="F2518" s="10" t="s">
        <v>2559</v>
      </c>
      <c r="G2518" s="11">
        <v>46020</v>
      </c>
    </row>
    <row r="2519" spans="1:7" ht="24.5" hidden="1" x14ac:dyDescent="0.35">
      <c r="A2519" s="8">
        <v>10421</v>
      </c>
      <c r="B2519" s="10" t="s">
        <v>5069</v>
      </c>
      <c r="C2519" s="10" t="s">
        <v>134</v>
      </c>
      <c r="D2519" s="9" t="s">
        <v>21</v>
      </c>
      <c r="E2519" s="9" t="str">
        <f>_xlfn.TEXTAFTER(Condiciones_acumuladas[[#This Row],[Descripción]], " ", -2)</f>
        <v>Oscar Ramirez</v>
      </c>
      <c r="F2519" s="10" t="s">
        <v>2522</v>
      </c>
      <c r="G2519" s="11">
        <v>45992</v>
      </c>
    </row>
    <row r="2520" spans="1:7" ht="24.5" hidden="1" x14ac:dyDescent="0.35">
      <c r="A2520" s="8">
        <v>10428</v>
      </c>
      <c r="B2520" s="10" t="s">
        <v>5070</v>
      </c>
      <c r="C2520" s="10" t="s">
        <v>13</v>
      </c>
      <c r="D2520" s="9" t="s">
        <v>13</v>
      </c>
      <c r="E2520" s="9" t="str">
        <f>_xlfn.TEXTAFTER(Condiciones_acumuladas[[#This Row],[Descripción]], " ", -2)</f>
        <v>Oscar Ramirez</v>
      </c>
      <c r="F2520" s="10" t="s">
        <v>2522</v>
      </c>
      <c r="G2520" s="11">
        <v>45995</v>
      </c>
    </row>
    <row r="2521" spans="1:7" ht="24.5" hidden="1" x14ac:dyDescent="0.35">
      <c r="A2521" s="8">
        <v>10430</v>
      </c>
      <c r="B2521" s="10" t="s">
        <v>5071</v>
      </c>
      <c r="C2521" s="10" t="s">
        <v>21</v>
      </c>
      <c r="D2521" s="9" t="s">
        <v>21</v>
      </c>
      <c r="E2521" s="9" t="str">
        <f>_xlfn.TEXTAFTER(Condiciones_acumuladas[[#This Row],[Descripción]], " ", -2)</f>
        <v>Oscar Ramirez</v>
      </c>
      <c r="F2521" s="10" t="s">
        <v>2522</v>
      </c>
      <c r="G2521" s="11">
        <v>45995</v>
      </c>
    </row>
    <row r="2522" spans="1:7" ht="36.5" hidden="1" x14ac:dyDescent="0.35">
      <c r="A2522" s="8">
        <v>10429</v>
      </c>
      <c r="B2522" s="10" t="s">
        <v>5072</v>
      </c>
      <c r="C2522" s="10" t="s">
        <v>13</v>
      </c>
      <c r="D2522" s="9" t="s">
        <v>13</v>
      </c>
      <c r="E2522" s="9" t="str">
        <f>_xlfn.TEXTAFTER(Condiciones_acumuladas[[#This Row],[Descripción]], " ", -2)</f>
        <v>Oscar Ramirez</v>
      </c>
      <c r="F2522" s="10" t="s">
        <v>2572</v>
      </c>
      <c r="G2522" s="11">
        <v>45995</v>
      </c>
    </row>
    <row r="2523" spans="1:7" ht="36.5" hidden="1" x14ac:dyDescent="0.35">
      <c r="A2523" s="8">
        <v>10605</v>
      </c>
      <c r="B2523" s="10" t="s">
        <v>5073</v>
      </c>
      <c r="C2523" s="10" t="s">
        <v>134</v>
      </c>
      <c r="D2523" s="9" t="s">
        <v>13</v>
      </c>
      <c r="E2523" s="9" t="str">
        <f>_xlfn.TEXTAFTER(Condiciones_acumuladas[[#This Row],[Descripción]], " ", -2)</f>
        <v>Oscar Ramirez</v>
      </c>
      <c r="F2523" s="10" t="s">
        <v>2516</v>
      </c>
      <c r="G2523" s="11">
        <v>46020</v>
      </c>
    </row>
    <row r="2524" spans="1:7" ht="36.5" hidden="1" x14ac:dyDescent="0.35">
      <c r="A2524" s="8">
        <v>10606</v>
      </c>
      <c r="B2524" s="10" t="s">
        <v>5074</v>
      </c>
      <c r="C2524" s="10" t="s">
        <v>21</v>
      </c>
      <c r="D2524" s="9" t="s">
        <v>21</v>
      </c>
      <c r="E2524" s="9" t="str">
        <f>_xlfn.TEXTAFTER(Condiciones_acumuladas[[#This Row],[Descripción]], " ", -2)</f>
        <v>Oscar Ramirez</v>
      </c>
      <c r="F2524" s="10" t="s">
        <v>2516</v>
      </c>
      <c r="G2524" s="11">
        <v>46020</v>
      </c>
    </row>
    <row r="2525" spans="1:7" ht="36.5" hidden="1" x14ac:dyDescent="0.35">
      <c r="A2525" s="8">
        <v>10604</v>
      </c>
      <c r="B2525" s="10" t="s">
        <v>5075</v>
      </c>
      <c r="C2525" s="10" t="s">
        <v>134</v>
      </c>
      <c r="D2525" s="9" t="s">
        <v>21</v>
      </c>
      <c r="E2525" s="9" t="str">
        <f>_xlfn.TEXTAFTER(Condiciones_acumuladas[[#This Row],[Descripción]], " ", -2)</f>
        <v>Oscar Ramirez</v>
      </c>
      <c r="F2525" s="10" t="s">
        <v>2516</v>
      </c>
      <c r="G2525" s="11">
        <v>46020</v>
      </c>
    </row>
    <row r="2526" spans="1:7" ht="36.5" hidden="1" x14ac:dyDescent="0.35">
      <c r="A2526" s="8">
        <v>10474</v>
      </c>
      <c r="B2526" s="10" t="s">
        <v>5076</v>
      </c>
      <c r="C2526" s="10" t="s">
        <v>250</v>
      </c>
      <c r="D2526" s="9" t="s">
        <v>190</v>
      </c>
      <c r="E2526" s="9" t="str">
        <f>_xlfn.TEXTAFTER(Condiciones_acumuladas[[#This Row],[Descripción]], " ", -2)</f>
        <v>Pablo Donis</v>
      </c>
      <c r="F2526" s="10" t="s">
        <v>2516</v>
      </c>
      <c r="G2526" s="11">
        <v>46001</v>
      </c>
    </row>
    <row r="2527" spans="1:7" ht="36.5" hidden="1" x14ac:dyDescent="0.35">
      <c r="A2527" s="8">
        <v>10618</v>
      </c>
      <c r="B2527" s="10" t="s">
        <v>5077</v>
      </c>
      <c r="C2527" s="10" t="s">
        <v>250</v>
      </c>
      <c r="D2527" s="9" t="s">
        <v>250</v>
      </c>
      <c r="E2527" s="9" t="str">
        <f>_xlfn.TEXTAFTER(Condiciones_acumuladas[[#This Row],[Descripción]], " ", -2)</f>
        <v>Pedro Donis</v>
      </c>
      <c r="F2527" s="10" t="s">
        <v>2516</v>
      </c>
      <c r="G2527" s="11">
        <v>46022</v>
      </c>
    </row>
    <row r="2528" spans="1:7" ht="24.5" hidden="1" x14ac:dyDescent="0.35">
      <c r="A2528" s="8">
        <v>10400</v>
      </c>
      <c r="B2528" s="10" t="s">
        <v>5078</v>
      </c>
      <c r="C2528" s="10" t="s">
        <v>196</v>
      </c>
      <c r="D2528" s="9" t="s">
        <v>196</v>
      </c>
      <c r="E2528" s="9" t="str">
        <f>_xlfn.TEXTAFTER(Condiciones_acumuladas[[#This Row],[Descripción]], " ", -2)</f>
        <v>Rebeca Morales</v>
      </c>
      <c r="F2528" s="10" t="s">
        <v>2522</v>
      </c>
      <c r="G2528" s="11">
        <v>45992</v>
      </c>
    </row>
    <row r="2529" spans="1:7" ht="48.5" hidden="1" x14ac:dyDescent="0.35">
      <c r="A2529" s="8">
        <v>10468</v>
      </c>
      <c r="B2529" s="10" t="s">
        <v>5079</v>
      </c>
      <c r="C2529" s="10" t="s">
        <v>220</v>
      </c>
      <c r="D2529" s="9" t="s">
        <v>371</v>
      </c>
      <c r="E2529" s="9" t="str">
        <f>_xlfn.TEXTAFTER(Condiciones_acumuladas[[#This Row],[Descripción]], " ", -2)</f>
        <v>Rodrigo Galindo</v>
      </c>
      <c r="F2529" s="10" t="s">
        <v>2559</v>
      </c>
      <c r="G2529" s="11">
        <v>46000</v>
      </c>
    </row>
    <row r="2530" spans="1:7" ht="36.5" hidden="1" x14ac:dyDescent="0.35">
      <c r="A2530" s="8">
        <v>10567</v>
      </c>
      <c r="B2530" s="10" t="s">
        <v>5080</v>
      </c>
      <c r="C2530" s="10" t="s">
        <v>371</v>
      </c>
      <c r="D2530" s="9" t="s">
        <v>371</v>
      </c>
      <c r="E2530" s="9" t="str">
        <f>_xlfn.TEXTAFTER(Condiciones_acumuladas[[#This Row],[Descripción]], " ", -2)</f>
        <v>Rodrigo Galindo</v>
      </c>
      <c r="F2530" s="10" t="s">
        <v>2516</v>
      </c>
      <c r="G2530" s="11">
        <v>46008</v>
      </c>
    </row>
    <row r="2531" spans="1:7" ht="36.5" hidden="1" x14ac:dyDescent="0.35">
      <c r="A2531" s="8">
        <v>10570</v>
      </c>
      <c r="B2531" s="10" t="s">
        <v>5081</v>
      </c>
      <c r="C2531" s="10" t="s">
        <v>26</v>
      </c>
      <c r="D2531" s="9" t="s">
        <v>371</v>
      </c>
      <c r="E2531" s="9" t="str">
        <f>_xlfn.TEXTAFTER(Condiciones_acumuladas[[#This Row],[Descripción]], " ", -2)</f>
        <v>Rodrigo Galindo</v>
      </c>
      <c r="F2531" s="10" t="s">
        <v>2530</v>
      </c>
      <c r="G2531" s="11">
        <v>46008</v>
      </c>
    </row>
    <row r="2532" spans="1:7" ht="36.5" hidden="1" x14ac:dyDescent="0.35">
      <c r="A2532" s="8">
        <v>10573</v>
      </c>
      <c r="B2532" s="10" t="s">
        <v>5082</v>
      </c>
      <c r="C2532" s="10" t="s">
        <v>134</v>
      </c>
      <c r="D2532" s="9" t="s">
        <v>371</v>
      </c>
      <c r="E2532" s="9" t="str">
        <f>_xlfn.TEXTAFTER(Condiciones_acumuladas[[#This Row],[Descripción]], " ", -2)</f>
        <v>Rodrigo Galindo</v>
      </c>
      <c r="F2532" s="10" t="s">
        <v>2572</v>
      </c>
      <c r="G2532" s="11">
        <v>46008</v>
      </c>
    </row>
    <row r="2533" spans="1:7" ht="36.5" hidden="1" x14ac:dyDescent="0.35">
      <c r="A2533" s="8">
        <v>10571</v>
      </c>
      <c r="B2533" s="10" t="s">
        <v>5083</v>
      </c>
      <c r="C2533" s="10" t="s">
        <v>26</v>
      </c>
      <c r="D2533" s="9" t="s">
        <v>371</v>
      </c>
      <c r="E2533" s="9" t="str">
        <f>_xlfn.TEXTAFTER(Condiciones_acumuladas[[#This Row],[Descripción]], " ", -2)</f>
        <v>Rodrigo Galindo</v>
      </c>
      <c r="F2533" s="10" t="s">
        <v>2516</v>
      </c>
      <c r="G2533" s="11">
        <v>46008</v>
      </c>
    </row>
    <row r="2534" spans="1:7" ht="36.5" hidden="1" x14ac:dyDescent="0.35">
      <c r="A2534" s="8">
        <v>10476</v>
      </c>
      <c r="B2534" s="10" t="s">
        <v>5084</v>
      </c>
      <c r="C2534" s="10" t="s">
        <v>21</v>
      </c>
      <c r="D2534" s="9" t="s">
        <v>371</v>
      </c>
      <c r="E2534" s="9" t="str">
        <f>_xlfn.TEXTAFTER(Condiciones_acumuladas[[#This Row],[Descripción]], " ", -2)</f>
        <v>Ronald Chojolan</v>
      </c>
      <c r="F2534" s="10" t="s">
        <v>2530</v>
      </c>
      <c r="G2534" s="11">
        <v>46001</v>
      </c>
    </row>
    <row r="2535" spans="1:7" ht="36.5" hidden="1" x14ac:dyDescent="0.35">
      <c r="A2535" s="8">
        <v>10548</v>
      </c>
      <c r="B2535" s="10" t="s">
        <v>5085</v>
      </c>
      <c r="C2535" s="10" t="s">
        <v>371</v>
      </c>
      <c r="D2535" s="9" t="s">
        <v>371</v>
      </c>
      <c r="E2535" s="9" t="str">
        <f>_xlfn.TEXTAFTER(Condiciones_acumuladas[[#This Row],[Descripción]], " ", -2)</f>
        <v>Ronald Chojolan</v>
      </c>
      <c r="F2535" s="10" t="s">
        <v>2516</v>
      </c>
      <c r="G2535" s="11">
        <v>46003</v>
      </c>
    </row>
    <row r="2536" spans="1:7" ht="36.5" hidden="1" x14ac:dyDescent="0.35">
      <c r="A2536" s="8">
        <v>10397</v>
      </c>
      <c r="B2536" s="10" t="s">
        <v>5086</v>
      </c>
      <c r="C2536" s="10" t="s">
        <v>26</v>
      </c>
      <c r="D2536" s="9" t="s">
        <v>95</v>
      </c>
      <c r="E2536" s="9" t="str">
        <f>_xlfn.TEXTAFTER(Condiciones_acumuladas[[#This Row],[Descripción]], " ", -2)</f>
        <v>Benedicto Barrios</v>
      </c>
      <c r="F2536" s="10" t="s">
        <v>2540</v>
      </c>
      <c r="G2536" s="11">
        <v>45992</v>
      </c>
    </row>
    <row r="2537" spans="1:7" ht="24.5" hidden="1" x14ac:dyDescent="0.35">
      <c r="A2537" s="8">
        <v>10511</v>
      </c>
      <c r="B2537" s="10" t="s">
        <v>5087</v>
      </c>
      <c r="C2537" s="10" t="s">
        <v>395</v>
      </c>
      <c r="D2537" s="9" t="s">
        <v>95</v>
      </c>
      <c r="E2537" s="9" t="str">
        <f>_xlfn.TEXTAFTER(Condiciones_acumuladas[[#This Row],[Descripción]], " ", -2)</f>
        <v>Vanesa Camey</v>
      </c>
      <c r="F2537" s="10" t="s">
        <v>2834</v>
      </c>
      <c r="G2537" s="11">
        <v>46017</v>
      </c>
    </row>
    <row r="2538" spans="1:7" ht="36.5" hidden="1" x14ac:dyDescent="0.35">
      <c r="A2538" s="8">
        <v>10410</v>
      </c>
      <c r="B2538" s="10" t="s">
        <v>5088</v>
      </c>
      <c r="C2538" s="10" t="s">
        <v>250</v>
      </c>
      <c r="D2538" s="9" t="s">
        <v>395</v>
      </c>
      <c r="E2538" s="9" t="str">
        <f>_xlfn.TEXTAFTER(Condiciones_acumuladas[[#This Row],[Descripción]], " ", -2)</f>
        <v>Yessi Guarcas</v>
      </c>
      <c r="F2538" s="10" t="s">
        <v>2572</v>
      </c>
      <c r="G2538" s="11">
        <v>45992</v>
      </c>
    </row>
    <row r="2539" spans="1:7" ht="36.5" hidden="1" x14ac:dyDescent="0.35">
      <c r="A2539" s="8">
        <v>10407</v>
      </c>
      <c r="B2539" s="10" t="s">
        <v>5089</v>
      </c>
      <c r="C2539" s="10" t="s">
        <v>250</v>
      </c>
      <c r="D2539" s="9" t="s">
        <v>395</v>
      </c>
      <c r="E2539" s="9" t="str">
        <f>_xlfn.TEXTAFTER(Condiciones_acumuladas[[#This Row],[Descripción]], " ", -2)</f>
        <v>Yessi Guarcas</v>
      </c>
      <c r="F2539" s="10" t="s">
        <v>2530</v>
      </c>
      <c r="G2539" s="11">
        <v>45992</v>
      </c>
    </row>
    <row r="2540" spans="1:7" ht="36.5" hidden="1" x14ac:dyDescent="0.35">
      <c r="A2540" s="8">
        <v>10479</v>
      </c>
      <c r="B2540" s="10" t="s">
        <v>5090</v>
      </c>
      <c r="C2540" s="10" t="s">
        <v>104</v>
      </c>
      <c r="D2540" s="9" t="s">
        <v>395</v>
      </c>
      <c r="E2540" s="9" t="str">
        <f>_xlfn.TEXTAFTER(Condiciones_acumuladas[[#This Row],[Descripción]], " ", -2)</f>
        <v>Yessi Guarcas</v>
      </c>
      <c r="F2540" s="10" t="s">
        <v>2530</v>
      </c>
      <c r="G2540" s="11">
        <v>46001</v>
      </c>
    </row>
    <row r="2541" spans="1:7" ht="24.5" hidden="1" x14ac:dyDescent="0.35">
      <c r="A2541" s="8">
        <v>10565</v>
      </c>
      <c r="B2541" s="10" t="s">
        <v>5091</v>
      </c>
      <c r="C2541" s="10" t="s">
        <v>21</v>
      </c>
      <c r="D2541" s="9" t="s">
        <v>395</v>
      </c>
      <c r="E2541" s="9" t="str">
        <f>_xlfn.TEXTAFTER(Condiciones_acumuladas[[#This Row],[Descripción]], " ", -2)</f>
        <v>Yessi Guarcas</v>
      </c>
      <c r="F2541" s="10" t="s">
        <v>2834</v>
      </c>
      <c r="G2541" s="11">
        <v>46007</v>
      </c>
    </row>
    <row r="2542" spans="1:7" ht="24.5" hidden="1" x14ac:dyDescent="0.35">
      <c r="A2542" s="8">
        <v>10566</v>
      </c>
      <c r="B2542" s="10" t="s">
        <v>5092</v>
      </c>
      <c r="C2542" s="10" t="s">
        <v>21</v>
      </c>
      <c r="D2542" s="9" t="s">
        <v>395</v>
      </c>
      <c r="E2542" s="9" t="str">
        <f>_xlfn.TEXTAFTER(Condiciones_acumuladas[[#This Row],[Descripción]], " ", -2)</f>
        <v>Yessi Guarcas</v>
      </c>
      <c r="F2542" s="10" t="s">
        <v>2834</v>
      </c>
      <c r="G2542" s="11">
        <v>46007</v>
      </c>
    </row>
    <row r="2543" spans="1:7" ht="36.5" hidden="1" x14ac:dyDescent="0.35">
      <c r="A2543" s="8">
        <v>10577</v>
      </c>
      <c r="B2543" s="10" t="s">
        <v>5093</v>
      </c>
      <c r="C2543" s="10" t="s">
        <v>21</v>
      </c>
      <c r="D2543" s="9" t="s">
        <v>395</v>
      </c>
      <c r="E2543" s="9" t="str">
        <f>_xlfn.TEXTAFTER(Condiciones_acumuladas[[#This Row],[Descripción]], " ", -2)</f>
        <v>Yessi Guarcas</v>
      </c>
      <c r="F2543" s="10" t="s">
        <v>2715</v>
      </c>
      <c r="G2543" s="11">
        <v>46008</v>
      </c>
    </row>
    <row r="2544" spans="1:7" ht="36.5" hidden="1" x14ac:dyDescent="0.35">
      <c r="A2544" s="8">
        <v>10603</v>
      </c>
      <c r="B2544" s="10" t="s">
        <v>5094</v>
      </c>
      <c r="C2544" s="10" t="s">
        <v>104</v>
      </c>
      <c r="D2544" s="9" t="s">
        <v>104</v>
      </c>
      <c r="E2544" s="9" t="str">
        <f>_xlfn.TEXTAFTER(Condiciones_acumuladas[[#This Row],[Descripción]], " ", -2)</f>
        <v>Obdulio Cap</v>
      </c>
      <c r="F2544" s="10" t="s">
        <v>2516</v>
      </c>
      <c r="G2544" s="11">
        <v>46048</v>
      </c>
    </row>
    <row r="2545" spans="1:7" ht="36.5" hidden="1" x14ac:dyDescent="0.35">
      <c r="A2545" s="8">
        <v>10575</v>
      </c>
      <c r="B2545" s="10" t="s">
        <v>5095</v>
      </c>
      <c r="C2545" s="10" t="s">
        <v>21</v>
      </c>
      <c r="D2545" s="9" t="s">
        <v>395</v>
      </c>
      <c r="E2545" s="9" t="str">
        <f>_xlfn.TEXTAFTER(Condiciones_acumuladas[[#This Row],[Descripción]], " ", -2)</f>
        <v>Yessi Guarcas</v>
      </c>
      <c r="F2545" s="10" t="s">
        <v>2516</v>
      </c>
      <c r="G2545" s="11">
        <v>46008</v>
      </c>
    </row>
    <row r="2546" spans="1:7" ht="36.5" hidden="1" x14ac:dyDescent="0.35">
      <c r="A2546" s="8">
        <v>10595</v>
      </c>
      <c r="B2546" s="10" t="s">
        <v>5096</v>
      </c>
      <c r="C2546" s="10" t="s">
        <v>21</v>
      </c>
      <c r="D2546" s="9" t="s">
        <v>395</v>
      </c>
      <c r="E2546" s="9" t="str">
        <f>_xlfn.TEXTAFTER(Condiciones_acumuladas[[#This Row],[Descripción]], " ", -2)</f>
        <v>Yessi Guarcas</v>
      </c>
      <c r="F2546" s="10" t="s">
        <v>2516</v>
      </c>
      <c r="G2546" s="11">
        <v>46008</v>
      </c>
    </row>
    <row r="2547" spans="1:7" ht="24.5" hidden="1" x14ac:dyDescent="0.35">
      <c r="A2547" s="8">
        <v>10596</v>
      </c>
      <c r="B2547" s="10" t="s">
        <v>5097</v>
      </c>
      <c r="C2547" s="10" t="s">
        <v>96</v>
      </c>
      <c r="D2547" s="9" t="s">
        <v>395</v>
      </c>
      <c r="E2547" s="9" t="str">
        <f>_xlfn.TEXTAFTER(Condiciones_acumuladas[[#This Row],[Descripción]], " ", -2)</f>
        <v>Yessi Guarcas</v>
      </c>
      <c r="F2547" s="10" t="s">
        <v>2834</v>
      </c>
      <c r="G2547" s="11">
        <v>46008</v>
      </c>
    </row>
    <row r="2548" spans="1:7" ht="36.5" hidden="1" x14ac:dyDescent="0.35">
      <c r="A2548" s="8">
        <v>10568</v>
      </c>
      <c r="B2548" s="10" t="s">
        <v>5098</v>
      </c>
      <c r="C2548" s="10" t="s">
        <v>220</v>
      </c>
      <c r="D2548" s="9" t="s">
        <v>371</v>
      </c>
      <c r="E2548" s="9" t="str">
        <f>_xlfn.TEXTAFTER(Condiciones_acumuladas[[#This Row],[Descripción]], " ", -2)</f>
        <v>Yessica Loarca</v>
      </c>
      <c r="F2548" s="10" t="s">
        <v>2516</v>
      </c>
      <c r="G2548" s="11">
        <v>46008</v>
      </c>
    </row>
    <row r="2549" spans="1:7" ht="24.5" hidden="1" x14ac:dyDescent="0.35">
      <c r="A2549" s="8">
        <v>10626</v>
      </c>
      <c r="B2549" s="10" t="s">
        <v>5099</v>
      </c>
      <c r="C2549" s="10" t="s">
        <v>193</v>
      </c>
      <c r="D2549" s="9" t="s">
        <v>234</v>
      </c>
      <c r="E2549" s="9" t="str">
        <f>_xlfn.TEXTAFTER(Condiciones_acumuladas[[#This Row],[Descripción]], " ", -2)</f>
        <v>Eliu Tello</v>
      </c>
      <c r="F2549" s="10" t="s">
        <v>2540</v>
      </c>
      <c r="G2549" s="11">
        <v>46027</v>
      </c>
    </row>
    <row r="2550" spans="1:7" ht="36.5" hidden="1" x14ac:dyDescent="0.35">
      <c r="A2550" s="8">
        <v>10627</v>
      </c>
      <c r="B2550" s="10" t="s">
        <v>5100</v>
      </c>
      <c r="C2550" s="10" t="s">
        <v>190</v>
      </c>
      <c r="D2550" s="9" t="s">
        <v>250</v>
      </c>
      <c r="E2550" s="9" t="str">
        <f>_xlfn.TEXTAFTER(Condiciones_acumuladas[[#This Row],[Descripción]], " ", -2)</f>
        <v>Edson Bonifacio</v>
      </c>
      <c r="F2550" s="10" t="s">
        <v>2516</v>
      </c>
      <c r="G2550" s="11">
        <v>46027</v>
      </c>
    </row>
    <row r="2551" spans="1:7" ht="36.5" hidden="1" x14ac:dyDescent="0.35">
      <c r="A2551" s="8">
        <v>10628</v>
      </c>
      <c r="B2551" s="10" t="s">
        <v>5101</v>
      </c>
      <c r="C2551" s="10" t="s">
        <v>21</v>
      </c>
      <c r="D2551" s="9" t="s">
        <v>250</v>
      </c>
      <c r="E2551" s="9" t="str">
        <f>_xlfn.TEXTAFTER(Condiciones_acumuladas[[#This Row],[Descripción]], " ", -2)</f>
        <v>Edson Bonifacio</v>
      </c>
      <c r="F2551" s="10" t="s">
        <v>2525</v>
      </c>
      <c r="G2551" s="11">
        <v>46027</v>
      </c>
    </row>
    <row r="2552" spans="1:7" ht="48.5" hidden="1" x14ac:dyDescent="0.35">
      <c r="A2552" s="8">
        <v>10629</v>
      </c>
      <c r="B2552" s="10" t="s">
        <v>5102</v>
      </c>
      <c r="C2552" s="10" t="s">
        <v>193</v>
      </c>
      <c r="D2552" s="9" t="s">
        <v>190</v>
      </c>
      <c r="E2552" s="9" t="str">
        <f>_xlfn.TEXTAFTER(Condiciones_acumuladas[[#This Row],[Descripción]], " ", -2)</f>
        <v>Pablo Donis</v>
      </c>
      <c r="F2552" s="10" t="s">
        <v>2525</v>
      </c>
      <c r="G2552" s="11">
        <v>46027</v>
      </c>
    </row>
    <row r="2553" spans="1:7" ht="24.5" hidden="1" x14ac:dyDescent="0.35">
      <c r="A2553" s="8">
        <v>10622</v>
      </c>
      <c r="B2553" s="10" t="s">
        <v>5103</v>
      </c>
      <c r="C2553" s="10" t="s">
        <v>278</v>
      </c>
      <c r="D2553" s="9" t="s">
        <v>278</v>
      </c>
      <c r="E2553" s="9" t="str">
        <f>_xlfn.TEXTAFTER(Condiciones_acumuladas[[#This Row],[Descripción]], " ", -2)</f>
        <v>jason Calderón</v>
      </c>
      <c r="F2553" s="10" t="s">
        <v>2522</v>
      </c>
      <c r="G2553" s="11">
        <v>46025</v>
      </c>
    </row>
    <row r="2554" spans="1:7" ht="24.5" hidden="1" x14ac:dyDescent="0.35">
      <c r="A2554" s="8">
        <v>10634</v>
      </c>
      <c r="B2554" s="10" t="s">
        <v>5104</v>
      </c>
      <c r="C2554" s="10" t="s">
        <v>104</v>
      </c>
      <c r="D2554" s="9" t="s">
        <v>95</v>
      </c>
      <c r="E2554" s="9" t="str">
        <f>_xlfn.TEXTAFTER(Condiciones_acumuladas[[#This Row],[Descripción]], " ", -2)</f>
        <v>Leidy Camey</v>
      </c>
      <c r="F2554" s="10" t="s">
        <v>2834</v>
      </c>
      <c r="G2554" s="11">
        <v>46027</v>
      </c>
    </row>
    <row r="2555" spans="1:7" ht="48.5" hidden="1" x14ac:dyDescent="0.35">
      <c r="A2555" s="8">
        <v>10636</v>
      </c>
      <c r="B2555" s="10" t="s">
        <v>5105</v>
      </c>
      <c r="C2555" s="10" t="s">
        <v>227</v>
      </c>
      <c r="D2555" s="9" t="s">
        <v>371</v>
      </c>
      <c r="E2555" s="9" t="str">
        <f>_xlfn.TEXTAFTER(Condiciones_acumuladas[[#This Row],[Descripción]], " ", -2)</f>
        <v>Jessica Loarca</v>
      </c>
      <c r="F2555" s="10" t="s">
        <v>2559</v>
      </c>
      <c r="G2555" s="11">
        <v>46028</v>
      </c>
    </row>
    <row r="2556" spans="1:7" ht="36.5" hidden="1" x14ac:dyDescent="0.35">
      <c r="A2556" s="8">
        <v>10638</v>
      </c>
      <c r="B2556" s="10" t="s">
        <v>5106</v>
      </c>
      <c r="C2556" s="10" t="s">
        <v>104</v>
      </c>
      <c r="D2556" s="9" t="s">
        <v>104</v>
      </c>
      <c r="E2556" s="9" t="str">
        <f>_xlfn.TEXTAFTER(Condiciones_acumuladas[[#This Row],[Descripción]], " ", -2)</f>
        <v>Alfonso Guatzin</v>
      </c>
      <c r="F2556" s="10" t="s">
        <v>2516</v>
      </c>
      <c r="G2556" s="11">
        <v>46027</v>
      </c>
    </row>
    <row r="2557" spans="1:7" ht="36.5" hidden="1" x14ac:dyDescent="0.35">
      <c r="A2557" s="8">
        <v>10645</v>
      </c>
      <c r="B2557" s="10" t="s">
        <v>5107</v>
      </c>
      <c r="C2557" s="10" t="s">
        <v>34</v>
      </c>
      <c r="D2557" s="9" t="s">
        <v>220</v>
      </c>
      <c r="E2557" s="9" t="str">
        <f>_xlfn.TEXTAFTER(Condiciones_acumuladas[[#This Row],[Descripción]], " ", -2)</f>
        <v>Elvis Oliva</v>
      </c>
      <c r="F2557" s="10" t="s">
        <v>2516</v>
      </c>
      <c r="G2557" s="11">
        <v>46029</v>
      </c>
    </row>
    <row r="2558" spans="1:7" ht="24.5" hidden="1" x14ac:dyDescent="0.35">
      <c r="A2558" s="8">
        <v>10632</v>
      </c>
      <c r="B2558" s="10" t="s">
        <v>5108</v>
      </c>
      <c r="C2558" s="10" t="s">
        <v>96</v>
      </c>
      <c r="D2558" s="9" t="s">
        <v>96</v>
      </c>
      <c r="E2558" s="9" t="str">
        <f>_xlfn.TEXTAFTER(Condiciones_acumuladas[[#This Row],[Descripción]], " ", -2)</f>
        <v>Bladimir Lopez</v>
      </c>
      <c r="F2558" s="10" t="s">
        <v>2537</v>
      </c>
      <c r="G2558" s="11">
        <v>46027</v>
      </c>
    </row>
    <row r="2559" spans="1:7" ht="36.5" hidden="1" x14ac:dyDescent="0.35">
      <c r="A2559" s="8">
        <v>10631</v>
      </c>
      <c r="B2559" s="10" t="s">
        <v>5109</v>
      </c>
      <c r="C2559" s="10" t="s">
        <v>21</v>
      </c>
      <c r="D2559" s="9" t="s">
        <v>21</v>
      </c>
      <c r="E2559" s="9" t="str">
        <f>_xlfn.TEXTAFTER(Condiciones_acumuladas[[#This Row],[Descripción]], " ", -2)</f>
        <v>Oscar Cua</v>
      </c>
      <c r="F2559" s="10" t="s">
        <v>2530</v>
      </c>
      <c r="G2559" s="11">
        <v>46027</v>
      </c>
    </row>
    <row r="2560" spans="1:7" ht="36.5" hidden="1" x14ac:dyDescent="0.35">
      <c r="A2560" s="8">
        <v>10656</v>
      </c>
      <c r="B2560" s="10" t="s">
        <v>5110</v>
      </c>
      <c r="C2560" s="10" t="s">
        <v>196</v>
      </c>
      <c r="D2560" s="9" t="s">
        <v>134</v>
      </c>
      <c r="E2560" s="9" t="str">
        <f>_xlfn.TEXTAFTER(Condiciones_acumuladas[[#This Row],[Descripción]], " ", -2)</f>
        <v>Roger Rivas</v>
      </c>
      <c r="F2560" s="10" t="s">
        <v>2530</v>
      </c>
      <c r="G2560" s="11">
        <v>46029</v>
      </c>
    </row>
    <row r="2561" spans="1:7" ht="36.5" hidden="1" x14ac:dyDescent="0.35">
      <c r="A2561" s="8">
        <v>10655</v>
      </c>
      <c r="B2561" s="10" t="s">
        <v>5111</v>
      </c>
      <c r="C2561" s="10" t="s">
        <v>21</v>
      </c>
      <c r="D2561" s="9" t="s">
        <v>395</v>
      </c>
      <c r="E2561" s="9" t="str">
        <f>_xlfn.TEXTAFTER(Condiciones_acumuladas[[#This Row],[Descripción]], " ", -2)</f>
        <v>Antony Ramos</v>
      </c>
      <c r="F2561" s="10" t="s">
        <v>2525</v>
      </c>
      <c r="G2561" s="11">
        <v>46029</v>
      </c>
    </row>
    <row r="2562" spans="1:7" ht="48.5" hidden="1" x14ac:dyDescent="0.35">
      <c r="A2562" s="8">
        <v>10653</v>
      </c>
      <c r="B2562" s="10" t="s">
        <v>5112</v>
      </c>
      <c r="C2562" s="10" t="s">
        <v>21</v>
      </c>
      <c r="D2562" s="9" t="s">
        <v>395</v>
      </c>
      <c r="E2562" s="9" t="str">
        <f>_xlfn.TEXTAFTER(Condiciones_acumuladas[[#This Row],[Descripción]], " ", -2)</f>
        <v>Antony Ramos</v>
      </c>
      <c r="F2562" s="10" t="s">
        <v>2530</v>
      </c>
      <c r="G2562" s="11">
        <v>46029</v>
      </c>
    </row>
    <row r="2563" spans="1:7" ht="24.5" hidden="1" x14ac:dyDescent="0.35">
      <c r="A2563" s="8">
        <v>10654</v>
      </c>
      <c r="B2563" s="10" t="s">
        <v>5113</v>
      </c>
      <c r="C2563" s="10" t="s">
        <v>134</v>
      </c>
      <c r="D2563" s="9" t="s">
        <v>134</v>
      </c>
      <c r="E2563" s="9" t="str">
        <f>_xlfn.TEXTAFTER(Condiciones_acumuladas[[#This Row],[Descripción]], " ", -2)</f>
        <v>Jaime Chilel</v>
      </c>
      <c r="F2563" s="10" t="s">
        <v>2522</v>
      </c>
      <c r="G2563" s="11">
        <v>46029</v>
      </c>
    </row>
    <row r="2564" spans="1:7" ht="36.5" hidden="1" x14ac:dyDescent="0.35">
      <c r="A2564" s="8">
        <v>10652</v>
      </c>
      <c r="B2564" s="10" t="s">
        <v>5114</v>
      </c>
      <c r="C2564" s="10" t="s">
        <v>250</v>
      </c>
      <c r="D2564" s="9" t="s">
        <v>395</v>
      </c>
      <c r="E2564" s="9" t="str">
        <f>_xlfn.TEXTAFTER(Condiciones_acumuladas[[#This Row],[Descripción]], " ", -2)</f>
        <v>Yessi Guarcas</v>
      </c>
      <c r="F2564" s="10" t="s">
        <v>2525</v>
      </c>
      <c r="G2564" s="11">
        <v>46029</v>
      </c>
    </row>
    <row r="2565" spans="1:7" ht="24.5" hidden="1" x14ac:dyDescent="0.35">
      <c r="A2565" s="8">
        <v>10651</v>
      </c>
      <c r="B2565" s="10" t="s">
        <v>5115</v>
      </c>
      <c r="C2565" s="10" t="s">
        <v>134</v>
      </c>
      <c r="D2565" s="9" t="s">
        <v>134</v>
      </c>
      <c r="E2565" s="9" t="str">
        <f>_xlfn.TEXTAFTER(Condiciones_acumuladas[[#This Row],[Descripción]], " ", -2)</f>
        <v>Jaime Chilel</v>
      </c>
      <c r="F2565" s="10" t="s">
        <v>2522</v>
      </c>
      <c r="G2565" s="11">
        <v>46029</v>
      </c>
    </row>
    <row r="2566" spans="1:7" ht="24.5" hidden="1" x14ac:dyDescent="0.35">
      <c r="A2566" s="8">
        <v>10650</v>
      </c>
      <c r="B2566" s="10" t="s">
        <v>5116</v>
      </c>
      <c r="C2566" s="10" t="s">
        <v>96</v>
      </c>
      <c r="D2566" s="9" t="s">
        <v>96</v>
      </c>
      <c r="E2566" s="9" t="str">
        <f>_xlfn.TEXTAFTER(Condiciones_acumuladas[[#This Row],[Descripción]], " ", -2)</f>
        <v>Wilber Lopez</v>
      </c>
      <c r="F2566" s="10" t="s">
        <v>2537</v>
      </c>
      <c r="G2566" s="11">
        <v>46029</v>
      </c>
    </row>
    <row r="2567" spans="1:7" ht="24.5" hidden="1" x14ac:dyDescent="0.35">
      <c r="A2567" s="8">
        <v>10649</v>
      </c>
      <c r="B2567" s="10" t="s">
        <v>5117</v>
      </c>
      <c r="C2567" s="10" t="s">
        <v>34</v>
      </c>
      <c r="D2567" s="9" t="s">
        <v>220</v>
      </c>
      <c r="E2567" s="9" t="str">
        <f>_xlfn.TEXTAFTER(Condiciones_acumuladas[[#This Row],[Descripción]], " ", -2)</f>
        <v>Elvis Oliva</v>
      </c>
      <c r="F2567" s="10" t="s">
        <v>2540</v>
      </c>
      <c r="G2567" s="11">
        <v>46029</v>
      </c>
    </row>
    <row r="2568" spans="1:7" ht="24.5" hidden="1" x14ac:dyDescent="0.35">
      <c r="A2568" s="8">
        <v>10648</v>
      </c>
      <c r="B2568" s="10" t="s">
        <v>5118</v>
      </c>
      <c r="C2568" s="10" t="s">
        <v>190</v>
      </c>
      <c r="D2568" s="9" t="s">
        <v>134</v>
      </c>
      <c r="E2568" s="9" t="str">
        <f>_xlfn.TEXTAFTER(Condiciones_acumuladas[[#This Row],[Descripción]], " ", -2)</f>
        <v>Roger Rivas</v>
      </c>
      <c r="F2568" s="10" t="s">
        <v>2522</v>
      </c>
      <c r="G2568" s="11">
        <v>46029</v>
      </c>
    </row>
    <row r="2569" spans="1:7" ht="36.5" hidden="1" x14ac:dyDescent="0.35">
      <c r="A2569" s="8">
        <v>10647</v>
      </c>
      <c r="B2569" s="10" t="s">
        <v>5119</v>
      </c>
      <c r="C2569" s="10" t="s">
        <v>190</v>
      </c>
      <c r="D2569" s="9" t="s">
        <v>395</v>
      </c>
      <c r="E2569" s="9" t="s">
        <v>1037</v>
      </c>
      <c r="F2569" s="10" t="s">
        <v>2530</v>
      </c>
      <c r="G2569" s="11">
        <v>46029</v>
      </c>
    </row>
    <row r="2570" spans="1:7" ht="36.5" hidden="1" x14ac:dyDescent="0.35">
      <c r="A2570" s="8">
        <v>10646</v>
      </c>
      <c r="B2570" s="10" t="s">
        <v>5120</v>
      </c>
      <c r="C2570" s="10" t="s">
        <v>190</v>
      </c>
      <c r="D2570" s="9" t="s">
        <v>21</v>
      </c>
      <c r="E2570" s="9" t="str">
        <f>_xlfn.TEXTAFTER(Condiciones_acumuladas[[#This Row],[Descripción]], " ", -2)</f>
        <v>Oscar Cua</v>
      </c>
      <c r="F2570" s="10" t="s">
        <v>2516</v>
      </c>
      <c r="G2570" s="11">
        <v>46029</v>
      </c>
    </row>
    <row r="2571" spans="1:7" ht="24.5" hidden="1" x14ac:dyDescent="0.35">
      <c r="A2571" s="8">
        <v>10644</v>
      </c>
      <c r="B2571" s="10" t="s">
        <v>5121</v>
      </c>
      <c r="C2571" s="10" t="s">
        <v>250</v>
      </c>
      <c r="D2571" s="9" t="s">
        <v>395</v>
      </c>
      <c r="E2571" s="9" t="str">
        <f>_xlfn.TEXTAFTER(Condiciones_acumuladas[[#This Row],[Descripción]], " ", -2)</f>
        <v>Yessi Guarcas</v>
      </c>
      <c r="F2571" s="10" t="s">
        <v>2540</v>
      </c>
      <c r="G2571" s="11">
        <v>46029</v>
      </c>
    </row>
    <row r="2572" spans="1:7" ht="36.5" hidden="1" x14ac:dyDescent="0.35">
      <c r="A2572" s="8">
        <v>10642</v>
      </c>
      <c r="B2572" s="10" t="s">
        <v>5122</v>
      </c>
      <c r="C2572" s="10" t="s">
        <v>13</v>
      </c>
      <c r="D2572" s="9" t="s">
        <v>395</v>
      </c>
      <c r="E2572" s="9" t="s">
        <v>1037</v>
      </c>
      <c r="F2572" s="10" t="s">
        <v>2530</v>
      </c>
      <c r="G2572" s="11">
        <v>46029</v>
      </c>
    </row>
    <row r="2573" spans="1:7" ht="24.5" hidden="1" x14ac:dyDescent="0.35">
      <c r="A2573" s="8">
        <v>10643</v>
      </c>
      <c r="B2573" s="10" t="s">
        <v>5123</v>
      </c>
      <c r="C2573" s="10" t="s">
        <v>96</v>
      </c>
      <c r="D2573" s="9" t="s">
        <v>21</v>
      </c>
      <c r="E2573" s="9" t="str">
        <f>_xlfn.TEXTAFTER(Condiciones_acumuladas[[#This Row],[Descripción]], " ", -2)</f>
        <v>Wilber Lopez</v>
      </c>
      <c r="F2573" s="10" t="s">
        <v>2522</v>
      </c>
      <c r="G2573" s="11">
        <v>46029</v>
      </c>
    </row>
    <row r="2574" spans="1:7" ht="36.5" hidden="1" x14ac:dyDescent="0.35">
      <c r="A2574" s="8">
        <v>10641</v>
      </c>
      <c r="B2574" s="10" t="s">
        <v>5124</v>
      </c>
      <c r="C2574" s="10" t="s">
        <v>34</v>
      </c>
      <c r="D2574" s="9" t="s">
        <v>220</v>
      </c>
      <c r="E2574" s="9" t="str">
        <f>_xlfn.TEXTAFTER(Condiciones_acumuladas[[#This Row],[Descripción]], " ", -2)</f>
        <v>Carlos Chavez</v>
      </c>
      <c r="F2574" s="10" t="s">
        <v>2525</v>
      </c>
      <c r="G2574" s="11">
        <v>46029</v>
      </c>
    </row>
    <row r="2575" spans="1:7" ht="48.5" hidden="1" x14ac:dyDescent="0.35">
      <c r="A2575" s="8">
        <v>10640</v>
      </c>
      <c r="B2575" s="10" t="s">
        <v>5125</v>
      </c>
      <c r="C2575" s="10" t="s">
        <v>220</v>
      </c>
      <c r="D2575" s="9" t="s">
        <v>220</v>
      </c>
      <c r="E2575" s="9" t="str">
        <f>_xlfn.TEXTAFTER(Condiciones_acumuladas[[#This Row],[Descripción]], " ", -2)</f>
        <v>Carlos Chavez</v>
      </c>
      <c r="F2575" s="10" t="s">
        <v>2559</v>
      </c>
      <c r="G2575" s="11">
        <v>46029</v>
      </c>
    </row>
    <row r="2576" spans="1:7" ht="36.5" hidden="1" x14ac:dyDescent="0.35">
      <c r="A2576" s="8">
        <v>10639</v>
      </c>
      <c r="B2576" s="10" t="s">
        <v>5126</v>
      </c>
      <c r="C2576" s="10" t="s">
        <v>21</v>
      </c>
      <c r="D2576" s="9" t="s">
        <v>395</v>
      </c>
      <c r="E2576" s="9" t="str">
        <f>_xlfn.TEXTAFTER(Condiciones_acumuladas[[#This Row],[Descripción]], " ", -2)</f>
        <v>Antony Ramos</v>
      </c>
      <c r="F2576" s="10" t="s">
        <v>2530</v>
      </c>
      <c r="G2576" s="11">
        <v>46029</v>
      </c>
    </row>
    <row r="2577" spans="1:7" ht="24.5" hidden="1" x14ac:dyDescent="0.35">
      <c r="A2577" s="8">
        <v>10637</v>
      </c>
      <c r="B2577" s="10" t="s">
        <v>5127</v>
      </c>
      <c r="C2577" s="10" t="s">
        <v>278</v>
      </c>
      <c r="D2577" s="9" t="s">
        <v>21</v>
      </c>
      <c r="E2577" s="9" t="str">
        <f>_xlfn.TEXTAFTER(Condiciones_acumuladas[[#This Row],[Descripción]], " ", -2)</f>
        <v>Oscar Cua</v>
      </c>
      <c r="F2577" s="10" t="s">
        <v>2834</v>
      </c>
      <c r="G2577" s="11">
        <v>46029</v>
      </c>
    </row>
    <row r="2578" spans="1:7" ht="24.5" hidden="1" x14ac:dyDescent="0.35">
      <c r="A2578" s="8">
        <v>10633</v>
      </c>
      <c r="B2578" s="10" t="s">
        <v>5128</v>
      </c>
      <c r="C2578" s="10" t="s">
        <v>96</v>
      </c>
      <c r="D2578" s="9" t="s">
        <v>96</v>
      </c>
      <c r="E2578" s="9" t="str">
        <f>_xlfn.TEXTAFTER(Condiciones_acumuladas[[#This Row],[Descripción]], " ", -2)</f>
        <v>Bladimir Lopez</v>
      </c>
      <c r="F2578" s="10" t="s">
        <v>2537</v>
      </c>
      <c r="G2578" s="11">
        <v>46028</v>
      </c>
    </row>
    <row r="2579" spans="1:7" ht="36.5" hidden="1" x14ac:dyDescent="0.35">
      <c r="A2579" s="8">
        <v>10635</v>
      </c>
      <c r="B2579" s="10" t="s">
        <v>5129</v>
      </c>
      <c r="C2579" s="10" t="s">
        <v>96</v>
      </c>
      <c r="D2579" s="9" t="s">
        <v>250</v>
      </c>
      <c r="E2579" s="9" t="str">
        <f>_xlfn.TEXTAFTER(Condiciones_acumuladas[[#This Row],[Descripción]], " ", -2)</f>
        <v>Edson Bonifacio</v>
      </c>
      <c r="F2579" s="10" t="s">
        <v>2525</v>
      </c>
      <c r="G2579" s="11">
        <v>46028</v>
      </c>
    </row>
    <row r="2580" spans="1:7" ht="48.5" hidden="1" x14ac:dyDescent="0.35">
      <c r="A2580" s="8">
        <v>10666</v>
      </c>
      <c r="B2580" s="10" t="s">
        <v>5130</v>
      </c>
      <c r="C2580" s="10" t="s">
        <v>220</v>
      </c>
      <c r="D2580" s="9" t="s">
        <v>395</v>
      </c>
      <c r="E2580" s="9"/>
      <c r="F2580" s="10" t="s">
        <v>2559</v>
      </c>
      <c r="G2580" s="11">
        <v>46029</v>
      </c>
    </row>
    <row r="2581" spans="1:7" ht="36.5" hidden="1" x14ac:dyDescent="0.35">
      <c r="A2581" s="8">
        <v>10665</v>
      </c>
      <c r="B2581" s="10" t="s">
        <v>5131</v>
      </c>
      <c r="C2581" s="10" t="s">
        <v>96</v>
      </c>
      <c r="D2581" s="9" t="s">
        <v>96</v>
      </c>
      <c r="E2581" s="9" t="s">
        <v>5132</v>
      </c>
      <c r="F2581" s="10" t="s">
        <v>2516</v>
      </c>
      <c r="G2581" s="11">
        <v>46029</v>
      </c>
    </row>
    <row r="2582" spans="1:7" ht="36.5" hidden="1" x14ac:dyDescent="0.35">
      <c r="A2582" s="8">
        <v>10664</v>
      </c>
      <c r="B2582" s="10" t="s">
        <v>5133</v>
      </c>
      <c r="C2582" s="10" t="s">
        <v>205</v>
      </c>
      <c r="D2582" s="9" t="s">
        <v>220</v>
      </c>
      <c r="E2582" s="9" t="str">
        <f>_xlfn.TEXTAFTER(Condiciones_acumuladas[[#This Row],[Descripción]], " ", -2)</f>
        <v>Carlos Chavez</v>
      </c>
      <c r="F2582" s="10" t="s">
        <v>2516</v>
      </c>
      <c r="G2582" s="11">
        <v>46029</v>
      </c>
    </row>
    <row r="2583" spans="1:7" ht="36.5" hidden="1" x14ac:dyDescent="0.35">
      <c r="A2583" s="8">
        <v>10663</v>
      </c>
      <c r="B2583" s="10" t="s">
        <v>5134</v>
      </c>
      <c r="C2583" s="10" t="s">
        <v>250</v>
      </c>
      <c r="D2583" s="9" t="s">
        <v>250</v>
      </c>
      <c r="E2583" s="9" t="str">
        <f>_xlfn.TEXTAFTER(Condiciones_acumuladas[[#This Row],[Descripción]], " ", -2)</f>
        <v>Edson Bonifacio</v>
      </c>
      <c r="F2583" s="10" t="s">
        <v>2516</v>
      </c>
      <c r="G2583" s="11">
        <v>46029</v>
      </c>
    </row>
    <row r="2584" spans="1:7" ht="36.5" hidden="1" x14ac:dyDescent="0.35">
      <c r="A2584" s="8">
        <v>10662</v>
      </c>
      <c r="B2584" s="10" t="s">
        <v>5135</v>
      </c>
      <c r="C2584" s="10" t="s">
        <v>96</v>
      </c>
      <c r="D2584" s="9" t="s">
        <v>96</v>
      </c>
      <c r="E2584" s="9"/>
      <c r="F2584" s="10" t="s">
        <v>2516</v>
      </c>
      <c r="G2584" s="11">
        <v>46029</v>
      </c>
    </row>
    <row r="2585" spans="1:7" ht="24.5" hidden="1" x14ac:dyDescent="0.35">
      <c r="A2585" s="8">
        <v>10661</v>
      </c>
      <c r="B2585" s="10" t="s">
        <v>5136</v>
      </c>
      <c r="C2585" s="10" t="s">
        <v>21</v>
      </c>
      <c r="D2585" s="9" t="s">
        <v>134</v>
      </c>
      <c r="E2585" s="9" t="str">
        <f>_xlfn.TEXTAFTER(Condiciones_acumuladas[[#This Row],[Descripción]], " ", -2)</f>
        <v>Roger Rivas</v>
      </c>
      <c r="F2585" s="10" t="s">
        <v>2522</v>
      </c>
      <c r="G2585" s="11">
        <v>46029</v>
      </c>
    </row>
    <row r="2586" spans="1:7" ht="36.5" hidden="1" x14ac:dyDescent="0.35">
      <c r="A2586" s="8">
        <v>10660</v>
      </c>
      <c r="B2586" s="10" t="s">
        <v>5137</v>
      </c>
      <c r="C2586" s="10" t="s">
        <v>104</v>
      </c>
      <c r="D2586" s="9" t="s">
        <v>95</v>
      </c>
      <c r="E2586" s="9" t="str">
        <f>_xlfn.TEXTAFTER(Condiciones_acumuladas[[#This Row],[Descripción]], " ", -2)</f>
        <v>Alejandro Martinez</v>
      </c>
      <c r="F2586" s="10" t="s">
        <v>2516</v>
      </c>
      <c r="G2586" s="11">
        <v>46029</v>
      </c>
    </row>
    <row r="2587" spans="1:7" ht="24.5" hidden="1" x14ac:dyDescent="0.35">
      <c r="A2587" s="8">
        <v>10659</v>
      </c>
      <c r="B2587" s="10" t="s">
        <v>5138</v>
      </c>
      <c r="C2587" s="10" t="s">
        <v>104</v>
      </c>
      <c r="D2587" s="9" t="s">
        <v>95</v>
      </c>
      <c r="E2587" s="9" t="str">
        <f>_xlfn.TEXTAFTER(Condiciones_acumuladas[[#This Row],[Descripción]], " ", -2)</f>
        <v>Alejandro Martinez</v>
      </c>
      <c r="F2587" s="10" t="s">
        <v>2540</v>
      </c>
      <c r="G2587" s="11">
        <v>46029</v>
      </c>
    </row>
    <row r="2588" spans="1:7" ht="36.5" hidden="1" x14ac:dyDescent="0.35">
      <c r="A2588" s="8">
        <v>10658</v>
      </c>
      <c r="B2588" s="10" t="s">
        <v>5139</v>
      </c>
      <c r="C2588" s="10" t="s">
        <v>96</v>
      </c>
      <c r="D2588" s="9" t="s">
        <v>96</v>
      </c>
      <c r="E2588" s="9" t="str">
        <f>_xlfn.TEXTAFTER(Condiciones_acumuladas[[#This Row],[Descripción]], " ", -2)</f>
        <v>Wilber Lopez</v>
      </c>
      <c r="F2588" s="10" t="s">
        <v>2516</v>
      </c>
      <c r="G2588" s="11">
        <v>46029</v>
      </c>
    </row>
    <row r="2589" spans="1:7" ht="36.5" hidden="1" x14ac:dyDescent="0.35">
      <c r="A2589" s="8">
        <v>10657</v>
      </c>
      <c r="B2589" s="10" t="s">
        <v>5140</v>
      </c>
      <c r="C2589" s="10" t="s">
        <v>134</v>
      </c>
      <c r="D2589" s="9" t="s">
        <v>134</v>
      </c>
      <c r="E2589" s="9" t="str">
        <f>_xlfn.TEXTAFTER(Condiciones_acumuladas[[#This Row],[Descripción]], " ", -2)</f>
        <v>Jaime Chilel</v>
      </c>
      <c r="F2589" s="10" t="s">
        <v>2516</v>
      </c>
      <c r="G2589" s="11">
        <v>46029</v>
      </c>
    </row>
    <row r="2590" spans="1:7" ht="48.5" hidden="1" x14ac:dyDescent="0.35">
      <c r="A2590" s="8">
        <v>10667</v>
      </c>
      <c r="B2590" s="10" t="s">
        <v>5141</v>
      </c>
      <c r="C2590" s="10" t="s">
        <v>220</v>
      </c>
      <c r="D2590" s="9" t="s">
        <v>95</v>
      </c>
      <c r="E2590" s="9" t="str">
        <f>_xlfn.TEXTAFTER(Condiciones_acumuladas[[#This Row],[Descripción]], " ", -2)</f>
        <v>Hellen Consuelo</v>
      </c>
      <c r="F2590" s="10" t="s">
        <v>2559</v>
      </c>
      <c r="G2590" s="11">
        <v>46030</v>
      </c>
    </row>
    <row r="2591" spans="1:7" ht="36.5" hidden="1" x14ac:dyDescent="0.35">
      <c r="A2591" s="8">
        <v>10678</v>
      </c>
      <c r="B2591" s="10" t="s">
        <v>5142</v>
      </c>
      <c r="C2591" s="10" t="s">
        <v>395</v>
      </c>
      <c r="D2591" s="9" t="s">
        <v>395</v>
      </c>
      <c r="E2591" s="9" t="str">
        <f>_xlfn.TEXTAFTER(Condiciones_acumuladas[[#This Row],[Descripción]], " ", -2)</f>
        <v>Josué Vásquez</v>
      </c>
      <c r="F2591" s="10" t="s">
        <v>2522</v>
      </c>
      <c r="G2591" s="11">
        <v>46023</v>
      </c>
    </row>
    <row r="2592" spans="1:7" ht="36.5" hidden="1" x14ac:dyDescent="0.35">
      <c r="A2592" s="8">
        <v>10672</v>
      </c>
      <c r="B2592" s="10" t="s">
        <v>5143</v>
      </c>
      <c r="C2592" s="10" t="s">
        <v>134</v>
      </c>
      <c r="D2592" s="9" t="s">
        <v>395</v>
      </c>
      <c r="E2592" s="9" t="str">
        <f>_xlfn.TEXTAFTER(Condiciones_acumuladas[[#This Row],[Descripción]], " ", -2)</f>
        <v>Josué Vásquez</v>
      </c>
      <c r="F2592" s="10" t="s">
        <v>2516</v>
      </c>
      <c r="G2592" s="11">
        <v>46023</v>
      </c>
    </row>
    <row r="2593" spans="1:7" ht="48.5" hidden="1" x14ac:dyDescent="0.35">
      <c r="A2593" s="8">
        <v>10670</v>
      </c>
      <c r="B2593" s="10" t="s">
        <v>5144</v>
      </c>
      <c r="C2593" s="10" t="s">
        <v>395</v>
      </c>
      <c r="D2593" s="9" t="s">
        <v>395</v>
      </c>
      <c r="E2593" s="9" t="str">
        <f>_xlfn.TEXTAFTER(Condiciones_acumuladas[[#This Row],[Descripción]], " ", -2)</f>
        <v>Josué Vásquez</v>
      </c>
      <c r="F2593" s="10" t="s">
        <v>2516</v>
      </c>
      <c r="G2593" s="11">
        <v>46023</v>
      </c>
    </row>
    <row r="2594" spans="1:7" ht="36.5" hidden="1" x14ac:dyDescent="0.35">
      <c r="A2594" s="8">
        <v>10676</v>
      </c>
      <c r="B2594" s="10" t="s">
        <v>5145</v>
      </c>
      <c r="C2594" s="10" t="s">
        <v>395</v>
      </c>
      <c r="D2594" s="9" t="s">
        <v>395</v>
      </c>
      <c r="E2594" s="9" t="str">
        <f>_xlfn.TEXTAFTER(Condiciones_acumuladas[[#This Row],[Descripción]], " ", -2)</f>
        <v>Josué Vásquez</v>
      </c>
      <c r="F2594" s="10" t="s">
        <v>2516</v>
      </c>
      <c r="G2594" s="11">
        <v>46023</v>
      </c>
    </row>
    <row r="2595" spans="1:7" ht="36.5" hidden="1" x14ac:dyDescent="0.35">
      <c r="A2595" s="8">
        <v>10677</v>
      </c>
      <c r="B2595" s="10" t="s">
        <v>5146</v>
      </c>
      <c r="C2595" s="10" t="s">
        <v>395</v>
      </c>
      <c r="D2595" s="9" t="s">
        <v>395</v>
      </c>
      <c r="E2595" s="9" t="str">
        <f>_xlfn.TEXTAFTER(Condiciones_acumuladas[[#This Row],[Descripción]], " ", -2)</f>
        <v>Josué Vásquez</v>
      </c>
      <c r="F2595" s="10" t="s">
        <v>2516</v>
      </c>
      <c r="G2595" s="11">
        <v>46023</v>
      </c>
    </row>
    <row r="2596" spans="1:7" ht="36.5" hidden="1" x14ac:dyDescent="0.35">
      <c r="A2596" s="8">
        <v>10671</v>
      </c>
      <c r="B2596" s="10" t="s">
        <v>5147</v>
      </c>
      <c r="C2596" s="10" t="s">
        <v>395</v>
      </c>
      <c r="D2596" s="9" t="s">
        <v>395</v>
      </c>
      <c r="E2596" s="9" t="str">
        <f>_xlfn.TEXTAFTER(Condiciones_acumuladas[[#This Row],[Descripción]], " ", -2)</f>
        <v>Josué Vásquez</v>
      </c>
      <c r="F2596" s="10" t="s">
        <v>2516</v>
      </c>
      <c r="G2596" s="11">
        <v>46023</v>
      </c>
    </row>
    <row r="2597" spans="1:7" ht="36.5" hidden="1" x14ac:dyDescent="0.35">
      <c r="A2597" s="8">
        <v>10674</v>
      </c>
      <c r="B2597" s="10" t="s">
        <v>5143</v>
      </c>
      <c r="C2597" s="10" t="s">
        <v>395</v>
      </c>
      <c r="D2597" s="9" t="s">
        <v>395</v>
      </c>
      <c r="E2597" s="9" t="str">
        <f>_xlfn.TEXTAFTER(Condiciones_acumuladas[[#This Row],[Descripción]], " ", -2)</f>
        <v>Josué Vásquez</v>
      </c>
      <c r="F2597" s="10" t="s">
        <v>2516</v>
      </c>
      <c r="G2597" s="11">
        <v>46023</v>
      </c>
    </row>
    <row r="2598" spans="1:7" ht="36.5" hidden="1" x14ac:dyDescent="0.35">
      <c r="A2598" s="8">
        <v>10673</v>
      </c>
      <c r="B2598" s="10" t="s">
        <v>5143</v>
      </c>
      <c r="C2598" s="10" t="s">
        <v>104</v>
      </c>
      <c r="D2598" s="9" t="s">
        <v>395</v>
      </c>
      <c r="E2598" s="9" t="str">
        <f>_xlfn.TEXTAFTER(Condiciones_acumuladas[[#This Row],[Descripción]], " ", -2)</f>
        <v>Josué Vásquez</v>
      </c>
      <c r="F2598" s="10" t="s">
        <v>2516</v>
      </c>
      <c r="G2598" s="11">
        <v>46023</v>
      </c>
    </row>
    <row r="2599" spans="1:7" ht="36.5" hidden="1" x14ac:dyDescent="0.35">
      <c r="A2599" s="8">
        <v>10675</v>
      </c>
      <c r="B2599" s="10" t="s">
        <v>5148</v>
      </c>
      <c r="C2599" s="10" t="s">
        <v>395</v>
      </c>
      <c r="D2599" s="9" t="s">
        <v>395</v>
      </c>
      <c r="E2599" s="9" t="str">
        <f>_xlfn.TEXTAFTER(Condiciones_acumuladas[[#This Row],[Descripción]], " ", -2)</f>
        <v>Josué Vásquez</v>
      </c>
      <c r="F2599" s="10" t="s">
        <v>2516</v>
      </c>
      <c r="G2599" s="11">
        <v>46023</v>
      </c>
    </row>
    <row r="2600" spans="1:7" ht="24.5" hidden="1" x14ac:dyDescent="0.35">
      <c r="A2600" s="8">
        <v>10669</v>
      </c>
      <c r="B2600" s="10" t="s">
        <v>5149</v>
      </c>
      <c r="C2600" s="10" t="s">
        <v>196</v>
      </c>
      <c r="D2600" s="9" t="s">
        <v>196</v>
      </c>
      <c r="E2600" s="9" t="str">
        <f>_xlfn.TEXTAFTER(Condiciones_acumuladas[[#This Row],[Descripción]], " ", -2)</f>
        <v>Kelly Calderón</v>
      </c>
      <c r="F2600" s="10" t="s">
        <v>2537</v>
      </c>
      <c r="G2600" s="11">
        <v>46031</v>
      </c>
    </row>
    <row r="2601" spans="1:7" ht="24.5" hidden="1" x14ac:dyDescent="0.35">
      <c r="A2601" s="8">
        <v>10679</v>
      </c>
      <c r="B2601" s="10" t="s">
        <v>5150</v>
      </c>
      <c r="C2601" s="10" t="s">
        <v>96</v>
      </c>
      <c r="D2601" s="9" t="s">
        <v>96</v>
      </c>
      <c r="E2601" s="9" t="s">
        <v>5132</v>
      </c>
      <c r="F2601" s="10" t="s">
        <v>2522</v>
      </c>
      <c r="G2601" s="11">
        <v>46032</v>
      </c>
    </row>
    <row r="2602" spans="1:7" ht="24.5" hidden="1" x14ac:dyDescent="0.35">
      <c r="A2602" s="8">
        <v>10680</v>
      </c>
      <c r="B2602" s="10" t="s">
        <v>5151</v>
      </c>
      <c r="C2602" s="10" t="s">
        <v>96</v>
      </c>
      <c r="D2602" s="9" t="s">
        <v>96</v>
      </c>
      <c r="E2602" s="9" t="s">
        <v>5132</v>
      </c>
      <c r="F2602" s="10" t="s">
        <v>2522</v>
      </c>
      <c r="G2602" s="11">
        <v>46032</v>
      </c>
    </row>
    <row r="2603" spans="1:7" ht="36.5" hidden="1" x14ac:dyDescent="0.35">
      <c r="A2603" s="8">
        <v>10762</v>
      </c>
      <c r="B2603" s="10" t="s">
        <v>5152</v>
      </c>
      <c r="C2603" s="10" t="s">
        <v>26</v>
      </c>
      <c r="D2603" s="9" t="s">
        <v>13</v>
      </c>
      <c r="E2603" s="9" t="s">
        <v>5153</v>
      </c>
      <c r="F2603" s="10" t="s">
        <v>2516</v>
      </c>
      <c r="G2603" s="11">
        <v>46038</v>
      </c>
    </row>
    <row r="2604" spans="1:7" ht="24.5" hidden="1" x14ac:dyDescent="0.35">
      <c r="A2604" s="8">
        <v>10681</v>
      </c>
      <c r="B2604" s="10" t="s">
        <v>5154</v>
      </c>
      <c r="C2604" s="10" t="s">
        <v>21</v>
      </c>
      <c r="D2604" s="9" t="s">
        <v>395</v>
      </c>
      <c r="E2604" s="9" t="s">
        <v>2440</v>
      </c>
      <c r="F2604" s="10" t="s">
        <v>2540</v>
      </c>
      <c r="G2604" s="11">
        <v>46032</v>
      </c>
    </row>
    <row r="2605" spans="1:7" ht="48.5" hidden="1" x14ac:dyDescent="0.35">
      <c r="A2605" s="8">
        <v>10682</v>
      </c>
      <c r="B2605" s="10" t="s">
        <v>5155</v>
      </c>
      <c r="C2605" s="10" t="s">
        <v>134</v>
      </c>
      <c r="D2605" s="9" t="s">
        <v>134</v>
      </c>
      <c r="E2605" s="9"/>
      <c r="F2605" s="10" t="s">
        <v>2540</v>
      </c>
      <c r="G2605" s="11">
        <v>46032</v>
      </c>
    </row>
    <row r="2606" spans="1:7" ht="36.5" hidden="1" x14ac:dyDescent="0.35">
      <c r="A2606" s="8">
        <v>10683</v>
      </c>
      <c r="B2606" s="10" t="s">
        <v>5156</v>
      </c>
      <c r="C2606" s="10" t="s">
        <v>220</v>
      </c>
      <c r="D2606" s="9" t="s">
        <v>371</v>
      </c>
      <c r="E2606" s="9" t="s">
        <v>1674</v>
      </c>
      <c r="F2606" s="10" t="s">
        <v>2516</v>
      </c>
      <c r="G2606" s="11">
        <v>46032</v>
      </c>
    </row>
    <row r="2607" spans="1:7" ht="48.5" hidden="1" x14ac:dyDescent="0.35">
      <c r="A2607" s="8">
        <v>10685</v>
      </c>
      <c r="B2607" s="10" t="s">
        <v>5157</v>
      </c>
      <c r="C2607" s="10" t="s">
        <v>234</v>
      </c>
      <c r="D2607" s="9" t="s">
        <v>95</v>
      </c>
      <c r="E2607" s="9" t="s">
        <v>183</v>
      </c>
      <c r="F2607" s="10" t="s">
        <v>2559</v>
      </c>
      <c r="G2607" s="11">
        <v>46034</v>
      </c>
    </row>
    <row r="2608" spans="1:7" ht="36.5" hidden="1" x14ac:dyDescent="0.35">
      <c r="A2608" s="8">
        <v>10687</v>
      </c>
      <c r="B2608" s="10" t="s">
        <v>5158</v>
      </c>
      <c r="C2608" s="10" t="s">
        <v>21</v>
      </c>
      <c r="D2608" s="9" t="s">
        <v>21</v>
      </c>
      <c r="E2608" s="9" t="s">
        <v>5153</v>
      </c>
      <c r="F2608" s="10" t="s">
        <v>2516</v>
      </c>
      <c r="G2608" s="11">
        <v>46035</v>
      </c>
    </row>
    <row r="2609" spans="1:7" ht="36.5" hidden="1" x14ac:dyDescent="0.35">
      <c r="A2609" s="8">
        <v>10688</v>
      </c>
      <c r="B2609" s="10" t="s">
        <v>5159</v>
      </c>
      <c r="C2609" s="10" t="s">
        <v>21</v>
      </c>
      <c r="D2609" s="9" t="s">
        <v>21</v>
      </c>
      <c r="E2609" s="9" t="s">
        <v>5153</v>
      </c>
      <c r="F2609" s="10" t="s">
        <v>2715</v>
      </c>
      <c r="G2609" s="11">
        <v>46035</v>
      </c>
    </row>
    <row r="2610" spans="1:7" ht="24.5" hidden="1" x14ac:dyDescent="0.35">
      <c r="A2610" s="8">
        <v>10689</v>
      </c>
      <c r="B2610" s="10" t="s">
        <v>5160</v>
      </c>
      <c r="C2610" s="10" t="s">
        <v>21</v>
      </c>
      <c r="D2610" s="9" t="s">
        <v>21</v>
      </c>
      <c r="E2610" s="9" t="s">
        <v>5153</v>
      </c>
      <c r="F2610" s="10" t="s">
        <v>2540</v>
      </c>
      <c r="G2610" s="11">
        <v>46035</v>
      </c>
    </row>
    <row r="2611" spans="1:7" ht="36.5" hidden="1" x14ac:dyDescent="0.35">
      <c r="A2611" s="8">
        <v>10690</v>
      </c>
      <c r="B2611" s="10" t="s">
        <v>5161</v>
      </c>
      <c r="C2611" s="10" t="s">
        <v>21</v>
      </c>
      <c r="D2611" s="9" t="s">
        <v>21</v>
      </c>
      <c r="E2611" s="9" t="s">
        <v>5153</v>
      </c>
      <c r="F2611" s="10" t="s">
        <v>2715</v>
      </c>
      <c r="G2611" s="11">
        <v>46035</v>
      </c>
    </row>
    <row r="2612" spans="1:7" ht="36.5" hidden="1" x14ac:dyDescent="0.35">
      <c r="A2612" s="8">
        <v>10691</v>
      </c>
      <c r="B2612" s="10" t="s">
        <v>5162</v>
      </c>
      <c r="C2612" s="10" t="s">
        <v>21</v>
      </c>
      <c r="D2612" s="9" t="s">
        <v>21</v>
      </c>
      <c r="E2612" s="9" t="s">
        <v>5153</v>
      </c>
      <c r="F2612" s="10" t="s">
        <v>2516</v>
      </c>
      <c r="G2612" s="11">
        <v>46035</v>
      </c>
    </row>
    <row r="2613" spans="1:7" ht="36.5" hidden="1" x14ac:dyDescent="0.35">
      <c r="A2613" s="8">
        <v>10692</v>
      </c>
      <c r="B2613" s="10" t="s">
        <v>5163</v>
      </c>
      <c r="C2613" s="10" t="s">
        <v>220</v>
      </c>
      <c r="D2613" s="9" t="s">
        <v>220</v>
      </c>
      <c r="E2613" s="9" t="s">
        <v>5164</v>
      </c>
      <c r="F2613" s="10" t="s">
        <v>2525</v>
      </c>
      <c r="G2613" s="11">
        <v>46035</v>
      </c>
    </row>
    <row r="2614" spans="1:7" ht="36.5" hidden="1" x14ac:dyDescent="0.35">
      <c r="A2614" s="8">
        <v>10693</v>
      </c>
      <c r="B2614" s="10" t="s">
        <v>5165</v>
      </c>
      <c r="C2614" s="10" t="s">
        <v>34</v>
      </c>
      <c r="D2614" s="9" t="s">
        <v>250</v>
      </c>
      <c r="E2614" s="9" t="s">
        <v>2078</v>
      </c>
      <c r="F2614" s="10" t="s">
        <v>2525</v>
      </c>
      <c r="G2614" s="11">
        <v>46035</v>
      </c>
    </row>
    <row r="2615" spans="1:7" ht="36.5" hidden="1" x14ac:dyDescent="0.35">
      <c r="A2615" s="8">
        <v>10694</v>
      </c>
      <c r="B2615" s="10" t="s">
        <v>5166</v>
      </c>
      <c r="C2615" s="10" t="s">
        <v>21</v>
      </c>
      <c r="D2615" s="9" t="s">
        <v>21</v>
      </c>
      <c r="E2615" s="9" t="s">
        <v>5167</v>
      </c>
      <c r="F2615" s="10" t="s">
        <v>2516</v>
      </c>
      <c r="G2615" s="11">
        <v>46035</v>
      </c>
    </row>
    <row r="2616" spans="1:7" ht="36.5" hidden="1" x14ac:dyDescent="0.35">
      <c r="A2616" s="8">
        <v>10695</v>
      </c>
      <c r="B2616" s="10" t="s">
        <v>5168</v>
      </c>
      <c r="C2616" s="10" t="s">
        <v>21</v>
      </c>
      <c r="D2616" s="9" t="s">
        <v>21</v>
      </c>
      <c r="E2616" s="9" t="s">
        <v>5169</v>
      </c>
      <c r="F2616" s="10" t="s">
        <v>2572</v>
      </c>
      <c r="G2616" s="11">
        <v>46030</v>
      </c>
    </row>
    <row r="2617" spans="1:7" ht="36.5" hidden="1" x14ac:dyDescent="0.35">
      <c r="A2617" s="8">
        <v>10696</v>
      </c>
      <c r="B2617" s="10" t="s">
        <v>5170</v>
      </c>
      <c r="C2617" s="10" t="s">
        <v>134</v>
      </c>
      <c r="D2617" s="9" t="s">
        <v>134</v>
      </c>
      <c r="E2617" s="9" t="s">
        <v>465</v>
      </c>
      <c r="F2617" s="10" t="s">
        <v>2516</v>
      </c>
      <c r="G2617" s="11">
        <v>46030</v>
      </c>
    </row>
    <row r="2618" spans="1:7" ht="24.5" hidden="1" x14ac:dyDescent="0.35">
      <c r="A2618" s="8">
        <v>10698</v>
      </c>
      <c r="B2618" s="10" t="s">
        <v>5171</v>
      </c>
      <c r="C2618" s="10" t="s">
        <v>250</v>
      </c>
      <c r="D2618" s="9" t="s">
        <v>13</v>
      </c>
      <c r="E2618" s="9" t="s">
        <v>465</v>
      </c>
      <c r="F2618" s="10" t="s">
        <v>2540</v>
      </c>
      <c r="G2618" s="11">
        <v>46030</v>
      </c>
    </row>
    <row r="2619" spans="1:7" ht="36.5" hidden="1" x14ac:dyDescent="0.35">
      <c r="A2619" s="8">
        <v>10699</v>
      </c>
      <c r="B2619" s="10" t="s">
        <v>5172</v>
      </c>
      <c r="C2619" s="10" t="s">
        <v>21</v>
      </c>
      <c r="D2619" s="9" t="s">
        <v>21</v>
      </c>
      <c r="E2619" s="9" t="s">
        <v>5153</v>
      </c>
      <c r="F2619" s="10" t="s">
        <v>2516</v>
      </c>
      <c r="G2619" s="11">
        <v>46030</v>
      </c>
    </row>
    <row r="2620" spans="1:7" ht="36.5" hidden="1" x14ac:dyDescent="0.35">
      <c r="A2620" s="8">
        <v>10700</v>
      </c>
      <c r="B2620" s="10" t="s">
        <v>5173</v>
      </c>
      <c r="C2620" s="10" t="s">
        <v>371</v>
      </c>
      <c r="D2620" s="9" t="s">
        <v>371</v>
      </c>
      <c r="E2620" s="9" t="s">
        <v>1028</v>
      </c>
      <c r="F2620" s="10" t="s">
        <v>2516</v>
      </c>
      <c r="G2620" s="11">
        <v>46031</v>
      </c>
    </row>
    <row r="2621" spans="1:7" ht="24.5" hidden="1" x14ac:dyDescent="0.35">
      <c r="A2621" s="8">
        <v>10702</v>
      </c>
      <c r="B2621" s="10" t="s">
        <v>5174</v>
      </c>
      <c r="C2621" s="10" t="s">
        <v>220</v>
      </c>
      <c r="D2621" s="9" t="s">
        <v>95</v>
      </c>
      <c r="E2621" s="9" t="s">
        <v>657</v>
      </c>
      <c r="F2621" s="10" t="s">
        <v>2540</v>
      </c>
      <c r="G2621" s="11">
        <v>46030</v>
      </c>
    </row>
    <row r="2622" spans="1:7" ht="36.5" hidden="1" x14ac:dyDescent="0.35">
      <c r="A2622" s="8">
        <v>10703</v>
      </c>
      <c r="B2622" s="10" t="s">
        <v>5175</v>
      </c>
      <c r="C2622" s="10" t="s">
        <v>220</v>
      </c>
      <c r="D2622" s="9" t="s">
        <v>190</v>
      </c>
      <c r="E2622" s="9" t="s">
        <v>413</v>
      </c>
      <c r="F2622" s="10" t="s">
        <v>2525</v>
      </c>
      <c r="G2622" s="11">
        <v>46031</v>
      </c>
    </row>
    <row r="2623" spans="1:7" ht="36.5" hidden="1" x14ac:dyDescent="0.35">
      <c r="A2623" s="8">
        <v>10704</v>
      </c>
      <c r="B2623" s="10" t="s">
        <v>5176</v>
      </c>
      <c r="C2623" s="10" t="s">
        <v>13</v>
      </c>
      <c r="D2623" s="9" t="s">
        <v>250</v>
      </c>
      <c r="E2623" s="9" t="s">
        <v>2078</v>
      </c>
      <c r="F2623" s="10" t="s">
        <v>2516</v>
      </c>
      <c r="G2623" s="11">
        <v>46031</v>
      </c>
    </row>
    <row r="2624" spans="1:7" ht="24.5" hidden="1" x14ac:dyDescent="0.35">
      <c r="A2624" s="8">
        <v>10706</v>
      </c>
      <c r="B2624" s="10" t="s">
        <v>5177</v>
      </c>
      <c r="C2624" s="10" t="s">
        <v>104</v>
      </c>
      <c r="D2624" s="9" t="s">
        <v>95</v>
      </c>
      <c r="E2624" s="9" t="s">
        <v>5178</v>
      </c>
      <c r="F2624" s="10" t="s">
        <v>2540</v>
      </c>
      <c r="G2624" s="11">
        <v>46031</v>
      </c>
    </row>
    <row r="2625" spans="1:7" ht="24.5" hidden="1" x14ac:dyDescent="0.35">
      <c r="A2625" s="8">
        <v>10707</v>
      </c>
      <c r="B2625" s="10" t="s">
        <v>5179</v>
      </c>
      <c r="C2625" s="10" t="s">
        <v>104</v>
      </c>
      <c r="D2625" s="9" t="s">
        <v>104</v>
      </c>
      <c r="E2625" s="9" t="s">
        <v>465</v>
      </c>
      <c r="F2625" s="10" t="s">
        <v>2540</v>
      </c>
      <c r="G2625" s="11">
        <v>46034</v>
      </c>
    </row>
    <row r="2626" spans="1:7" ht="36.5" hidden="1" x14ac:dyDescent="0.35">
      <c r="A2626" s="8">
        <v>10709</v>
      </c>
      <c r="B2626" s="10" t="s">
        <v>5180</v>
      </c>
      <c r="C2626" s="10" t="s">
        <v>21</v>
      </c>
      <c r="D2626" s="9" t="s">
        <v>95</v>
      </c>
      <c r="E2626" s="9" t="s">
        <v>183</v>
      </c>
      <c r="F2626" s="10" t="s">
        <v>2516</v>
      </c>
      <c r="G2626" s="11">
        <v>46036</v>
      </c>
    </row>
    <row r="2627" spans="1:7" ht="48.5" hidden="1" x14ac:dyDescent="0.35">
      <c r="A2627" s="8">
        <v>10710</v>
      </c>
      <c r="B2627" s="10" t="s">
        <v>5181</v>
      </c>
      <c r="C2627" s="10" t="s">
        <v>104</v>
      </c>
      <c r="D2627" s="9" t="s">
        <v>95</v>
      </c>
      <c r="E2627" s="9" t="s">
        <v>1092</v>
      </c>
      <c r="F2627" s="10" t="s">
        <v>2559</v>
      </c>
      <c r="G2627" s="11">
        <v>46038</v>
      </c>
    </row>
    <row r="2628" spans="1:7" ht="36.5" hidden="1" x14ac:dyDescent="0.35">
      <c r="A2628" s="8">
        <v>10711</v>
      </c>
      <c r="B2628" s="10" t="s">
        <v>5182</v>
      </c>
      <c r="C2628" s="10" t="s">
        <v>13</v>
      </c>
      <c r="D2628" s="9" t="s">
        <v>95</v>
      </c>
      <c r="E2628" s="9" t="s">
        <v>1092</v>
      </c>
      <c r="F2628" s="10" t="s">
        <v>2516</v>
      </c>
      <c r="G2628" s="11">
        <v>46037</v>
      </c>
    </row>
    <row r="2629" spans="1:7" ht="24.5" hidden="1" x14ac:dyDescent="0.35">
      <c r="A2629" s="8">
        <v>10714</v>
      </c>
      <c r="B2629" s="10" t="s">
        <v>5183</v>
      </c>
      <c r="C2629" s="10" t="s">
        <v>134</v>
      </c>
      <c r="D2629" s="9" t="s">
        <v>95</v>
      </c>
      <c r="E2629" s="9" t="s">
        <v>1147</v>
      </c>
      <c r="F2629" s="10" t="s">
        <v>2522</v>
      </c>
      <c r="G2629" s="11">
        <v>46036</v>
      </c>
    </row>
    <row r="2630" spans="1:7" ht="36.5" hidden="1" x14ac:dyDescent="0.35">
      <c r="A2630" s="8">
        <v>10716</v>
      </c>
      <c r="B2630" s="10" t="s">
        <v>5184</v>
      </c>
      <c r="C2630" s="10" t="s">
        <v>21</v>
      </c>
      <c r="D2630" s="9" t="s">
        <v>21</v>
      </c>
      <c r="E2630" s="9" t="s">
        <v>465</v>
      </c>
      <c r="F2630" s="10" t="s">
        <v>2516</v>
      </c>
      <c r="G2630" s="11">
        <v>46036</v>
      </c>
    </row>
    <row r="2631" spans="1:7" ht="36.5" hidden="1" x14ac:dyDescent="0.35">
      <c r="A2631" s="8">
        <v>10715</v>
      </c>
      <c r="B2631" s="10" t="s">
        <v>5185</v>
      </c>
      <c r="C2631" s="10" t="s">
        <v>134</v>
      </c>
      <c r="D2631" s="9" t="s">
        <v>134</v>
      </c>
      <c r="E2631" s="9" t="s">
        <v>465</v>
      </c>
      <c r="F2631" s="10" t="s">
        <v>2516</v>
      </c>
      <c r="G2631" s="11">
        <v>46036</v>
      </c>
    </row>
    <row r="2632" spans="1:7" ht="36.5" hidden="1" x14ac:dyDescent="0.35">
      <c r="A2632" s="8">
        <v>10717</v>
      </c>
      <c r="B2632" s="10" t="s">
        <v>5186</v>
      </c>
      <c r="C2632" s="10" t="s">
        <v>21</v>
      </c>
      <c r="D2632" s="9" t="s">
        <v>21</v>
      </c>
      <c r="E2632" s="9" t="s">
        <v>465</v>
      </c>
      <c r="F2632" s="10" t="s">
        <v>2572</v>
      </c>
      <c r="G2632" s="11">
        <v>46036</v>
      </c>
    </row>
    <row r="2633" spans="1:7" ht="24.5" hidden="1" x14ac:dyDescent="0.35">
      <c r="A2633" s="8">
        <v>10718</v>
      </c>
      <c r="B2633" s="10" t="s">
        <v>5187</v>
      </c>
      <c r="C2633" s="10" t="s">
        <v>96</v>
      </c>
      <c r="D2633" s="9" t="s">
        <v>96</v>
      </c>
      <c r="E2633" s="9" t="s">
        <v>5188</v>
      </c>
      <c r="F2633" s="10" t="s">
        <v>2537</v>
      </c>
      <c r="G2633" s="11">
        <v>46036</v>
      </c>
    </row>
    <row r="2634" spans="1:7" ht="36.5" hidden="1" x14ac:dyDescent="0.35">
      <c r="A2634" s="8">
        <v>10719</v>
      </c>
      <c r="B2634" s="10" t="s">
        <v>5189</v>
      </c>
      <c r="C2634" s="10" t="s">
        <v>21</v>
      </c>
      <c r="D2634" s="9" t="s">
        <v>220</v>
      </c>
      <c r="E2634" s="9" t="s">
        <v>410</v>
      </c>
      <c r="F2634" s="10" t="s">
        <v>2516</v>
      </c>
      <c r="G2634" s="11">
        <v>46036</v>
      </c>
    </row>
    <row r="2635" spans="1:7" ht="36.5" hidden="1" x14ac:dyDescent="0.35">
      <c r="A2635" s="8">
        <v>10720</v>
      </c>
      <c r="B2635" s="10" t="s">
        <v>5190</v>
      </c>
      <c r="C2635" s="10" t="s">
        <v>26</v>
      </c>
      <c r="D2635" s="9" t="s">
        <v>26</v>
      </c>
      <c r="E2635" s="9" t="s">
        <v>30</v>
      </c>
      <c r="F2635" s="10" t="s">
        <v>2525</v>
      </c>
      <c r="G2635" s="11">
        <v>46036</v>
      </c>
    </row>
    <row r="2636" spans="1:7" ht="48.5" hidden="1" x14ac:dyDescent="0.35">
      <c r="A2636" s="8">
        <v>10721</v>
      </c>
      <c r="B2636" s="10" t="s">
        <v>5191</v>
      </c>
      <c r="C2636" s="10" t="s">
        <v>96</v>
      </c>
      <c r="D2636" s="9" t="s">
        <v>220</v>
      </c>
      <c r="E2636" s="9" t="s">
        <v>410</v>
      </c>
      <c r="F2636" s="10" t="s">
        <v>2559</v>
      </c>
      <c r="G2636" s="11">
        <v>46036</v>
      </c>
    </row>
    <row r="2637" spans="1:7" ht="24.5" hidden="1" x14ac:dyDescent="0.35">
      <c r="A2637" s="8">
        <v>10723</v>
      </c>
      <c r="B2637" s="10" t="s">
        <v>5192</v>
      </c>
      <c r="C2637" s="10" t="s">
        <v>250</v>
      </c>
      <c r="D2637" s="9" t="s">
        <v>250</v>
      </c>
      <c r="E2637" s="9" t="s">
        <v>2078</v>
      </c>
      <c r="F2637" s="10" t="s">
        <v>2522</v>
      </c>
      <c r="G2637" s="11">
        <v>46036</v>
      </c>
    </row>
    <row r="2638" spans="1:7" ht="24.5" hidden="1" x14ac:dyDescent="0.35">
      <c r="A2638" s="8">
        <v>10724</v>
      </c>
      <c r="B2638" s="10" t="s">
        <v>5193</v>
      </c>
      <c r="C2638" s="10" t="s">
        <v>96</v>
      </c>
      <c r="D2638" s="9" t="s">
        <v>96</v>
      </c>
      <c r="E2638" s="9" t="s">
        <v>5188</v>
      </c>
      <c r="F2638" s="10" t="s">
        <v>2537</v>
      </c>
      <c r="G2638" s="11">
        <v>46036</v>
      </c>
    </row>
    <row r="2639" spans="1:7" ht="24.5" hidden="1" x14ac:dyDescent="0.35">
      <c r="A2639" s="8">
        <v>10725</v>
      </c>
      <c r="B2639" s="10" t="s">
        <v>5194</v>
      </c>
      <c r="C2639" s="10" t="s">
        <v>134</v>
      </c>
      <c r="D2639" s="9" t="s">
        <v>134</v>
      </c>
      <c r="E2639" s="9" t="s">
        <v>5195</v>
      </c>
      <c r="F2639" s="10" t="s">
        <v>2522</v>
      </c>
      <c r="G2639" s="11">
        <v>46036</v>
      </c>
    </row>
    <row r="2640" spans="1:7" ht="24.5" hidden="1" x14ac:dyDescent="0.35">
      <c r="A2640" s="8">
        <v>10726</v>
      </c>
      <c r="B2640" s="10" t="s">
        <v>5196</v>
      </c>
      <c r="C2640" s="10" t="s">
        <v>234</v>
      </c>
      <c r="D2640" s="9" t="s">
        <v>95</v>
      </c>
      <c r="E2640" s="9" t="s">
        <v>445</v>
      </c>
      <c r="F2640" s="10" t="s">
        <v>2537</v>
      </c>
      <c r="G2640" s="11">
        <v>46036</v>
      </c>
    </row>
    <row r="2641" spans="1:7" ht="36.5" hidden="1" x14ac:dyDescent="0.35">
      <c r="A2641" s="8">
        <v>10729</v>
      </c>
      <c r="B2641" s="10" t="s">
        <v>5197</v>
      </c>
      <c r="C2641" s="10" t="s">
        <v>95</v>
      </c>
      <c r="D2641" s="9" t="s">
        <v>95</v>
      </c>
      <c r="E2641" s="9" t="s">
        <v>94</v>
      </c>
      <c r="F2641" s="10" t="s">
        <v>2525</v>
      </c>
      <c r="G2641" s="11">
        <v>46036</v>
      </c>
    </row>
    <row r="2642" spans="1:7" ht="36.5" hidden="1" x14ac:dyDescent="0.35">
      <c r="A2642" s="8">
        <v>10730</v>
      </c>
      <c r="B2642" s="10" t="s">
        <v>5198</v>
      </c>
      <c r="C2642" s="10" t="s">
        <v>26</v>
      </c>
      <c r="D2642" s="9" t="s">
        <v>26</v>
      </c>
      <c r="E2642" s="9" t="s">
        <v>30</v>
      </c>
      <c r="F2642" s="10" t="s">
        <v>2516</v>
      </c>
      <c r="G2642" s="11">
        <v>46036</v>
      </c>
    </row>
    <row r="2643" spans="1:7" ht="36.5" hidden="1" x14ac:dyDescent="0.35">
      <c r="A2643" s="8">
        <v>10731</v>
      </c>
      <c r="B2643" s="10" t="s">
        <v>5199</v>
      </c>
      <c r="C2643" s="10" t="s">
        <v>134</v>
      </c>
      <c r="D2643" s="9" t="s">
        <v>134</v>
      </c>
      <c r="E2643" s="9" t="s">
        <v>5195</v>
      </c>
      <c r="F2643" s="10" t="s">
        <v>2516</v>
      </c>
      <c r="G2643" s="11">
        <v>46036</v>
      </c>
    </row>
    <row r="2644" spans="1:7" ht="36.5" hidden="1" x14ac:dyDescent="0.35">
      <c r="A2644" s="8">
        <v>10732</v>
      </c>
      <c r="B2644" s="10" t="s">
        <v>5200</v>
      </c>
      <c r="C2644" s="10" t="s">
        <v>190</v>
      </c>
      <c r="D2644" s="9" t="s">
        <v>220</v>
      </c>
      <c r="E2644" s="9" t="s">
        <v>2845</v>
      </c>
      <c r="F2644" s="10" t="s">
        <v>2525</v>
      </c>
      <c r="G2644" s="11">
        <v>46036</v>
      </c>
    </row>
    <row r="2645" spans="1:7" ht="36.5" hidden="1" x14ac:dyDescent="0.35">
      <c r="A2645" s="8">
        <v>10735</v>
      </c>
      <c r="B2645" s="10" t="s">
        <v>5201</v>
      </c>
      <c r="C2645" s="10" t="s">
        <v>190</v>
      </c>
      <c r="D2645" s="9" t="s">
        <v>220</v>
      </c>
      <c r="E2645" s="9" t="s">
        <v>2845</v>
      </c>
      <c r="F2645" s="10" t="s">
        <v>2525</v>
      </c>
      <c r="G2645" s="11">
        <v>46036</v>
      </c>
    </row>
    <row r="2646" spans="1:7" ht="24.5" hidden="1" x14ac:dyDescent="0.35">
      <c r="A2646" s="8">
        <v>10737</v>
      </c>
      <c r="B2646" s="10" t="s">
        <v>5202</v>
      </c>
      <c r="C2646" s="10" t="s">
        <v>26</v>
      </c>
      <c r="D2646" s="9" t="s">
        <v>26</v>
      </c>
      <c r="E2646" s="9" t="s">
        <v>30</v>
      </c>
      <c r="F2646" s="10" t="s">
        <v>2522</v>
      </c>
      <c r="G2646" s="11">
        <v>46036</v>
      </c>
    </row>
    <row r="2647" spans="1:7" ht="24.5" hidden="1" x14ac:dyDescent="0.35">
      <c r="A2647" s="8">
        <v>10738</v>
      </c>
      <c r="B2647" s="10" t="s">
        <v>5203</v>
      </c>
      <c r="C2647" s="10" t="s">
        <v>234</v>
      </c>
      <c r="D2647" s="9" t="s">
        <v>95</v>
      </c>
      <c r="E2647" s="9" t="s">
        <v>445</v>
      </c>
      <c r="F2647" s="10" t="s">
        <v>2537</v>
      </c>
      <c r="G2647" s="11">
        <v>46036</v>
      </c>
    </row>
    <row r="2648" spans="1:7" ht="24.5" hidden="1" x14ac:dyDescent="0.35">
      <c r="A2648" s="8">
        <v>10739</v>
      </c>
      <c r="B2648" s="10" t="s">
        <v>5204</v>
      </c>
      <c r="C2648" s="10" t="s">
        <v>234</v>
      </c>
      <c r="D2648" s="9" t="s">
        <v>234</v>
      </c>
      <c r="E2648" s="9" t="s">
        <v>2274</v>
      </c>
      <c r="F2648" s="10" t="s">
        <v>2540</v>
      </c>
      <c r="G2648" s="11">
        <v>46036</v>
      </c>
    </row>
    <row r="2649" spans="1:7" ht="36.5" hidden="1" x14ac:dyDescent="0.35">
      <c r="A2649" s="8">
        <v>10740</v>
      </c>
      <c r="B2649" s="10" t="s">
        <v>5205</v>
      </c>
      <c r="C2649" s="10" t="s">
        <v>134</v>
      </c>
      <c r="D2649" s="9" t="s">
        <v>95</v>
      </c>
      <c r="E2649" s="9" t="s">
        <v>5195</v>
      </c>
      <c r="F2649" s="10" t="s">
        <v>2525</v>
      </c>
      <c r="G2649" s="11">
        <v>46036</v>
      </c>
    </row>
    <row r="2650" spans="1:7" ht="24.5" hidden="1" x14ac:dyDescent="0.35">
      <c r="A2650" s="8">
        <v>10741</v>
      </c>
      <c r="B2650" s="10" t="s">
        <v>5206</v>
      </c>
      <c r="C2650" s="10" t="s">
        <v>26</v>
      </c>
      <c r="D2650" s="9" t="s">
        <v>26</v>
      </c>
      <c r="E2650" s="9" t="s">
        <v>30</v>
      </c>
      <c r="F2650" s="10" t="s">
        <v>2522</v>
      </c>
      <c r="G2650" s="11">
        <v>46036</v>
      </c>
    </row>
    <row r="2651" spans="1:7" ht="24.5" hidden="1" x14ac:dyDescent="0.35">
      <c r="A2651" s="8">
        <v>10743</v>
      </c>
      <c r="B2651" s="10" t="s">
        <v>5207</v>
      </c>
      <c r="C2651" s="10" t="s">
        <v>13</v>
      </c>
      <c r="D2651" s="9" t="s">
        <v>205</v>
      </c>
      <c r="E2651" s="9" t="s">
        <v>5208</v>
      </c>
      <c r="F2651" s="10" t="s">
        <v>2522</v>
      </c>
      <c r="G2651" s="11">
        <v>46036</v>
      </c>
    </row>
    <row r="2652" spans="1:7" ht="36.5" hidden="1" x14ac:dyDescent="0.35">
      <c r="A2652" s="8">
        <v>10745</v>
      </c>
      <c r="B2652" s="10" t="s">
        <v>5209</v>
      </c>
      <c r="C2652" s="10" t="s">
        <v>13</v>
      </c>
      <c r="D2652" s="9" t="s">
        <v>205</v>
      </c>
      <c r="E2652" s="9" t="s">
        <v>5208</v>
      </c>
      <c r="F2652" s="10" t="s">
        <v>2530</v>
      </c>
      <c r="G2652" s="11">
        <v>46036</v>
      </c>
    </row>
    <row r="2653" spans="1:7" ht="36.5" hidden="1" x14ac:dyDescent="0.35">
      <c r="A2653" s="8">
        <v>10747</v>
      </c>
      <c r="B2653" s="10" t="s">
        <v>5210</v>
      </c>
      <c r="C2653" s="10" t="s">
        <v>234</v>
      </c>
      <c r="D2653" s="9" t="s">
        <v>95</v>
      </c>
      <c r="E2653" s="9" t="s">
        <v>445</v>
      </c>
      <c r="F2653" s="10" t="s">
        <v>2525</v>
      </c>
      <c r="G2653" s="11">
        <v>46036</v>
      </c>
    </row>
    <row r="2654" spans="1:7" ht="36.5" hidden="1" x14ac:dyDescent="0.35">
      <c r="A2654" s="8">
        <v>10748</v>
      </c>
      <c r="B2654" s="10" t="s">
        <v>5211</v>
      </c>
      <c r="C2654" s="10" t="s">
        <v>34</v>
      </c>
      <c r="D2654" s="9" t="s">
        <v>34</v>
      </c>
      <c r="E2654" s="9" t="s">
        <v>2437</v>
      </c>
      <c r="F2654" s="10" t="s">
        <v>2516</v>
      </c>
      <c r="G2654" s="11">
        <v>46036</v>
      </c>
    </row>
    <row r="2655" spans="1:7" ht="36.5" hidden="1" x14ac:dyDescent="0.35">
      <c r="A2655" s="8">
        <v>10749</v>
      </c>
      <c r="B2655" s="10" t="s">
        <v>5212</v>
      </c>
      <c r="C2655" s="10" t="s">
        <v>95</v>
      </c>
      <c r="D2655" s="9" t="s">
        <v>95</v>
      </c>
      <c r="E2655" s="9" t="s">
        <v>94</v>
      </c>
      <c r="F2655" s="10" t="s">
        <v>2715</v>
      </c>
      <c r="G2655" s="11">
        <v>46036</v>
      </c>
    </row>
    <row r="2656" spans="1:7" ht="24.5" hidden="1" x14ac:dyDescent="0.35">
      <c r="A2656" s="8">
        <v>10750</v>
      </c>
      <c r="B2656" s="10" t="s">
        <v>5213</v>
      </c>
      <c r="C2656" s="10" t="s">
        <v>250</v>
      </c>
      <c r="D2656" s="9" t="s">
        <v>250</v>
      </c>
      <c r="E2656" s="9" t="s">
        <v>2078</v>
      </c>
      <c r="F2656" s="10" t="s">
        <v>2522</v>
      </c>
      <c r="G2656" s="11">
        <v>46036</v>
      </c>
    </row>
    <row r="2657" spans="1:7" ht="24.5" hidden="1" x14ac:dyDescent="0.35">
      <c r="A2657" s="8">
        <v>10751</v>
      </c>
      <c r="B2657" s="10" t="s">
        <v>5214</v>
      </c>
      <c r="C2657" s="10" t="s">
        <v>26</v>
      </c>
      <c r="D2657" s="9" t="s">
        <v>26</v>
      </c>
      <c r="E2657" s="9" t="s">
        <v>30</v>
      </c>
      <c r="F2657" s="10" t="s">
        <v>2537</v>
      </c>
      <c r="G2657" s="11">
        <v>46036</v>
      </c>
    </row>
    <row r="2658" spans="1:7" ht="36.5" hidden="1" x14ac:dyDescent="0.35">
      <c r="A2658" s="8">
        <v>10752</v>
      </c>
      <c r="B2658" s="10" t="s">
        <v>5215</v>
      </c>
      <c r="C2658" s="10" t="s">
        <v>371</v>
      </c>
      <c r="D2658" s="9" t="s">
        <v>395</v>
      </c>
      <c r="E2658" s="9" t="s">
        <v>1926</v>
      </c>
      <c r="F2658" s="10" t="s">
        <v>2525</v>
      </c>
      <c r="G2658" s="11">
        <v>46036</v>
      </c>
    </row>
    <row r="2659" spans="1:7" ht="36.5" hidden="1" x14ac:dyDescent="0.35">
      <c r="A2659" s="8">
        <v>10753</v>
      </c>
      <c r="B2659" s="10" t="s">
        <v>5216</v>
      </c>
      <c r="C2659" s="10" t="s">
        <v>13</v>
      </c>
      <c r="D2659" s="9" t="s">
        <v>205</v>
      </c>
      <c r="E2659" s="9" t="s">
        <v>5208</v>
      </c>
      <c r="F2659" s="10" t="s">
        <v>2530</v>
      </c>
      <c r="G2659" s="11">
        <v>46036</v>
      </c>
    </row>
    <row r="2660" spans="1:7" ht="36.5" hidden="1" x14ac:dyDescent="0.35">
      <c r="A2660" s="8">
        <v>10754</v>
      </c>
      <c r="B2660" s="10" t="s">
        <v>5217</v>
      </c>
      <c r="C2660" s="10" t="s">
        <v>34</v>
      </c>
      <c r="D2660" s="9" t="s">
        <v>34</v>
      </c>
      <c r="E2660" s="9" t="s">
        <v>2437</v>
      </c>
      <c r="F2660" s="10" t="s">
        <v>2525</v>
      </c>
      <c r="G2660" s="11">
        <v>46036</v>
      </c>
    </row>
    <row r="2661" spans="1:7" ht="24.5" hidden="1" x14ac:dyDescent="0.35">
      <c r="A2661" s="8">
        <v>10756</v>
      </c>
      <c r="B2661" s="10" t="s">
        <v>5218</v>
      </c>
      <c r="C2661" s="10" t="s">
        <v>21</v>
      </c>
      <c r="D2661" s="9" t="s">
        <v>205</v>
      </c>
      <c r="E2661" s="9" t="s">
        <v>5208</v>
      </c>
      <c r="F2661" s="10" t="s">
        <v>2540</v>
      </c>
      <c r="G2661" s="11">
        <v>46036</v>
      </c>
    </row>
    <row r="2662" spans="1:7" ht="36.5" hidden="1" x14ac:dyDescent="0.35">
      <c r="A2662" s="8">
        <v>10758</v>
      </c>
      <c r="B2662" s="10" t="s">
        <v>5219</v>
      </c>
      <c r="C2662" s="10" t="s">
        <v>21</v>
      </c>
      <c r="D2662" s="9" t="s">
        <v>220</v>
      </c>
      <c r="E2662" s="9" t="s">
        <v>410</v>
      </c>
      <c r="F2662" s="10" t="s">
        <v>2516</v>
      </c>
      <c r="G2662" s="11">
        <v>46036</v>
      </c>
    </row>
    <row r="2663" spans="1:7" ht="36.5" hidden="1" x14ac:dyDescent="0.35">
      <c r="A2663" s="8">
        <v>10760</v>
      </c>
      <c r="B2663" s="10" t="s">
        <v>5220</v>
      </c>
      <c r="C2663" s="10" t="s">
        <v>13</v>
      </c>
      <c r="D2663" s="9" t="s">
        <v>395</v>
      </c>
      <c r="E2663" s="9" t="s">
        <v>3121</v>
      </c>
      <c r="F2663" s="10" t="s">
        <v>2516</v>
      </c>
      <c r="G2663" s="11">
        <v>46036</v>
      </c>
    </row>
    <row r="2664" spans="1:7" ht="24.5" hidden="1" x14ac:dyDescent="0.35">
      <c r="A2664" s="8">
        <v>10761</v>
      </c>
      <c r="B2664" s="10" t="s">
        <v>5221</v>
      </c>
      <c r="C2664" s="10" t="s">
        <v>96</v>
      </c>
      <c r="D2664" s="9" t="s">
        <v>96</v>
      </c>
      <c r="E2664" s="9" t="s">
        <v>5132</v>
      </c>
      <c r="F2664" s="10" t="s">
        <v>2540</v>
      </c>
      <c r="G2664" s="11">
        <v>46038</v>
      </c>
    </row>
    <row r="2665" spans="1:7" ht="36.5" hidden="1" x14ac:dyDescent="0.35">
      <c r="A2665" s="8">
        <v>10763</v>
      </c>
      <c r="B2665" s="10" t="s">
        <v>5222</v>
      </c>
      <c r="C2665" s="10" t="s">
        <v>104</v>
      </c>
      <c r="D2665" s="9" t="s">
        <v>104</v>
      </c>
      <c r="E2665" s="9" t="s">
        <v>107</v>
      </c>
      <c r="F2665" s="10" t="s">
        <v>2516</v>
      </c>
      <c r="G2665" s="11">
        <v>46035</v>
      </c>
    </row>
    <row r="2666" spans="1:7" ht="36.5" hidden="1" x14ac:dyDescent="0.35">
      <c r="A2666" s="8">
        <v>10765</v>
      </c>
      <c r="B2666" s="10" t="s">
        <v>5223</v>
      </c>
      <c r="C2666" s="10" t="s">
        <v>21</v>
      </c>
      <c r="D2666" s="9" t="s">
        <v>21</v>
      </c>
      <c r="E2666" s="9" t="s">
        <v>5153</v>
      </c>
      <c r="F2666" s="10" t="s">
        <v>2516</v>
      </c>
      <c r="G2666" s="11">
        <v>46041</v>
      </c>
    </row>
    <row r="2667" spans="1:7" ht="36.5" hidden="1" x14ac:dyDescent="0.35">
      <c r="A2667" s="8">
        <v>10766</v>
      </c>
      <c r="B2667" s="10" t="s">
        <v>5224</v>
      </c>
      <c r="C2667" s="10" t="s">
        <v>13</v>
      </c>
      <c r="D2667" s="9" t="s">
        <v>13</v>
      </c>
      <c r="E2667" s="9" t="s">
        <v>5153</v>
      </c>
      <c r="F2667" s="10" t="s">
        <v>2715</v>
      </c>
      <c r="G2667" s="11">
        <v>46041</v>
      </c>
    </row>
    <row r="2668" spans="1:7" ht="36.5" hidden="1" x14ac:dyDescent="0.35">
      <c r="A2668" s="8">
        <v>10767</v>
      </c>
      <c r="B2668" s="10" t="s">
        <v>5225</v>
      </c>
      <c r="C2668" s="10" t="s">
        <v>13</v>
      </c>
      <c r="D2668" s="9" t="s">
        <v>13</v>
      </c>
      <c r="E2668" s="9" t="s">
        <v>5153</v>
      </c>
      <c r="F2668" s="10" t="s">
        <v>2530</v>
      </c>
      <c r="G2668" s="11">
        <v>46041</v>
      </c>
    </row>
    <row r="2669" spans="1:7" ht="36.5" hidden="1" x14ac:dyDescent="0.35">
      <c r="A2669" s="8">
        <v>10768</v>
      </c>
      <c r="B2669" s="10" t="s">
        <v>5226</v>
      </c>
      <c r="C2669" s="10" t="s">
        <v>21</v>
      </c>
      <c r="D2669" s="9" t="s">
        <v>21</v>
      </c>
      <c r="E2669" s="9" t="s">
        <v>5153</v>
      </c>
      <c r="F2669" s="10" t="s">
        <v>2530</v>
      </c>
      <c r="G2669" s="11">
        <v>46041</v>
      </c>
    </row>
    <row r="2670" spans="1:7" ht="24.5" hidden="1" x14ac:dyDescent="0.35">
      <c r="A2670" s="8">
        <v>10769</v>
      </c>
      <c r="B2670" s="10" t="s">
        <v>5227</v>
      </c>
      <c r="C2670" s="10" t="s">
        <v>21</v>
      </c>
      <c r="D2670" s="9" t="s">
        <v>21</v>
      </c>
      <c r="E2670" s="9" t="s">
        <v>5153</v>
      </c>
      <c r="F2670" s="10" t="s">
        <v>2522</v>
      </c>
      <c r="G2670" s="11">
        <v>46041</v>
      </c>
    </row>
    <row r="2671" spans="1:7" ht="36.5" hidden="1" x14ac:dyDescent="0.35">
      <c r="A2671" s="8">
        <v>10770</v>
      </c>
      <c r="B2671" s="10" t="s">
        <v>5228</v>
      </c>
      <c r="C2671" s="10" t="s">
        <v>937</v>
      </c>
      <c r="D2671" s="9" t="s">
        <v>96</v>
      </c>
      <c r="E2671" s="9" t="s">
        <v>5188</v>
      </c>
      <c r="F2671" s="10" t="s">
        <v>2540</v>
      </c>
      <c r="G2671" s="11">
        <v>46041</v>
      </c>
    </row>
    <row r="2672" spans="1:7" ht="24.5" hidden="1" x14ac:dyDescent="0.35">
      <c r="A2672" s="8">
        <v>10771</v>
      </c>
      <c r="B2672" s="10" t="s">
        <v>5229</v>
      </c>
      <c r="C2672" s="10" t="s">
        <v>21</v>
      </c>
      <c r="D2672" s="9" t="s">
        <v>395</v>
      </c>
      <c r="E2672" s="9" t="s">
        <v>2440</v>
      </c>
      <c r="F2672" s="10" t="s">
        <v>2522</v>
      </c>
      <c r="G2672" s="11">
        <v>46041</v>
      </c>
    </row>
    <row r="2673" spans="1:7" ht="24.5" hidden="1" x14ac:dyDescent="0.35">
      <c r="A2673" s="8">
        <v>10772</v>
      </c>
      <c r="B2673" s="10" t="s">
        <v>5230</v>
      </c>
      <c r="C2673" s="10" t="s">
        <v>196</v>
      </c>
      <c r="D2673" s="9" t="s">
        <v>196</v>
      </c>
      <c r="E2673" s="9" t="s">
        <v>595</v>
      </c>
      <c r="F2673" s="10" t="s">
        <v>2537</v>
      </c>
      <c r="G2673" s="11">
        <v>46041</v>
      </c>
    </row>
    <row r="2674" spans="1:7" ht="24.5" hidden="1" x14ac:dyDescent="0.35">
      <c r="A2674" s="8">
        <v>10785</v>
      </c>
      <c r="B2674" s="10" t="s">
        <v>5231</v>
      </c>
      <c r="C2674" s="10" t="s">
        <v>95</v>
      </c>
      <c r="D2674" s="9" t="s">
        <v>95</v>
      </c>
      <c r="E2674" s="9" t="s">
        <v>94</v>
      </c>
      <c r="F2674" s="10" t="s">
        <v>2540</v>
      </c>
      <c r="G2674" s="11">
        <v>46036</v>
      </c>
    </row>
    <row r="2675" spans="1:7" ht="36.5" hidden="1" x14ac:dyDescent="0.35">
      <c r="A2675" s="8">
        <v>10786</v>
      </c>
      <c r="B2675" s="10" t="s">
        <v>5232</v>
      </c>
      <c r="C2675" s="10" t="s">
        <v>234</v>
      </c>
      <c r="D2675" s="9" t="s">
        <v>234</v>
      </c>
      <c r="E2675" s="9" t="s">
        <v>2274</v>
      </c>
      <c r="F2675" s="10" t="s">
        <v>2516</v>
      </c>
      <c r="G2675" s="11">
        <v>46036</v>
      </c>
    </row>
    <row r="2676" spans="1:7" ht="36.5" hidden="1" x14ac:dyDescent="0.35">
      <c r="A2676" s="8">
        <v>10787</v>
      </c>
      <c r="B2676" s="10" t="s">
        <v>5233</v>
      </c>
      <c r="C2676" s="10" t="s">
        <v>250</v>
      </c>
      <c r="D2676" s="9" t="s">
        <v>26</v>
      </c>
      <c r="E2676" s="9" t="s">
        <v>30</v>
      </c>
      <c r="F2676" s="10" t="s">
        <v>2516</v>
      </c>
      <c r="G2676" s="11">
        <v>46036</v>
      </c>
    </row>
    <row r="2677" spans="1:7" ht="36.5" hidden="1" x14ac:dyDescent="0.35">
      <c r="A2677" s="8">
        <v>10789</v>
      </c>
      <c r="B2677" s="10" t="s">
        <v>5234</v>
      </c>
      <c r="C2677" s="10" t="s">
        <v>234</v>
      </c>
      <c r="D2677" s="9" t="s">
        <v>95</v>
      </c>
      <c r="E2677" s="9" t="s">
        <v>1872</v>
      </c>
      <c r="F2677" s="10" t="s">
        <v>2525</v>
      </c>
      <c r="G2677" s="11">
        <v>46042</v>
      </c>
    </row>
    <row r="2678" spans="1:7" ht="36.5" hidden="1" x14ac:dyDescent="0.35">
      <c r="A2678" s="8">
        <v>10790</v>
      </c>
      <c r="B2678" s="10" t="s">
        <v>5235</v>
      </c>
      <c r="C2678" s="10" t="s">
        <v>234</v>
      </c>
      <c r="D2678" s="9" t="s">
        <v>95</v>
      </c>
      <c r="E2678" s="9" t="s">
        <v>1872</v>
      </c>
      <c r="F2678" s="10" t="s">
        <v>2525</v>
      </c>
      <c r="G2678" s="11">
        <v>46042</v>
      </c>
    </row>
    <row r="2679" spans="1:7" ht="36.5" hidden="1" x14ac:dyDescent="0.35">
      <c r="A2679" s="8">
        <v>10791</v>
      </c>
      <c r="B2679" s="10" t="s">
        <v>5236</v>
      </c>
      <c r="C2679" s="10" t="s">
        <v>234</v>
      </c>
      <c r="D2679" s="9" t="s">
        <v>95</v>
      </c>
      <c r="E2679" s="9" t="s">
        <v>1872</v>
      </c>
      <c r="F2679" s="10" t="s">
        <v>2525</v>
      </c>
      <c r="G2679" s="11">
        <v>46042</v>
      </c>
    </row>
    <row r="2680" spans="1:7" ht="36.5" hidden="1" x14ac:dyDescent="0.35">
      <c r="A2680" s="8">
        <v>10792</v>
      </c>
      <c r="B2680" s="10" t="s">
        <v>5237</v>
      </c>
      <c r="C2680" s="10" t="s">
        <v>21</v>
      </c>
      <c r="D2680" s="9" t="s">
        <v>395</v>
      </c>
      <c r="E2680" s="9" t="s">
        <v>1926</v>
      </c>
      <c r="F2680" s="10" t="s">
        <v>2525</v>
      </c>
      <c r="G2680" s="11">
        <v>46043</v>
      </c>
    </row>
    <row r="2681" spans="1:7" ht="36.5" hidden="1" x14ac:dyDescent="0.35">
      <c r="A2681" s="8">
        <v>10793</v>
      </c>
      <c r="B2681" s="10" t="s">
        <v>5238</v>
      </c>
      <c r="C2681" s="10" t="s">
        <v>13</v>
      </c>
      <c r="D2681" s="9" t="s">
        <v>395</v>
      </c>
      <c r="E2681" s="9" t="s">
        <v>1926</v>
      </c>
      <c r="F2681" s="10" t="s">
        <v>2525</v>
      </c>
      <c r="G2681" s="11">
        <v>46043</v>
      </c>
    </row>
    <row r="2682" spans="1:7" ht="36.5" hidden="1" x14ac:dyDescent="0.35">
      <c r="A2682" s="8">
        <v>10794</v>
      </c>
      <c r="B2682" s="10" t="s">
        <v>5239</v>
      </c>
      <c r="C2682" s="10" t="s">
        <v>193</v>
      </c>
      <c r="D2682" s="9" t="s">
        <v>234</v>
      </c>
      <c r="E2682" s="9" t="s">
        <v>286</v>
      </c>
      <c r="F2682" s="10" t="s">
        <v>2525</v>
      </c>
      <c r="G2682" s="11">
        <v>46043</v>
      </c>
    </row>
    <row r="2683" spans="1:7" ht="36.5" hidden="1" x14ac:dyDescent="0.35">
      <c r="A2683" s="8">
        <v>10838</v>
      </c>
      <c r="B2683" s="10" t="s">
        <v>5240</v>
      </c>
      <c r="C2683" s="10" t="s">
        <v>21</v>
      </c>
      <c r="D2683" s="9" t="s">
        <v>21</v>
      </c>
      <c r="E2683" s="9" t="s">
        <v>465</v>
      </c>
      <c r="F2683" s="10" t="s">
        <v>2516</v>
      </c>
      <c r="G2683" s="11">
        <v>46045</v>
      </c>
    </row>
    <row r="2684" spans="1:7" ht="36.5" hidden="1" x14ac:dyDescent="0.35">
      <c r="A2684" s="8">
        <v>10795</v>
      </c>
      <c r="B2684" s="10" t="s">
        <v>5241</v>
      </c>
      <c r="C2684" s="10" t="s">
        <v>250</v>
      </c>
      <c r="D2684" s="9" t="s">
        <v>234</v>
      </c>
      <c r="E2684" s="9" t="s">
        <v>286</v>
      </c>
      <c r="F2684" s="10" t="s">
        <v>2530</v>
      </c>
      <c r="G2684" s="11">
        <v>46043</v>
      </c>
    </row>
    <row r="2685" spans="1:7" ht="36.5" hidden="1" x14ac:dyDescent="0.35">
      <c r="A2685" s="8">
        <v>10796</v>
      </c>
      <c r="B2685" s="10" t="s">
        <v>5242</v>
      </c>
      <c r="C2685" s="10" t="s">
        <v>21</v>
      </c>
      <c r="D2685" s="9" t="s">
        <v>21</v>
      </c>
      <c r="E2685" s="9" t="s">
        <v>465</v>
      </c>
      <c r="F2685" s="10" t="s">
        <v>2516</v>
      </c>
      <c r="G2685" s="11">
        <v>46042</v>
      </c>
    </row>
    <row r="2686" spans="1:7" ht="48.5" hidden="1" x14ac:dyDescent="0.35">
      <c r="A2686" s="8">
        <v>10798</v>
      </c>
      <c r="B2686" s="10" t="s">
        <v>5243</v>
      </c>
      <c r="C2686" s="10" t="s">
        <v>96</v>
      </c>
      <c r="D2686" s="9" t="s">
        <v>395</v>
      </c>
      <c r="E2686" s="9" t="s">
        <v>1926</v>
      </c>
      <c r="F2686" s="10" t="s">
        <v>2559</v>
      </c>
      <c r="G2686" s="11">
        <v>46042</v>
      </c>
    </row>
    <row r="2687" spans="1:7" ht="36.5" hidden="1" x14ac:dyDescent="0.35">
      <c r="A2687" s="8">
        <v>10799</v>
      </c>
      <c r="B2687" s="10" t="s">
        <v>5244</v>
      </c>
      <c r="C2687" s="10" t="s">
        <v>250</v>
      </c>
      <c r="D2687" s="9" t="s">
        <v>134</v>
      </c>
      <c r="E2687" s="9" t="s">
        <v>1692</v>
      </c>
      <c r="F2687" s="10" t="s">
        <v>2516</v>
      </c>
      <c r="G2687" s="11">
        <v>46043</v>
      </c>
    </row>
    <row r="2688" spans="1:7" ht="36.5" hidden="1" x14ac:dyDescent="0.35">
      <c r="A2688" s="8">
        <v>10801</v>
      </c>
      <c r="B2688" s="10" t="s">
        <v>5245</v>
      </c>
      <c r="C2688" s="10" t="s">
        <v>26</v>
      </c>
      <c r="D2688" s="9" t="s">
        <v>196</v>
      </c>
      <c r="E2688" s="9" t="s">
        <v>595</v>
      </c>
      <c r="F2688" s="10" t="s">
        <v>2516</v>
      </c>
      <c r="G2688" s="11">
        <v>46043</v>
      </c>
    </row>
    <row r="2689" spans="1:7" ht="36.5" hidden="1" x14ac:dyDescent="0.35">
      <c r="A2689" s="8">
        <v>10803</v>
      </c>
      <c r="B2689" s="10" t="s">
        <v>5246</v>
      </c>
      <c r="C2689" s="10" t="s">
        <v>26</v>
      </c>
      <c r="D2689" s="9" t="s">
        <v>26</v>
      </c>
      <c r="E2689" s="9" t="s">
        <v>30</v>
      </c>
      <c r="F2689" s="10" t="s">
        <v>2516</v>
      </c>
      <c r="G2689" s="11">
        <v>46043</v>
      </c>
    </row>
    <row r="2690" spans="1:7" ht="36.5" hidden="1" x14ac:dyDescent="0.35">
      <c r="A2690" s="8">
        <v>10804</v>
      </c>
      <c r="B2690" s="10" t="s">
        <v>5247</v>
      </c>
      <c r="C2690" s="10" t="s">
        <v>26</v>
      </c>
      <c r="D2690" s="9" t="s">
        <v>196</v>
      </c>
      <c r="E2690" s="9" t="s">
        <v>1305</v>
      </c>
      <c r="F2690" s="10" t="s">
        <v>2516</v>
      </c>
      <c r="G2690" s="11">
        <v>46043</v>
      </c>
    </row>
    <row r="2691" spans="1:7" ht="36.5" hidden="1" x14ac:dyDescent="0.35">
      <c r="A2691" s="8">
        <v>10805</v>
      </c>
      <c r="B2691" s="10" t="s">
        <v>5248</v>
      </c>
      <c r="C2691" s="10" t="s">
        <v>21</v>
      </c>
      <c r="D2691" s="9" t="s">
        <v>395</v>
      </c>
      <c r="E2691" s="9" t="s">
        <v>1926</v>
      </c>
      <c r="F2691" s="10" t="s">
        <v>2525</v>
      </c>
      <c r="G2691" s="11">
        <v>46043</v>
      </c>
    </row>
    <row r="2692" spans="1:7" ht="48.5" hidden="1" x14ac:dyDescent="0.35">
      <c r="A2692" s="8">
        <v>10806</v>
      </c>
      <c r="B2692" s="10" t="s">
        <v>5249</v>
      </c>
      <c r="C2692" s="10" t="s">
        <v>234</v>
      </c>
      <c r="D2692" s="9" t="s">
        <v>95</v>
      </c>
      <c r="E2692" s="9" t="s">
        <v>1316</v>
      </c>
      <c r="F2692" s="10" t="s">
        <v>2559</v>
      </c>
      <c r="G2692" s="11">
        <v>46044</v>
      </c>
    </row>
    <row r="2693" spans="1:7" ht="36.5" hidden="1" x14ac:dyDescent="0.35">
      <c r="A2693" s="8">
        <v>10807</v>
      </c>
      <c r="B2693" s="10" t="s">
        <v>5250</v>
      </c>
      <c r="C2693" s="10" t="s">
        <v>26</v>
      </c>
      <c r="D2693" s="9" t="s">
        <v>395</v>
      </c>
      <c r="E2693" s="9" t="s">
        <v>595</v>
      </c>
      <c r="F2693" s="10" t="s">
        <v>2516</v>
      </c>
      <c r="G2693" s="11">
        <v>46043</v>
      </c>
    </row>
    <row r="2694" spans="1:7" ht="36.5" hidden="1" x14ac:dyDescent="0.35">
      <c r="A2694" s="8">
        <v>10808</v>
      </c>
      <c r="B2694" s="10" t="s">
        <v>5251</v>
      </c>
      <c r="C2694" s="10" t="s">
        <v>26</v>
      </c>
      <c r="D2694" s="9" t="s">
        <v>26</v>
      </c>
      <c r="E2694" s="9" t="s">
        <v>30</v>
      </c>
      <c r="F2694" s="10" t="s">
        <v>2516</v>
      </c>
      <c r="G2694" s="11">
        <v>46043</v>
      </c>
    </row>
    <row r="2695" spans="1:7" ht="36.5" hidden="1" x14ac:dyDescent="0.35">
      <c r="A2695" s="8">
        <v>10810</v>
      </c>
      <c r="B2695" s="10" t="s">
        <v>5252</v>
      </c>
      <c r="C2695" s="10" t="s">
        <v>26</v>
      </c>
      <c r="D2695" s="9" t="s">
        <v>196</v>
      </c>
      <c r="E2695" s="9" t="s">
        <v>595</v>
      </c>
      <c r="F2695" s="10" t="s">
        <v>2516</v>
      </c>
      <c r="G2695" s="11">
        <v>46043</v>
      </c>
    </row>
    <row r="2696" spans="1:7" ht="36.5" hidden="1" x14ac:dyDescent="0.35">
      <c r="A2696" s="8">
        <v>10811</v>
      </c>
      <c r="B2696" s="10" t="s">
        <v>5253</v>
      </c>
      <c r="C2696" s="10" t="s">
        <v>26</v>
      </c>
      <c r="D2696" s="9" t="s">
        <v>26</v>
      </c>
      <c r="E2696" s="9" t="s">
        <v>30</v>
      </c>
      <c r="F2696" s="10" t="s">
        <v>2516</v>
      </c>
      <c r="G2696" s="11">
        <v>46043</v>
      </c>
    </row>
    <row r="2697" spans="1:7" ht="36.5" hidden="1" x14ac:dyDescent="0.35">
      <c r="A2697" s="8">
        <v>10812</v>
      </c>
      <c r="B2697" s="10" t="s">
        <v>5254</v>
      </c>
      <c r="C2697" s="10" t="s">
        <v>26</v>
      </c>
      <c r="D2697" s="9" t="s">
        <v>196</v>
      </c>
      <c r="E2697" s="9" t="s">
        <v>1305</v>
      </c>
      <c r="F2697" s="10" t="s">
        <v>2516</v>
      </c>
      <c r="G2697" s="11">
        <v>46043</v>
      </c>
    </row>
    <row r="2698" spans="1:7" ht="36.5" hidden="1" x14ac:dyDescent="0.35">
      <c r="A2698" s="8">
        <v>10814</v>
      </c>
      <c r="B2698" s="10" t="s">
        <v>5255</v>
      </c>
      <c r="C2698" s="10" t="s">
        <v>371</v>
      </c>
      <c r="D2698" s="9" t="s">
        <v>96</v>
      </c>
      <c r="E2698" s="9" t="s">
        <v>230</v>
      </c>
      <c r="F2698" s="10" t="s">
        <v>2516</v>
      </c>
      <c r="G2698" s="11">
        <v>46043</v>
      </c>
    </row>
    <row r="2699" spans="1:7" ht="36.5" hidden="1" x14ac:dyDescent="0.35">
      <c r="A2699" s="8">
        <v>10815</v>
      </c>
      <c r="B2699" s="10" t="s">
        <v>5256</v>
      </c>
      <c r="C2699" s="10" t="s">
        <v>26</v>
      </c>
      <c r="D2699" s="9" t="s">
        <v>196</v>
      </c>
      <c r="E2699" s="9" t="s">
        <v>1305</v>
      </c>
      <c r="F2699" s="10" t="s">
        <v>2522</v>
      </c>
      <c r="G2699" s="11">
        <v>46043</v>
      </c>
    </row>
    <row r="2700" spans="1:7" ht="36.5" hidden="1" x14ac:dyDescent="0.35">
      <c r="A2700" s="8">
        <v>10816</v>
      </c>
      <c r="B2700" s="10" t="s">
        <v>5257</v>
      </c>
      <c r="C2700" s="10" t="s">
        <v>95</v>
      </c>
      <c r="D2700" s="9" t="s">
        <v>95</v>
      </c>
      <c r="E2700" s="9" t="s">
        <v>657</v>
      </c>
      <c r="F2700" s="10" t="s">
        <v>2516</v>
      </c>
      <c r="G2700" s="11">
        <v>46043</v>
      </c>
    </row>
    <row r="2701" spans="1:7" ht="36.5" hidden="1" x14ac:dyDescent="0.35">
      <c r="A2701" s="8">
        <v>10817</v>
      </c>
      <c r="B2701" s="10" t="s">
        <v>5258</v>
      </c>
      <c r="C2701" s="10" t="s">
        <v>96</v>
      </c>
      <c r="D2701" s="9" t="s">
        <v>96</v>
      </c>
      <c r="E2701" s="9" t="s">
        <v>5132</v>
      </c>
      <c r="F2701" s="10" t="s">
        <v>2516</v>
      </c>
      <c r="G2701" s="11">
        <v>46043</v>
      </c>
    </row>
    <row r="2702" spans="1:7" ht="36.5" hidden="1" x14ac:dyDescent="0.35">
      <c r="A2702" s="8">
        <v>10818</v>
      </c>
      <c r="B2702" s="10" t="s">
        <v>5259</v>
      </c>
      <c r="C2702" s="10" t="s">
        <v>234</v>
      </c>
      <c r="D2702" s="9" t="s">
        <v>234</v>
      </c>
      <c r="E2702" s="9" t="s">
        <v>5195</v>
      </c>
      <c r="F2702" s="10" t="s">
        <v>2516</v>
      </c>
      <c r="G2702" s="11">
        <v>46043</v>
      </c>
    </row>
    <row r="2703" spans="1:7" ht="36.5" hidden="1" x14ac:dyDescent="0.35">
      <c r="A2703" s="8">
        <v>10819</v>
      </c>
      <c r="B2703" s="10" t="s">
        <v>5260</v>
      </c>
      <c r="C2703" s="10" t="s">
        <v>190</v>
      </c>
      <c r="D2703" s="9" t="s">
        <v>234</v>
      </c>
      <c r="E2703" s="9" t="s">
        <v>286</v>
      </c>
      <c r="F2703" s="10" t="s">
        <v>2516</v>
      </c>
      <c r="G2703" s="11">
        <v>46044</v>
      </c>
    </row>
    <row r="2704" spans="1:7" ht="36.5" hidden="1" x14ac:dyDescent="0.35">
      <c r="A2704" s="8">
        <v>10821</v>
      </c>
      <c r="B2704" s="10" t="s">
        <v>5261</v>
      </c>
      <c r="C2704" s="10" t="s">
        <v>21</v>
      </c>
      <c r="D2704" s="9" t="s">
        <v>395</v>
      </c>
      <c r="E2704" s="9" t="s">
        <v>2440</v>
      </c>
      <c r="F2704" s="10" t="s">
        <v>2516</v>
      </c>
      <c r="G2704" s="11">
        <v>46044</v>
      </c>
    </row>
    <row r="2705" spans="1:7" ht="36.5" hidden="1" x14ac:dyDescent="0.35">
      <c r="A2705" s="8">
        <v>10822</v>
      </c>
      <c r="B2705" s="10" t="s">
        <v>5262</v>
      </c>
      <c r="C2705" s="10" t="s">
        <v>371</v>
      </c>
      <c r="D2705" s="9" t="s">
        <v>371</v>
      </c>
      <c r="E2705" s="9" t="s">
        <v>1028</v>
      </c>
      <c r="F2705" s="10" t="s">
        <v>2516</v>
      </c>
      <c r="G2705" s="11">
        <v>46044</v>
      </c>
    </row>
    <row r="2706" spans="1:7" ht="36.5" hidden="1" x14ac:dyDescent="0.35">
      <c r="A2706" s="8">
        <v>10823</v>
      </c>
      <c r="B2706" s="10" t="s">
        <v>5263</v>
      </c>
      <c r="C2706" s="10" t="s">
        <v>13</v>
      </c>
      <c r="D2706" s="9" t="s">
        <v>13</v>
      </c>
      <c r="E2706" s="9" t="s">
        <v>5153</v>
      </c>
      <c r="F2706" s="10" t="s">
        <v>2516</v>
      </c>
      <c r="G2706" s="11">
        <v>46044</v>
      </c>
    </row>
    <row r="2707" spans="1:7" ht="24.5" hidden="1" x14ac:dyDescent="0.35">
      <c r="A2707" s="8">
        <v>10825</v>
      </c>
      <c r="B2707" s="10" t="s">
        <v>5264</v>
      </c>
      <c r="C2707" s="10" t="s">
        <v>371</v>
      </c>
      <c r="D2707" s="9" t="s">
        <v>96</v>
      </c>
      <c r="E2707" s="9" t="s">
        <v>5188</v>
      </c>
      <c r="F2707" s="10" t="s">
        <v>2540</v>
      </c>
      <c r="G2707" s="11">
        <v>46043</v>
      </c>
    </row>
    <row r="2708" spans="1:7" ht="36.5" hidden="1" x14ac:dyDescent="0.35">
      <c r="A2708" s="8">
        <v>10826</v>
      </c>
      <c r="B2708" s="10" t="s">
        <v>5265</v>
      </c>
      <c r="C2708" s="10" t="s">
        <v>34</v>
      </c>
      <c r="D2708" s="9" t="s">
        <v>96</v>
      </c>
      <c r="E2708" s="9" t="s">
        <v>230</v>
      </c>
      <c r="F2708" s="10" t="s">
        <v>2516</v>
      </c>
      <c r="G2708" s="11">
        <v>46043</v>
      </c>
    </row>
    <row r="2709" spans="1:7" ht="36.5" hidden="1" x14ac:dyDescent="0.35">
      <c r="A2709" s="8">
        <v>10827</v>
      </c>
      <c r="B2709" s="10" t="s">
        <v>5266</v>
      </c>
      <c r="C2709" s="10" t="s">
        <v>371</v>
      </c>
      <c r="D2709" s="9" t="s">
        <v>96</v>
      </c>
      <c r="E2709" s="9" t="s">
        <v>5188</v>
      </c>
      <c r="F2709" s="10" t="s">
        <v>2525</v>
      </c>
      <c r="G2709" s="11">
        <v>46043</v>
      </c>
    </row>
    <row r="2710" spans="1:7" ht="36.5" hidden="1" x14ac:dyDescent="0.35">
      <c r="A2710" s="8">
        <v>10831</v>
      </c>
      <c r="B2710" s="10" t="s">
        <v>5267</v>
      </c>
      <c r="C2710" s="10" t="s">
        <v>13</v>
      </c>
      <c r="D2710" s="9" t="s">
        <v>13</v>
      </c>
      <c r="E2710" s="9" t="s">
        <v>465</v>
      </c>
      <c r="F2710" s="10" t="s">
        <v>2516</v>
      </c>
      <c r="G2710" s="11">
        <v>46045</v>
      </c>
    </row>
    <row r="2711" spans="1:7" ht="36.5" hidden="1" x14ac:dyDescent="0.35">
      <c r="A2711" s="8">
        <v>10832</v>
      </c>
      <c r="B2711" s="10" t="s">
        <v>5268</v>
      </c>
      <c r="C2711" s="10" t="s">
        <v>13</v>
      </c>
      <c r="D2711" s="9" t="s">
        <v>13</v>
      </c>
      <c r="E2711" s="9" t="s">
        <v>465</v>
      </c>
      <c r="F2711" s="10" t="s">
        <v>2516</v>
      </c>
      <c r="G2711" s="11">
        <v>46045</v>
      </c>
    </row>
    <row r="2712" spans="1:7" ht="24.5" hidden="1" x14ac:dyDescent="0.35">
      <c r="A2712" s="8">
        <v>10833</v>
      </c>
      <c r="B2712" s="10" t="s">
        <v>5269</v>
      </c>
      <c r="C2712" s="10" t="s">
        <v>13</v>
      </c>
      <c r="D2712" s="9" t="s">
        <v>13</v>
      </c>
      <c r="E2712" s="9" t="s">
        <v>5153</v>
      </c>
      <c r="F2712" s="10" t="s">
        <v>2522</v>
      </c>
      <c r="G2712" s="11">
        <v>46045</v>
      </c>
    </row>
    <row r="2713" spans="1:7" ht="36.5" hidden="1" x14ac:dyDescent="0.35">
      <c r="A2713" s="8">
        <v>10834</v>
      </c>
      <c r="B2713" s="10" t="s">
        <v>5270</v>
      </c>
      <c r="C2713" s="10" t="s">
        <v>13</v>
      </c>
      <c r="D2713" s="9" t="s">
        <v>13</v>
      </c>
      <c r="E2713" s="9" t="s">
        <v>5153</v>
      </c>
      <c r="F2713" s="10" t="s">
        <v>2516</v>
      </c>
      <c r="G2713" s="11">
        <v>46045</v>
      </c>
    </row>
    <row r="2714" spans="1:7" ht="24.5" hidden="1" x14ac:dyDescent="0.35">
      <c r="A2714" s="8">
        <v>10835</v>
      </c>
      <c r="B2714" s="10" t="s">
        <v>5271</v>
      </c>
      <c r="C2714" s="10" t="s">
        <v>13</v>
      </c>
      <c r="D2714" s="9" t="s">
        <v>13</v>
      </c>
      <c r="E2714" s="9" t="s">
        <v>5153</v>
      </c>
      <c r="F2714" s="10" t="s">
        <v>2522</v>
      </c>
      <c r="G2714" s="11">
        <v>46045</v>
      </c>
    </row>
    <row r="2715" spans="1:7" ht="24.5" hidden="1" x14ac:dyDescent="0.35">
      <c r="A2715" s="8">
        <v>10837</v>
      </c>
      <c r="B2715" s="10" t="s">
        <v>5272</v>
      </c>
      <c r="C2715" s="10" t="s">
        <v>96</v>
      </c>
      <c r="D2715" s="9" t="s">
        <v>96</v>
      </c>
      <c r="E2715" s="9" t="s">
        <v>5132</v>
      </c>
      <c r="F2715" s="10" t="s">
        <v>2537</v>
      </c>
      <c r="G2715" s="11">
        <v>46045</v>
      </c>
    </row>
    <row r="2716" spans="1:7" ht="24.5" hidden="1" x14ac:dyDescent="0.35">
      <c r="A2716" s="8">
        <v>10836</v>
      </c>
      <c r="B2716" s="10" t="s">
        <v>5273</v>
      </c>
      <c r="C2716" s="10" t="s">
        <v>234</v>
      </c>
      <c r="D2716" s="9" t="s">
        <v>190</v>
      </c>
      <c r="E2716" s="9" t="s">
        <v>592</v>
      </c>
      <c r="F2716" s="10" t="s">
        <v>2540</v>
      </c>
      <c r="G2716" s="11">
        <v>46045</v>
      </c>
    </row>
    <row r="2717" spans="1:7" ht="48.5" hidden="1" x14ac:dyDescent="0.35">
      <c r="A2717" s="8">
        <v>10839</v>
      </c>
      <c r="B2717" s="10" t="s">
        <v>5274</v>
      </c>
      <c r="C2717" s="10" t="s">
        <v>104</v>
      </c>
      <c r="D2717" s="9" t="s">
        <v>95</v>
      </c>
      <c r="E2717" s="9" t="s">
        <v>2863</v>
      </c>
      <c r="F2717" s="10" t="s">
        <v>2559</v>
      </c>
      <c r="G2717" s="11">
        <v>46048</v>
      </c>
    </row>
    <row r="2718" spans="1:7" ht="48.5" hidden="1" x14ac:dyDescent="0.35">
      <c r="A2718" s="8">
        <v>10840</v>
      </c>
      <c r="B2718" s="10" t="s">
        <v>5275</v>
      </c>
      <c r="C2718" s="10" t="s">
        <v>250</v>
      </c>
      <c r="D2718" s="9" t="s">
        <v>234</v>
      </c>
      <c r="E2718" s="9" t="s">
        <v>286</v>
      </c>
      <c r="F2718" s="10" t="s">
        <v>2559</v>
      </c>
      <c r="G2718" s="11">
        <v>46048</v>
      </c>
    </row>
    <row r="2719" spans="1:7" ht="24.5" hidden="1" x14ac:dyDescent="0.35">
      <c r="A2719" s="8">
        <v>10843</v>
      </c>
      <c r="B2719" s="10" t="s">
        <v>5276</v>
      </c>
      <c r="C2719" s="10" t="s">
        <v>96</v>
      </c>
      <c r="D2719" s="9" t="s">
        <v>96</v>
      </c>
      <c r="E2719" s="9" t="s">
        <v>5132</v>
      </c>
      <c r="F2719" s="10" t="s">
        <v>2537</v>
      </c>
      <c r="G2719" s="11">
        <v>46048</v>
      </c>
    </row>
    <row r="2720" spans="1:7" ht="36.5" hidden="1" x14ac:dyDescent="0.35">
      <c r="A2720" s="8">
        <v>10844</v>
      </c>
      <c r="B2720" s="10" t="s">
        <v>5277</v>
      </c>
      <c r="C2720" s="10" t="s">
        <v>96</v>
      </c>
      <c r="D2720" s="9" t="s">
        <v>96</v>
      </c>
      <c r="E2720" s="9" t="s">
        <v>2440</v>
      </c>
      <c r="F2720" s="10" t="s">
        <v>2516</v>
      </c>
      <c r="G2720" s="11">
        <v>46048</v>
      </c>
    </row>
    <row r="2721" spans="1:7" ht="24.5" hidden="1" x14ac:dyDescent="0.35">
      <c r="A2721" s="8">
        <v>10845</v>
      </c>
      <c r="B2721" s="10" t="s">
        <v>5278</v>
      </c>
      <c r="C2721" s="10" t="s">
        <v>190</v>
      </c>
      <c r="D2721" s="9" t="s">
        <v>278</v>
      </c>
      <c r="E2721" s="9" t="s">
        <v>2440</v>
      </c>
      <c r="F2721" s="10" t="s">
        <v>2537</v>
      </c>
      <c r="G2721" s="11">
        <v>46048</v>
      </c>
    </row>
    <row r="2722" spans="1:7" ht="24.5" hidden="1" x14ac:dyDescent="0.35">
      <c r="A2722" s="8">
        <v>10846</v>
      </c>
      <c r="B2722" s="10" t="s">
        <v>5279</v>
      </c>
      <c r="C2722" s="10" t="s">
        <v>26</v>
      </c>
      <c r="D2722" s="9" t="s">
        <v>26</v>
      </c>
      <c r="E2722" s="9" t="s">
        <v>30</v>
      </c>
      <c r="F2722" s="10" t="s">
        <v>2522</v>
      </c>
      <c r="G2722" s="11">
        <v>46048</v>
      </c>
    </row>
    <row r="2723" spans="1:7" ht="24.5" hidden="1" x14ac:dyDescent="0.35">
      <c r="A2723" s="8">
        <v>10848</v>
      </c>
      <c r="B2723" s="10" t="s">
        <v>5280</v>
      </c>
      <c r="C2723" s="10" t="s">
        <v>26</v>
      </c>
      <c r="D2723" s="9" t="s">
        <v>26</v>
      </c>
      <c r="E2723" s="9" t="s">
        <v>30</v>
      </c>
      <c r="F2723" s="10" t="s">
        <v>2540</v>
      </c>
      <c r="G2723" s="11">
        <v>46050</v>
      </c>
    </row>
    <row r="2724" spans="1:7" ht="36.5" hidden="1" x14ac:dyDescent="0.35">
      <c r="A2724" s="8">
        <v>10849</v>
      </c>
      <c r="B2724" s="10" t="s">
        <v>5281</v>
      </c>
      <c r="C2724" s="10" t="s">
        <v>134</v>
      </c>
      <c r="D2724" s="9" t="s">
        <v>395</v>
      </c>
      <c r="E2724" s="9" t="s">
        <v>1037</v>
      </c>
      <c r="F2724" s="10" t="s">
        <v>2525</v>
      </c>
      <c r="G2724" s="11">
        <v>46050</v>
      </c>
    </row>
    <row r="2725" spans="1:7" ht="36.5" hidden="1" x14ac:dyDescent="0.35">
      <c r="A2725" s="8">
        <v>10852</v>
      </c>
      <c r="B2725" s="10" t="s">
        <v>5282</v>
      </c>
      <c r="C2725" s="10" t="s">
        <v>250</v>
      </c>
      <c r="D2725" s="9" t="s">
        <v>95</v>
      </c>
      <c r="E2725" s="9" t="s">
        <v>1872</v>
      </c>
      <c r="F2725" s="10" t="s">
        <v>2516</v>
      </c>
      <c r="G2725" s="11">
        <v>46050</v>
      </c>
    </row>
    <row r="2726" spans="1:7" ht="24.5" hidden="1" x14ac:dyDescent="0.35">
      <c r="A2726" s="8">
        <v>10853</v>
      </c>
      <c r="B2726" s="10" t="s">
        <v>5283</v>
      </c>
      <c r="C2726" s="10" t="s">
        <v>104</v>
      </c>
      <c r="D2726" s="9" t="s">
        <v>220</v>
      </c>
      <c r="E2726" s="9" t="s">
        <v>2845</v>
      </c>
      <c r="F2726" s="10" t="s">
        <v>2522</v>
      </c>
      <c r="G2726" s="11">
        <v>46050</v>
      </c>
    </row>
    <row r="2727" spans="1:7" ht="36.5" hidden="1" x14ac:dyDescent="0.35">
      <c r="A2727" s="8">
        <v>10854</v>
      </c>
      <c r="B2727" s="10" t="s">
        <v>5284</v>
      </c>
      <c r="C2727" s="10" t="s">
        <v>196</v>
      </c>
      <c r="D2727" s="9" t="s">
        <v>196</v>
      </c>
      <c r="E2727" s="9" t="s">
        <v>595</v>
      </c>
      <c r="F2727" s="10" t="s">
        <v>2516</v>
      </c>
      <c r="G2727" s="11">
        <v>46050</v>
      </c>
    </row>
    <row r="2728" spans="1:7" ht="36.5" hidden="1" x14ac:dyDescent="0.35">
      <c r="A2728" s="8">
        <v>10855</v>
      </c>
      <c r="B2728" s="10" t="s">
        <v>5285</v>
      </c>
      <c r="C2728" s="10" t="s">
        <v>250</v>
      </c>
      <c r="D2728" s="9" t="s">
        <v>95</v>
      </c>
      <c r="E2728" s="9" t="s">
        <v>1872</v>
      </c>
      <c r="F2728" s="10" t="s">
        <v>2516</v>
      </c>
      <c r="G2728" s="11">
        <v>46050</v>
      </c>
    </row>
    <row r="2729" spans="1:7" ht="24.5" hidden="1" x14ac:dyDescent="0.35">
      <c r="A2729" s="8">
        <v>10856</v>
      </c>
      <c r="B2729" s="10" t="s">
        <v>5286</v>
      </c>
      <c r="C2729" s="10" t="s">
        <v>250</v>
      </c>
      <c r="D2729" s="9" t="s">
        <v>95</v>
      </c>
      <c r="E2729" s="9" t="s">
        <v>1872</v>
      </c>
      <c r="F2729" s="10" t="s">
        <v>2522</v>
      </c>
      <c r="G2729" s="11">
        <v>46050</v>
      </c>
    </row>
    <row r="2730" spans="1:7" ht="36.5" hidden="1" x14ac:dyDescent="0.35">
      <c r="A2730" s="8">
        <v>10857</v>
      </c>
      <c r="B2730" s="10" t="s">
        <v>5287</v>
      </c>
      <c r="C2730" s="10" t="s">
        <v>196</v>
      </c>
      <c r="D2730" s="9" t="s">
        <v>196</v>
      </c>
      <c r="E2730" s="9" t="s">
        <v>595</v>
      </c>
      <c r="F2730" s="10" t="s">
        <v>2516</v>
      </c>
      <c r="G2730" s="11">
        <v>46050</v>
      </c>
    </row>
    <row r="2731" spans="1:7" ht="36.5" hidden="1" x14ac:dyDescent="0.35">
      <c r="A2731" s="8">
        <v>10858</v>
      </c>
      <c r="B2731" s="10" t="s">
        <v>5288</v>
      </c>
      <c r="C2731" s="10" t="s">
        <v>13</v>
      </c>
      <c r="D2731" s="9" t="s">
        <v>13</v>
      </c>
      <c r="E2731" s="9" t="s">
        <v>168</v>
      </c>
      <c r="F2731" s="10" t="s">
        <v>2525</v>
      </c>
      <c r="G2731" s="11">
        <v>46050</v>
      </c>
    </row>
    <row r="2732" spans="1:7" ht="36.5" hidden="1" x14ac:dyDescent="0.35">
      <c r="A2732" s="8">
        <v>10859</v>
      </c>
      <c r="B2732" s="10" t="s">
        <v>5287</v>
      </c>
      <c r="C2732" s="10" t="s">
        <v>196</v>
      </c>
      <c r="D2732" s="9" t="s">
        <v>196</v>
      </c>
      <c r="E2732" s="9" t="s">
        <v>595</v>
      </c>
      <c r="F2732" s="10" t="s">
        <v>2516</v>
      </c>
      <c r="G2732" s="11">
        <v>46050</v>
      </c>
    </row>
    <row r="2733" spans="1:7" ht="36.5" hidden="1" x14ac:dyDescent="0.35">
      <c r="A2733" s="8">
        <v>10860</v>
      </c>
      <c r="B2733" s="10" t="s">
        <v>5289</v>
      </c>
      <c r="C2733" s="10" t="s">
        <v>250</v>
      </c>
      <c r="D2733" s="9" t="s">
        <v>95</v>
      </c>
      <c r="E2733" s="9" t="s">
        <v>1872</v>
      </c>
      <c r="F2733" s="10" t="s">
        <v>2516</v>
      </c>
      <c r="G2733" s="11">
        <v>46050</v>
      </c>
    </row>
    <row r="2734" spans="1:7" ht="36.5" hidden="1" x14ac:dyDescent="0.35">
      <c r="A2734" s="8">
        <v>10861</v>
      </c>
      <c r="B2734" s="10" t="s">
        <v>5290</v>
      </c>
      <c r="C2734" s="10" t="s">
        <v>96</v>
      </c>
      <c r="D2734" s="9" t="s">
        <v>227</v>
      </c>
      <c r="E2734" s="9" t="s">
        <v>230</v>
      </c>
      <c r="F2734" s="10" t="s">
        <v>2525</v>
      </c>
      <c r="G2734" s="11">
        <v>46050</v>
      </c>
    </row>
    <row r="2735" spans="1:7" ht="36.5" hidden="1" x14ac:dyDescent="0.35">
      <c r="A2735" s="8">
        <v>10862</v>
      </c>
      <c r="B2735" s="10" t="s">
        <v>5291</v>
      </c>
      <c r="C2735" s="10" t="s">
        <v>250</v>
      </c>
      <c r="D2735" s="9" t="s">
        <v>95</v>
      </c>
      <c r="E2735" s="9" t="s">
        <v>1872</v>
      </c>
      <c r="F2735" s="10" t="s">
        <v>2525</v>
      </c>
      <c r="G2735" s="11">
        <v>46050</v>
      </c>
    </row>
    <row r="2736" spans="1:7" ht="36.5" hidden="1" x14ac:dyDescent="0.35">
      <c r="A2736" s="8">
        <v>10863</v>
      </c>
      <c r="B2736" s="10" t="s">
        <v>5292</v>
      </c>
      <c r="C2736" s="10" t="s">
        <v>196</v>
      </c>
      <c r="D2736" s="9" t="s">
        <v>196</v>
      </c>
      <c r="E2736" s="9" t="s">
        <v>595</v>
      </c>
      <c r="F2736" s="10" t="s">
        <v>2525</v>
      </c>
      <c r="G2736" s="11">
        <v>46050</v>
      </c>
    </row>
    <row r="2737" spans="1:7" ht="36.5" hidden="1" x14ac:dyDescent="0.35">
      <c r="A2737" s="8">
        <v>10864</v>
      </c>
      <c r="B2737" s="10" t="s">
        <v>5293</v>
      </c>
      <c r="C2737" s="10" t="s">
        <v>234</v>
      </c>
      <c r="D2737" s="9" t="s">
        <v>227</v>
      </c>
      <c r="E2737" s="9" t="s">
        <v>230</v>
      </c>
      <c r="F2737" s="10" t="s">
        <v>2530</v>
      </c>
      <c r="G2737" s="11">
        <v>46050</v>
      </c>
    </row>
    <row r="2738" spans="1:7" ht="24.5" hidden="1" x14ac:dyDescent="0.35">
      <c r="A2738" s="8">
        <v>10865</v>
      </c>
      <c r="B2738" s="10" t="s">
        <v>5294</v>
      </c>
      <c r="C2738" s="10" t="s">
        <v>26</v>
      </c>
      <c r="D2738" s="9" t="s">
        <v>95</v>
      </c>
      <c r="E2738" s="9" t="s">
        <v>94</v>
      </c>
      <c r="F2738" s="10" t="s">
        <v>2540</v>
      </c>
      <c r="G2738" s="11">
        <v>46050</v>
      </c>
    </row>
    <row r="2739" spans="1:7" ht="36.5" hidden="1" x14ac:dyDescent="0.35">
      <c r="A2739" s="8">
        <v>10867</v>
      </c>
      <c r="B2739" s="10" t="s">
        <v>5295</v>
      </c>
      <c r="C2739" s="10" t="s">
        <v>21</v>
      </c>
      <c r="D2739" s="9" t="s">
        <v>395</v>
      </c>
      <c r="E2739" s="9" t="s">
        <v>1926</v>
      </c>
      <c r="F2739" s="10" t="s">
        <v>2530</v>
      </c>
      <c r="G2739" s="11">
        <v>46050</v>
      </c>
    </row>
    <row r="2740" spans="1:7" ht="36.5" hidden="1" x14ac:dyDescent="0.35">
      <c r="A2740" s="8">
        <v>10866</v>
      </c>
      <c r="B2740" s="10" t="s">
        <v>5296</v>
      </c>
      <c r="C2740" s="10" t="s">
        <v>21</v>
      </c>
      <c r="D2740" s="9" t="s">
        <v>395</v>
      </c>
      <c r="E2740" s="9" t="s">
        <v>1926</v>
      </c>
      <c r="F2740" s="10" t="s">
        <v>2525</v>
      </c>
      <c r="G2740" s="11">
        <v>46050</v>
      </c>
    </row>
    <row r="2741" spans="1:7" ht="36.5" hidden="1" x14ac:dyDescent="0.35">
      <c r="A2741" s="8">
        <v>10868</v>
      </c>
      <c r="B2741" s="10" t="s">
        <v>5297</v>
      </c>
      <c r="C2741" s="10" t="s">
        <v>250</v>
      </c>
      <c r="D2741" s="9" t="s">
        <v>95</v>
      </c>
      <c r="E2741" s="9" t="s">
        <v>1872</v>
      </c>
      <c r="F2741" s="10" t="s">
        <v>2530</v>
      </c>
      <c r="G2741" s="11">
        <v>46050</v>
      </c>
    </row>
    <row r="2742" spans="1:7" ht="24.5" hidden="1" x14ac:dyDescent="0.35">
      <c r="A2742" s="8">
        <v>10869</v>
      </c>
      <c r="B2742" s="10" t="s">
        <v>5298</v>
      </c>
      <c r="C2742" s="10" t="s">
        <v>196</v>
      </c>
      <c r="D2742" s="9" t="s">
        <v>196</v>
      </c>
      <c r="E2742" s="9" t="s">
        <v>595</v>
      </c>
      <c r="F2742" s="10" t="s">
        <v>2537</v>
      </c>
      <c r="G2742" s="11">
        <v>46050</v>
      </c>
    </row>
    <row r="2743" spans="1:7" ht="24.5" hidden="1" x14ac:dyDescent="0.35">
      <c r="A2743" s="8">
        <v>10870</v>
      </c>
      <c r="B2743" s="10" t="s">
        <v>5299</v>
      </c>
      <c r="C2743" s="10" t="s">
        <v>26</v>
      </c>
      <c r="D2743" s="9" t="s">
        <v>190</v>
      </c>
      <c r="E2743" s="9" t="s">
        <v>374</v>
      </c>
      <c r="F2743" s="10" t="s">
        <v>2522</v>
      </c>
      <c r="G2743" s="11">
        <v>46050</v>
      </c>
    </row>
    <row r="2744" spans="1:7" ht="24.5" hidden="1" x14ac:dyDescent="0.35">
      <c r="A2744" s="8">
        <v>10871</v>
      </c>
      <c r="B2744" s="10" t="s">
        <v>5300</v>
      </c>
      <c r="C2744" s="10" t="s">
        <v>26</v>
      </c>
      <c r="D2744" s="9" t="s">
        <v>190</v>
      </c>
      <c r="E2744" s="9" t="s">
        <v>374</v>
      </c>
      <c r="F2744" s="10" t="s">
        <v>2540</v>
      </c>
      <c r="G2744" s="11">
        <v>46050</v>
      </c>
    </row>
    <row r="2745" spans="1:7" ht="36.5" hidden="1" x14ac:dyDescent="0.35">
      <c r="A2745" s="8">
        <v>10872</v>
      </c>
      <c r="B2745" s="10" t="s">
        <v>5301</v>
      </c>
      <c r="C2745" s="10" t="s">
        <v>13</v>
      </c>
      <c r="D2745" s="9" t="s">
        <v>395</v>
      </c>
      <c r="E2745" s="9" t="s">
        <v>1926</v>
      </c>
      <c r="F2745" s="10" t="s">
        <v>2516</v>
      </c>
      <c r="G2745" s="11">
        <v>46050</v>
      </c>
    </row>
    <row r="2746" spans="1:7" ht="36.5" hidden="1" x14ac:dyDescent="0.35">
      <c r="A2746" s="8">
        <v>10873</v>
      </c>
      <c r="B2746" s="10" t="s">
        <v>5302</v>
      </c>
      <c r="C2746" s="10" t="s">
        <v>196</v>
      </c>
      <c r="D2746" s="9" t="s">
        <v>196</v>
      </c>
      <c r="E2746" s="9" t="s">
        <v>595</v>
      </c>
      <c r="F2746" s="10" t="s">
        <v>2525</v>
      </c>
      <c r="G2746" s="11">
        <v>46050</v>
      </c>
    </row>
    <row r="2747" spans="1:7" ht="36.5" hidden="1" x14ac:dyDescent="0.35">
      <c r="A2747" s="8">
        <v>10874</v>
      </c>
      <c r="B2747" s="10" t="s">
        <v>5303</v>
      </c>
      <c r="C2747" s="10" t="s">
        <v>26</v>
      </c>
      <c r="D2747" s="9" t="s">
        <v>190</v>
      </c>
      <c r="E2747" s="9" t="s">
        <v>374</v>
      </c>
      <c r="F2747" s="10" t="s">
        <v>2516</v>
      </c>
      <c r="G2747" s="11">
        <v>46050</v>
      </c>
    </row>
    <row r="2748" spans="1:7" ht="36.5" hidden="1" x14ac:dyDescent="0.35">
      <c r="A2748" s="8">
        <v>10876</v>
      </c>
      <c r="B2748" s="10" t="s">
        <v>5304</v>
      </c>
      <c r="C2748" s="10" t="s">
        <v>220</v>
      </c>
      <c r="D2748" s="9" t="s">
        <v>371</v>
      </c>
      <c r="E2748" s="9" t="s">
        <v>373</v>
      </c>
      <c r="F2748" s="10" t="s">
        <v>2525</v>
      </c>
      <c r="G2748" s="11">
        <v>46050</v>
      </c>
    </row>
    <row r="2749" spans="1:7" ht="36.5" hidden="1" x14ac:dyDescent="0.35">
      <c r="A2749" s="8">
        <v>10878</v>
      </c>
      <c r="B2749" s="10" t="s">
        <v>5305</v>
      </c>
      <c r="C2749" s="10" t="s">
        <v>96</v>
      </c>
      <c r="D2749" s="9" t="s">
        <v>96</v>
      </c>
      <c r="E2749" s="9" t="s">
        <v>3081</v>
      </c>
      <c r="F2749" s="10" t="s">
        <v>2516</v>
      </c>
      <c r="G2749" s="11">
        <v>46050</v>
      </c>
    </row>
    <row r="2750" spans="1:7" ht="36.5" hidden="1" x14ac:dyDescent="0.35">
      <c r="A2750" s="8">
        <v>10879</v>
      </c>
      <c r="B2750" s="10" t="s">
        <v>5306</v>
      </c>
      <c r="C2750" s="10" t="s">
        <v>193</v>
      </c>
      <c r="D2750" s="9" t="s">
        <v>250</v>
      </c>
      <c r="E2750" s="9" t="s">
        <v>374</v>
      </c>
      <c r="F2750" s="10" t="s">
        <v>2516</v>
      </c>
      <c r="G2750" s="11">
        <v>46050</v>
      </c>
    </row>
    <row r="2751" spans="1:7" ht="36.5" hidden="1" x14ac:dyDescent="0.35">
      <c r="A2751" s="8">
        <v>10881</v>
      </c>
      <c r="B2751" s="10" t="s">
        <v>5307</v>
      </c>
      <c r="C2751" s="10" t="s">
        <v>13</v>
      </c>
      <c r="D2751" s="9" t="s">
        <v>395</v>
      </c>
      <c r="E2751" s="9" t="s">
        <v>3526</v>
      </c>
      <c r="F2751" s="10" t="s">
        <v>2525</v>
      </c>
      <c r="G2751" s="11">
        <v>46050</v>
      </c>
    </row>
    <row r="2752" spans="1:7" ht="24.5" hidden="1" x14ac:dyDescent="0.35">
      <c r="A2752" s="8">
        <v>10883</v>
      </c>
      <c r="B2752" s="10" t="s">
        <v>5308</v>
      </c>
      <c r="C2752" s="10" t="s">
        <v>234</v>
      </c>
      <c r="D2752" s="9" t="s">
        <v>95</v>
      </c>
      <c r="E2752" s="9" t="s">
        <v>822</v>
      </c>
      <c r="F2752" s="10" t="s">
        <v>2522</v>
      </c>
      <c r="G2752" s="11">
        <v>46043</v>
      </c>
    </row>
    <row r="2753" spans="1:7" ht="36.5" hidden="1" x14ac:dyDescent="0.35">
      <c r="A2753" s="8">
        <v>10884</v>
      </c>
      <c r="B2753" s="10" t="s">
        <v>5238</v>
      </c>
      <c r="C2753" s="10" t="s">
        <v>13</v>
      </c>
      <c r="D2753" s="9" t="s">
        <v>395</v>
      </c>
      <c r="E2753" s="9" t="s">
        <v>1926</v>
      </c>
      <c r="F2753" s="10" t="s">
        <v>2525</v>
      </c>
      <c r="G2753" s="11">
        <v>46051</v>
      </c>
    </row>
    <row r="2754" spans="1:7" ht="36.5" hidden="1" x14ac:dyDescent="0.35">
      <c r="A2754" s="8">
        <v>10885</v>
      </c>
      <c r="B2754" s="10" t="s">
        <v>5309</v>
      </c>
      <c r="C2754" s="10" t="s">
        <v>21</v>
      </c>
      <c r="D2754" s="9" t="s">
        <v>395</v>
      </c>
      <c r="E2754" s="9" t="s">
        <v>1926</v>
      </c>
      <c r="F2754" s="10" t="s">
        <v>2530</v>
      </c>
      <c r="G2754" s="11">
        <v>46051</v>
      </c>
    </row>
    <row r="2755" spans="1:7" ht="36.5" hidden="1" x14ac:dyDescent="0.35">
      <c r="A2755" s="8">
        <v>10886</v>
      </c>
      <c r="B2755" s="10" t="s">
        <v>5310</v>
      </c>
      <c r="C2755" s="10" t="s">
        <v>21</v>
      </c>
      <c r="D2755" s="9" t="s">
        <v>395</v>
      </c>
      <c r="E2755" s="9" t="s">
        <v>1926</v>
      </c>
      <c r="F2755" s="10" t="s">
        <v>2530</v>
      </c>
      <c r="G2755" s="11">
        <v>46051</v>
      </c>
    </row>
    <row r="2756" spans="1:7" ht="36.5" hidden="1" x14ac:dyDescent="0.35">
      <c r="A2756" s="8">
        <v>10887</v>
      </c>
      <c r="B2756" s="10" t="s">
        <v>5311</v>
      </c>
      <c r="C2756" s="10" t="s">
        <v>21</v>
      </c>
      <c r="D2756" s="9" t="s">
        <v>395</v>
      </c>
      <c r="E2756" s="9" t="s">
        <v>1926</v>
      </c>
      <c r="F2756" s="10" t="s">
        <v>2530</v>
      </c>
      <c r="G2756" s="11">
        <v>46051</v>
      </c>
    </row>
    <row r="2757" spans="1:7" ht="36.5" hidden="1" x14ac:dyDescent="0.35">
      <c r="A2757" s="8">
        <v>10888</v>
      </c>
      <c r="B2757" s="10" t="s">
        <v>5312</v>
      </c>
      <c r="C2757" s="10" t="s">
        <v>21</v>
      </c>
      <c r="D2757" s="9" t="s">
        <v>395</v>
      </c>
      <c r="E2757" s="9" t="s">
        <v>1926</v>
      </c>
      <c r="F2757" s="10" t="s">
        <v>2530</v>
      </c>
      <c r="G2757" s="11">
        <v>46051</v>
      </c>
    </row>
    <row r="2758" spans="1:7" ht="36.5" hidden="1" x14ac:dyDescent="0.35">
      <c r="A2758" s="8">
        <v>10889</v>
      </c>
      <c r="B2758" s="10" t="s">
        <v>5313</v>
      </c>
      <c r="C2758" s="10" t="s">
        <v>21</v>
      </c>
      <c r="D2758" s="9" t="s">
        <v>395</v>
      </c>
      <c r="E2758" s="9" t="s">
        <v>1926</v>
      </c>
      <c r="F2758" s="10" t="s">
        <v>2530</v>
      </c>
      <c r="G2758" s="11">
        <v>46051</v>
      </c>
    </row>
    <row r="2759" spans="1:7" ht="36.5" hidden="1" x14ac:dyDescent="0.35">
      <c r="A2759" s="8">
        <v>10890</v>
      </c>
      <c r="B2759" s="10" t="s">
        <v>5314</v>
      </c>
      <c r="C2759" s="10" t="s">
        <v>21</v>
      </c>
      <c r="D2759" s="9" t="s">
        <v>395</v>
      </c>
      <c r="E2759" s="9" t="s">
        <v>1926</v>
      </c>
      <c r="F2759" s="10" t="s">
        <v>2530</v>
      </c>
      <c r="G2759" s="11">
        <v>46051</v>
      </c>
    </row>
    <row r="2760" spans="1:7" ht="48.5" hidden="1" x14ac:dyDescent="0.35">
      <c r="A2760" s="8">
        <v>10891</v>
      </c>
      <c r="B2760" s="10" t="s">
        <v>5315</v>
      </c>
      <c r="C2760" s="10" t="s">
        <v>190</v>
      </c>
      <c r="D2760" s="9" t="s">
        <v>234</v>
      </c>
      <c r="E2760" s="9" t="s">
        <v>286</v>
      </c>
      <c r="F2760" s="10" t="s">
        <v>2559</v>
      </c>
      <c r="G2760" s="11">
        <v>46051</v>
      </c>
    </row>
    <row r="2761" spans="1:7" ht="48.5" hidden="1" x14ac:dyDescent="0.35">
      <c r="A2761" s="8">
        <v>10892</v>
      </c>
      <c r="B2761" s="10" t="s">
        <v>5316</v>
      </c>
      <c r="C2761" s="10" t="s">
        <v>234</v>
      </c>
      <c r="D2761" s="9" t="s">
        <v>234</v>
      </c>
      <c r="E2761" s="9" t="s">
        <v>286</v>
      </c>
      <c r="F2761" s="10" t="s">
        <v>2559</v>
      </c>
      <c r="G2761" s="11">
        <v>46051</v>
      </c>
    </row>
    <row r="2762" spans="1:7" ht="36.5" hidden="1" x14ac:dyDescent="0.35">
      <c r="A2762" s="8">
        <v>10893</v>
      </c>
      <c r="B2762" s="10" t="s">
        <v>5317</v>
      </c>
      <c r="C2762" s="10" t="s">
        <v>21</v>
      </c>
      <c r="D2762" s="9" t="s">
        <v>395</v>
      </c>
      <c r="E2762" s="9" t="s">
        <v>1926</v>
      </c>
      <c r="F2762" s="10" t="s">
        <v>2530</v>
      </c>
      <c r="G2762" s="11">
        <v>46051</v>
      </c>
    </row>
    <row r="2763" spans="1:7" ht="36.5" hidden="1" x14ac:dyDescent="0.35">
      <c r="A2763" s="8">
        <v>10894</v>
      </c>
      <c r="B2763" s="10" t="s">
        <v>5318</v>
      </c>
      <c r="C2763" s="10" t="s">
        <v>21</v>
      </c>
      <c r="D2763" s="9" t="s">
        <v>395</v>
      </c>
      <c r="E2763" s="9" t="s">
        <v>1926</v>
      </c>
      <c r="F2763" s="10" t="s">
        <v>2530</v>
      </c>
      <c r="G2763" s="11">
        <v>46051</v>
      </c>
    </row>
    <row r="2764" spans="1:7" ht="36.5" hidden="1" x14ac:dyDescent="0.35">
      <c r="A2764" s="8">
        <v>10895</v>
      </c>
      <c r="B2764" s="10" t="s">
        <v>5319</v>
      </c>
      <c r="C2764" s="10" t="s">
        <v>21</v>
      </c>
      <c r="D2764" s="9" t="s">
        <v>395</v>
      </c>
      <c r="E2764" s="9" t="s">
        <v>1926</v>
      </c>
      <c r="F2764" s="10" t="s">
        <v>2530</v>
      </c>
      <c r="G2764" s="11">
        <v>46051</v>
      </c>
    </row>
    <row r="2765" spans="1:7" ht="36.5" hidden="1" x14ac:dyDescent="0.35">
      <c r="A2765" s="8">
        <v>10896</v>
      </c>
      <c r="B2765" s="10" t="s">
        <v>5320</v>
      </c>
      <c r="C2765" s="10" t="s">
        <v>21</v>
      </c>
      <c r="D2765" s="9" t="s">
        <v>395</v>
      </c>
      <c r="E2765" s="9" t="s">
        <v>1926</v>
      </c>
      <c r="F2765" s="10" t="s">
        <v>2530</v>
      </c>
      <c r="G2765" s="11">
        <v>46051</v>
      </c>
    </row>
    <row r="2766" spans="1:7" ht="36.5" hidden="1" x14ac:dyDescent="0.35">
      <c r="A2766" s="8">
        <v>10897</v>
      </c>
      <c r="B2766" s="10" t="s">
        <v>5321</v>
      </c>
      <c r="C2766" s="10" t="s">
        <v>21</v>
      </c>
      <c r="D2766" s="9" t="s">
        <v>395</v>
      </c>
      <c r="E2766" s="9" t="s">
        <v>1926</v>
      </c>
      <c r="F2766" s="10" t="s">
        <v>2530</v>
      </c>
      <c r="G2766" s="11">
        <v>46051</v>
      </c>
    </row>
    <row r="2767" spans="1:7" ht="36.5" hidden="1" x14ac:dyDescent="0.35">
      <c r="A2767" s="8">
        <v>10898</v>
      </c>
      <c r="B2767" s="10" t="s">
        <v>5322</v>
      </c>
      <c r="C2767" s="10" t="s">
        <v>21</v>
      </c>
      <c r="D2767" s="9" t="s">
        <v>395</v>
      </c>
      <c r="E2767" s="9" t="s">
        <v>1926</v>
      </c>
      <c r="F2767" s="10" t="s">
        <v>2530</v>
      </c>
      <c r="G2767" s="11">
        <v>46051</v>
      </c>
    </row>
    <row r="2768" spans="1:7" ht="36.5" hidden="1" x14ac:dyDescent="0.35">
      <c r="A2768" s="8">
        <v>10899</v>
      </c>
      <c r="B2768" s="10" t="s">
        <v>5323</v>
      </c>
      <c r="C2768" s="10" t="s">
        <v>21</v>
      </c>
      <c r="D2768" s="9" t="s">
        <v>395</v>
      </c>
      <c r="E2768" s="9" t="s">
        <v>1926</v>
      </c>
      <c r="F2768" s="10" t="s">
        <v>2530</v>
      </c>
      <c r="G2768" s="11">
        <v>46051</v>
      </c>
    </row>
    <row r="2769" spans="1:7" ht="36.5" hidden="1" x14ac:dyDescent="0.35">
      <c r="A2769" s="8">
        <v>10900</v>
      </c>
      <c r="B2769" s="10" t="s">
        <v>5324</v>
      </c>
      <c r="C2769" s="10" t="s">
        <v>13</v>
      </c>
      <c r="D2769" s="9" t="s">
        <v>395</v>
      </c>
      <c r="E2769" s="9" t="s">
        <v>1926</v>
      </c>
      <c r="F2769" s="10" t="s">
        <v>2530</v>
      </c>
      <c r="G2769" s="11">
        <v>46051</v>
      </c>
    </row>
    <row r="2770" spans="1:7" ht="36.5" hidden="1" x14ac:dyDescent="0.35">
      <c r="A2770" s="8">
        <v>10904</v>
      </c>
      <c r="B2770" s="10" t="s">
        <v>5325</v>
      </c>
      <c r="C2770" s="10" t="s">
        <v>13</v>
      </c>
      <c r="D2770" s="9" t="s">
        <v>395</v>
      </c>
      <c r="E2770" s="9" t="s">
        <v>1926</v>
      </c>
      <c r="F2770" s="10" t="s">
        <v>2530</v>
      </c>
      <c r="G2770" s="11">
        <v>46051</v>
      </c>
    </row>
    <row r="2771" spans="1:7" ht="36.5" hidden="1" x14ac:dyDescent="0.35">
      <c r="A2771" s="8">
        <v>10903</v>
      </c>
      <c r="B2771" s="10" t="s">
        <v>5326</v>
      </c>
      <c r="C2771" s="10" t="s">
        <v>13</v>
      </c>
      <c r="D2771" s="9" t="s">
        <v>395</v>
      </c>
      <c r="E2771" s="9" t="s">
        <v>1926</v>
      </c>
      <c r="F2771" s="10" t="s">
        <v>2530</v>
      </c>
      <c r="G2771" s="11">
        <v>46051</v>
      </c>
    </row>
    <row r="2772" spans="1:7" ht="36.5" hidden="1" x14ac:dyDescent="0.35">
      <c r="A2772" s="8">
        <v>10901</v>
      </c>
      <c r="B2772" s="10" t="s">
        <v>5327</v>
      </c>
      <c r="C2772" s="10" t="s">
        <v>13</v>
      </c>
      <c r="D2772" s="9" t="s">
        <v>395</v>
      </c>
      <c r="E2772" s="9" t="s">
        <v>1926</v>
      </c>
      <c r="F2772" s="10" t="s">
        <v>2530</v>
      </c>
      <c r="G2772" s="11">
        <v>46051</v>
      </c>
    </row>
    <row r="2773" spans="1:7" ht="36.5" hidden="1" x14ac:dyDescent="0.35">
      <c r="A2773" s="8">
        <v>10902</v>
      </c>
      <c r="B2773" s="10" t="s">
        <v>5328</v>
      </c>
      <c r="C2773" s="10" t="s">
        <v>13</v>
      </c>
      <c r="D2773" s="9" t="s">
        <v>395</v>
      </c>
      <c r="E2773" s="9" t="s">
        <v>1926</v>
      </c>
      <c r="F2773" s="10" t="s">
        <v>2530</v>
      </c>
      <c r="G2773" s="11">
        <v>46051</v>
      </c>
    </row>
    <row r="2774" spans="1:7" ht="36.5" hidden="1" x14ac:dyDescent="0.35">
      <c r="A2774" s="8">
        <v>10906</v>
      </c>
      <c r="B2774" s="10" t="s">
        <v>5329</v>
      </c>
      <c r="C2774" s="10" t="s">
        <v>13</v>
      </c>
      <c r="D2774" s="9" t="s">
        <v>395</v>
      </c>
      <c r="E2774" s="9" t="s">
        <v>1926</v>
      </c>
      <c r="F2774" s="10" t="s">
        <v>2530</v>
      </c>
      <c r="G2774" s="11">
        <v>46051</v>
      </c>
    </row>
    <row r="2775" spans="1:7" ht="36.5" hidden="1" x14ac:dyDescent="0.35">
      <c r="A2775" s="8">
        <v>10905</v>
      </c>
      <c r="B2775" s="10" t="s">
        <v>5330</v>
      </c>
      <c r="C2775" s="10" t="s">
        <v>13</v>
      </c>
      <c r="D2775" s="9" t="s">
        <v>395</v>
      </c>
      <c r="E2775" s="9" t="s">
        <v>1926</v>
      </c>
      <c r="F2775" s="10" t="s">
        <v>2530</v>
      </c>
      <c r="G2775" s="11">
        <v>46051</v>
      </c>
    </row>
    <row r="2776" spans="1:7" ht="36.5" hidden="1" x14ac:dyDescent="0.35">
      <c r="A2776" s="8">
        <v>10907</v>
      </c>
      <c r="B2776" s="10" t="s">
        <v>5331</v>
      </c>
      <c r="C2776" s="10" t="s">
        <v>13</v>
      </c>
      <c r="D2776" s="9" t="s">
        <v>395</v>
      </c>
      <c r="E2776" s="9" t="s">
        <v>1926</v>
      </c>
      <c r="F2776" s="10" t="s">
        <v>2530</v>
      </c>
      <c r="G2776" s="11">
        <v>46051</v>
      </c>
    </row>
    <row r="2777" spans="1:7" ht="36.5" hidden="1" x14ac:dyDescent="0.35">
      <c r="A2777" s="8">
        <v>10908</v>
      </c>
      <c r="B2777" s="10" t="s">
        <v>5332</v>
      </c>
      <c r="C2777" s="10" t="s">
        <v>134</v>
      </c>
      <c r="D2777" s="9" t="s">
        <v>395</v>
      </c>
      <c r="E2777" s="9" t="s">
        <v>1926</v>
      </c>
      <c r="F2777" s="10" t="s">
        <v>2530</v>
      </c>
      <c r="G2777" s="11">
        <v>46051</v>
      </c>
    </row>
    <row r="2778" spans="1:7" ht="36.5" hidden="1" x14ac:dyDescent="0.35">
      <c r="A2778" s="8">
        <v>10909</v>
      </c>
      <c r="B2778" s="10" t="s">
        <v>5333</v>
      </c>
      <c r="C2778" s="10" t="s">
        <v>134</v>
      </c>
      <c r="D2778" s="9" t="s">
        <v>395</v>
      </c>
      <c r="E2778" s="9" t="s">
        <v>1926</v>
      </c>
      <c r="F2778" s="10" t="s">
        <v>2530</v>
      </c>
      <c r="G2778" s="11">
        <v>46051</v>
      </c>
    </row>
    <row r="2779" spans="1:7" ht="36.5" hidden="1" x14ac:dyDescent="0.35">
      <c r="A2779" s="8">
        <v>10911</v>
      </c>
      <c r="B2779" s="10" t="s">
        <v>5334</v>
      </c>
      <c r="C2779" s="10" t="s">
        <v>134</v>
      </c>
      <c r="D2779" s="9" t="s">
        <v>395</v>
      </c>
      <c r="E2779" s="9" t="s">
        <v>1926</v>
      </c>
      <c r="F2779" s="10" t="s">
        <v>2530</v>
      </c>
      <c r="G2779" s="11">
        <v>46051</v>
      </c>
    </row>
    <row r="2780" spans="1:7" ht="36.5" hidden="1" x14ac:dyDescent="0.35">
      <c r="A2780" s="8">
        <v>10910</v>
      </c>
      <c r="B2780" s="10" t="s">
        <v>5335</v>
      </c>
      <c r="C2780" s="10" t="s">
        <v>134</v>
      </c>
      <c r="D2780" s="9" t="s">
        <v>395</v>
      </c>
      <c r="E2780" s="9" t="s">
        <v>1926</v>
      </c>
      <c r="F2780" s="10" t="s">
        <v>2530</v>
      </c>
      <c r="G2780" s="11">
        <v>46051</v>
      </c>
    </row>
    <row r="2781" spans="1:7" ht="36.5" hidden="1" x14ac:dyDescent="0.35">
      <c r="A2781" s="8">
        <v>10912</v>
      </c>
      <c r="B2781" s="10" t="s">
        <v>5336</v>
      </c>
      <c r="C2781" s="10" t="s">
        <v>134</v>
      </c>
      <c r="D2781" s="9" t="s">
        <v>395</v>
      </c>
      <c r="E2781" s="9" t="s">
        <v>1926</v>
      </c>
      <c r="F2781" s="10" t="s">
        <v>2530</v>
      </c>
      <c r="G2781" s="11">
        <v>46051</v>
      </c>
    </row>
    <row r="2782" spans="1:7" ht="36.5" hidden="1" x14ac:dyDescent="0.35">
      <c r="A2782" s="8">
        <v>10913</v>
      </c>
      <c r="B2782" s="10" t="s">
        <v>5337</v>
      </c>
      <c r="C2782" s="10" t="s">
        <v>134</v>
      </c>
      <c r="D2782" s="9" t="s">
        <v>395</v>
      </c>
      <c r="E2782" s="9" t="s">
        <v>1926</v>
      </c>
      <c r="F2782" s="10" t="s">
        <v>2530</v>
      </c>
      <c r="G2782" s="11">
        <v>46051</v>
      </c>
    </row>
    <row r="2783" spans="1:7" ht="48.5" hidden="1" x14ac:dyDescent="0.35">
      <c r="A2783" s="8">
        <v>10914</v>
      </c>
      <c r="B2783" s="10" t="s">
        <v>5338</v>
      </c>
      <c r="C2783" s="10" t="s">
        <v>134</v>
      </c>
      <c r="D2783" s="9" t="s">
        <v>395</v>
      </c>
      <c r="E2783" s="9" t="s">
        <v>1926</v>
      </c>
      <c r="F2783" s="10" t="s">
        <v>2516</v>
      </c>
      <c r="G2783" s="11">
        <v>46051</v>
      </c>
    </row>
    <row r="2784" spans="1:7" ht="36.5" hidden="1" x14ac:dyDescent="0.35">
      <c r="A2784" s="8">
        <v>10915</v>
      </c>
      <c r="B2784" s="10" t="s">
        <v>5339</v>
      </c>
      <c r="C2784" s="10" t="s">
        <v>134</v>
      </c>
      <c r="D2784" s="9" t="s">
        <v>395</v>
      </c>
      <c r="E2784" s="9" t="s">
        <v>1926</v>
      </c>
      <c r="F2784" s="10" t="s">
        <v>2525</v>
      </c>
      <c r="G2784" s="11">
        <v>46051</v>
      </c>
    </row>
    <row r="2785" spans="1:7" ht="36.5" hidden="1" x14ac:dyDescent="0.35">
      <c r="A2785" s="8">
        <v>10916</v>
      </c>
      <c r="B2785" s="10" t="s">
        <v>5340</v>
      </c>
      <c r="C2785" s="10" t="s">
        <v>134</v>
      </c>
      <c r="D2785" s="9" t="s">
        <v>395</v>
      </c>
      <c r="E2785" s="9" t="s">
        <v>1926</v>
      </c>
      <c r="F2785" s="10" t="s">
        <v>2530</v>
      </c>
      <c r="G2785" s="11">
        <v>46051</v>
      </c>
    </row>
    <row r="2786" spans="1:7" ht="36.5" hidden="1" x14ac:dyDescent="0.35">
      <c r="A2786" s="8">
        <v>10917</v>
      </c>
      <c r="B2786" s="10" t="s">
        <v>5341</v>
      </c>
      <c r="C2786" s="10" t="s">
        <v>134</v>
      </c>
      <c r="D2786" s="9" t="s">
        <v>395</v>
      </c>
      <c r="E2786" s="9" t="s">
        <v>1926</v>
      </c>
      <c r="F2786" s="10" t="s">
        <v>2530</v>
      </c>
      <c r="G2786" s="11">
        <v>46051</v>
      </c>
    </row>
    <row r="2787" spans="1:7" ht="36.5" hidden="1" x14ac:dyDescent="0.35">
      <c r="A2787" s="8">
        <v>10918</v>
      </c>
      <c r="B2787" s="10" t="s">
        <v>5342</v>
      </c>
      <c r="C2787" s="10" t="s">
        <v>134</v>
      </c>
      <c r="D2787" s="9" t="s">
        <v>395</v>
      </c>
      <c r="E2787" s="9" t="s">
        <v>1926</v>
      </c>
      <c r="F2787" s="10" t="s">
        <v>2530</v>
      </c>
      <c r="G2787" s="11">
        <v>46051</v>
      </c>
    </row>
    <row r="2788" spans="1:7" ht="36.5" hidden="1" x14ac:dyDescent="0.35">
      <c r="A2788" s="8">
        <v>10919</v>
      </c>
      <c r="B2788" s="10" t="s">
        <v>5343</v>
      </c>
      <c r="C2788" s="10" t="s">
        <v>134</v>
      </c>
      <c r="D2788" s="9" t="s">
        <v>395</v>
      </c>
      <c r="E2788" s="9" t="s">
        <v>1926</v>
      </c>
      <c r="F2788" s="10" t="s">
        <v>2530</v>
      </c>
      <c r="G2788" s="11">
        <v>46051</v>
      </c>
    </row>
    <row r="2789" spans="1:7" ht="36.5" hidden="1" x14ac:dyDescent="0.35">
      <c r="A2789" s="8">
        <v>10920</v>
      </c>
      <c r="B2789" s="10" t="s">
        <v>5344</v>
      </c>
      <c r="C2789" s="10" t="s">
        <v>134</v>
      </c>
      <c r="D2789" s="9" t="s">
        <v>395</v>
      </c>
      <c r="E2789" s="9" t="s">
        <v>1926</v>
      </c>
      <c r="F2789" s="10" t="s">
        <v>2530</v>
      </c>
      <c r="G2789" s="11">
        <v>46051</v>
      </c>
    </row>
    <row r="2790" spans="1:7" ht="36.5" hidden="1" x14ac:dyDescent="0.35">
      <c r="A2790" s="8">
        <v>10921</v>
      </c>
      <c r="B2790" s="10" t="s">
        <v>5345</v>
      </c>
      <c r="C2790" s="10" t="s">
        <v>395</v>
      </c>
      <c r="D2790" s="9" t="s">
        <v>395</v>
      </c>
      <c r="E2790" s="9" t="s">
        <v>1926</v>
      </c>
      <c r="F2790" s="10" t="s">
        <v>2525</v>
      </c>
      <c r="G2790" s="11">
        <v>46051</v>
      </c>
    </row>
    <row r="2791" spans="1:7" ht="36.5" hidden="1" x14ac:dyDescent="0.35">
      <c r="A2791" s="8">
        <v>10922</v>
      </c>
      <c r="B2791" s="10" t="s">
        <v>5346</v>
      </c>
      <c r="C2791" s="10" t="s">
        <v>234</v>
      </c>
      <c r="D2791" s="9" t="s">
        <v>395</v>
      </c>
      <c r="E2791" s="9" t="s">
        <v>1926</v>
      </c>
      <c r="F2791" s="10" t="s">
        <v>2525</v>
      </c>
      <c r="G2791" s="11">
        <v>46051</v>
      </c>
    </row>
    <row r="2792" spans="1:7" ht="36.5" hidden="1" x14ac:dyDescent="0.35">
      <c r="A2792" s="8">
        <v>10923</v>
      </c>
      <c r="B2792" s="10" t="s">
        <v>5347</v>
      </c>
      <c r="C2792" s="10" t="s">
        <v>234</v>
      </c>
      <c r="D2792" s="9" t="s">
        <v>395</v>
      </c>
      <c r="E2792" s="9" t="s">
        <v>1926</v>
      </c>
      <c r="F2792" s="10" t="s">
        <v>2530</v>
      </c>
      <c r="G2792" s="11">
        <v>46051</v>
      </c>
    </row>
    <row r="2793" spans="1:7" ht="36.5" hidden="1" x14ac:dyDescent="0.35">
      <c r="A2793" s="8">
        <v>10924</v>
      </c>
      <c r="B2793" s="10" t="s">
        <v>5348</v>
      </c>
      <c r="C2793" s="10" t="s">
        <v>395</v>
      </c>
      <c r="D2793" s="9" t="s">
        <v>395</v>
      </c>
      <c r="E2793" s="9" t="s">
        <v>1926</v>
      </c>
      <c r="F2793" s="10" t="s">
        <v>2525</v>
      </c>
      <c r="G2793" s="11">
        <v>46051</v>
      </c>
    </row>
    <row r="2794" spans="1:7" ht="36.5" hidden="1" x14ac:dyDescent="0.35">
      <c r="A2794" s="20">
        <v>10930</v>
      </c>
      <c r="B2794" s="21" t="s">
        <v>5349</v>
      </c>
      <c r="C2794" s="21" t="s">
        <v>104</v>
      </c>
      <c r="D2794" s="22" t="s">
        <v>104</v>
      </c>
      <c r="E2794" s="9" t="s">
        <v>107</v>
      </c>
      <c r="F2794" s="21" t="s">
        <v>2516</v>
      </c>
      <c r="G2794" s="23">
        <v>46049</v>
      </c>
    </row>
    <row r="2795" spans="1:7" ht="24.5" hidden="1" x14ac:dyDescent="0.35">
      <c r="A2795" s="8">
        <v>10937</v>
      </c>
      <c r="B2795" s="10" t="s">
        <v>5350</v>
      </c>
      <c r="C2795" s="10" t="s">
        <v>250</v>
      </c>
      <c r="D2795" s="9" t="s">
        <v>190</v>
      </c>
      <c r="E2795" s="9" t="s">
        <v>5351</v>
      </c>
      <c r="F2795" s="21" t="s">
        <v>2522</v>
      </c>
      <c r="G2795" s="23">
        <v>46051</v>
      </c>
    </row>
    <row r="2796" spans="1:7" ht="24.5" hidden="1" x14ac:dyDescent="0.35">
      <c r="A2796" s="8">
        <v>10936</v>
      </c>
      <c r="B2796" s="10" t="s">
        <v>5352</v>
      </c>
      <c r="C2796" s="10" t="s">
        <v>21</v>
      </c>
      <c r="D2796" s="9" t="s">
        <v>95</v>
      </c>
      <c r="E2796" s="9" t="s">
        <v>94</v>
      </c>
      <c r="F2796" s="21" t="s">
        <v>2540</v>
      </c>
      <c r="G2796" s="23">
        <v>46051</v>
      </c>
    </row>
    <row r="2797" spans="1:7" ht="48.5" hidden="1" x14ac:dyDescent="0.35">
      <c r="A2797" s="8">
        <v>10935</v>
      </c>
      <c r="B2797" s="10" t="s">
        <v>5353</v>
      </c>
      <c r="C2797" s="10" t="s">
        <v>104</v>
      </c>
      <c r="D2797" s="9" t="s">
        <v>95</v>
      </c>
      <c r="E2797" s="9" t="s">
        <v>1092</v>
      </c>
      <c r="F2797" s="21" t="s">
        <v>2559</v>
      </c>
      <c r="G2797" s="23">
        <v>46052</v>
      </c>
    </row>
    <row r="2798" spans="1:7" ht="36.5" hidden="1" x14ac:dyDescent="0.35">
      <c r="A2798" s="8">
        <v>10941</v>
      </c>
      <c r="B2798" s="10" t="s">
        <v>5354</v>
      </c>
      <c r="C2798" s="10" t="s">
        <v>21</v>
      </c>
      <c r="D2798" s="9" t="s">
        <v>21</v>
      </c>
      <c r="E2798" s="9" t="s">
        <v>5153</v>
      </c>
      <c r="F2798" s="21" t="s">
        <v>2516</v>
      </c>
      <c r="G2798" s="23">
        <v>46051</v>
      </c>
    </row>
    <row r="2799" spans="1:7" ht="36.5" hidden="1" x14ac:dyDescent="0.35">
      <c r="A2799" s="8">
        <v>10938</v>
      </c>
      <c r="B2799" s="10" t="s">
        <v>5355</v>
      </c>
      <c r="C2799" s="10" t="s">
        <v>13</v>
      </c>
      <c r="D2799" s="9" t="s">
        <v>196</v>
      </c>
      <c r="E2799" s="9" t="s">
        <v>1116</v>
      </c>
      <c r="F2799" s="21" t="s">
        <v>2516</v>
      </c>
      <c r="G2799" s="23">
        <v>46051</v>
      </c>
    </row>
    <row r="2800" spans="1:7" ht="24.5" hidden="1" x14ac:dyDescent="0.35">
      <c r="A2800" s="8">
        <v>10939</v>
      </c>
      <c r="B2800" s="10" t="s">
        <v>5356</v>
      </c>
      <c r="C2800" s="10" t="s">
        <v>234</v>
      </c>
      <c r="D2800" s="9" t="s">
        <v>190</v>
      </c>
      <c r="E2800" s="9" t="s">
        <v>5351</v>
      </c>
      <c r="F2800" s="21" t="s">
        <v>2522</v>
      </c>
      <c r="G2800" s="23">
        <v>46051</v>
      </c>
    </row>
    <row r="2801" spans="1:7" ht="36.5" hidden="1" x14ac:dyDescent="0.35">
      <c r="A2801" s="8">
        <v>10940</v>
      </c>
      <c r="B2801" s="10" t="s">
        <v>5357</v>
      </c>
      <c r="C2801" s="10" t="s">
        <v>234</v>
      </c>
      <c r="D2801" s="9" t="s">
        <v>190</v>
      </c>
      <c r="E2801" s="9" t="s">
        <v>5351</v>
      </c>
      <c r="F2801" s="21" t="s">
        <v>2525</v>
      </c>
      <c r="G2801" s="23">
        <v>46051</v>
      </c>
    </row>
    <row r="2802" spans="1:7" ht="36.5" hidden="1" x14ac:dyDescent="0.35">
      <c r="A2802" s="8">
        <v>10942</v>
      </c>
      <c r="B2802" s="10" t="s">
        <v>5358</v>
      </c>
      <c r="C2802" s="10" t="s">
        <v>96</v>
      </c>
      <c r="D2802" s="9" t="s">
        <v>371</v>
      </c>
      <c r="E2802" s="9" t="s">
        <v>1674</v>
      </c>
      <c r="F2802" s="21" t="s">
        <v>2516</v>
      </c>
      <c r="G2802" s="23">
        <v>46051</v>
      </c>
    </row>
    <row r="2803" spans="1:7" ht="36.5" hidden="1" x14ac:dyDescent="0.35">
      <c r="A2803" s="8">
        <v>10943</v>
      </c>
      <c r="B2803" s="10" t="s">
        <v>5359</v>
      </c>
      <c r="C2803" s="10" t="s">
        <v>196</v>
      </c>
      <c r="D2803" s="9" t="s">
        <v>371</v>
      </c>
      <c r="E2803" s="9" t="s">
        <v>1674</v>
      </c>
      <c r="F2803" s="21" t="s">
        <v>2530</v>
      </c>
      <c r="G2803" s="23">
        <v>46051</v>
      </c>
    </row>
    <row r="2804" spans="1:7" ht="48.5" hidden="1" x14ac:dyDescent="0.35">
      <c r="A2804" s="8">
        <v>10945</v>
      </c>
      <c r="B2804" s="10" t="s">
        <v>5360</v>
      </c>
      <c r="C2804" s="10" t="s">
        <v>21</v>
      </c>
      <c r="D2804" s="9" t="s">
        <v>395</v>
      </c>
      <c r="E2804" s="9" t="s">
        <v>3121</v>
      </c>
      <c r="F2804" s="21" t="s">
        <v>2559</v>
      </c>
      <c r="G2804" s="23">
        <v>46052</v>
      </c>
    </row>
    <row r="2805" spans="1:7" ht="48.5" hidden="1" x14ac:dyDescent="0.35">
      <c r="A2805" s="8">
        <v>10944</v>
      </c>
      <c r="B2805" s="10" t="s">
        <v>5361</v>
      </c>
      <c r="C2805" s="10" t="s">
        <v>21</v>
      </c>
      <c r="D2805" s="9" t="s">
        <v>196</v>
      </c>
      <c r="E2805" s="9" t="s">
        <v>1674</v>
      </c>
      <c r="F2805" s="21" t="s">
        <v>2559</v>
      </c>
      <c r="G2805" s="23">
        <v>46051</v>
      </c>
    </row>
    <row r="2806" spans="1:7" ht="36.5" hidden="1" x14ac:dyDescent="0.35">
      <c r="A2806" s="8">
        <v>10947</v>
      </c>
      <c r="B2806" s="10" t="s">
        <v>5362</v>
      </c>
      <c r="C2806" s="10" t="s">
        <v>13</v>
      </c>
      <c r="D2806" s="9" t="s">
        <v>13</v>
      </c>
      <c r="E2806" s="9" t="s">
        <v>168</v>
      </c>
      <c r="F2806" s="21" t="s">
        <v>2516</v>
      </c>
      <c r="G2806" s="23">
        <v>46052</v>
      </c>
    </row>
    <row r="2807" spans="1:7" ht="24.5" hidden="1" x14ac:dyDescent="0.35">
      <c r="A2807" s="8">
        <v>10946</v>
      </c>
      <c r="B2807" s="10" t="s">
        <v>5363</v>
      </c>
      <c r="C2807" s="10" t="s">
        <v>234</v>
      </c>
      <c r="D2807" s="9" t="s">
        <v>234</v>
      </c>
      <c r="E2807" s="9" t="s">
        <v>2274</v>
      </c>
      <c r="F2807" s="21" t="s">
        <v>2540</v>
      </c>
      <c r="G2807" s="23">
        <v>46052</v>
      </c>
    </row>
    <row r="2808" spans="1:7" ht="24.5" hidden="1" x14ac:dyDescent="0.35">
      <c r="A2808" s="8">
        <v>10948</v>
      </c>
      <c r="B2808" s="10" t="s">
        <v>5364</v>
      </c>
      <c r="C2808" s="10" t="s">
        <v>196</v>
      </c>
      <c r="D2808" s="9" t="s">
        <v>196</v>
      </c>
      <c r="E2808" s="9" t="s">
        <v>1653</v>
      </c>
      <c r="F2808" s="21" t="s">
        <v>2537</v>
      </c>
      <c r="G2808" s="23">
        <v>46053</v>
      </c>
    </row>
    <row r="2809" spans="1:7" ht="36.5" hidden="1" x14ac:dyDescent="0.35">
      <c r="A2809" s="8">
        <v>10950</v>
      </c>
      <c r="B2809" s="10" t="s">
        <v>5365</v>
      </c>
      <c r="C2809" s="10" t="s">
        <v>95</v>
      </c>
      <c r="D2809" s="9" t="s">
        <v>95</v>
      </c>
      <c r="E2809" s="9" t="s">
        <v>5366</v>
      </c>
      <c r="F2809" s="21" t="s">
        <v>2834</v>
      </c>
      <c r="G2809" s="23">
        <v>46055</v>
      </c>
    </row>
    <row r="2810" spans="1:7" ht="24.5" hidden="1" x14ac:dyDescent="0.35">
      <c r="A2810" s="8">
        <v>10949</v>
      </c>
      <c r="B2810" s="10" t="s">
        <v>5367</v>
      </c>
      <c r="C2810" s="10" t="s">
        <v>21</v>
      </c>
      <c r="D2810" s="9" t="s">
        <v>21</v>
      </c>
      <c r="E2810" s="9" t="s">
        <v>5368</v>
      </c>
      <c r="F2810" s="21" t="s">
        <v>2540</v>
      </c>
      <c r="G2810" s="23">
        <v>46053</v>
      </c>
    </row>
    <row r="2811" spans="1:7" ht="24.5" hidden="1" x14ac:dyDescent="0.35">
      <c r="A2811" s="8">
        <v>10953</v>
      </c>
      <c r="B2811" s="10" t="s">
        <v>5369</v>
      </c>
      <c r="C2811" s="10" t="s">
        <v>104</v>
      </c>
      <c r="D2811" s="9" t="s">
        <v>395</v>
      </c>
      <c r="E2811" s="9" t="s">
        <v>1037</v>
      </c>
      <c r="F2811" s="21" t="s">
        <v>2834</v>
      </c>
      <c r="G2811" s="23">
        <v>46051</v>
      </c>
    </row>
    <row r="2812" spans="1:7" ht="36.5" hidden="1" x14ac:dyDescent="0.35">
      <c r="A2812" s="8">
        <v>10952</v>
      </c>
      <c r="B2812" s="10" t="s">
        <v>5370</v>
      </c>
      <c r="C2812" s="10" t="s">
        <v>193</v>
      </c>
      <c r="D2812" s="9" t="s">
        <v>234</v>
      </c>
      <c r="E2812" s="9" t="s">
        <v>286</v>
      </c>
      <c r="F2812" s="21" t="s">
        <v>2516</v>
      </c>
      <c r="G2812" s="23">
        <v>46055</v>
      </c>
    </row>
    <row r="2813" spans="1:7" ht="36.5" hidden="1" x14ac:dyDescent="0.35">
      <c r="A2813" s="8">
        <v>10969</v>
      </c>
      <c r="B2813" s="10" t="s">
        <v>5371</v>
      </c>
      <c r="C2813" s="10" t="s">
        <v>220</v>
      </c>
      <c r="D2813" s="9" t="s">
        <v>220</v>
      </c>
      <c r="E2813" s="9" t="s">
        <v>1037</v>
      </c>
      <c r="F2813" s="21" t="s">
        <v>2834</v>
      </c>
      <c r="G2813" s="23">
        <v>46050</v>
      </c>
    </row>
    <row r="2814" spans="1:7" ht="36.5" hidden="1" x14ac:dyDescent="0.35">
      <c r="A2814" s="8">
        <v>10967</v>
      </c>
      <c r="B2814" s="10" t="s">
        <v>5372</v>
      </c>
      <c r="C2814" s="10" t="s">
        <v>196</v>
      </c>
      <c r="D2814" s="9" t="s">
        <v>395</v>
      </c>
      <c r="E2814" s="9" t="s">
        <v>1037</v>
      </c>
      <c r="F2814" s="21" t="s">
        <v>2834</v>
      </c>
      <c r="G2814" s="23">
        <v>46050</v>
      </c>
    </row>
    <row r="2815" spans="1:7" ht="36.5" hidden="1" x14ac:dyDescent="0.35">
      <c r="A2815" s="8">
        <v>10970</v>
      </c>
      <c r="B2815" s="10" t="s">
        <v>5373</v>
      </c>
      <c r="C2815" s="10" t="s">
        <v>26</v>
      </c>
      <c r="D2815" s="9" t="s">
        <v>395</v>
      </c>
      <c r="E2815" s="9" t="s">
        <v>1037</v>
      </c>
      <c r="F2815" s="21" t="s">
        <v>2516</v>
      </c>
      <c r="G2815" s="23">
        <v>46050</v>
      </c>
    </row>
    <row r="2816" spans="1:7" ht="36.5" hidden="1" x14ac:dyDescent="0.35">
      <c r="A2816" s="8">
        <v>10968</v>
      </c>
      <c r="B2816" s="10" t="s">
        <v>5374</v>
      </c>
      <c r="C2816" s="10" t="s">
        <v>250</v>
      </c>
      <c r="D2816" s="9" t="s">
        <v>395</v>
      </c>
      <c r="E2816" s="9" t="s">
        <v>1037</v>
      </c>
      <c r="F2816" s="21" t="s">
        <v>2834</v>
      </c>
      <c r="G2816" s="23">
        <v>46050</v>
      </c>
    </row>
    <row r="2817" spans="1:7" ht="36.5" hidden="1" x14ac:dyDescent="0.35">
      <c r="A2817" s="8">
        <v>10964</v>
      </c>
      <c r="B2817" s="10" t="s">
        <v>5375</v>
      </c>
      <c r="C2817" s="10" t="s">
        <v>104</v>
      </c>
      <c r="D2817" s="9" t="s">
        <v>395</v>
      </c>
      <c r="E2817" s="9" t="s">
        <v>1037</v>
      </c>
      <c r="F2817" s="21" t="s">
        <v>2834</v>
      </c>
      <c r="G2817" s="23">
        <v>46050</v>
      </c>
    </row>
    <row r="2818" spans="1:7" ht="36.5" hidden="1" x14ac:dyDescent="0.35">
      <c r="A2818" s="8">
        <v>10963</v>
      </c>
      <c r="B2818" s="10" t="s">
        <v>5376</v>
      </c>
      <c r="C2818" s="10" t="s">
        <v>134</v>
      </c>
      <c r="D2818" s="9" t="s">
        <v>395</v>
      </c>
      <c r="E2818" s="9" t="s">
        <v>1037</v>
      </c>
      <c r="F2818" s="21" t="s">
        <v>2834</v>
      </c>
      <c r="G2818" s="23">
        <v>46050</v>
      </c>
    </row>
    <row r="2819" spans="1:7" ht="36.5" hidden="1" x14ac:dyDescent="0.35">
      <c r="A2819" s="8">
        <v>10966</v>
      </c>
      <c r="B2819" s="10" t="s">
        <v>5377</v>
      </c>
      <c r="C2819" s="10" t="s">
        <v>34</v>
      </c>
      <c r="D2819" s="9" t="s">
        <v>395</v>
      </c>
      <c r="E2819" s="9" t="s">
        <v>1037</v>
      </c>
      <c r="F2819" s="21" t="s">
        <v>2834</v>
      </c>
      <c r="G2819" s="23">
        <v>46050</v>
      </c>
    </row>
    <row r="2820" spans="1:7" ht="24.5" hidden="1" x14ac:dyDescent="0.35">
      <c r="A2820" s="8">
        <v>10965</v>
      </c>
      <c r="B2820" s="10" t="s">
        <v>5378</v>
      </c>
      <c r="C2820" s="10" t="s">
        <v>234</v>
      </c>
      <c r="D2820" s="9" t="s">
        <v>395</v>
      </c>
      <c r="E2820" s="9" t="s">
        <v>1037</v>
      </c>
      <c r="F2820" s="21" t="s">
        <v>2834</v>
      </c>
      <c r="G2820" s="23">
        <v>46050</v>
      </c>
    </row>
    <row r="2821" spans="1:7" ht="36.5" hidden="1" x14ac:dyDescent="0.35">
      <c r="A2821" s="8">
        <v>10962</v>
      </c>
      <c r="B2821" s="10" t="s">
        <v>5379</v>
      </c>
      <c r="C2821" s="10" t="s">
        <v>13</v>
      </c>
      <c r="D2821" s="9" t="s">
        <v>395</v>
      </c>
      <c r="E2821" s="9" t="s">
        <v>1037</v>
      </c>
      <c r="F2821" s="21" t="s">
        <v>2834</v>
      </c>
      <c r="G2821" s="23">
        <v>46050</v>
      </c>
    </row>
    <row r="2822" spans="1:7" ht="36.5" hidden="1" x14ac:dyDescent="0.35">
      <c r="A2822" s="8">
        <v>10959</v>
      </c>
      <c r="B2822" s="10" t="s">
        <v>5380</v>
      </c>
      <c r="C2822" s="10" t="s">
        <v>26</v>
      </c>
      <c r="D2822" s="9" t="s">
        <v>395</v>
      </c>
      <c r="E2822" s="9" t="s">
        <v>1037</v>
      </c>
      <c r="F2822" s="21" t="s">
        <v>2834</v>
      </c>
      <c r="G2822" s="23">
        <v>46050</v>
      </c>
    </row>
    <row r="2823" spans="1:7" ht="36.5" hidden="1" x14ac:dyDescent="0.35">
      <c r="A2823" s="8">
        <v>10961</v>
      </c>
      <c r="B2823" s="10" t="s">
        <v>5381</v>
      </c>
      <c r="C2823" s="10" t="s">
        <v>21</v>
      </c>
      <c r="D2823" s="9" t="s">
        <v>395</v>
      </c>
      <c r="E2823" s="9" t="s">
        <v>1037</v>
      </c>
      <c r="F2823" s="21" t="s">
        <v>2834</v>
      </c>
      <c r="G2823" s="23">
        <v>46050</v>
      </c>
    </row>
    <row r="2824" spans="1:7" ht="36.5" hidden="1" x14ac:dyDescent="0.35">
      <c r="A2824" s="8">
        <v>10960</v>
      </c>
      <c r="B2824" s="10" t="s">
        <v>5382</v>
      </c>
      <c r="C2824" s="10" t="s">
        <v>220</v>
      </c>
      <c r="D2824" s="9" t="s">
        <v>395</v>
      </c>
      <c r="E2824" s="9" t="s">
        <v>1037</v>
      </c>
      <c r="F2824" s="21" t="s">
        <v>2834</v>
      </c>
      <c r="G2824" s="23">
        <v>46050</v>
      </c>
    </row>
    <row r="2825" spans="1:7" ht="36.5" hidden="1" x14ac:dyDescent="0.35">
      <c r="A2825" s="8">
        <v>10957</v>
      </c>
      <c r="B2825" s="10" t="s">
        <v>5383</v>
      </c>
      <c r="C2825" s="10" t="s">
        <v>278</v>
      </c>
      <c r="D2825" s="9" t="s">
        <v>395</v>
      </c>
      <c r="E2825" s="9" t="s">
        <v>1037</v>
      </c>
      <c r="F2825" s="21" t="s">
        <v>2834</v>
      </c>
      <c r="G2825" s="23">
        <v>46050</v>
      </c>
    </row>
    <row r="2826" spans="1:7" ht="36.5" hidden="1" x14ac:dyDescent="0.35">
      <c r="A2826" s="8">
        <v>10958</v>
      </c>
      <c r="B2826" s="10" t="s">
        <v>5384</v>
      </c>
      <c r="C2826" s="10" t="s">
        <v>13</v>
      </c>
      <c r="D2826" s="9" t="s">
        <v>395</v>
      </c>
      <c r="E2826" s="9" t="s">
        <v>1037</v>
      </c>
      <c r="F2826" s="21" t="s">
        <v>2834</v>
      </c>
      <c r="G2826" s="23">
        <v>46050</v>
      </c>
    </row>
    <row r="2827" spans="1:7" ht="36.5" hidden="1" x14ac:dyDescent="0.35">
      <c r="A2827" s="8">
        <v>10955</v>
      </c>
      <c r="B2827" s="10" t="s">
        <v>5385</v>
      </c>
      <c r="C2827" s="10" t="s">
        <v>234</v>
      </c>
      <c r="D2827" s="9" t="s">
        <v>395</v>
      </c>
      <c r="E2827" s="9" t="s">
        <v>1037</v>
      </c>
      <c r="F2827" s="21" t="s">
        <v>2834</v>
      </c>
      <c r="G2827" s="23">
        <v>46050</v>
      </c>
    </row>
    <row r="2828" spans="1:7" ht="36.5" hidden="1" x14ac:dyDescent="0.35">
      <c r="A2828" s="8">
        <v>10954</v>
      </c>
      <c r="B2828" s="10" t="s">
        <v>5386</v>
      </c>
      <c r="C2828" s="10" t="s">
        <v>104</v>
      </c>
      <c r="D2828" s="9" t="s">
        <v>395</v>
      </c>
      <c r="E2828" s="9" t="s">
        <v>1037</v>
      </c>
      <c r="F2828" s="21" t="s">
        <v>2834</v>
      </c>
      <c r="G2828" s="23">
        <v>46050</v>
      </c>
    </row>
    <row r="2829" spans="1:7" ht="24.5" hidden="1" x14ac:dyDescent="0.35">
      <c r="A2829" s="8">
        <v>10956</v>
      </c>
      <c r="B2829" s="10" t="s">
        <v>5387</v>
      </c>
      <c r="C2829" s="10" t="s">
        <v>96</v>
      </c>
      <c r="D2829" s="9" t="s">
        <v>395</v>
      </c>
      <c r="E2829" s="9" t="s">
        <v>1037</v>
      </c>
      <c r="F2829" s="21" t="s">
        <v>2834</v>
      </c>
      <c r="G2829" s="23">
        <v>46050</v>
      </c>
    </row>
    <row r="2830" spans="1:7" ht="36.5" hidden="1" x14ac:dyDescent="0.35">
      <c r="A2830" s="8">
        <v>10977</v>
      </c>
      <c r="B2830" s="10" t="s">
        <v>5388</v>
      </c>
      <c r="C2830" s="10" t="s">
        <v>96</v>
      </c>
      <c r="D2830" s="9" t="s">
        <v>96</v>
      </c>
      <c r="E2830" s="9" t="str">
        <f>_xlfn.TEXTAFTER(Condiciones_acumuladas[[#This Row],[Descripción]], " ", -2)</f>
        <v>Luis Pérez</v>
      </c>
      <c r="F2830" s="21" t="s">
        <v>2516</v>
      </c>
      <c r="G2830" s="23">
        <v>46056</v>
      </c>
    </row>
    <row r="2831" spans="1:7" ht="36.5" hidden="1" x14ac:dyDescent="0.35">
      <c r="A2831" s="8">
        <v>10976</v>
      </c>
      <c r="B2831" s="10" t="s">
        <v>5389</v>
      </c>
      <c r="C2831" s="10" t="s">
        <v>34</v>
      </c>
      <c r="D2831" s="9" t="s">
        <v>395</v>
      </c>
      <c r="E2831" s="9" t="s">
        <v>2440</v>
      </c>
      <c r="F2831" s="21" t="s">
        <v>2516</v>
      </c>
      <c r="G2831" s="23">
        <v>46056</v>
      </c>
    </row>
    <row r="2832" spans="1:7" ht="36.5" hidden="1" x14ac:dyDescent="0.35">
      <c r="A2832" s="8">
        <v>10974</v>
      </c>
      <c r="B2832" s="10" t="s">
        <v>5390</v>
      </c>
      <c r="C2832" s="10" t="s">
        <v>234</v>
      </c>
      <c r="D2832" s="9" t="s">
        <v>395</v>
      </c>
      <c r="E2832" s="9" t="str">
        <f>_xlfn.TEXTAFTER(Condiciones_acumuladas[[#This Row],[Descripción]], " ", -2)</f>
        <v>Yessica Guarcas</v>
      </c>
      <c r="F2832" s="21" t="s">
        <v>2516</v>
      </c>
      <c r="G2832" s="23">
        <v>46056</v>
      </c>
    </row>
    <row r="2833" spans="1:7" ht="36.5" hidden="1" x14ac:dyDescent="0.35">
      <c r="A2833" s="8">
        <v>10973</v>
      </c>
      <c r="B2833" s="10" t="s">
        <v>5391</v>
      </c>
      <c r="C2833" s="10" t="s">
        <v>234</v>
      </c>
      <c r="D2833" s="9" t="s">
        <v>234</v>
      </c>
      <c r="E2833" s="9" t="str">
        <f>_xlfn.TEXTAFTER(Condiciones_acumuladas[[#This Row],[Descripción]], " ", -2)</f>
        <v>Yessica Guarcas</v>
      </c>
      <c r="F2833" s="21" t="s">
        <v>2516</v>
      </c>
      <c r="G2833" s="23">
        <v>46056</v>
      </c>
    </row>
    <row r="2834" spans="1:7" ht="36.5" hidden="1" x14ac:dyDescent="0.35">
      <c r="A2834" s="8">
        <v>10972</v>
      </c>
      <c r="B2834" s="10" t="s">
        <v>5392</v>
      </c>
      <c r="C2834" s="10" t="s">
        <v>96</v>
      </c>
      <c r="D2834" s="9" t="s">
        <v>395</v>
      </c>
      <c r="E2834" s="9" t="str">
        <f>_xlfn.TEXTAFTER(Condiciones_acumuladas[[#This Row],[Descripción]], " ", -2)</f>
        <v>Yessica Guarcas</v>
      </c>
      <c r="F2834" s="21" t="s">
        <v>2525</v>
      </c>
      <c r="G2834" s="23">
        <v>46056</v>
      </c>
    </row>
    <row r="2835" spans="1:7" ht="24.5" hidden="1" x14ac:dyDescent="0.35">
      <c r="A2835" s="8">
        <v>10971</v>
      </c>
      <c r="B2835" s="10" t="s">
        <v>5393</v>
      </c>
      <c r="C2835" s="10" t="s">
        <v>234</v>
      </c>
      <c r="D2835" s="9" t="s">
        <v>395</v>
      </c>
      <c r="E2835" s="9" t="str">
        <f>_xlfn.TEXTAFTER(Condiciones_acumuladas[[#This Row],[Descripción]], " ", -2)</f>
        <v>Yessica Guarcas</v>
      </c>
      <c r="F2835" s="21" t="s">
        <v>2540</v>
      </c>
      <c r="G2835" s="23">
        <v>46056</v>
      </c>
    </row>
    <row r="2836" spans="1:7" ht="36.5" hidden="1" x14ac:dyDescent="0.35">
      <c r="A2836" s="8">
        <v>10997</v>
      </c>
      <c r="B2836" s="10" t="s">
        <v>5394</v>
      </c>
      <c r="C2836" s="10" t="s">
        <v>134</v>
      </c>
      <c r="D2836" s="9" t="s">
        <v>234</v>
      </c>
      <c r="E2836" s="9" t="s">
        <v>286</v>
      </c>
      <c r="F2836" s="21" t="s">
        <v>2522</v>
      </c>
      <c r="G2836" s="23">
        <v>46058</v>
      </c>
    </row>
    <row r="2837" spans="1:7" ht="36.5" hidden="1" x14ac:dyDescent="0.35">
      <c r="A2837" s="8">
        <v>11001</v>
      </c>
      <c r="B2837" s="10" t="s">
        <v>5395</v>
      </c>
      <c r="C2837" s="10" t="s">
        <v>234</v>
      </c>
      <c r="D2837" s="9" t="s">
        <v>95</v>
      </c>
      <c r="E2837" s="9" t="str">
        <f>_xlfn.TEXTAFTER(Condiciones_acumuladas[[#This Row],[Descripción]], " ", -2)</f>
        <v>Alejandro Martínez</v>
      </c>
      <c r="F2837" s="21" t="s">
        <v>2516</v>
      </c>
      <c r="G2837" s="23">
        <v>46057</v>
      </c>
    </row>
    <row r="2838" spans="1:7" ht="24.5" hidden="1" x14ac:dyDescent="0.35">
      <c r="A2838" s="8">
        <v>11002</v>
      </c>
      <c r="B2838" s="10" t="s">
        <v>5396</v>
      </c>
      <c r="C2838" s="10" t="s">
        <v>234</v>
      </c>
      <c r="D2838" s="9" t="s">
        <v>95</v>
      </c>
      <c r="E2838" s="9" t="str">
        <f>_xlfn.TEXTAFTER(Condiciones_acumuladas[[#This Row],[Descripción]], " ", -2)</f>
        <v>Alejandro Martínez</v>
      </c>
      <c r="F2838" s="21" t="s">
        <v>2537</v>
      </c>
      <c r="G2838" s="23">
        <v>46057</v>
      </c>
    </row>
    <row r="2839" spans="1:7" ht="36.5" hidden="1" x14ac:dyDescent="0.35">
      <c r="A2839" s="8">
        <v>11003</v>
      </c>
      <c r="B2839" s="10" t="s">
        <v>5397</v>
      </c>
      <c r="C2839" s="10" t="s">
        <v>21</v>
      </c>
      <c r="D2839" s="9" t="s">
        <v>395</v>
      </c>
      <c r="E2839" s="9" t="s">
        <v>3121</v>
      </c>
      <c r="F2839" s="21" t="s">
        <v>2516</v>
      </c>
      <c r="G2839" s="23">
        <v>46057</v>
      </c>
    </row>
    <row r="2840" spans="1:7" ht="36.5" hidden="1" x14ac:dyDescent="0.35">
      <c r="A2840" s="8">
        <v>11004</v>
      </c>
      <c r="B2840" s="10" t="s">
        <v>5398</v>
      </c>
      <c r="C2840" s="10" t="s">
        <v>134</v>
      </c>
      <c r="D2840" s="9" t="s">
        <v>95</v>
      </c>
      <c r="E2840" s="9" t="s">
        <v>1147</v>
      </c>
      <c r="F2840" s="21" t="s">
        <v>2530</v>
      </c>
      <c r="G2840" s="23">
        <v>46062</v>
      </c>
    </row>
    <row r="2841" spans="1:7" ht="36.5" hidden="1" x14ac:dyDescent="0.35">
      <c r="A2841" s="8">
        <v>11005</v>
      </c>
      <c r="B2841" s="10" t="s">
        <v>5399</v>
      </c>
      <c r="C2841" s="10" t="s">
        <v>13</v>
      </c>
      <c r="D2841" s="9" t="s">
        <v>13</v>
      </c>
      <c r="E2841" s="9" t="str">
        <f>_xlfn.TEXTAFTER(Condiciones_acumuladas[[#This Row],[Descripción]], " ", -2)</f>
        <v>Oscar Ramírez</v>
      </c>
      <c r="F2841" s="21" t="s">
        <v>2516</v>
      </c>
      <c r="G2841" s="23">
        <v>46058</v>
      </c>
    </row>
    <row r="2842" spans="1:7" ht="36.5" hidden="1" x14ac:dyDescent="0.35">
      <c r="A2842" s="8">
        <v>11006</v>
      </c>
      <c r="B2842" s="10" t="s">
        <v>5400</v>
      </c>
      <c r="C2842" s="10" t="s">
        <v>196</v>
      </c>
      <c r="D2842" s="9" t="s">
        <v>196</v>
      </c>
      <c r="E2842" s="9" t="s">
        <v>1050</v>
      </c>
      <c r="F2842" s="21" t="s">
        <v>2516</v>
      </c>
      <c r="G2842" s="23">
        <v>46060</v>
      </c>
    </row>
    <row r="2843" spans="1:7" ht="24.5" hidden="1" x14ac:dyDescent="0.35">
      <c r="A2843" s="8">
        <v>11007</v>
      </c>
      <c r="B2843" s="10" t="s">
        <v>5401</v>
      </c>
      <c r="C2843" s="10" t="s">
        <v>196</v>
      </c>
      <c r="D2843" s="9" t="s">
        <v>196</v>
      </c>
      <c r="E2843" s="9" t="s">
        <v>595</v>
      </c>
      <c r="F2843" s="21" t="s">
        <v>2537</v>
      </c>
      <c r="G2843" s="23">
        <v>46061</v>
      </c>
    </row>
    <row r="2844" spans="1:7" ht="24.5" hidden="1" x14ac:dyDescent="0.35">
      <c r="A2844" s="8">
        <v>11008</v>
      </c>
      <c r="B2844" s="10" t="s">
        <v>5402</v>
      </c>
      <c r="C2844" s="10" t="s">
        <v>21</v>
      </c>
      <c r="D2844" s="9" t="s">
        <v>21</v>
      </c>
      <c r="E2844" s="9" t="str">
        <f>_xlfn.TEXTAFTER(Condiciones_acumuladas[[#This Row],[Descripción]], " ", -2)</f>
        <v>Oscar Ramírez</v>
      </c>
      <c r="F2844" s="21" t="s">
        <v>2522</v>
      </c>
      <c r="G2844" s="23">
        <v>46062</v>
      </c>
    </row>
    <row r="2845" spans="1:7" ht="36.5" hidden="1" x14ac:dyDescent="0.35">
      <c r="A2845" s="8">
        <v>11009</v>
      </c>
      <c r="B2845" s="10" t="s">
        <v>5403</v>
      </c>
      <c r="C2845" s="10" t="s">
        <v>21</v>
      </c>
      <c r="D2845" s="9" t="s">
        <v>21</v>
      </c>
      <c r="E2845" s="9" t="str">
        <f>_xlfn.TEXTAFTER(Condiciones_acumuladas[[#This Row],[Descripción]], " ", -2)</f>
        <v>Oscar Ramírez</v>
      </c>
      <c r="F2845" s="21" t="s">
        <v>2516</v>
      </c>
      <c r="G2845" s="23">
        <v>46062</v>
      </c>
    </row>
    <row r="2846" spans="1:7" ht="24.5" hidden="1" x14ac:dyDescent="0.35">
      <c r="A2846" s="8">
        <v>11057</v>
      </c>
      <c r="B2846" s="10" t="s">
        <v>5404</v>
      </c>
      <c r="C2846" s="10" t="s">
        <v>95</v>
      </c>
      <c r="D2846" s="9" t="s">
        <v>95</v>
      </c>
      <c r="E2846" s="9" t="s">
        <v>1147</v>
      </c>
      <c r="F2846" s="21" t="s">
        <v>2834</v>
      </c>
      <c r="G2846" s="23">
        <v>46065</v>
      </c>
    </row>
    <row r="2847" spans="1:7" ht="36.5" hidden="1" x14ac:dyDescent="0.35">
      <c r="A2847" s="8">
        <v>11019</v>
      </c>
      <c r="B2847" s="10" t="s">
        <v>5405</v>
      </c>
      <c r="C2847" s="10" t="s">
        <v>134</v>
      </c>
      <c r="D2847" s="9" t="s">
        <v>95</v>
      </c>
      <c r="E2847" s="9" t="str">
        <f>_xlfn.TEXTAFTER(Condiciones_acumuladas[[#This Row],[Descripción]], " ", -2)</f>
        <v>Nelson Godínez</v>
      </c>
      <c r="F2847" s="21" t="s">
        <v>2530</v>
      </c>
      <c r="G2847" s="23">
        <v>46061</v>
      </c>
    </row>
    <row r="2848" spans="1:7" ht="36.5" hidden="1" x14ac:dyDescent="0.35">
      <c r="A2848" s="8">
        <v>11024</v>
      </c>
      <c r="B2848" s="10" t="s">
        <v>5406</v>
      </c>
      <c r="C2848" s="10" t="s">
        <v>134</v>
      </c>
      <c r="D2848" s="9" t="s">
        <v>234</v>
      </c>
      <c r="E2848" s="9" t="s">
        <v>2154</v>
      </c>
      <c r="F2848" s="21" t="s">
        <v>2530</v>
      </c>
      <c r="G2848" s="23">
        <v>46062</v>
      </c>
    </row>
    <row r="2849" spans="1:7" ht="36.5" hidden="1" x14ac:dyDescent="0.35">
      <c r="A2849" s="8">
        <v>11025</v>
      </c>
      <c r="B2849" s="10" t="s">
        <v>5407</v>
      </c>
      <c r="C2849" s="10" t="s">
        <v>196</v>
      </c>
      <c r="D2849" s="9" t="s">
        <v>196</v>
      </c>
      <c r="E2849" s="9" t="s">
        <v>595</v>
      </c>
      <c r="F2849" s="21" t="s">
        <v>2516</v>
      </c>
      <c r="G2849" s="23">
        <v>46063</v>
      </c>
    </row>
    <row r="2850" spans="1:7" ht="36.5" hidden="1" x14ac:dyDescent="0.35">
      <c r="A2850" s="8">
        <v>11026</v>
      </c>
      <c r="B2850" s="10" t="s">
        <v>5408</v>
      </c>
      <c r="C2850" s="10" t="s">
        <v>21</v>
      </c>
      <c r="D2850" s="9" t="s">
        <v>21</v>
      </c>
      <c r="E2850" s="9" t="str">
        <f>_xlfn.TEXTAFTER(Condiciones_acumuladas[[#This Row],[Descripción]], " ", -2)</f>
        <v>Oscar Ramírez</v>
      </c>
      <c r="F2850" s="21" t="s">
        <v>2516</v>
      </c>
      <c r="G2850" s="23">
        <v>46063</v>
      </c>
    </row>
    <row r="2851" spans="1:7" ht="24.5" hidden="1" x14ac:dyDescent="0.35">
      <c r="A2851" s="8">
        <v>11028</v>
      </c>
      <c r="B2851" s="10" t="s">
        <v>5409</v>
      </c>
      <c r="C2851" s="10" t="s">
        <v>196</v>
      </c>
      <c r="D2851" s="9" t="s">
        <v>196</v>
      </c>
      <c r="E2851" s="9" t="str">
        <f>_xlfn.TEXTAFTER(Condiciones_acumuladas[[#This Row],[Descripción]], " ", -2)</f>
        <v>Miguel Godínez</v>
      </c>
      <c r="F2851" s="21" t="s">
        <v>2537</v>
      </c>
      <c r="G2851" s="23">
        <v>46064</v>
      </c>
    </row>
    <row r="2852" spans="1:7" ht="24.5" hidden="1" x14ac:dyDescent="0.35">
      <c r="A2852" s="8">
        <v>11027</v>
      </c>
      <c r="B2852" s="10" t="s">
        <v>5410</v>
      </c>
      <c r="C2852" s="10" t="s">
        <v>96</v>
      </c>
      <c r="D2852" s="9" t="s">
        <v>96</v>
      </c>
      <c r="E2852" s="9" t="s">
        <v>890</v>
      </c>
      <c r="F2852" s="21" t="s">
        <v>2537</v>
      </c>
      <c r="G2852" s="23">
        <v>46064</v>
      </c>
    </row>
    <row r="2853" spans="1:7" ht="36.5" hidden="1" x14ac:dyDescent="0.35">
      <c r="A2853" s="8">
        <v>11029</v>
      </c>
      <c r="B2853" s="10" t="s">
        <v>5411</v>
      </c>
      <c r="C2853" s="10" t="s">
        <v>250</v>
      </c>
      <c r="D2853" s="9" t="s">
        <v>395</v>
      </c>
      <c r="E2853" s="9" t="s">
        <v>1037</v>
      </c>
      <c r="F2853" s="21" t="s">
        <v>2516</v>
      </c>
      <c r="G2853" s="23">
        <v>46064</v>
      </c>
    </row>
    <row r="2854" spans="1:7" ht="36.5" hidden="1" x14ac:dyDescent="0.35">
      <c r="A2854" s="8">
        <v>11030</v>
      </c>
      <c r="B2854" s="10" t="s">
        <v>5412</v>
      </c>
      <c r="C2854" s="10" t="s">
        <v>21</v>
      </c>
      <c r="D2854" s="9" t="s">
        <v>227</v>
      </c>
      <c r="E2854" s="9" t="s">
        <v>230</v>
      </c>
      <c r="F2854" s="21" t="s">
        <v>2516</v>
      </c>
      <c r="G2854" s="23">
        <v>46064</v>
      </c>
    </row>
    <row r="2855" spans="1:7" ht="36.5" hidden="1" x14ac:dyDescent="0.35">
      <c r="A2855" s="8">
        <v>11031</v>
      </c>
      <c r="B2855" s="10" t="s">
        <v>5413</v>
      </c>
      <c r="C2855" s="10" t="s">
        <v>96</v>
      </c>
      <c r="D2855" s="9" t="s">
        <v>395</v>
      </c>
      <c r="E2855" s="9" t="s">
        <v>1037</v>
      </c>
      <c r="F2855" s="21" t="s">
        <v>2530</v>
      </c>
      <c r="G2855" s="23">
        <v>46064</v>
      </c>
    </row>
    <row r="2856" spans="1:7" ht="24.5" hidden="1" x14ac:dyDescent="0.35">
      <c r="A2856" s="8">
        <v>11032</v>
      </c>
      <c r="B2856" s="10" t="s">
        <v>5414</v>
      </c>
      <c r="C2856" s="10" t="s">
        <v>104</v>
      </c>
      <c r="D2856" s="9" t="s">
        <v>220</v>
      </c>
      <c r="E2856" s="9" t="str">
        <f>_xlfn.TEXTAFTER(Condiciones_acumuladas[[#This Row],[Descripción]], " ", -2)</f>
        <v>Lissette Loarca</v>
      </c>
      <c r="F2856" s="21" t="s">
        <v>2522</v>
      </c>
      <c r="G2856" s="23">
        <v>46064</v>
      </c>
    </row>
    <row r="2857" spans="1:7" ht="36.5" hidden="1" x14ac:dyDescent="0.35">
      <c r="A2857" s="8">
        <v>11033</v>
      </c>
      <c r="B2857" s="10" t="s">
        <v>5415</v>
      </c>
      <c r="C2857" s="10" t="s">
        <v>96</v>
      </c>
      <c r="D2857" s="9" t="s">
        <v>395</v>
      </c>
      <c r="E2857" s="9" t="s">
        <v>1037</v>
      </c>
      <c r="F2857" s="21" t="s">
        <v>2516</v>
      </c>
      <c r="G2857" s="23">
        <v>46064</v>
      </c>
    </row>
    <row r="2858" spans="1:7" ht="36.5" hidden="1" x14ac:dyDescent="0.35">
      <c r="A2858" s="8">
        <v>11034</v>
      </c>
      <c r="B2858" s="10" t="s">
        <v>5416</v>
      </c>
      <c r="C2858" s="10" t="s">
        <v>21</v>
      </c>
      <c r="D2858" s="9" t="s">
        <v>96</v>
      </c>
      <c r="E2858" s="9" t="s">
        <v>230</v>
      </c>
      <c r="F2858" s="21" t="s">
        <v>2516</v>
      </c>
      <c r="G2858" s="23">
        <v>46064</v>
      </c>
    </row>
    <row r="2859" spans="1:7" ht="36.5" hidden="1" x14ac:dyDescent="0.35">
      <c r="A2859" s="8">
        <v>11035</v>
      </c>
      <c r="B2859" s="10" t="s">
        <v>5417</v>
      </c>
      <c r="C2859" s="10" t="s">
        <v>96</v>
      </c>
      <c r="D2859" s="9" t="s">
        <v>395</v>
      </c>
      <c r="E2859" s="9" t="s">
        <v>1037</v>
      </c>
      <c r="F2859" s="21" t="s">
        <v>2516</v>
      </c>
      <c r="G2859" s="23">
        <v>46064</v>
      </c>
    </row>
    <row r="2860" spans="1:7" ht="24.5" hidden="1" x14ac:dyDescent="0.35">
      <c r="A2860" s="8">
        <v>11036</v>
      </c>
      <c r="B2860" s="10" t="s">
        <v>5418</v>
      </c>
      <c r="C2860" s="10" t="s">
        <v>96</v>
      </c>
      <c r="D2860" s="9" t="s">
        <v>96</v>
      </c>
      <c r="E2860" s="9" t="str">
        <f>_xlfn.TEXTAFTER(Condiciones_acumuladas[[#This Row],[Descripción]], " ", -2)</f>
        <v>Jimmy Velásquez</v>
      </c>
      <c r="F2860" s="21" t="s">
        <v>2537</v>
      </c>
      <c r="G2860" s="23">
        <v>46064</v>
      </c>
    </row>
    <row r="2861" spans="1:7" ht="24.5" hidden="1" x14ac:dyDescent="0.35">
      <c r="A2861" s="8">
        <v>11037</v>
      </c>
      <c r="B2861" s="10" t="s">
        <v>5419</v>
      </c>
      <c r="C2861" s="10" t="s">
        <v>21</v>
      </c>
      <c r="D2861" s="9" t="s">
        <v>96</v>
      </c>
      <c r="E2861" s="9" t="s">
        <v>230</v>
      </c>
      <c r="F2861" s="21" t="s">
        <v>2522</v>
      </c>
      <c r="G2861" s="23">
        <v>46064</v>
      </c>
    </row>
    <row r="2862" spans="1:7" ht="36.5" hidden="1" x14ac:dyDescent="0.35">
      <c r="A2862" s="8">
        <v>11038</v>
      </c>
      <c r="B2862" s="10" t="s">
        <v>5420</v>
      </c>
      <c r="C2862" s="10" t="s">
        <v>96</v>
      </c>
      <c r="D2862" s="9" t="s">
        <v>220</v>
      </c>
      <c r="E2862" s="9" t="s">
        <v>410</v>
      </c>
      <c r="F2862" s="21" t="s">
        <v>2525</v>
      </c>
      <c r="G2862" s="23">
        <v>46064</v>
      </c>
    </row>
    <row r="2863" spans="1:7" ht="24.5" hidden="1" x14ac:dyDescent="0.35">
      <c r="A2863" s="8">
        <v>11040</v>
      </c>
      <c r="B2863" s="10" t="s">
        <v>5421</v>
      </c>
      <c r="C2863" s="10" t="s">
        <v>95</v>
      </c>
      <c r="D2863" s="9" t="s">
        <v>395</v>
      </c>
      <c r="E2863" s="9" t="s">
        <v>3526</v>
      </c>
      <c r="F2863" s="21" t="s">
        <v>2522</v>
      </c>
      <c r="G2863" s="23">
        <v>46064</v>
      </c>
    </row>
    <row r="2864" spans="1:7" ht="36.5" hidden="1" x14ac:dyDescent="0.35">
      <c r="A2864" s="8">
        <v>11042</v>
      </c>
      <c r="B2864" s="10" t="s">
        <v>5422</v>
      </c>
      <c r="C2864" s="10" t="s">
        <v>21</v>
      </c>
      <c r="D2864" s="9" t="s">
        <v>96</v>
      </c>
      <c r="E2864" s="9" t="s">
        <v>230</v>
      </c>
      <c r="F2864" s="21" t="s">
        <v>2516</v>
      </c>
      <c r="G2864" s="23">
        <v>46064</v>
      </c>
    </row>
    <row r="2865" spans="1:7" ht="36.5" hidden="1" x14ac:dyDescent="0.35">
      <c r="A2865" s="8">
        <v>11043</v>
      </c>
      <c r="B2865" s="10" t="s">
        <v>5423</v>
      </c>
      <c r="C2865" s="10" t="s">
        <v>220</v>
      </c>
      <c r="D2865" s="9" t="s">
        <v>95</v>
      </c>
      <c r="E2865" s="9" t="str">
        <f>_xlfn.TEXTAFTER(Condiciones_acumuladas[[#This Row],[Descripción]], " ", -2)</f>
        <v>Alejandro Martínez</v>
      </c>
      <c r="F2865" s="21" t="s">
        <v>2516</v>
      </c>
      <c r="G2865" s="23">
        <v>46064</v>
      </c>
    </row>
    <row r="2866" spans="1:7" ht="36.5" hidden="1" x14ac:dyDescent="0.35">
      <c r="A2866" s="8">
        <v>11044</v>
      </c>
      <c r="B2866" s="10" t="s">
        <v>5424</v>
      </c>
      <c r="C2866" s="10" t="s">
        <v>395</v>
      </c>
      <c r="D2866" s="9" t="s">
        <v>395</v>
      </c>
      <c r="E2866" s="9" t="s">
        <v>3526</v>
      </c>
      <c r="F2866" s="21" t="s">
        <v>2715</v>
      </c>
      <c r="G2866" s="23">
        <v>46064</v>
      </c>
    </row>
    <row r="2867" spans="1:7" ht="36.5" hidden="1" x14ac:dyDescent="0.35">
      <c r="A2867" s="8">
        <v>11045</v>
      </c>
      <c r="B2867" s="10" t="s">
        <v>5425</v>
      </c>
      <c r="C2867" s="10" t="s">
        <v>26</v>
      </c>
      <c r="D2867" s="9" t="s">
        <v>395</v>
      </c>
      <c r="E2867" s="9" t="str">
        <f>_xlfn.TEXTAFTER(Condiciones_acumuladas[[#This Row],[Descripción]], " ", -2)</f>
        <v>Yessica Guarcas</v>
      </c>
      <c r="F2867" s="21" t="s">
        <v>2530</v>
      </c>
      <c r="G2867" s="23">
        <v>46064</v>
      </c>
    </row>
    <row r="2868" spans="1:7" ht="24.5" hidden="1" x14ac:dyDescent="0.35">
      <c r="A2868" s="8">
        <v>11048</v>
      </c>
      <c r="B2868" s="10" t="s">
        <v>5426</v>
      </c>
      <c r="C2868" s="10" t="s">
        <v>234</v>
      </c>
      <c r="D2868" s="9" t="s">
        <v>134</v>
      </c>
      <c r="E2868" s="9" t="s">
        <v>1692</v>
      </c>
      <c r="F2868" s="21" t="s">
        <v>2522</v>
      </c>
      <c r="G2868" s="23">
        <v>46064</v>
      </c>
    </row>
    <row r="2869" spans="1:7" ht="36.5" hidden="1" x14ac:dyDescent="0.35">
      <c r="A2869" s="8">
        <v>11049</v>
      </c>
      <c r="B2869" s="10" t="s">
        <v>5427</v>
      </c>
      <c r="C2869" s="10" t="s">
        <v>26</v>
      </c>
      <c r="D2869" s="9" t="s">
        <v>395</v>
      </c>
      <c r="E2869" s="9" t="str">
        <f>_xlfn.TEXTAFTER(Condiciones_acumuladas[[#This Row],[Descripción]], " ", -2)</f>
        <v>Yessica Guarcas</v>
      </c>
      <c r="F2869" s="21" t="s">
        <v>2530</v>
      </c>
      <c r="G2869" s="23">
        <v>46064</v>
      </c>
    </row>
    <row r="2870" spans="1:7" ht="36.5" hidden="1" x14ac:dyDescent="0.35">
      <c r="A2870" s="8">
        <v>11050</v>
      </c>
      <c r="B2870" s="10" t="s">
        <v>5428</v>
      </c>
      <c r="C2870" s="10" t="s">
        <v>96</v>
      </c>
      <c r="D2870" s="9" t="s">
        <v>96</v>
      </c>
      <c r="E2870" s="9" t="str">
        <f>_xlfn.TEXTAFTER(Condiciones_acumuladas[[#This Row],[Descripción]], " ", -2)</f>
        <v>Luis Pérez</v>
      </c>
      <c r="F2870" s="21" t="s">
        <v>2540</v>
      </c>
      <c r="G2870" s="23">
        <v>46064</v>
      </c>
    </row>
    <row r="2871" spans="1:7" ht="36.5" hidden="1" x14ac:dyDescent="0.35">
      <c r="A2871" s="8">
        <v>11051</v>
      </c>
      <c r="B2871" s="10" t="s">
        <v>5429</v>
      </c>
      <c r="C2871" s="10" t="s">
        <v>21</v>
      </c>
      <c r="D2871" s="9" t="s">
        <v>395</v>
      </c>
      <c r="E2871" s="9" t="s">
        <v>2440</v>
      </c>
      <c r="F2871" s="21" t="s">
        <v>2530</v>
      </c>
      <c r="G2871" s="23">
        <v>46064</v>
      </c>
    </row>
    <row r="2872" spans="1:7" ht="36.5" hidden="1" x14ac:dyDescent="0.35">
      <c r="A2872" s="8">
        <v>11054</v>
      </c>
      <c r="B2872" s="10" t="s">
        <v>5430</v>
      </c>
      <c r="C2872" s="10" t="s">
        <v>95</v>
      </c>
      <c r="D2872" s="9" t="s">
        <v>95</v>
      </c>
      <c r="E2872" s="9" t="s">
        <v>183</v>
      </c>
      <c r="F2872" s="21" t="s">
        <v>2530</v>
      </c>
      <c r="G2872" s="23">
        <v>46066</v>
      </c>
    </row>
    <row r="2873" spans="1:7" ht="24.5" hidden="1" x14ac:dyDescent="0.35">
      <c r="A2873" s="8">
        <v>11055</v>
      </c>
      <c r="B2873" s="10" t="s">
        <v>5431</v>
      </c>
      <c r="C2873" s="10" t="s">
        <v>95</v>
      </c>
      <c r="D2873" s="9" t="s">
        <v>95</v>
      </c>
      <c r="E2873" s="9" t="s">
        <v>183</v>
      </c>
      <c r="F2873" s="21" t="s">
        <v>2834</v>
      </c>
      <c r="G2873" s="23">
        <v>46066</v>
      </c>
    </row>
    <row r="2874" spans="1:7" ht="24.5" hidden="1" x14ac:dyDescent="0.35">
      <c r="A2874" s="8">
        <v>11058</v>
      </c>
      <c r="B2874" s="10" t="s">
        <v>5432</v>
      </c>
      <c r="C2874" s="10" t="s">
        <v>104</v>
      </c>
      <c r="D2874" s="9" t="s">
        <v>104</v>
      </c>
      <c r="E2874" s="9" t="s">
        <v>107</v>
      </c>
      <c r="F2874" s="21" t="s">
        <v>2522</v>
      </c>
      <c r="G2874" s="23">
        <v>46059</v>
      </c>
    </row>
    <row r="2875" spans="1:7" ht="24.5" hidden="1" x14ac:dyDescent="0.35">
      <c r="A2875" s="8">
        <v>11059</v>
      </c>
      <c r="B2875" s="10" t="s">
        <v>5433</v>
      </c>
      <c r="C2875" s="10" t="s">
        <v>104</v>
      </c>
      <c r="D2875" s="9" t="s">
        <v>104</v>
      </c>
      <c r="E2875" s="9" t="str">
        <f>_xlfn.TEXTAFTER(Condiciones_acumuladas[[#This Row],[Descripción]], " ", -2)</f>
        <v>Obdulio Cap</v>
      </c>
      <c r="F2875" s="21" t="s">
        <v>2522</v>
      </c>
      <c r="G2875" s="23">
        <v>46066</v>
      </c>
    </row>
    <row r="2876" spans="1:7" ht="48.5" hidden="1" x14ac:dyDescent="0.35">
      <c r="A2876" s="8">
        <v>11062</v>
      </c>
      <c r="B2876" s="10" t="s">
        <v>5434</v>
      </c>
      <c r="C2876" s="10" t="s">
        <v>234</v>
      </c>
      <c r="D2876" s="9" t="s">
        <v>95</v>
      </c>
      <c r="E2876" s="9" t="str">
        <f>_xlfn.TEXTAFTER(Condiciones_acumuladas[[#This Row],[Descripción]], " ", -2)</f>
        <v>Benedicto Barrios</v>
      </c>
      <c r="F2876" s="21" t="s">
        <v>2559</v>
      </c>
      <c r="G2876" s="23">
        <v>46068</v>
      </c>
    </row>
    <row r="2877" spans="1:7" ht="36.5" hidden="1" x14ac:dyDescent="0.35">
      <c r="A2877" s="8">
        <v>11063</v>
      </c>
      <c r="B2877" s="10" t="s">
        <v>5435</v>
      </c>
      <c r="C2877" s="10" t="s">
        <v>26</v>
      </c>
      <c r="D2877" s="9" t="s">
        <v>395</v>
      </c>
      <c r="E2877" s="9" t="str">
        <f>_xlfn.TEXTAFTER(Condiciones_acumuladas[[#This Row],[Descripción]], " ", -2)</f>
        <v>Antony Ramos</v>
      </c>
      <c r="F2877" s="21" t="s">
        <v>2516</v>
      </c>
      <c r="G2877" s="23">
        <v>46066</v>
      </c>
    </row>
    <row r="2878" spans="1:7" ht="36.5" hidden="1" x14ac:dyDescent="0.35">
      <c r="A2878" s="8">
        <v>11064</v>
      </c>
      <c r="B2878" s="10" t="s">
        <v>5436</v>
      </c>
      <c r="C2878" s="10" t="s">
        <v>196</v>
      </c>
      <c r="D2878" s="9" t="s">
        <v>395</v>
      </c>
      <c r="E2878" s="9" t="str">
        <f>_xlfn.TEXTAFTER(Condiciones_acumuladas[[#This Row],[Descripción]], " ", -2)</f>
        <v>Josué Vásquez</v>
      </c>
      <c r="F2878" s="21" t="s">
        <v>2525</v>
      </c>
      <c r="G2878" s="23">
        <v>46066</v>
      </c>
    </row>
    <row r="2879" spans="1:7" ht="36.5" hidden="1" x14ac:dyDescent="0.35">
      <c r="A2879" s="8">
        <v>11065</v>
      </c>
      <c r="B2879" s="10" t="s">
        <v>5437</v>
      </c>
      <c r="C2879" s="10" t="s">
        <v>250</v>
      </c>
      <c r="D2879" s="9" t="s">
        <v>395</v>
      </c>
      <c r="E2879" s="9" t="str">
        <f>_xlfn.TEXTAFTER(Condiciones_acumuladas[[#This Row],[Descripción]], " ", -2)</f>
        <v>Josué Vásquez</v>
      </c>
      <c r="F2879" s="21" t="s">
        <v>2516</v>
      </c>
      <c r="G2879" s="23">
        <v>46066</v>
      </c>
    </row>
    <row r="2880" spans="1:7" ht="36.5" hidden="1" x14ac:dyDescent="0.35">
      <c r="A2880" s="8">
        <v>11066</v>
      </c>
      <c r="B2880" s="10" t="s">
        <v>5438</v>
      </c>
      <c r="C2880" s="10" t="s">
        <v>190</v>
      </c>
      <c r="D2880" s="9" t="s">
        <v>278</v>
      </c>
      <c r="E2880" s="9" t="str">
        <f>_xlfn.TEXTAFTER(Condiciones_acumuladas[[#This Row],[Descripción]], " ", -2)</f>
        <v>Jason Calderón</v>
      </c>
      <c r="F2880" s="21" t="s">
        <v>2516</v>
      </c>
      <c r="G2880" s="23">
        <v>46066</v>
      </c>
    </row>
    <row r="2881" spans="1:7" ht="36.5" hidden="1" x14ac:dyDescent="0.35">
      <c r="A2881" s="8">
        <v>11067</v>
      </c>
      <c r="B2881" s="10" t="s">
        <v>5439</v>
      </c>
      <c r="C2881" s="10" t="s">
        <v>395</v>
      </c>
      <c r="D2881" s="9" t="s">
        <v>395</v>
      </c>
      <c r="E2881" s="9" t="str">
        <f>_xlfn.TEXTAFTER(Condiciones_acumuladas[[#This Row],[Descripción]], " ", -2)</f>
        <v>David Figueroa</v>
      </c>
      <c r="F2881" s="21" t="s">
        <v>2530</v>
      </c>
      <c r="G2881" s="23">
        <v>46069</v>
      </c>
    </row>
    <row r="2882" spans="1:7" ht="48.5" hidden="1" x14ac:dyDescent="0.35">
      <c r="A2882" s="8">
        <v>11068</v>
      </c>
      <c r="B2882" s="10" t="s">
        <v>5440</v>
      </c>
      <c r="C2882" s="10" t="s">
        <v>234</v>
      </c>
      <c r="D2882" s="9" t="s">
        <v>234</v>
      </c>
      <c r="E2882" s="9" t="str">
        <f>_xlfn.TEXTAFTER(Condiciones_acumuladas[[#This Row],[Descripción]], " ", -2)</f>
        <v>Bryan Neftaly</v>
      </c>
      <c r="F2882" s="21" t="s">
        <v>2559</v>
      </c>
      <c r="G2882" s="23">
        <v>46069</v>
      </c>
    </row>
    <row r="2883" spans="1:7" ht="36.5" hidden="1" x14ac:dyDescent="0.35">
      <c r="A2883" s="8">
        <v>11069</v>
      </c>
      <c r="B2883" s="10" t="s">
        <v>5441</v>
      </c>
      <c r="C2883" s="10" t="s">
        <v>395</v>
      </c>
      <c r="D2883" s="9" t="s">
        <v>395</v>
      </c>
      <c r="E2883" s="9" t="str">
        <f>_xlfn.TEXTAFTER(Condiciones_acumuladas[[#This Row],[Descripción]], " ", -2)</f>
        <v>David Figueroa</v>
      </c>
      <c r="F2883" s="21" t="s">
        <v>2525</v>
      </c>
      <c r="G2883" s="23">
        <v>46069</v>
      </c>
    </row>
    <row r="2884" spans="1:7" ht="36.5" hidden="1" x14ac:dyDescent="0.35">
      <c r="A2884" s="8">
        <v>11070</v>
      </c>
      <c r="B2884" s="10" t="s">
        <v>5442</v>
      </c>
      <c r="C2884" s="10" t="s">
        <v>395</v>
      </c>
      <c r="D2884" s="9" t="s">
        <v>395</v>
      </c>
      <c r="E2884" s="9" t="str">
        <f>_xlfn.TEXTAFTER(Condiciones_acumuladas[[#This Row],[Descripción]], " ", -2)</f>
        <v>David Figueroa</v>
      </c>
      <c r="F2884" s="21" t="s">
        <v>2525</v>
      </c>
      <c r="G2884" s="23">
        <v>46069</v>
      </c>
    </row>
    <row r="2885" spans="1:7" ht="36.5" hidden="1" x14ac:dyDescent="0.35">
      <c r="A2885" s="8">
        <v>11071</v>
      </c>
      <c r="B2885" s="10" t="s">
        <v>5443</v>
      </c>
      <c r="C2885" s="10" t="s">
        <v>395</v>
      </c>
      <c r="D2885" s="9" t="s">
        <v>395</v>
      </c>
      <c r="E2885" s="9" t="str">
        <f>_xlfn.TEXTAFTER(Condiciones_acumuladas[[#This Row],[Descripción]], " ", -2)</f>
        <v>David Figueroa</v>
      </c>
      <c r="F2885" s="21" t="s">
        <v>2525</v>
      </c>
      <c r="G2885" s="23">
        <v>46069</v>
      </c>
    </row>
    <row r="2886" spans="1:7" ht="36.5" hidden="1" x14ac:dyDescent="0.35">
      <c r="A2886" s="8">
        <v>11074</v>
      </c>
      <c r="B2886" s="10" t="s">
        <v>5444</v>
      </c>
      <c r="C2886" s="10" t="s">
        <v>250</v>
      </c>
      <c r="D2886" s="9" t="s">
        <v>250</v>
      </c>
      <c r="E2886" s="9" t="str">
        <f>_xlfn.TEXTAFTER(Condiciones_acumuladas[[#This Row],[Descripción]], " ", -2)</f>
        <v>Edson Bonifacio</v>
      </c>
      <c r="F2886" s="21" t="s">
        <v>2516</v>
      </c>
      <c r="G2886" s="23">
        <v>46063</v>
      </c>
    </row>
    <row r="2887" spans="1:7" ht="24.5" hidden="1" x14ac:dyDescent="0.35">
      <c r="A2887" s="8">
        <v>11134</v>
      </c>
      <c r="B2887" s="10" t="s">
        <v>5445</v>
      </c>
      <c r="C2887" s="10" t="s">
        <v>220</v>
      </c>
      <c r="D2887" s="9" t="s">
        <v>220</v>
      </c>
      <c r="E2887" s="9" t="str">
        <f>_xlfn.TEXTAFTER(Condiciones_acumuladas[[#This Row],[Descripción]], " ", -2)</f>
        <v>Charly Coc</v>
      </c>
      <c r="F2887" s="21" t="s">
        <v>2522</v>
      </c>
      <c r="G2887" s="23">
        <v>46073</v>
      </c>
    </row>
    <row r="2888" spans="1:7" ht="24.5" hidden="1" x14ac:dyDescent="0.35">
      <c r="A2888" s="8">
        <v>11145</v>
      </c>
      <c r="B2888" s="10" t="s">
        <v>5446</v>
      </c>
      <c r="C2888" s="10" t="s">
        <v>13</v>
      </c>
      <c r="D2888" s="9" t="s">
        <v>13</v>
      </c>
      <c r="E2888" s="9" t="str">
        <f>_xlfn.TEXTAFTER(Condiciones_acumuladas[[#This Row],[Descripción]], " ", -2)</f>
        <v>Edson Bonifacio</v>
      </c>
      <c r="F2888" s="21" t="s">
        <v>2540</v>
      </c>
      <c r="G2888" s="23">
        <v>46073</v>
      </c>
    </row>
    <row r="2889" spans="1:7" ht="36.5" hidden="1" x14ac:dyDescent="0.35">
      <c r="A2889" s="8">
        <v>11144</v>
      </c>
      <c r="B2889" s="10" t="s">
        <v>5447</v>
      </c>
      <c r="C2889" s="10" t="s">
        <v>13</v>
      </c>
      <c r="D2889" s="9" t="s">
        <v>190</v>
      </c>
      <c r="E2889" s="9" t="str">
        <f>_xlfn.TEXTAFTER(Condiciones_acumuladas[[#This Row],[Descripción]], " ", -2)</f>
        <v>Edson Bonifacio</v>
      </c>
      <c r="F2889" s="21" t="s">
        <v>2516</v>
      </c>
      <c r="G2889" s="23">
        <v>46073</v>
      </c>
    </row>
    <row r="2890" spans="1:7" ht="36.5" hidden="1" x14ac:dyDescent="0.35">
      <c r="A2890" s="8">
        <v>11143</v>
      </c>
      <c r="B2890" s="10" t="s">
        <v>5448</v>
      </c>
      <c r="C2890" s="10" t="s">
        <v>13</v>
      </c>
      <c r="D2890" s="9" t="s">
        <v>190</v>
      </c>
      <c r="E2890" s="9" t="str">
        <f>_xlfn.TEXTAFTER(Condiciones_acumuladas[[#This Row],[Descripción]], " ", -2)</f>
        <v>Edson Bonifacio</v>
      </c>
      <c r="F2890" s="21" t="s">
        <v>2572</v>
      </c>
      <c r="G2890" s="23">
        <v>46073</v>
      </c>
    </row>
    <row r="2891" spans="1:7" ht="36.5" hidden="1" x14ac:dyDescent="0.35">
      <c r="A2891" s="8">
        <v>11142</v>
      </c>
      <c r="B2891" s="10" t="s">
        <v>5449</v>
      </c>
      <c r="C2891" s="10" t="s">
        <v>250</v>
      </c>
      <c r="D2891" s="9" t="s">
        <v>395</v>
      </c>
      <c r="E2891" s="9" t="str">
        <f>_xlfn.TEXTAFTER(Condiciones_acumuladas[[#This Row],[Descripción]], " ", -2)</f>
        <v>Yessica Guarcas</v>
      </c>
      <c r="F2891" s="21" t="s">
        <v>2516</v>
      </c>
      <c r="G2891" s="23">
        <v>46073</v>
      </c>
    </row>
    <row r="2892" spans="1:7" ht="36.5" hidden="1" x14ac:dyDescent="0.35">
      <c r="A2892" s="8">
        <v>11140</v>
      </c>
      <c r="B2892" s="10" t="s">
        <v>5450</v>
      </c>
      <c r="C2892" s="10" t="s">
        <v>104</v>
      </c>
      <c r="D2892" s="9" t="s">
        <v>104</v>
      </c>
      <c r="E2892" s="9" t="str">
        <f>_xlfn.TEXTAFTER(Condiciones_acumuladas[[#This Row],[Descripción]], " ", -2)</f>
        <v>Obdulio Cap</v>
      </c>
      <c r="F2892" s="21" t="s">
        <v>2530</v>
      </c>
      <c r="G2892" s="23">
        <v>46073</v>
      </c>
    </row>
    <row r="2893" spans="1:7" ht="36.5" hidden="1" x14ac:dyDescent="0.35">
      <c r="A2893" s="8">
        <v>11139</v>
      </c>
      <c r="B2893" s="10" t="s">
        <v>5451</v>
      </c>
      <c r="C2893" s="10" t="s">
        <v>220</v>
      </c>
      <c r="D2893" s="9" t="s">
        <v>95</v>
      </c>
      <c r="E2893" s="9" t="str">
        <f>_xlfn.TEXTAFTER(Condiciones_acumuladas[[#This Row],[Descripción]], " ", -2)</f>
        <v>María Obregón</v>
      </c>
      <c r="F2893" s="21" t="s">
        <v>2516</v>
      </c>
      <c r="G2893" s="23">
        <v>46073</v>
      </c>
    </row>
    <row r="2894" spans="1:7" ht="24.5" hidden="1" x14ac:dyDescent="0.35">
      <c r="A2894" s="8">
        <v>11137</v>
      </c>
      <c r="B2894" s="10" t="s">
        <v>5452</v>
      </c>
      <c r="C2894" s="10" t="s">
        <v>21</v>
      </c>
      <c r="D2894" s="9" t="s">
        <v>95</v>
      </c>
      <c r="E2894" s="9" t="str">
        <f>_xlfn.TEXTAFTER(Condiciones_acumuladas[[#This Row],[Descripción]], " ", -2)</f>
        <v>María Obregón</v>
      </c>
      <c r="F2894" s="21" t="s">
        <v>2834</v>
      </c>
      <c r="G2894" s="23">
        <v>46073</v>
      </c>
    </row>
    <row r="2895" spans="1:7" ht="24.5" hidden="1" x14ac:dyDescent="0.35">
      <c r="A2895" s="8">
        <v>11138</v>
      </c>
      <c r="B2895" s="10" t="s">
        <v>5453</v>
      </c>
      <c r="C2895" s="10" t="s">
        <v>95</v>
      </c>
      <c r="D2895" s="9" t="s">
        <v>220</v>
      </c>
      <c r="E2895" s="9" t="str">
        <f>_xlfn.TEXTAFTER(Condiciones_acumuladas[[#This Row],[Descripción]], " ", -2)</f>
        <v>María Obregón</v>
      </c>
      <c r="F2895" s="21" t="s">
        <v>2522</v>
      </c>
      <c r="G2895" s="23">
        <v>46073</v>
      </c>
    </row>
    <row r="2896" spans="1:7" ht="36.5" hidden="1" x14ac:dyDescent="0.35">
      <c r="A2896" s="8">
        <v>11136</v>
      </c>
      <c r="B2896" s="10" t="s">
        <v>5454</v>
      </c>
      <c r="C2896" s="10" t="s">
        <v>250</v>
      </c>
      <c r="D2896" s="9" t="s">
        <v>190</v>
      </c>
      <c r="E2896" s="9" t="str">
        <f>_xlfn.TEXTAFTER(Condiciones_acumuladas[[#This Row],[Descripción]], " ", -2)</f>
        <v>Edson Bonifacio</v>
      </c>
      <c r="F2896" s="21" t="s">
        <v>2540</v>
      </c>
      <c r="G2896" s="23">
        <v>46073</v>
      </c>
    </row>
    <row r="2897" spans="1:7" ht="24.5" hidden="1" x14ac:dyDescent="0.35">
      <c r="A2897" s="8">
        <v>11135</v>
      </c>
      <c r="B2897" s="10" t="s">
        <v>5455</v>
      </c>
      <c r="C2897" s="10" t="s">
        <v>104</v>
      </c>
      <c r="D2897" s="9" t="s">
        <v>104</v>
      </c>
      <c r="E2897" s="9" t="str">
        <f>_xlfn.TEXTAFTER(Condiciones_acumuladas[[#This Row],[Descripción]], " ", -2)</f>
        <v>Obdulio Cap</v>
      </c>
      <c r="F2897" s="21" t="s">
        <v>2522</v>
      </c>
      <c r="G2897" s="23">
        <v>46073</v>
      </c>
    </row>
    <row r="2898" spans="1:7" ht="24.5" hidden="1" x14ac:dyDescent="0.35">
      <c r="A2898" s="8">
        <v>11072</v>
      </c>
      <c r="B2898" s="10" t="s">
        <v>5456</v>
      </c>
      <c r="C2898" s="10" t="s">
        <v>234</v>
      </c>
      <c r="D2898" s="9" t="s">
        <v>95</v>
      </c>
      <c r="E2898" s="9" t="str">
        <f>_xlfn.TEXTAFTER(Condiciones_acumuladas[[#This Row],[Descripción]], " ", -2)</f>
        <v>Hellen Estrada</v>
      </c>
      <c r="F2898" s="21" t="s">
        <v>2522</v>
      </c>
      <c r="G2898" s="23">
        <v>46066</v>
      </c>
    </row>
    <row r="2899" spans="1:7" ht="36.5" hidden="1" x14ac:dyDescent="0.35">
      <c r="A2899" s="8">
        <v>11133</v>
      </c>
      <c r="B2899" s="10" t="s">
        <v>5457</v>
      </c>
      <c r="C2899" s="10" t="s">
        <v>220</v>
      </c>
      <c r="D2899" s="9" t="s">
        <v>34</v>
      </c>
      <c r="E2899" s="9" t="str">
        <f>_xlfn.TEXTAFTER(Condiciones_acumuladas[[#This Row],[Descripción]], " ", -2)</f>
        <v>Edgar Primero</v>
      </c>
      <c r="F2899" s="21" t="s">
        <v>2516</v>
      </c>
      <c r="G2899" s="23">
        <v>46072</v>
      </c>
    </row>
    <row r="2900" spans="1:7" ht="36.5" hidden="1" x14ac:dyDescent="0.35">
      <c r="A2900" s="8">
        <v>11132</v>
      </c>
      <c r="B2900" s="10" t="s">
        <v>5458</v>
      </c>
      <c r="C2900" s="10" t="s">
        <v>250</v>
      </c>
      <c r="D2900" s="9" t="s">
        <v>190</v>
      </c>
      <c r="E2900" s="9" t="str">
        <f>_xlfn.TEXTAFTER(Condiciones_acumuladas[[#This Row],[Descripción]], " ", -2)</f>
        <v>Denny Leon</v>
      </c>
      <c r="F2900" s="21" t="s">
        <v>2516</v>
      </c>
      <c r="G2900" s="23">
        <v>46072</v>
      </c>
    </row>
    <row r="2901" spans="1:7" ht="24.5" hidden="1" x14ac:dyDescent="0.35">
      <c r="A2901" s="8">
        <v>11131</v>
      </c>
      <c r="B2901" s="10" t="s">
        <v>5459</v>
      </c>
      <c r="C2901" s="10" t="s">
        <v>96</v>
      </c>
      <c r="D2901" s="9" t="s">
        <v>96</v>
      </c>
      <c r="E2901" s="9" t="str">
        <f>_xlfn.TEXTAFTER(Condiciones_acumuladas[[#This Row],[Descripción]], " ", -2)</f>
        <v>Luis Pérez</v>
      </c>
      <c r="F2901" s="21" t="s">
        <v>2522</v>
      </c>
      <c r="G2901" s="23">
        <v>46072</v>
      </c>
    </row>
    <row r="2902" spans="1:7" ht="36.5" hidden="1" x14ac:dyDescent="0.35">
      <c r="A2902" s="8">
        <v>11130</v>
      </c>
      <c r="B2902" s="10" t="s">
        <v>5460</v>
      </c>
      <c r="C2902" s="10" t="s">
        <v>13</v>
      </c>
      <c r="D2902" s="9" t="s">
        <v>196</v>
      </c>
      <c r="E2902" s="9" t="str">
        <f>_xlfn.TEXTAFTER(Condiciones_acumuladas[[#This Row],[Descripción]], " ", -2)</f>
        <v>Luis Ángel</v>
      </c>
      <c r="F2902" s="21" t="s">
        <v>2516</v>
      </c>
      <c r="G2902" s="23">
        <v>46071</v>
      </c>
    </row>
    <row r="2903" spans="1:7" ht="36.5" hidden="1" x14ac:dyDescent="0.35">
      <c r="A2903" s="8">
        <v>11128</v>
      </c>
      <c r="B2903" s="10" t="s">
        <v>5461</v>
      </c>
      <c r="C2903" s="10" t="s">
        <v>220</v>
      </c>
      <c r="D2903" s="9" t="s">
        <v>395</v>
      </c>
      <c r="E2903" s="9" t="str">
        <f>_xlfn.TEXTAFTER(Condiciones_acumuladas[[#This Row],[Descripción]], " ", -2)</f>
        <v>Josué Vásquez</v>
      </c>
      <c r="F2903" s="21" t="s">
        <v>2516</v>
      </c>
      <c r="G2903" s="23">
        <v>46071</v>
      </c>
    </row>
    <row r="2904" spans="1:7" ht="36.5" hidden="1" x14ac:dyDescent="0.35">
      <c r="A2904" s="8">
        <v>11127</v>
      </c>
      <c r="B2904" s="10" t="s">
        <v>5462</v>
      </c>
      <c r="C2904" s="10" t="s">
        <v>250</v>
      </c>
      <c r="D2904" s="9" t="s">
        <v>196</v>
      </c>
      <c r="E2904" s="9" t="str">
        <f>_xlfn.TEXTAFTER(Condiciones_acumuladas[[#This Row],[Descripción]], " ", -2)</f>
        <v>Miguel Godínez</v>
      </c>
      <c r="F2904" s="21" t="s">
        <v>2516</v>
      </c>
      <c r="G2904" s="23">
        <v>46071</v>
      </c>
    </row>
    <row r="2905" spans="1:7" ht="36.5" hidden="1" x14ac:dyDescent="0.35">
      <c r="A2905" s="8">
        <v>11126</v>
      </c>
      <c r="B2905" s="10" t="s">
        <v>5463</v>
      </c>
      <c r="C2905" s="10" t="s">
        <v>220</v>
      </c>
      <c r="D2905" s="9" t="s">
        <v>395</v>
      </c>
      <c r="E2905" s="9" t="str">
        <f>_xlfn.TEXTAFTER(Condiciones_acumuladas[[#This Row],[Descripción]], " ", -2)</f>
        <v>Josué Vásquez</v>
      </c>
      <c r="F2905" s="21" t="s">
        <v>2516</v>
      </c>
      <c r="G2905" s="23">
        <v>46071</v>
      </c>
    </row>
    <row r="2906" spans="1:7" ht="24.5" hidden="1" x14ac:dyDescent="0.35">
      <c r="A2906" s="8">
        <v>11125</v>
      </c>
      <c r="B2906" s="10" t="s">
        <v>5464</v>
      </c>
      <c r="C2906" s="10" t="s">
        <v>278</v>
      </c>
      <c r="D2906" s="9" t="s">
        <v>196</v>
      </c>
      <c r="E2906" s="9" t="str">
        <f>_xlfn.TEXTAFTER(Condiciones_acumuladas[[#This Row],[Descripción]], " ", -2)</f>
        <v>Miguel Godínez</v>
      </c>
      <c r="F2906" s="21" t="s">
        <v>2540</v>
      </c>
      <c r="G2906" s="23">
        <v>46071</v>
      </c>
    </row>
    <row r="2907" spans="1:7" ht="36.5" hidden="1" x14ac:dyDescent="0.35">
      <c r="A2907" s="8">
        <v>11124</v>
      </c>
      <c r="B2907" s="10" t="s">
        <v>5465</v>
      </c>
      <c r="C2907" s="10" t="s">
        <v>13</v>
      </c>
      <c r="D2907" s="9" t="s">
        <v>395</v>
      </c>
      <c r="E2907" s="9" t="str">
        <f>_xlfn.TEXTAFTER(Condiciones_acumuladas[[#This Row],[Descripción]], " ", -2)</f>
        <v>Josué Vásquez</v>
      </c>
      <c r="F2907" s="21" t="s">
        <v>2516</v>
      </c>
      <c r="G2907" s="23">
        <v>46071</v>
      </c>
    </row>
    <row r="2908" spans="1:7" ht="24.5" hidden="1" x14ac:dyDescent="0.35">
      <c r="A2908" s="8">
        <v>11123</v>
      </c>
      <c r="B2908" s="10" t="s">
        <v>5466</v>
      </c>
      <c r="C2908" s="10" t="s">
        <v>278</v>
      </c>
      <c r="D2908" s="9" t="s">
        <v>134</v>
      </c>
      <c r="E2908" s="9" t="str">
        <f>_xlfn.TEXTAFTER(Condiciones_acumuladas[[#This Row],[Descripción]], " ", -2)</f>
        <v>Roger rivas</v>
      </c>
      <c r="F2908" s="21" t="s">
        <v>2522</v>
      </c>
      <c r="G2908" s="23">
        <v>46071</v>
      </c>
    </row>
    <row r="2909" spans="1:7" ht="36.5" hidden="1" x14ac:dyDescent="0.35">
      <c r="A2909" s="8">
        <v>11122</v>
      </c>
      <c r="B2909" s="10" t="s">
        <v>5467</v>
      </c>
      <c r="C2909" s="10" t="s">
        <v>220</v>
      </c>
      <c r="D2909" s="9" t="s">
        <v>95</v>
      </c>
      <c r="E2909" s="9" t="str">
        <f>_xlfn.TEXTAFTER(Condiciones_acumuladas[[#This Row],[Descripción]], " ", -2)</f>
        <v>Alejandro Martínez</v>
      </c>
      <c r="F2909" s="21" t="s">
        <v>2572</v>
      </c>
      <c r="G2909" s="23">
        <v>46071</v>
      </c>
    </row>
    <row r="2910" spans="1:7" ht="36.5" hidden="1" x14ac:dyDescent="0.35">
      <c r="A2910" s="8">
        <v>11121</v>
      </c>
      <c r="B2910" s="10" t="s">
        <v>5468</v>
      </c>
      <c r="C2910" s="10" t="s">
        <v>220</v>
      </c>
      <c r="D2910" s="9" t="s">
        <v>220</v>
      </c>
      <c r="E2910" s="9" t="str">
        <f>_xlfn.TEXTAFTER(Condiciones_acumuladas[[#This Row],[Descripción]], " ", -2)</f>
        <v>Elvis oliva</v>
      </c>
      <c r="F2910" s="21" t="s">
        <v>2516</v>
      </c>
      <c r="G2910" s="23">
        <v>46071</v>
      </c>
    </row>
    <row r="2911" spans="1:7" ht="24.5" hidden="1" x14ac:dyDescent="0.35">
      <c r="A2911" s="8">
        <v>11120</v>
      </c>
      <c r="B2911" s="10" t="s">
        <v>5469</v>
      </c>
      <c r="C2911" s="10" t="s">
        <v>220</v>
      </c>
      <c r="D2911" s="9" t="s">
        <v>95</v>
      </c>
      <c r="E2911" s="9" t="str">
        <f>_xlfn.TEXTAFTER(Condiciones_acumuladas[[#This Row],[Descripción]], " ", -2)</f>
        <v>Alejandro Martínez</v>
      </c>
      <c r="F2911" s="21" t="s">
        <v>2522</v>
      </c>
      <c r="G2911" s="23">
        <v>46071</v>
      </c>
    </row>
    <row r="2912" spans="1:7" ht="36.5" hidden="1" x14ac:dyDescent="0.35">
      <c r="A2912" s="8">
        <v>11119</v>
      </c>
      <c r="B2912" s="10" t="s">
        <v>5470</v>
      </c>
      <c r="C2912" s="10" t="s">
        <v>220</v>
      </c>
      <c r="D2912" s="9" t="s">
        <v>95</v>
      </c>
      <c r="E2912" s="9" t="str">
        <f>_xlfn.TEXTAFTER(Condiciones_acumuladas[[#This Row],[Descripción]], " ", -2)</f>
        <v>Alejandro Martínez</v>
      </c>
      <c r="F2912" s="21" t="s">
        <v>2516</v>
      </c>
      <c r="G2912" s="23">
        <v>46071</v>
      </c>
    </row>
    <row r="2913" spans="1:7" ht="36.5" hidden="1" x14ac:dyDescent="0.35">
      <c r="A2913" s="8">
        <v>11117</v>
      </c>
      <c r="B2913" s="10" t="s">
        <v>5471</v>
      </c>
      <c r="C2913" s="10" t="s">
        <v>220</v>
      </c>
      <c r="D2913" s="9" t="s">
        <v>95</v>
      </c>
      <c r="E2913" s="9" t="str">
        <f>_xlfn.TEXTAFTER(Condiciones_acumuladas[[#This Row],[Descripción]], " ", -2)</f>
        <v>Alejandro Martínez</v>
      </c>
      <c r="F2913" s="21" t="s">
        <v>2525</v>
      </c>
      <c r="G2913" s="23">
        <v>46071</v>
      </c>
    </row>
    <row r="2914" spans="1:7" ht="24.5" hidden="1" x14ac:dyDescent="0.35">
      <c r="A2914" s="8">
        <v>11114</v>
      </c>
      <c r="B2914" s="10" t="s">
        <v>5472</v>
      </c>
      <c r="C2914" s="10" t="s">
        <v>134</v>
      </c>
      <c r="D2914" s="9" t="s">
        <v>220</v>
      </c>
      <c r="E2914" s="9" t="str">
        <f>_xlfn.TEXTAFTER(Condiciones_acumuladas[[#This Row],[Descripción]], " ", -2)</f>
        <v>Charly Coc</v>
      </c>
      <c r="F2914" s="21" t="s">
        <v>2540</v>
      </c>
      <c r="G2914" s="23">
        <v>46071</v>
      </c>
    </row>
    <row r="2915" spans="1:7" ht="36.5" hidden="1" x14ac:dyDescent="0.35">
      <c r="A2915" s="8">
        <v>11110</v>
      </c>
      <c r="B2915" s="10" t="s">
        <v>5473</v>
      </c>
      <c r="C2915" s="10" t="s">
        <v>34</v>
      </c>
      <c r="D2915" s="9" t="s">
        <v>395</v>
      </c>
      <c r="E2915" s="9" t="str">
        <f>_xlfn.TEXTAFTER(Condiciones_acumuladas[[#This Row],[Descripción]], " ", -2)</f>
        <v>Yessica Guarcas</v>
      </c>
      <c r="F2915" s="21" t="s">
        <v>2525</v>
      </c>
      <c r="G2915" s="23">
        <v>46071</v>
      </c>
    </row>
    <row r="2916" spans="1:7" ht="36.5" hidden="1" x14ac:dyDescent="0.35">
      <c r="A2916" s="8">
        <v>11111</v>
      </c>
      <c r="B2916" s="10" t="s">
        <v>5474</v>
      </c>
      <c r="C2916" s="10" t="s">
        <v>34</v>
      </c>
      <c r="D2916" s="9" t="s">
        <v>395</v>
      </c>
      <c r="E2916" s="9" t="str">
        <f>_xlfn.TEXTAFTER(Condiciones_acumuladas[[#This Row],[Descripción]], " ", -2)</f>
        <v>Yessica Guarcas</v>
      </c>
      <c r="F2916" s="21" t="s">
        <v>2525</v>
      </c>
      <c r="G2916" s="23">
        <v>46071</v>
      </c>
    </row>
    <row r="2917" spans="1:7" ht="36.5" hidden="1" x14ac:dyDescent="0.35">
      <c r="A2917" s="8">
        <v>11112</v>
      </c>
      <c r="B2917" s="10" t="s">
        <v>5475</v>
      </c>
      <c r="C2917" s="10" t="s">
        <v>26</v>
      </c>
      <c r="D2917" s="9" t="s">
        <v>395</v>
      </c>
      <c r="E2917" s="9" t="str">
        <f>_xlfn.TEXTAFTER(Condiciones_acumuladas[[#This Row],[Descripción]], " ", -2)</f>
        <v>Josué Vásquez</v>
      </c>
      <c r="F2917" s="21" t="s">
        <v>2525</v>
      </c>
      <c r="G2917" s="23">
        <v>46071</v>
      </c>
    </row>
    <row r="2918" spans="1:7" ht="24.5" hidden="1" x14ac:dyDescent="0.35">
      <c r="A2918" s="8">
        <v>11108</v>
      </c>
      <c r="B2918" s="10" t="s">
        <v>5476</v>
      </c>
      <c r="C2918" s="10" t="s">
        <v>34</v>
      </c>
      <c r="D2918" s="9" t="s">
        <v>395</v>
      </c>
      <c r="E2918" s="9" t="str">
        <f>_xlfn.TEXTAFTER(Condiciones_acumuladas[[#This Row],[Descripción]], " ", -2)</f>
        <v>Oscar Ramírez</v>
      </c>
      <c r="F2918" s="21" t="s">
        <v>2522</v>
      </c>
      <c r="G2918" s="23">
        <v>46071</v>
      </c>
    </row>
    <row r="2919" spans="1:7" ht="24.5" hidden="1" x14ac:dyDescent="0.35">
      <c r="A2919" s="8">
        <v>11107</v>
      </c>
      <c r="B2919" s="10" t="s">
        <v>5477</v>
      </c>
      <c r="C2919" s="10" t="s">
        <v>34</v>
      </c>
      <c r="D2919" s="9" t="s">
        <v>395</v>
      </c>
      <c r="E2919" s="9" t="str">
        <f>_xlfn.TEXTAFTER(Condiciones_acumuladas[[#This Row],[Descripción]], " ", -2)</f>
        <v>Oscar Ramírez</v>
      </c>
      <c r="F2919" s="21" t="s">
        <v>2522</v>
      </c>
      <c r="G2919" s="23">
        <v>46071</v>
      </c>
    </row>
    <row r="2920" spans="1:7" ht="24.5" hidden="1" x14ac:dyDescent="0.35">
      <c r="A2920" s="8">
        <v>11105</v>
      </c>
      <c r="B2920" s="10" t="s">
        <v>5478</v>
      </c>
      <c r="C2920" s="10" t="s">
        <v>104</v>
      </c>
      <c r="D2920" s="9" t="s">
        <v>220</v>
      </c>
      <c r="E2920" s="9" t="str">
        <f>_xlfn.TEXTAFTER(Condiciones_acumuladas[[#This Row],[Descripción]], " ", -2)</f>
        <v>Elvis oliva</v>
      </c>
      <c r="F2920" s="21" t="s">
        <v>2540</v>
      </c>
      <c r="G2920" s="23">
        <v>46071</v>
      </c>
    </row>
    <row r="2921" spans="1:7" ht="36.5" hidden="1" x14ac:dyDescent="0.35">
      <c r="A2921" s="8">
        <v>11113</v>
      </c>
      <c r="B2921" s="10" t="s">
        <v>5479</v>
      </c>
      <c r="C2921" s="10" t="s">
        <v>250</v>
      </c>
      <c r="D2921" s="9" t="s">
        <v>395</v>
      </c>
      <c r="E2921" s="9" t="str">
        <f>_xlfn.TEXTAFTER(Condiciones_acumuladas[[#This Row],[Descripción]], " ", -2)</f>
        <v>Antony ramos</v>
      </c>
      <c r="F2921" s="21" t="s">
        <v>2516</v>
      </c>
      <c r="G2921" s="23">
        <v>46071</v>
      </c>
    </row>
    <row r="2922" spans="1:7" ht="36.5" hidden="1" x14ac:dyDescent="0.35">
      <c r="A2922" s="8">
        <v>11106</v>
      </c>
      <c r="B2922" s="10" t="s">
        <v>5480</v>
      </c>
      <c r="C2922" s="10" t="s">
        <v>250</v>
      </c>
      <c r="D2922" s="9" t="s">
        <v>395</v>
      </c>
      <c r="E2922" s="9" t="str">
        <f>_xlfn.TEXTAFTER(Condiciones_acumuladas[[#This Row],[Descripción]], " ", -2)</f>
        <v>Antony Ramos</v>
      </c>
      <c r="F2922" s="21" t="s">
        <v>2516</v>
      </c>
      <c r="G2922" s="23">
        <v>46071</v>
      </c>
    </row>
    <row r="2923" spans="1:7" ht="24.5" hidden="1" x14ac:dyDescent="0.35">
      <c r="A2923" s="8">
        <v>11103</v>
      </c>
      <c r="B2923" s="10" t="s">
        <v>5481</v>
      </c>
      <c r="C2923" s="10" t="s">
        <v>26</v>
      </c>
      <c r="D2923" s="9" t="s">
        <v>196</v>
      </c>
      <c r="E2923" s="9" t="str">
        <f>_xlfn.TEXTAFTER(Condiciones_acumuladas[[#This Row],[Descripción]], " ", -2)</f>
        <v>Miguel Godínez</v>
      </c>
      <c r="F2923" s="21" t="s">
        <v>2537</v>
      </c>
      <c r="G2923" s="23">
        <v>46071</v>
      </c>
    </row>
    <row r="2924" spans="1:7" ht="24.5" hidden="1" x14ac:dyDescent="0.35">
      <c r="A2924" s="8">
        <v>11102</v>
      </c>
      <c r="B2924" s="10" t="s">
        <v>5482</v>
      </c>
      <c r="C2924" s="10" t="s">
        <v>104</v>
      </c>
      <c r="D2924" s="9" t="s">
        <v>220</v>
      </c>
      <c r="E2924" s="9" t="str">
        <f>_xlfn.TEXTAFTER(Condiciones_acumuladas[[#This Row],[Descripción]], " ", -2)</f>
        <v>Elvis Oliva</v>
      </c>
      <c r="F2924" s="21" t="s">
        <v>2834</v>
      </c>
      <c r="G2924" s="23">
        <v>46071</v>
      </c>
    </row>
    <row r="2925" spans="1:7" ht="24.5" hidden="1" x14ac:dyDescent="0.35">
      <c r="A2925" s="8">
        <v>11101</v>
      </c>
      <c r="B2925" s="10" t="s">
        <v>5483</v>
      </c>
      <c r="C2925" s="10" t="s">
        <v>96</v>
      </c>
      <c r="D2925" s="9" t="s">
        <v>95</v>
      </c>
      <c r="E2925" s="9" t="str">
        <f>_xlfn.TEXTAFTER(Condiciones_acumuladas[[#This Row],[Descripción]], " ", -2)</f>
        <v>Edgar coti</v>
      </c>
      <c r="F2925" s="21" t="s">
        <v>2537</v>
      </c>
      <c r="G2925" s="23">
        <v>46071</v>
      </c>
    </row>
    <row r="2926" spans="1:7" ht="36.5" hidden="1" x14ac:dyDescent="0.35">
      <c r="A2926" s="8">
        <v>11109</v>
      </c>
      <c r="B2926" s="10" t="s">
        <v>5484</v>
      </c>
      <c r="C2926" s="10" t="s">
        <v>21</v>
      </c>
      <c r="D2926" s="9" t="s">
        <v>95</v>
      </c>
      <c r="E2926" s="9" t="str">
        <f>_xlfn.TEXTAFTER(Condiciones_acumuladas[[#This Row],[Descripción]], " ", -2)</f>
        <v>María Obregón</v>
      </c>
      <c r="F2926" s="21" t="s">
        <v>2516</v>
      </c>
      <c r="G2926" s="23">
        <v>46071</v>
      </c>
    </row>
    <row r="2927" spans="1:7" ht="24.5" hidden="1" x14ac:dyDescent="0.35">
      <c r="A2927" s="8">
        <v>11100</v>
      </c>
      <c r="B2927" s="10" t="s">
        <v>5485</v>
      </c>
      <c r="C2927" s="10" t="s">
        <v>34</v>
      </c>
      <c r="D2927" s="9" t="s">
        <v>395</v>
      </c>
      <c r="E2927" s="9" t="str">
        <f>_xlfn.TEXTAFTER(Condiciones_acumuladas[[#This Row],[Descripción]], " ", -2)</f>
        <v>Yessica Guarcas</v>
      </c>
      <c r="F2927" s="21" t="s">
        <v>2540</v>
      </c>
      <c r="G2927" s="23">
        <v>46071</v>
      </c>
    </row>
    <row r="2928" spans="1:7" ht="48.5" hidden="1" x14ac:dyDescent="0.35">
      <c r="A2928" s="8">
        <v>11104</v>
      </c>
      <c r="B2928" s="10" t="s">
        <v>5486</v>
      </c>
      <c r="C2928" s="10" t="s">
        <v>104</v>
      </c>
      <c r="D2928" s="9" t="s">
        <v>220</v>
      </c>
      <c r="E2928" s="9" t="str">
        <f>_xlfn.TEXTAFTER(Condiciones_acumuladas[[#This Row],[Descripción]], " ", -2)</f>
        <v>Elvis Oliva</v>
      </c>
      <c r="F2928" s="21" t="s">
        <v>2559</v>
      </c>
      <c r="G2928" s="23">
        <v>46071</v>
      </c>
    </row>
    <row r="2929" spans="1:7" ht="36.5" hidden="1" x14ac:dyDescent="0.35">
      <c r="A2929" s="8">
        <v>11099</v>
      </c>
      <c r="B2929" s="10" t="s">
        <v>5487</v>
      </c>
      <c r="C2929" s="10" t="s">
        <v>26</v>
      </c>
      <c r="D2929" s="9" t="s">
        <v>395</v>
      </c>
      <c r="E2929" s="9" t="str">
        <f>_xlfn.TEXTAFTER(Condiciones_acumuladas[[#This Row],[Descripción]], " ", -2)</f>
        <v>Josué Vásquez</v>
      </c>
      <c r="F2929" s="21" t="s">
        <v>2516</v>
      </c>
      <c r="G2929" s="23">
        <v>46071</v>
      </c>
    </row>
    <row r="2930" spans="1:7" ht="24.5" hidden="1" x14ac:dyDescent="0.35">
      <c r="A2930" s="8">
        <v>11097</v>
      </c>
      <c r="B2930" s="10" t="s">
        <v>5488</v>
      </c>
      <c r="C2930" s="10" t="s">
        <v>104</v>
      </c>
      <c r="D2930" s="9" t="s">
        <v>220</v>
      </c>
      <c r="E2930" s="9" t="str">
        <f>_xlfn.TEXTAFTER(Condiciones_acumuladas[[#This Row],[Descripción]], " ", -2)</f>
        <v>Elvis oliva</v>
      </c>
      <c r="F2930" s="21" t="s">
        <v>2522</v>
      </c>
      <c r="G2930" s="23">
        <v>46071</v>
      </c>
    </row>
    <row r="2931" spans="1:7" ht="24.5" hidden="1" x14ac:dyDescent="0.35">
      <c r="A2931" s="8">
        <v>11095</v>
      </c>
      <c r="B2931" s="10" t="s">
        <v>5489</v>
      </c>
      <c r="C2931" s="10" t="s">
        <v>26</v>
      </c>
      <c r="D2931" s="9" t="s">
        <v>26</v>
      </c>
      <c r="E2931" s="9" t="str">
        <f>_xlfn.TEXTAFTER(Condiciones_acumuladas[[#This Row],[Descripción]], " ", -2)</f>
        <v>Adrian Santisteban</v>
      </c>
      <c r="F2931" s="21" t="s">
        <v>2522</v>
      </c>
      <c r="G2931" s="23">
        <v>46071</v>
      </c>
    </row>
    <row r="2932" spans="1:7" ht="36.5" hidden="1" x14ac:dyDescent="0.35">
      <c r="A2932" s="8">
        <v>11094</v>
      </c>
      <c r="B2932" s="10" t="s">
        <v>5490</v>
      </c>
      <c r="C2932" s="10" t="s">
        <v>250</v>
      </c>
      <c r="D2932" s="9" t="s">
        <v>395</v>
      </c>
      <c r="E2932" s="9" t="str">
        <f>_xlfn.TEXTAFTER(Condiciones_acumuladas[[#This Row],[Descripción]], " ", -2)</f>
        <v>Antony Ramos</v>
      </c>
      <c r="F2932" s="21" t="s">
        <v>2516</v>
      </c>
      <c r="G2932" s="23">
        <v>46071</v>
      </c>
    </row>
    <row r="2933" spans="1:7" ht="36.5" hidden="1" x14ac:dyDescent="0.35">
      <c r="A2933" s="8">
        <v>11098</v>
      </c>
      <c r="B2933" s="10" t="s">
        <v>5491</v>
      </c>
      <c r="C2933" s="10" t="s">
        <v>21</v>
      </c>
      <c r="D2933" s="9" t="s">
        <v>220</v>
      </c>
      <c r="E2933" s="9" t="str">
        <f>_xlfn.TEXTAFTER(Condiciones_acumuladas[[#This Row],[Descripción]], " ", -2)</f>
        <v>Lissette Loarca</v>
      </c>
      <c r="F2933" s="21" t="s">
        <v>2516</v>
      </c>
      <c r="G2933" s="23">
        <v>46071</v>
      </c>
    </row>
    <row r="2934" spans="1:7" ht="36.5" hidden="1" x14ac:dyDescent="0.35">
      <c r="A2934" s="8">
        <v>11093</v>
      </c>
      <c r="B2934" s="10" t="s">
        <v>5492</v>
      </c>
      <c r="C2934" s="10" t="s">
        <v>250</v>
      </c>
      <c r="D2934" s="9" t="s">
        <v>395</v>
      </c>
      <c r="E2934" s="9" t="str">
        <f>_xlfn.TEXTAFTER(Condiciones_acumuladas[[#This Row],[Descripción]], " ", -2)</f>
        <v>Antony Ramos</v>
      </c>
      <c r="F2934" s="21" t="s">
        <v>2516</v>
      </c>
      <c r="G2934" s="23">
        <v>46071</v>
      </c>
    </row>
    <row r="2935" spans="1:7" ht="36.5" hidden="1" x14ac:dyDescent="0.35">
      <c r="A2935" s="8">
        <v>11090</v>
      </c>
      <c r="B2935" s="10" t="s">
        <v>5493</v>
      </c>
      <c r="C2935" s="10" t="s">
        <v>134</v>
      </c>
      <c r="D2935" s="9" t="s">
        <v>21</v>
      </c>
      <c r="E2935" s="9" t="str">
        <f>_xlfn.TEXTAFTER(Condiciones_acumuladas[[#This Row],[Descripción]], " ", -2)</f>
        <v>Oscar Ramírez</v>
      </c>
      <c r="F2935" s="21" t="s">
        <v>2516</v>
      </c>
      <c r="G2935" s="23">
        <v>46071</v>
      </c>
    </row>
    <row r="2936" spans="1:7" ht="36.5" hidden="1" x14ac:dyDescent="0.35">
      <c r="A2936" s="8">
        <v>11092</v>
      </c>
      <c r="B2936" s="10" t="s">
        <v>5494</v>
      </c>
      <c r="C2936" s="10" t="s">
        <v>34</v>
      </c>
      <c r="D2936" s="9" t="s">
        <v>395</v>
      </c>
      <c r="E2936" s="9" t="str">
        <f>_xlfn.TEXTAFTER(Condiciones_acumuladas[[#This Row],[Descripción]], " ", -2)</f>
        <v>Yessica Guarcas</v>
      </c>
      <c r="F2936" s="21" t="s">
        <v>2525</v>
      </c>
      <c r="G2936" s="23">
        <v>46071</v>
      </c>
    </row>
    <row r="2937" spans="1:7" ht="24.5" hidden="1" x14ac:dyDescent="0.35">
      <c r="A2937" s="8">
        <v>11091</v>
      </c>
      <c r="B2937" s="10" t="s">
        <v>5495</v>
      </c>
      <c r="C2937" s="10" t="s">
        <v>234</v>
      </c>
      <c r="D2937" s="9" t="s">
        <v>21</v>
      </c>
      <c r="E2937" s="9" t="str">
        <f>_xlfn.TEXTAFTER(Condiciones_acumuladas[[#This Row],[Descripción]], " ", -2)</f>
        <v>Oscar Ramírez</v>
      </c>
      <c r="F2937" s="21" t="s">
        <v>2540</v>
      </c>
      <c r="G2937" s="23">
        <v>46068</v>
      </c>
    </row>
    <row r="2938" spans="1:7" ht="36.5" hidden="1" x14ac:dyDescent="0.35">
      <c r="A2938" s="8">
        <v>11089</v>
      </c>
      <c r="B2938" s="10" t="s">
        <v>5496</v>
      </c>
      <c r="C2938" s="10" t="s">
        <v>134</v>
      </c>
      <c r="D2938" s="9" t="s">
        <v>134</v>
      </c>
      <c r="E2938" s="9" t="str">
        <f>_xlfn.TEXTAFTER(Condiciones_acumuladas[[#This Row],[Descripción]], " ", -2)</f>
        <v>Oscar Ramírez</v>
      </c>
      <c r="F2938" s="21" t="s">
        <v>2516</v>
      </c>
      <c r="G2938" s="23">
        <v>46071</v>
      </c>
    </row>
    <row r="2939" spans="1:7" ht="24.5" hidden="1" x14ac:dyDescent="0.35">
      <c r="A2939" s="8">
        <v>11088</v>
      </c>
      <c r="B2939" s="10" t="s">
        <v>5497</v>
      </c>
      <c r="C2939" s="10" t="s">
        <v>134</v>
      </c>
      <c r="D2939" s="9" t="s">
        <v>21</v>
      </c>
      <c r="E2939" s="9" t="str">
        <f>_xlfn.TEXTAFTER(Condiciones_acumuladas[[#This Row],[Descripción]], " ", -2)</f>
        <v>Oscar Ramírez</v>
      </c>
      <c r="F2939" s="21" t="s">
        <v>2537</v>
      </c>
      <c r="G2939" s="23">
        <v>46071</v>
      </c>
    </row>
    <row r="2940" spans="1:7" ht="36.5" hidden="1" x14ac:dyDescent="0.35">
      <c r="A2940" s="8">
        <v>11086</v>
      </c>
      <c r="B2940" s="10" t="s">
        <v>5498</v>
      </c>
      <c r="C2940" s="10" t="s">
        <v>96</v>
      </c>
      <c r="D2940" s="9" t="s">
        <v>395</v>
      </c>
      <c r="E2940" s="9" t="str">
        <f>_xlfn.TEXTAFTER(Condiciones_acumuladas[[#This Row],[Descripción]], " ", -2)</f>
        <v>Daniel Pineda</v>
      </c>
      <c r="F2940" s="21" t="s">
        <v>2516</v>
      </c>
      <c r="G2940" s="23">
        <v>46070</v>
      </c>
    </row>
    <row r="2941" spans="1:7" ht="36.5" hidden="1" x14ac:dyDescent="0.35">
      <c r="A2941" s="8">
        <v>11085</v>
      </c>
      <c r="B2941" s="10" t="s">
        <v>5499</v>
      </c>
      <c r="C2941" s="10" t="s">
        <v>96</v>
      </c>
      <c r="D2941" s="9" t="s">
        <v>395</v>
      </c>
      <c r="E2941" s="9" t="str">
        <f>_xlfn.TEXTAFTER(Condiciones_acumuladas[[#This Row],[Descripción]], " ", -2)</f>
        <v>Daniel Pineda</v>
      </c>
      <c r="F2941" s="21" t="s">
        <v>2516</v>
      </c>
      <c r="G2941" s="23">
        <v>46070</v>
      </c>
    </row>
    <row r="2942" spans="1:7" ht="24.5" hidden="1" x14ac:dyDescent="0.35">
      <c r="A2942" s="8">
        <v>11087</v>
      </c>
      <c r="B2942" s="10" t="s">
        <v>5500</v>
      </c>
      <c r="C2942" s="10" t="s">
        <v>13</v>
      </c>
      <c r="D2942" s="9" t="s">
        <v>21</v>
      </c>
      <c r="E2942" s="9" t="str">
        <f>_xlfn.TEXTAFTER(Condiciones_acumuladas[[#This Row],[Descripción]], " ", -2)</f>
        <v>Oscar Ramírez</v>
      </c>
      <c r="F2942" s="21" t="s">
        <v>2522</v>
      </c>
      <c r="G2942" s="23">
        <v>46071</v>
      </c>
    </row>
    <row r="2943" spans="1:7" ht="36.5" hidden="1" x14ac:dyDescent="0.35">
      <c r="A2943" s="8">
        <v>11096</v>
      </c>
      <c r="B2943" s="10" t="s">
        <v>5501</v>
      </c>
      <c r="C2943" s="10" t="s">
        <v>34</v>
      </c>
      <c r="D2943" s="9" t="s">
        <v>395</v>
      </c>
      <c r="E2943" s="9" t="str">
        <f>_xlfn.TEXTAFTER(Condiciones_acumuladas[[#This Row],[Descripción]], " ", -2)</f>
        <v>Yessica Guarcas</v>
      </c>
      <c r="F2943" s="21" t="s">
        <v>2516</v>
      </c>
      <c r="G2943" s="23">
        <v>46071</v>
      </c>
    </row>
    <row r="2944" spans="1:7" ht="36.5" hidden="1" x14ac:dyDescent="0.35">
      <c r="A2944" s="8">
        <v>11082</v>
      </c>
      <c r="B2944" s="10" t="s">
        <v>5502</v>
      </c>
      <c r="C2944" s="10" t="s">
        <v>13</v>
      </c>
      <c r="D2944" s="9" t="s">
        <v>21</v>
      </c>
      <c r="E2944" s="9" t="str">
        <f>_xlfn.TEXTAFTER(Condiciones_acumuladas[[#This Row],[Descripción]], " ", -2)</f>
        <v>Oscar Ramírez</v>
      </c>
      <c r="F2944" s="21" t="s">
        <v>2516</v>
      </c>
      <c r="G2944" s="23">
        <v>46070</v>
      </c>
    </row>
    <row r="2945" spans="1:7" ht="24.5" hidden="1" x14ac:dyDescent="0.35">
      <c r="A2945" s="8">
        <v>11080</v>
      </c>
      <c r="B2945" s="10" t="s">
        <v>5503</v>
      </c>
      <c r="C2945" s="10" t="s">
        <v>220</v>
      </c>
      <c r="D2945" s="9" t="s">
        <v>95</v>
      </c>
      <c r="E2945" s="9" t="str">
        <f>_xlfn.TEXTAFTER(Condiciones_acumuladas[[#This Row],[Descripción]], " ", -2)</f>
        <v>Alejandro Martínez</v>
      </c>
      <c r="F2945" s="21" t="s">
        <v>2522</v>
      </c>
      <c r="G2945" s="23">
        <v>46064</v>
      </c>
    </row>
    <row r="2946" spans="1:7" ht="24.5" hidden="1" x14ac:dyDescent="0.35">
      <c r="A2946" s="8">
        <v>11081</v>
      </c>
      <c r="B2946" s="10" t="s">
        <v>5504</v>
      </c>
      <c r="C2946" s="10" t="s">
        <v>96</v>
      </c>
      <c r="D2946" s="9" t="s">
        <v>395</v>
      </c>
      <c r="E2946" s="9" t="str">
        <f>_xlfn.TEXTAFTER(Condiciones_acumuladas[[#This Row],[Descripción]], " ", -2)</f>
        <v>Daniel Pineda</v>
      </c>
      <c r="F2946" s="21" t="s">
        <v>2537</v>
      </c>
      <c r="G2946" s="23">
        <v>46070</v>
      </c>
    </row>
    <row r="2947" spans="1:7" ht="48.5" hidden="1" x14ac:dyDescent="0.35">
      <c r="A2947" s="8">
        <v>11115</v>
      </c>
      <c r="B2947" s="10" t="s">
        <v>5505</v>
      </c>
      <c r="C2947" s="10" t="s">
        <v>250</v>
      </c>
      <c r="D2947" s="9" t="s">
        <v>395</v>
      </c>
      <c r="E2947" s="9" t="str">
        <f>_xlfn.TEXTAFTER(Condiciones_acumuladas[[#This Row],[Descripción]], " ", -2)</f>
        <v>Antony Ramos</v>
      </c>
      <c r="F2947" s="21" t="s">
        <v>2559</v>
      </c>
      <c r="G2947" s="23">
        <v>46071</v>
      </c>
    </row>
    <row r="2948" spans="1:7" ht="36.5" hidden="1" x14ac:dyDescent="0.35">
      <c r="A2948" s="8">
        <v>11079</v>
      </c>
      <c r="B2948" s="10" t="s">
        <v>5506</v>
      </c>
      <c r="C2948" s="10" t="s">
        <v>250</v>
      </c>
      <c r="D2948" s="9" t="s">
        <v>134</v>
      </c>
      <c r="E2948" s="9" t="str">
        <f>_xlfn.TEXTAFTER(Condiciones_acumuladas[[#This Row],[Descripción]], " ", -2)</f>
        <v>Wilber López</v>
      </c>
      <c r="F2948" s="21" t="s">
        <v>2516</v>
      </c>
      <c r="G2948" s="23">
        <v>46064</v>
      </c>
    </row>
    <row r="2949" spans="1:7" ht="36.5" hidden="1" x14ac:dyDescent="0.35">
      <c r="A2949" s="8">
        <v>11084</v>
      </c>
      <c r="B2949" s="10" t="s">
        <v>5507</v>
      </c>
      <c r="C2949" s="10" t="s">
        <v>21</v>
      </c>
      <c r="D2949" s="9" t="s">
        <v>190</v>
      </c>
      <c r="E2949" s="9" t="str">
        <f>_xlfn.TEXTAFTER(Condiciones_acumuladas[[#This Row],[Descripción]], " ", -2)</f>
        <v>Edson Bonifacio</v>
      </c>
      <c r="F2949" s="21" t="s">
        <v>2525</v>
      </c>
      <c r="G2949" s="23">
        <v>46070</v>
      </c>
    </row>
    <row r="2950" spans="1:7" ht="24.5" hidden="1" x14ac:dyDescent="0.35">
      <c r="A2950" s="8">
        <v>11083</v>
      </c>
      <c r="B2950" s="10" t="s">
        <v>5508</v>
      </c>
      <c r="C2950" s="10" t="s">
        <v>96</v>
      </c>
      <c r="D2950" s="9" t="s">
        <v>96</v>
      </c>
      <c r="E2950" s="9" t="str">
        <f>_xlfn.TEXTAFTER(Condiciones_acumuladas[[#This Row],[Descripción]], " ", -2)</f>
        <v>Isabel Saquila</v>
      </c>
      <c r="F2950" s="21" t="s">
        <v>2537</v>
      </c>
      <c r="G2950" s="23">
        <v>46070</v>
      </c>
    </row>
    <row r="2951" spans="1:7" ht="48.5" hidden="1" x14ac:dyDescent="0.35">
      <c r="A2951" s="8">
        <v>11163</v>
      </c>
      <c r="B2951" s="10" t="s">
        <v>5509</v>
      </c>
      <c r="C2951" s="10" t="s">
        <v>96</v>
      </c>
      <c r="D2951" s="9" t="s">
        <v>96</v>
      </c>
      <c r="E2951" s="9" t="str">
        <f>_xlfn.TEXTAFTER(Condiciones_acumuladas[[#This Row],[Descripción]], " ", -2)</f>
        <v>Bladimir López</v>
      </c>
      <c r="F2951" s="21" t="s">
        <v>2559</v>
      </c>
      <c r="G2951" s="23">
        <v>46076</v>
      </c>
    </row>
    <row r="2952" spans="1:7" ht="36.5" hidden="1" x14ac:dyDescent="0.35">
      <c r="A2952" s="8">
        <v>11162</v>
      </c>
      <c r="B2952" s="10" t="s">
        <v>5510</v>
      </c>
      <c r="C2952" s="10" t="s">
        <v>26</v>
      </c>
      <c r="D2952" s="9" t="s">
        <v>26</v>
      </c>
      <c r="E2952" s="9" t="str">
        <f>_xlfn.TEXTAFTER(Condiciones_acumuladas[[#This Row],[Descripción]], " ", -2)</f>
        <v>Oscar Ramos</v>
      </c>
      <c r="F2952" s="21" t="s">
        <v>2572</v>
      </c>
      <c r="G2952" s="23">
        <v>46076</v>
      </c>
    </row>
    <row r="2953" spans="1:7" ht="36.5" hidden="1" x14ac:dyDescent="0.35">
      <c r="A2953" s="8">
        <v>11161</v>
      </c>
      <c r="B2953" s="10" t="s">
        <v>5511</v>
      </c>
      <c r="C2953" s="10" t="s">
        <v>13</v>
      </c>
      <c r="D2953" s="9" t="s">
        <v>26</v>
      </c>
      <c r="E2953" s="9" t="str">
        <f>_xlfn.TEXTAFTER(Condiciones_acumuladas[[#This Row],[Descripción]], " ", -2)</f>
        <v>Oscar Ramos</v>
      </c>
      <c r="F2953" s="21" t="s">
        <v>2572</v>
      </c>
      <c r="G2953" s="23">
        <v>46076</v>
      </c>
    </row>
    <row r="2954" spans="1:7" ht="24.5" hidden="1" x14ac:dyDescent="0.35">
      <c r="A2954" s="8">
        <v>11160</v>
      </c>
      <c r="B2954" s="10" t="s">
        <v>5512</v>
      </c>
      <c r="C2954" s="10" t="s">
        <v>96</v>
      </c>
      <c r="D2954" s="9" t="s">
        <v>96</v>
      </c>
      <c r="E2954" s="9" t="str">
        <f>_xlfn.TEXTAFTER(Condiciones_acumuladas[[#This Row],[Descripción]], " ", -2)</f>
        <v>Bladimir López</v>
      </c>
      <c r="F2954" s="21" t="s">
        <v>2537</v>
      </c>
      <c r="G2954" s="23">
        <v>46076</v>
      </c>
    </row>
    <row r="2955" spans="1:7" ht="36.5" hidden="1" x14ac:dyDescent="0.35">
      <c r="A2955" s="8">
        <v>11159</v>
      </c>
      <c r="B2955" s="10" t="s">
        <v>5513</v>
      </c>
      <c r="C2955" s="10" t="s">
        <v>21</v>
      </c>
      <c r="D2955" s="9" t="s">
        <v>395</v>
      </c>
      <c r="E2955" s="9" t="str">
        <f>_xlfn.TEXTAFTER(Condiciones_acumuladas[[#This Row],[Descripción]], " ", -2)</f>
        <v>Yessica Guarcas</v>
      </c>
      <c r="F2955" s="21" t="s">
        <v>2516</v>
      </c>
      <c r="G2955" s="23">
        <v>46076</v>
      </c>
    </row>
    <row r="2956" spans="1:7" ht="48.5" hidden="1" x14ac:dyDescent="0.35">
      <c r="A2956" s="8">
        <v>11158</v>
      </c>
      <c r="B2956" s="10" t="s">
        <v>5514</v>
      </c>
      <c r="C2956" s="10" t="s">
        <v>21</v>
      </c>
      <c r="D2956" s="9" t="s">
        <v>395</v>
      </c>
      <c r="E2956" s="9" t="str">
        <f>_xlfn.TEXTAFTER(Condiciones_acumuladas[[#This Row],[Descripción]], " ", -2)</f>
        <v>Yessica Guarcas</v>
      </c>
      <c r="F2956" s="21" t="s">
        <v>2516</v>
      </c>
      <c r="G2956" s="23">
        <v>46076</v>
      </c>
    </row>
    <row r="2957" spans="1:7" ht="36.5" hidden="1" x14ac:dyDescent="0.35">
      <c r="A2957" s="8">
        <v>11157</v>
      </c>
      <c r="B2957" s="10" t="s">
        <v>5515</v>
      </c>
      <c r="C2957" s="10" t="s">
        <v>134</v>
      </c>
      <c r="D2957" s="9" t="s">
        <v>95</v>
      </c>
      <c r="E2957" s="9" t="str">
        <f>_xlfn.TEXTAFTER(Condiciones_acumuladas[[#This Row],[Descripción]], " ", -2)</f>
        <v>Gerson Castañeda</v>
      </c>
      <c r="F2957" s="21" t="s">
        <v>2516</v>
      </c>
      <c r="G2957" s="23">
        <v>46076</v>
      </c>
    </row>
    <row r="2958" spans="1:7" ht="36.5" hidden="1" x14ac:dyDescent="0.35">
      <c r="A2958" s="8">
        <v>11156</v>
      </c>
      <c r="B2958" s="10" t="s">
        <v>5516</v>
      </c>
      <c r="C2958" s="10" t="s">
        <v>134</v>
      </c>
      <c r="D2958" s="9" t="s">
        <v>95</v>
      </c>
      <c r="E2958" s="9" t="str">
        <f>_xlfn.TEXTAFTER(Condiciones_acumuladas[[#This Row],[Descripción]], " ", -2)</f>
        <v>Gerson Castañeda</v>
      </c>
      <c r="F2958" s="21" t="s">
        <v>2516</v>
      </c>
      <c r="G2958" s="23">
        <v>46076</v>
      </c>
    </row>
    <row r="2959" spans="1:7" ht="24.5" hidden="1" x14ac:dyDescent="0.35">
      <c r="A2959" s="8">
        <v>11155</v>
      </c>
      <c r="B2959" s="10" t="s">
        <v>5517</v>
      </c>
      <c r="C2959" s="10" t="s">
        <v>96</v>
      </c>
      <c r="D2959" s="9" t="s">
        <v>95</v>
      </c>
      <c r="E2959" s="9" t="str">
        <f>_xlfn.TEXTAFTER(Condiciones_acumuladas[[#This Row],[Descripción]], " ", -2)</f>
        <v>Luis Cabrera</v>
      </c>
      <c r="F2959" s="21" t="s">
        <v>2537</v>
      </c>
      <c r="G2959" s="23">
        <v>46076</v>
      </c>
    </row>
    <row r="2960" spans="1:7" ht="36.5" hidden="1" x14ac:dyDescent="0.35">
      <c r="A2960" s="8">
        <v>11153</v>
      </c>
      <c r="B2960" s="10" t="s">
        <v>5518</v>
      </c>
      <c r="C2960" s="10" t="s">
        <v>220</v>
      </c>
      <c r="D2960" s="9" t="s">
        <v>395</v>
      </c>
      <c r="E2960" s="9" t="str">
        <f>_xlfn.TEXTAFTER(Condiciones_acumuladas[[#This Row],[Descripción]], " ", -2)</f>
        <v>Daniel Pineda</v>
      </c>
      <c r="F2960" s="21" t="s">
        <v>2516</v>
      </c>
      <c r="G2960" s="23">
        <v>46076</v>
      </c>
    </row>
    <row r="2961" spans="1:7" ht="36.5" hidden="1" x14ac:dyDescent="0.35">
      <c r="A2961" s="8">
        <v>11152</v>
      </c>
      <c r="B2961" s="10" t="s">
        <v>5519</v>
      </c>
      <c r="C2961" s="10" t="s">
        <v>21</v>
      </c>
      <c r="D2961" s="9" t="s">
        <v>95</v>
      </c>
      <c r="E2961" s="9" t="str">
        <f>_xlfn.TEXTAFTER(Condiciones_acumuladas[[#This Row],[Descripción]], " ", -2)</f>
        <v>Edgar Coti</v>
      </c>
      <c r="F2961" s="21" t="s">
        <v>2530</v>
      </c>
      <c r="G2961" s="23">
        <v>46076</v>
      </c>
    </row>
    <row r="2962" spans="1:7" ht="36.5" hidden="1" x14ac:dyDescent="0.35">
      <c r="A2962" s="8">
        <v>11154</v>
      </c>
      <c r="B2962" s="10" t="s">
        <v>5520</v>
      </c>
      <c r="C2962" s="10" t="s">
        <v>13</v>
      </c>
      <c r="D2962" s="9" t="s">
        <v>95</v>
      </c>
      <c r="E2962" s="9" t="str">
        <f>_xlfn.TEXTAFTER(Condiciones_acumuladas[[#This Row],[Descripción]], " ", -2)</f>
        <v>Gerson Castañeda</v>
      </c>
      <c r="F2962" s="21" t="s">
        <v>2516</v>
      </c>
      <c r="G2962" s="23">
        <v>46076</v>
      </c>
    </row>
    <row r="2963" spans="1:7" ht="24.5" hidden="1" x14ac:dyDescent="0.35">
      <c r="A2963" s="8">
        <v>11151</v>
      </c>
      <c r="B2963" s="10" t="s">
        <v>5521</v>
      </c>
      <c r="C2963" s="10" t="s">
        <v>96</v>
      </c>
      <c r="D2963" s="9" t="s">
        <v>395</v>
      </c>
      <c r="E2963" s="9" t="str">
        <f>_xlfn.TEXTAFTER(Condiciones_acumuladas[[#This Row],[Descripción]], " ", -2)</f>
        <v>Josué Abraham</v>
      </c>
      <c r="F2963" s="21" t="s">
        <v>2522</v>
      </c>
      <c r="G2963" s="23">
        <v>46075</v>
      </c>
    </row>
    <row r="2964" spans="1:7" ht="36.5" hidden="1" x14ac:dyDescent="0.35">
      <c r="A2964" s="8">
        <v>11150</v>
      </c>
      <c r="B2964" s="10" t="s">
        <v>5522</v>
      </c>
      <c r="C2964" s="10" t="s">
        <v>21</v>
      </c>
      <c r="D2964" s="9" t="s">
        <v>395</v>
      </c>
      <c r="E2964" s="9" t="str">
        <f>_xlfn.TEXTAFTER(Condiciones_acumuladas[[#This Row],[Descripción]], " ", -2)</f>
        <v>Antony Ramos</v>
      </c>
      <c r="F2964" s="21" t="s">
        <v>2530</v>
      </c>
      <c r="G2964" s="23">
        <v>46074</v>
      </c>
    </row>
    <row r="2965" spans="1:7" ht="36.5" hidden="1" x14ac:dyDescent="0.35">
      <c r="A2965" s="8">
        <v>11149</v>
      </c>
      <c r="B2965" s="10" t="s">
        <v>5523</v>
      </c>
      <c r="C2965" s="10" t="s">
        <v>26</v>
      </c>
      <c r="D2965" s="9" t="s">
        <v>196</v>
      </c>
      <c r="E2965" s="9" t="str">
        <f>_xlfn.TEXTAFTER(Condiciones_acumuladas[[#This Row],[Descripción]], " ", -2)</f>
        <v>Luis ángel</v>
      </c>
      <c r="F2965" s="21" t="s">
        <v>2530</v>
      </c>
      <c r="G2965" s="23">
        <v>46074</v>
      </c>
    </row>
    <row r="2966" spans="1:7" ht="36.5" hidden="1" x14ac:dyDescent="0.35">
      <c r="A2966" s="8">
        <v>11148</v>
      </c>
      <c r="B2966" s="10" t="s">
        <v>5524</v>
      </c>
      <c r="C2966" s="10" t="s">
        <v>234</v>
      </c>
      <c r="D2966" s="9" t="s">
        <v>234</v>
      </c>
      <c r="E2966" s="9" t="str">
        <f>_xlfn.TEXTAFTER(Condiciones_acumuladas[[#This Row],[Descripción]], " ", -2)</f>
        <v>Bryan Neftaly</v>
      </c>
      <c r="F2966" s="21" t="s">
        <v>2572</v>
      </c>
      <c r="G2966" s="23">
        <v>46076</v>
      </c>
    </row>
    <row r="2967" spans="1:7" ht="36.5" hidden="1" x14ac:dyDescent="0.35">
      <c r="A2967" s="8">
        <v>11146</v>
      </c>
      <c r="B2967" s="10" t="s">
        <v>5525</v>
      </c>
      <c r="C2967" s="10" t="s">
        <v>190</v>
      </c>
      <c r="D2967" s="9" t="s">
        <v>278</v>
      </c>
      <c r="E2967" s="9" t="str">
        <f>_xlfn.TEXTAFTER(Condiciones_acumuladas[[#This Row],[Descripción]], " ", -2)</f>
        <v>Jason Calderón</v>
      </c>
      <c r="F2967" s="21" t="s">
        <v>2530</v>
      </c>
      <c r="G2967" s="23">
        <v>46075</v>
      </c>
    </row>
    <row r="2968" spans="1:7" ht="24.5" hidden="1" x14ac:dyDescent="0.35">
      <c r="A2968" s="8">
        <v>11165</v>
      </c>
      <c r="B2968" s="10" t="s">
        <v>5526</v>
      </c>
      <c r="C2968" s="10" t="s">
        <v>26</v>
      </c>
      <c r="D2968" s="9" t="s">
        <v>234</v>
      </c>
      <c r="E2968" s="9" t="str">
        <f>_xlfn.TEXTAFTER(Condiciones_acumuladas[[#This Row],[Descripción]], " ", -2)</f>
        <v>Bryan Neftaly</v>
      </c>
      <c r="F2968" s="21" t="s">
        <v>2522</v>
      </c>
      <c r="G2968" s="23">
        <v>46076</v>
      </c>
    </row>
    <row r="2969" spans="1:7" ht="24.5" hidden="1" x14ac:dyDescent="0.35">
      <c r="A2969" s="8">
        <v>11168</v>
      </c>
      <c r="B2969" s="10" t="s">
        <v>5527</v>
      </c>
      <c r="C2969" s="10" t="s">
        <v>250</v>
      </c>
      <c r="D2969" s="9" t="s">
        <v>21</v>
      </c>
      <c r="E2969" s="9" t="str">
        <f>_xlfn.TEXTAFTER(Condiciones_acumuladas[[#This Row],[Descripción]], " ", -2)</f>
        <v>Oscar Ramírez</v>
      </c>
      <c r="F2969" s="21" t="s">
        <v>2522</v>
      </c>
      <c r="G2969" s="23">
        <v>46077</v>
      </c>
    </row>
    <row r="2970" spans="1:7" ht="24.5" hidden="1" x14ac:dyDescent="0.35">
      <c r="A2970" s="8">
        <v>11170</v>
      </c>
      <c r="B2970" s="10" t="s">
        <v>5528</v>
      </c>
      <c r="C2970" s="10" t="s">
        <v>220</v>
      </c>
      <c r="D2970" s="9" t="s">
        <v>227</v>
      </c>
      <c r="E2970" s="9" t="str">
        <f>_xlfn.TEXTAFTER(Condiciones_acumuladas[[#This Row],[Descripción]], " ", -2)</f>
        <v>Astrid Macario</v>
      </c>
      <c r="F2970" s="21" t="s">
        <v>2522</v>
      </c>
      <c r="G2970" s="23">
        <v>46077</v>
      </c>
    </row>
    <row r="2971" spans="1:7" ht="24.5" hidden="1" x14ac:dyDescent="0.35">
      <c r="A2971" s="8">
        <v>11169</v>
      </c>
      <c r="B2971" s="10" t="s">
        <v>5529</v>
      </c>
      <c r="C2971" s="10" t="s">
        <v>250</v>
      </c>
      <c r="D2971" s="9" t="s">
        <v>21</v>
      </c>
      <c r="E2971" s="9" t="str">
        <f>_xlfn.TEXTAFTER(Condiciones_acumuladas[[#This Row],[Descripción]], " ", -2)</f>
        <v>Oscar Ramírez</v>
      </c>
      <c r="F2971" s="21" t="s">
        <v>2522</v>
      </c>
      <c r="G2971" s="23">
        <v>46077</v>
      </c>
    </row>
    <row r="2972" spans="1:7" ht="36.5" hidden="1" x14ac:dyDescent="0.35">
      <c r="A2972" s="8">
        <v>11171</v>
      </c>
      <c r="B2972" s="10" t="s">
        <v>5530</v>
      </c>
      <c r="C2972" s="10" t="s">
        <v>34</v>
      </c>
      <c r="D2972" s="9" t="s">
        <v>234</v>
      </c>
      <c r="E2972" s="9" t="str">
        <f>_xlfn.TEXTAFTER(Condiciones_acumuladas[[#This Row],[Descripción]], " ", -2)</f>
        <v>Eliú Tello</v>
      </c>
      <c r="F2972" s="21" t="s">
        <v>2516</v>
      </c>
      <c r="G2972" s="23">
        <v>46077</v>
      </c>
    </row>
    <row r="2973" spans="1:7" ht="36.5" hidden="1" x14ac:dyDescent="0.35">
      <c r="A2973" s="8">
        <v>11172</v>
      </c>
      <c r="B2973" s="10" t="s">
        <v>5531</v>
      </c>
      <c r="C2973" s="10" t="s">
        <v>13</v>
      </c>
      <c r="D2973" s="9" t="s">
        <v>21</v>
      </c>
      <c r="E2973" s="9" t="str">
        <f>_xlfn.TEXTAFTER(Condiciones_acumuladas[[#This Row],[Descripción]], " ", -2)</f>
        <v>Oscar Ramírez</v>
      </c>
      <c r="F2973" s="21" t="s">
        <v>2530</v>
      </c>
      <c r="G2973" s="23">
        <v>46077</v>
      </c>
    </row>
    <row r="2974" spans="1:7" ht="24.5" hidden="1" x14ac:dyDescent="0.35">
      <c r="A2974" s="8">
        <v>11167</v>
      </c>
      <c r="B2974" s="10" t="s">
        <v>5532</v>
      </c>
      <c r="C2974" s="10" t="s">
        <v>196</v>
      </c>
      <c r="D2974" s="9" t="s">
        <v>196</v>
      </c>
      <c r="E2974" s="9" t="str">
        <f>_xlfn.TEXTAFTER(Condiciones_acumuladas[[#This Row],[Descripción]], " ", -2)</f>
        <v>Jaime Chex</v>
      </c>
      <c r="F2974" s="21" t="s">
        <v>2522</v>
      </c>
      <c r="G2974" s="23">
        <v>46077</v>
      </c>
    </row>
    <row r="2975" spans="1:7" ht="24.5" hidden="1" x14ac:dyDescent="0.35">
      <c r="A2975" s="8">
        <v>11173</v>
      </c>
      <c r="B2975" s="10" t="s">
        <v>5533</v>
      </c>
      <c r="C2975" s="10" t="s">
        <v>21</v>
      </c>
      <c r="D2975" s="9" t="s">
        <v>395</v>
      </c>
      <c r="E2975" s="9" t="str">
        <f>_xlfn.TEXTAFTER(Condiciones_acumuladas[[#This Row],[Descripción]], " ", -2)</f>
        <v>Antony Ramos</v>
      </c>
      <c r="F2975" s="21" t="s">
        <v>2522</v>
      </c>
      <c r="G2975" s="23">
        <v>46077</v>
      </c>
    </row>
    <row r="2976" spans="1:7" ht="24.5" hidden="1" x14ac:dyDescent="0.35">
      <c r="A2976" s="8">
        <v>11174</v>
      </c>
      <c r="B2976" s="10" t="s">
        <v>5534</v>
      </c>
      <c r="C2976" s="10" t="s">
        <v>134</v>
      </c>
      <c r="D2976" s="9" t="s">
        <v>395</v>
      </c>
      <c r="E2976" s="9" t="str">
        <f>_xlfn.TEXTAFTER(Condiciones_acumuladas[[#This Row],[Descripción]], " ", -2)</f>
        <v>Antony Ramos</v>
      </c>
      <c r="F2976" s="21" t="s">
        <v>2522</v>
      </c>
      <c r="G2976" s="23">
        <v>46077</v>
      </c>
    </row>
    <row r="2977" spans="1:7" ht="24.5" hidden="1" x14ac:dyDescent="0.35">
      <c r="A2977" s="8">
        <v>11175</v>
      </c>
      <c r="B2977" s="10" t="s">
        <v>5535</v>
      </c>
      <c r="C2977" s="10" t="s">
        <v>96</v>
      </c>
      <c r="D2977" s="9" t="s">
        <v>96</v>
      </c>
      <c r="E2977" s="9" t="str">
        <f>_xlfn.TEXTAFTER(Condiciones_acumuladas[[#This Row],[Descripción]], " ", -2)</f>
        <v>Bladimir López</v>
      </c>
      <c r="F2977" s="21" t="s">
        <v>2522</v>
      </c>
      <c r="G2977" s="23">
        <v>46077</v>
      </c>
    </row>
    <row r="2978" spans="1:7" ht="24.5" hidden="1" x14ac:dyDescent="0.35">
      <c r="A2978" s="8">
        <v>11207</v>
      </c>
      <c r="B2978" s="10" t="s">
        <v>5536</v>
      </c>
      <c r="C2978" s="10" t="s">
        <v>96</v>
      </c>
      <c r="D2978" s="9" t="s">
        <v>96</v>
      </c>
      <c r="E2978" s="9" t="str">
        <f>_xlfn.TEXTAFTER(Condiciones_acumuladas[[#This Row],[Descripción]], " ", -2)</f>
        <v>Jimmy Velásquez</v>
      </c>
      <c r="F2978" s="21" t="s">
        <v>2522</v>
      </c>
      <c r="G2978" s="23">
        <v>46079</v>
      </c>
    </row>
    <row r="2979" spans="1:7" ht="24.5" hidden="1" x14ac:dyDescent="0.35">
      <c r="A2979" s="8">
        <v>11205</v>
      </c>
      <c r="B2979" s="10" t="s">
        <v>5537</v>
      </c>
      <c r="C2979" s="10" t="s">
        <v>234</v>
      </c>
      <c r="D2979" s="9" t="s">
        <v>227</v>
      </c>
      <c r="E2979" s="9" t="str">
        <f>_xlfn.TEXTAFTER(Condiciones_acumuladas[[#This Row],[Descripción]], " ", -2)</f>
        <v>Astrid Macario</v>
      </c>
      <c r="F2979" s="21" t="s">
        <v>2522</v>
      </c>
      <c r="G2979" s="23">
        <v>46078</v>
      </c>
    </row>
    <row r="2980" spans="1:7" ht="24.5" hidden="1" x14ac:dyDescent="0.35">
      <c r="A2980" s="8">
        <v>11206</v>
      </c>
      <c r="B2980" s="10" t="s">
        <v>5538</v>
      </c>
      <c r="C2980" s="10" t="s">
        <v>26</v>
      </c>
      <c r="D2980" s="9" t="s">
        <v>26</v>
      </c>
      <c r="E2980" s="9" t="str">
        <f>_xlfn.TEXTAFTER(Condiciones_acumuladas[[#This Row],[Descripción]], " ", -2)</f>
        <v>Nery Rivera</v>
      </c>
      <c r="F2980" s="21" t="s">
        <v>2522</v>
      </c>
      <c r="G2980" s="23">
        <v>46078</v>
      </c>
    </row>
    <row r="2981" spans="1:7" ht="24.5" hidden="1" x14ac:dyDescent="0.35">
      <c r="A2981" s="8">
        <v>11204</v>
      </c>
      <c r="B2981" s="10" t="s">
        <v>5539</v>
      </c>
      <c r="C2981" s="10" t="s">
        <v>220</v>
      </c>
      <c r="D2981" s="9" t="s">
        <v>220</v>
      </c>
      <c r="E2981" s="9" t="str">
        <f>_xlfn.TEXTAFTER(Condiciones_acumuladas[[#This Row],[Descripción]], " ", -2)</f>
        <v>Charly Coc</v>
      </c>
      <c r="F2981" s="21" t="s">
        <v>2522</v>
      </c>
      <c r="G2981" s="23">
        <v>46078</v>
      </c>
    </row>
    <row r="2982" spans="1:7" ht="36.5" hidden="1" x14ac:dyDescent="0.35">
      <c r="A2982" s="8">
        <v>11203</v>
      </c>
      <c r="B2982" s="10" t="s">
        <v>5540</v>
      </c>
      <c r="C2982" s="10" t="s">
        <v>104</v>
      </c>
      <c r="D2982" s="9" t="s">
        <v>96</v>
      </c>
      <c r="E2982" s="9" t="str">
        <f>_xlfn.TEXTAFTER(Condiciones_acumuladas[[#This Row],[Descripción]], " ", -2)</f>
        <v>Luis Pérez</v>
      </c>
      <c r="F2982" s="21" t="s">
        <v>2530</v>
      </c>
      <c r="G2982" s="23">
        <v>46078</v>
      </c>
    </row>
    <row r="2983" spans="1:7" ht="24.5" hidden="1" x14ac:dyDescent="0.35">
      <c r="A2983" s="8">
        <v>11202</v>
      </c>
      <c r="B2983" s="10" t="s">
        <v>5541</v>
      </c>
      <c r="C2983" s="10" t="s">
        <v>104</v>
      </c>
      <c r="D2983" s="9" t="s">
        <v>96</v>
      </c>
      <c r="E2983" s="9" t="str">
        <f>_xlfn.TEXTAFTER(Condiciones_acumuladas[[#This Row],[Descripción]], " ", -2)</f>
        <v>Luis Pérez</v>
      </c>
      <c r="F2983" s="21" t="s">
        <v>2522</v>
      </c>
      <c r="G2983" s="23">
        <v>46078</v>
      </c>
    </row>
    <row r="2984" spans="1:7" ht="36.5" hidden="1" x14ac:dyDescent="0.35">
      <c r="A2984" s="8">
        <v>11201</v>
      </c>
      <c r="B2984" s="10" t="s">
        <v>5542</v>
      </c>
      <c r="C2984" s="10" t="s">
        <v>13</v>
      </c>
      <c r="D2984" s="9" t="s">
        <v>196</v>
      </c>
      <c r="E2984" s="9" t="str">
        <f>_xlfn.TEXTAFTER(Condiciones_acumuladas[[#This Row],[Descripción]], " ", -2)</f>
        <v>Miguel Godínez</v>
      </c>
      <c r="F2984" s="21" t="s">
        <v>2522</v>
      </c>
      <c r="G2984" s="23">
        <v>46078</v>
      </c>
    </row>
    <row r="2985" spans="1:7" ht="24.5" hidden="1" x14ac:dyDescent="0.35">
      <c r="A2985" s="8">
        <v>11200</v>
      </c>
      <c r="B2985" s="10" t="s">
        <v>5543</v>
      </c>
      <c r="C2985" s="10" t="s">
        <v>104</v>
      </c>
      <c r="D2985" s="9" t="s">
        <v>96</v>
      </c>
      <c r="E2985" s="9" t="str">
        <f>_xlfn.TEXTAFTER(Condiciones_acumuladas[[#This Row],[Descripción]], " ", -2)</f>
        <v>Luis Pérez</v>
      </c>
      <c r="F2985" s="21" t="s">
        <v>2522</v>
      </c>
      <c r="G2985" s="23">
        <v>46078</v>
      </c>
    </row>
    <row r="2986" spans="1:7" ht="36.5" hidden="1" x14ac:dyDescent="0.35">
      <c r="A2986" s="8">
        <v>11199</v>
      </c>
      <c r="B2986" s="10" t="s">
        <v>5544</v>
      </c>
      <c r="C2986" s="10" t="s">
        <v>13</v>
      </c>
      <c r="D2986" s="9" t="s">
        <v>196</v>
      </c>
      <c r="E2986" s="9" t="str">
        <f>_xlfn.TEXTAFTER(Condiciones_acumuladas[[#This Row],[Descripción]], " ", -2)</f>
        <v>Miguel Godínez</v>
      </c>
      <c r="F2986" s="21" t="s">
        <v>2516</v>
      </c>
      <c r="G2986" s="23">
        <v>46078</v>
      </c>
    </row>
    <row r="2987" spans="1:7" ht="36.5" hidden="1" x14ac:dyDescent="0.35">
      <c r="A2987" s="8">
        <v>11197</v>
      </c>
      <c r="B2987" s="10" t="s">
        <v>5545</v>
      </c>
      <c r="C2987" s="10" t="s">
        <v>220</v>
      </c>
      <c r="D2987" s="9" t="s">
        <v>395</v>
      </c>
      <c r="E2987" s="9" t="str">
        <f>_xlfn.TEXTAFTER(Condiciones_acumuladas[[#This Row],[Descripción]], " ", -2)</f>
        <v>Josué Abraham</v>
      </c>
      <c r="F2987" s="21" t="s">
        <v>2516</v>
      </c>
      <c r="G2987" s="23">
        <v>46078</v>
      </c>
    </row>
    <row r="2988" spans="1:7" ht="24.5" hidden="1" x14ac:dyDescent="0.35">
      <c r="A2988" s="8">
        <v>11196</v>
      </c>
      <c r="B2988" s="10" t="s">
        <v>5546</v>
      </c>
      <c r="C2988" s="10" t="s">
        <v>104</v>
      </c>
      <c r="D2988" s="9" t="s">
        <v>96</v>
      </c>
      <c r="E2988" s="9" t="str">
        <f>_xlfn.TEXTAFTER(Condiciones_acumuladas[[#This Row],[Descripción]], " ", -2)</f>
        <v>Luis Pérez</v>
      </c>
      <c r="F2988" s="21" t="s">
        <v>2522</v>
      </c>
      <c r="G2988" s="23">
        <v>46078</v>
      </c>
    </row>
    <row r="2989" spans="1:7" ht="36.5" hidden="1" x14ac:dyDescent="0.35">
      <c r="A2989" s="8">
        <v>11195</v>
      </c>
      <c r="B2989" s="10" t="s">
        <v>5547</v>
      </c>
      <c r="C2989" s="10" t="s">
        <v>96</v>
      </c>
      <c r="D2989" s="9" t="s">
        <v>227</v>
      </c>
      <c r="E2989" s="9" t="str">
        <f>_xlfn.TEXTAFTER(Condiciones_acumuladas[[#This Row],[Descripción]], " ", -2)</f>
        <v>Astrid Macario</v>
      </c>
      <c r="F2989" s="21" t="s">
        <v>2516</v>
      </c>
      <c r="G2989" s="23">
        <v>46078</v>
      </c>
    </row>
    <row r="2990" spans="1:7" ht="24.5" hidden="1" x14ac:dyDescent="0.35">
      <c r="A2990" s="8">
        <v>11194</v>
      </c>
      <c r="B2990" s="10" t="s">
        <v>5548</v>
      </c>
      <c r="C2990" s="10" t="s">
        <v>13</v>
      </c>
      <c r="D2990" s="9" t="s">
        <v>196</v>
      </c>
      <c r="E2990" s="9" t="str">
        <f>_xlfn.TEXTAFTER(Condiciones_acumuladas[[#This Row],[Descripción]], " ", -2)</f>
        <v>Miguel Godínez</v>
      </c>
      <c r="F2990" s="21" t="s">
        <v>2522</v>
      </c>
      <c r="G2990" s="23">
        <v>46078</v>
      </c>
    </row>
    <row r="2991" spans="1:7" ht="24.5" hidden="1" x14ac:dyDescent="0.35">
      <c r="A2991" s="8">
        <v>11198</v>
      </c>
      <c r="B2991" s="10" t="s">
        <v>5549</v>
      </c>
      <c r="C2991" s="10" t="s">
        <v>104</v>
      </c>
      <c r="D2991" s="9" t="s">
        <v>96</v>
      </c>
      <c r="E2991" s="9" t="str">
        <f>_xlfn.TEXTAFTER(Condiciones_acumuladas[[#This Row],[Descripción]], " ", -2)</f>
        <v>Luis Pérez</v>
      </c>
      <c r="F2991" s="21" t="s">
        <v>2522</v>
      </c>
      <c r="G2991" s="23">
        <v>46078</v>
      </c>
    </row>
    <row r="2992" spans="1:7" ht="36.5" hidden="1" x14ac:dyDescent="0.35">
      <c r="A2992" s="8">
        <v>11193</v>
      </c>
      <c r="B2992" s="10" t="s">
        <v>5550</v>
      </c>
      <c r="C2992" s="10" t="s">
        <v>250</v>
      </c>
      <c r="D2992" s="9" t="s">
        <v>234</v>
      </c>
      <c r="E2992" s="9" t="str">
        <f>_xlfn.TEXTAFTER(Condiciones_acumuladas[[#This Row],[Descripción]], " ", -2)</f>
        <v>Bryan Neftaly</v>
      </c>
      <c r="F2992" s="21" t="s">
        <v>2516</v>
      </c>
      <c r="G2992" s="23">
        <v>46079</v>
      </c>
    </row>
    <row r="2993" spans="1:7" ht="24.5" hidden="1" x14ac:dyDescent="0.35">
      <c r="A2993" s="8">
        <v>11192</v>
      </c>
      <c r="B2993" s="10" t="s">
        <v>5551</v>
      </c>
      <c r="C2993" s="10" t="s">
        <v>104</v>
      </c>
      <c r="D2993" s="9" t="s">
        <v>96</v>
      </c>
      <c r="E2993" s="9" t="str">
        <f>_xlfn.TEXTAFTER(Condiciones_acumuladas[[#This Row],[Descripción]], " ", -2)</f>
        <v>Luis Pérez</v>
      </c>
      <c r="F2993" s="21" t="s">
        <v>2522</v>
      </c>
      <c r="G2993" s="23">
        <v>46078</v>
      </c>
    </row>
    <row r="2994" spans="1:7" ht="24.5" hidden="1" x14ac:dyDescent="0.35">
      <c r="A2994" s="8">
        <v>11191</v>
      </c>
      <c r="B2994" s="10" t="s">
        <v>5552</v>
      </c>
      <c r="C2994" s="10" t="s">
        <v>220</v>
      </c>
      <c r="D2994" s="9" t="s">
        <v>220</v>
      </c>
      <c r="E2994" s="9" t="str">
        <f>_xlfn.TEXTAFTER(Condiciones_acumuladas[[#This Row],[Descripción]], " ", -2)</f>
        <v>Charly Coc</v>
      </c>
      <c r="F2994" s="21" t="s">
        <v>2522</v>
      </c>
      <c r="G2994" s="23">
        <v>46078</v>
      </c>
    </row>
    <row r="2995" spans="1:7" ht="36.5" hidden="1" x14ac:dyDescent="0.35">
      <c r="A2995" s="8">
        <v>11190</v>
      </c>
      <c r="B2995" s="10" t="s">
        <v>5553</v>
      </c>
      <c r="C2995" s="10" t="s">
        <v>250</v>
      </c>
      <c r="D2995" s="9" t="s">
        <v>395</v>
      </c>
      <c r="E2995" s="9" t="str">
        <f>_xlfn.TEXTAFTER(Condiciones_acumuladas[[#This Row],[Descripción]], " ", -2)</f>
        <v>Josué Vásquez</v>
      </c>
      <c r="F2995" s="21" t="s">
        <v>2516</v>
      </c>
      <c r="G2995" s="23">
        <v>46078</v>
      </c>
    </row>
    <row r="2996" spans="1:7" ht="24.5" hidden="1" x14ac:dyDescent="0.35">
      <c r="A2996" s="8">
        <v>11189</v>
      </c>
      <c r="B2996" s="10" t="s">
        <v>5554</v>
      </c>
      <c r="C2996" s="10" t="s">
        <v>134</v>
      </c>
      <c r="D2996" s="9" t="s">
        <v>95</v>
      </c>
      <c r="E2996" s="9" t="str">
        <f>_xlfn.TEXTAFTER(Condiciones_acumuladas[[#This Row],[Descripción]], " ", -2)</f>
        <v>Hellen Estrada</v>
      </c>
      <c r="F2996" s="21" t="s">
        <v>2522</v>
      </c>
      <c r="G2996" s="23">
        <v>46079</v>
      </c>
    </row>
    <row r="2997" spans="1:7" ht="24.5" hidden="1" x14ac:dyDescent="0.35">
      <c r="A2997" s="8">
        <v>11188</v>
      </c>
      <c r="B2997" s="10" t="s">
        <v>5555</v>
      </c>
      <c r="C2997" s="10" t="s">
        <v>234</v>
      </c>
      <c r="D2997" s="9" t="s">
        <v>227</v>
      </c>
      <c r="E2997" s="9" t="str">
        <f>_xlfn.TEXTAFTER(Condiciones_acumuladas[[#This Row],[Descripción]], " ", -2)</f>
        <v>Astrid Macario</v>
      </c>
      <c r="F2997" s="21" t="s">
        <v>2522</v>
      </c>
      <c r="G2997" s="23">
        <v>46078</v>
      </c>
    </row>
    <row r="2998" spans="1:7" ht="24.5" hidden="1" x14ac:dyDescent="0.35">
      <c r="A2998" s="8">
        <v>11187</v>
      </c>
      <c r="B2998" s="10" t="s">
        <v>5556</v>
      </c>
      <c r="C2998" s="10" t="s">
        <v>234</v>
      </c>
      <c r="D2998" s="9" t="s">
        <v>227</v>
      </c>
      <c r="E2998" s="9" t="str">
        <f>_xlfn.TEXTAFTER(Condiciones_acumuladas[[#This Row],[Descripción]], " ", -2)</f>
        <v>Astrid Macario</v>
      </c>
      <c r="F2998" s="21" t="s">
        <v>2522</v>
      </c>
      <c r="G2998" s="23">
        <v>46078</v>
      </c>
    </row>
    <row r="2999" spans="1:7" ht="24.5" hidden="1" x14ac:dyDescent="0.35">
      <c r="A2999" s="8">
        <v>11186</v>
      </c>
      <c r="B2999" s="10" t="s">
        <v>5557</v>
      </c>
      <c r="C2999" s="10" t="s">
        <v>34</v>
      </c>
      <c r="D2999" s="9" t="s">
        <v>196</v>
      </c>
      <c r="E2999" s="9" t="str">
        <f>_xlfn.TEXTAFTER(Condiciones_acumuladas[[#This Row],[Descripción]], " ", -2)</f>
        <v>Wilber López</v>
      </c>
      <c r="F2999" s="21" t="s">
        <v>2522</v>
      </c>
      <c r="G2999" s="23">
        <v>46078</v>
      </c>
    </row>
    <row r="3000" spans="1:7" ht="36.5" hidden="1" x14ac:dyDescent="0.35">
      <c r="A3000" s="8">
        <v>11184</v>
      </c>
      <c r="B3000" s="10" t="s">
        <v>5558</v>
      </c>
      <c r="C3000" s="10" t="s">
        <v>250</v>
      </c>
      <c r="D3000" s="9" t="s">
        <v>395</v>
      </c>
      <c r="E3000" s="9" t="str">
        <f>_xlfn.TEXTAFTER(Condiciones_acumuladas[[#This Row],[Descripción]], " ", -2)</f>
        <v>Josué Vásquez</v>
      </c>
      <c r="F3000" s="21" t="s">
        <v>2516</v>
      </c>
      <c r="G3000" s="23">
        <v>46078</v>
      </c>
    </row>
    <row r="3001" spans="1:7" ht="36.5" hidden="1" x14ac:dyDescent="0.35">
      <c r="A3001" s="8">
        <v>11183</v>
      </c>
      <c r="B3001" s="10" t="s">
        <v>5559</v>
      </c>
      <c r="C3001" s="10" t="s">
        <v>134</v>
      </c>
      <c r="D3001" s="9" t="s">
        <v>134</v>
      </c>
      <c r="E3001" s="9" t="str">
        <f>_xlfn.TEXTAFTER(Condiciones_acumuladas[[#This Row],[Descripción]], " ", -2)</f>
        <v>Roger Rivas</v>
      </c>
      <c r="F3001" s="21" t="s">
        <v>2572</v>
      </c>
      <c r="G3001" s="23">
        <v>46078</v>
      </c>
    </row>
    <row r="3002" spans="1:7" ht="36.5" hidden="1" x14ac:dyDescent="0.35">
      <c r="A3002" s="8">
        <v>11185</v>
      </c>
      <c r="B3002" s="10" t="s">
        <v>5560</v>
      </c>
      <c r="C3002" s="10" t="s">
        <v>371</v>
      </c>
      <c r="D3002" s="9" t="s">
        <v>205</v>
      </c>
      <c r="E3002" s="9" t="str">
        <f>_xlfn.TEXTAFTER(Condiciones_acumuladas[[#This Row],[Descripción]], " ", -2)</f>
        <v>Lissette Loarca</v>
      </c>
      <c r="F3002" s="21" t="s">
        <v>2572</v>
      </c>
      <c r="G3002" s="23">
        <v>46078</v>
      </c>
    </row>
    <row r="3003" spans="1:7" ht="24.5" hidden="1" x14ac:dyDescent="0.35">
      <c r="A3003" s="8">
        <v>11223</v>
      </c>
      <c r="B3003" s="10" t="s">
        <v>5561</v>
      </c>
      <c r="C3003" s="10" t="s">
        <v>134</v>
      </c>
      <c r="D3003" s="9" t="s">
        <v>95</v>
      </c>
      <c r="E3003" s="9" t="str">
        <f>_xlfn.TEXTAFTER(Condiciones_acumuladas[[#This Row],[Descripción]], " ", -2)</f>
        <v>Leidy Camey</v>
      </c>
      <c r="F3003" s="21" t="s">
        <v>2834</v>
      </c>
      <c r="G3003" s="23">
        <v>46079</v>
      </c>
    </row>
    <row r="3004" spans="1:7" ht="36.5" hidden="1" x14ac:dyDescent="0.35">
      <c r="A3004" s="8">
        <v>11236</v>
      </c>
      <c r="B3004" s="10" t="s">
        <v>5562</v>
      </c>
      <c r="C3004" s="10" t="s">
        <v>278</v>
      </c>
      <c r="D3004" s="9" t="s">
        <v>190</v>
      </c>
      <c r="E3004" s="9" t="str">
        <f>_xlfn.TEXTAFTER(Condiciones_acumuladas[[#This Row],[Descripción]], " ", -2)</f>
        <v>Edson Bonifacio</v>
      </c>
      <c r="F3004" s="21" t="s">
        <v>2572</v>
      </c>
      <c r="G3004" s="23">
        <v>46079</v>
      </c>
    </row>
    <row r="3005" spans="1:7" ht="24.5" hidden="1" x14ac:dyDescent="0.35">
      <c r="A3005" s="8">
        <v>11237</v>
      </c>
      <c r="B3005" s="10" t="s">
        <v>5563</v>
      </c>
      <c r="C3005" s="10" t="s">
        <v>196</v>
      </c>
      <c r="D3005" s="9" t="s">
        <v>196</v>
      </c>
      <c r="E3005" s="9" t="str">
        <f>_xlfn.TEXTAFTER(Condiciones_acumuladas[[#This Row],[Descripción]], " ", -2)</f>
        <v>Rebeca Morales</v>
      </c>
      <c r="F3005" s="21" t="s">
        <v>2522</v>
      </c>
      <c r="G3005" s="23">
        <v>46080</v>
      </c>
    </row>
    <row r="3006" spans="1:7" ht="24.5" hidden="1" x14ac:dyDescent="0.35">
      <c r="A3006" s="8">
        <v>11238</v>
      </c>
      <c r="B3006" s="10" t="s">
        <v>5564</v>
      </c>
      <c r="C3006" s="10" t="s">
        <v>220</v>
      </c>
      <c r="D3006" s="9" t="s">
        <v>395</v>
      </c>
      <c r="E3006" s="9" t="str">
        <f>_xlfn.TEXTAFTER(Condiciones_acumuladas[[#This Row],[Descripción]], " ", -2)</f>
        <v>Josué Vásquez</v>
      </c>
      <c r="F3006" s="21" t="s">
        <v>2522</v>
      </c>
      <c r="G3006" s="23">
        <v>46080</v>
      </c>
    </row>
    <row r="3007" spans="1:7" ht="24.5" hidden="1" x14ac:dyDescent="0.35">
      <c r="A3007" s="8">
        <v>11241</v>
      </c>
      <c r="B3007" s="10" t="s">
        <v>5565</v>
      </c>
      <c r="C3007" s="10" t="s">
        <v>134</v>
      </c>
      <c r="D3007" s="9" t="s">
        <v>395</v>
      </c>
      <c r="E3007" s="9" t="str">
        <f>_xlfn.TEXTAFTER(Condiciones_acumuladas[[#This Row],[Descripción]], " ", -2)</f>
        <v>Abraham Quiej</v>
      </c>
      <c r="F3007" s="21" t="s">
        <v>2522</v>
      </c>
      <c r="G3007" s="23">
        <v>46082</v>
      </c>
    </row>
    <row r="3008" spans="1:7" ht="24.5" hidden="1" x14ac:dyDescent="0.35">
      <c r="A3008" s="8">
        <v>11239</v>
      </c>
      <c r="B3008" s="10" t="s">
        <v>5566</v>
      </c>
      <c r="C3008" s="10" t="s">
        <v>96</v>
      </c>
      <c r="D3008" s="9" t="s">
        <v>395</v>
      </c>
      <c r="E3008" s="9" t="str">
        <f>_xlfn.TEXTAFTER(Condiciones_acumuladas[[#This Row],[Descripción]], " ", -2)</f>
        <v>Abraham Quiej</v>
      </c>
      <c r="F3008" s="21" t="s">
        <v>2522</v>
      </c>
      <c r="G3008" s="23">
        <v>46082</v>
      </c>
    </row>
    <row r="3009" spans="1:7" ht="24.5" hidden="1" x14ac:dyDescent="0.35">
      <c r="A3009" s="8">
        <v>11240</v>
      </c>
      <c r="B3009" s="10" t="s">
        <v>5567</v>
      </c>
      <c r="C3009" s="10" t="s">
        <v>96</v>
      </c>
      <c r="D3009" s="9" t="s">
        <v>395</v>
      </c>
      <c r="E3009" s="9" t="str">
        <f>_xlfn.TEXTAFTER(Condiciones_acumuladas[[#This Row],[Descripción]], " ", -2)</f>
        <v>Abraham Quiej</v>
      </c>
      <c r="F3009" s="21" t="s">
        <v>2522</v>
      </c>
      <c r="G3009" s="23">
        <v>46082</v>
      </c>
    </row>
    <row r="3010" spans="1:7" ht="24.5" hidden="1" x14ac:dyDescent="0.35">
      <c r="A3010" s="8">
        <v>11413</v>
      </c>
      <c r="B3010" s="10" t="s">
        <v>5568</v>
      </c>
      <c r="C3010" s="10" t="s">
        <v>96</v>
      </c>
      <c r="D3010" s="9" t="s">
        <v>395</v>
      </c>
      <c r="E3010" s="9" t="str">
        <f>_xlfn.TEXTAFTER(Condiciones_acumuladas[[#This Row],[Descripción]], " ", -2)</f>
        <v>Abraham Quiej</v>
      </c>
      <c r="F3010" s="10" t="s">
        <v>2537</v>
      </c>
      <c r="G3010" s="11">
        <v>46097</v>
      </c>
    </row>
    <row r="3011" spans="1:7" ht="24.5" hidden="1" x14ac:dyDescent="0.35">
      <c r="A3011" s="8">
        <v>11410</v>
      </c>
      <c r="B3011" s="10" t="s">
        <v>5569</v>
      </c>
      <c r="C3011" s="10" t="s">
        <v>250</v>
      </c>
      <c r="D3011" s="9" t="s">
        <v>395</v>
      </c>
      <c r="E3011" s="9" t="str">
        <f>_xlfn.TEXTAFTER(Condiciones_acumuladas[[#This Row],[Descripción]], " ", -2)</f>
        <v>Abraham Quiej</v>
      </c>
      <c r="F3011" s="10" t="s">
        <v>2522</v>
      </c>
      <c r="G3011" s="11">
        <v>46096</v>
      </c>
    </row>
    <row r="3012" spans="1:7" ht="24.5" hidden="1" x14ac:dyDescent="0.35">
      <c r="A3012" s="8">
        <v>11401</v>
      </c>
      <c r="B3012" s="10" t="s">
        <v>5570</v>
      </c>
      <c r="C3012" s="10" t="s">
        <v>96</v>
      </c>
      <c r="D3012" s="9" t="s">
        <v>395</v>
      </c>
      <c r="E3012" s="9" t="str">
        <f>_xlfn.TEXTAFTER(Condiciones_acumuladas[[#This Row],[Descripción]], " ", -2)</f>
        <v>Abraham Quiej</v>
      </c>
      <c r="F3012" s="10" t="s">
        <v>2522</v>
      </c>
      <c r="G3012" s="11">
        <v>46093</v>
      </c>
    </row>
    <row r="3013" spans="1:7" ht="36.5" hidden="1" x14ac:dyDescent="0.35">
      <c r="A3013" s="8">
        <v>11402</v>
      </c>
      <c r="B3013" s="10" t="s">
        <v>5571</v>
      </c>
      <c r="C3013" s="10" t="s">
        <v>21</v>
      </c>
      <c r="D3013" s="9" t="s">
        <v>395</v>
      </c>
      <c r="E3013" s="9" t="str">
        <f>_xlfn.TEXTAFTER(Condiciones_acumuladas[[#This Row],[Descripción]], " ", -2)</f>
        <v>Abraham Quiej</v>
      </c>
      <c r="F3013" s="10" t="s">
        <v>2516</v>
      </c>
      <c r="G3013" s="11">
        <v>46094</v>
      </c>
    </row>
    <row r="3014" spans="1:7" ht="24.5" hidden="1" x14ac:dyDescent="0.35">
      <c r="A3014" s="8">
        <v>11412</v>
      </c>
      <c r="B3014" s="10" t="s">
        <v>5572</v>
      </c>
      <c r="C3014" s="10" t="s">
        <v>104</v>
      </c>
      <c r="D3014" s="9" t="s">
        <v>395</v>
      </c>
      <c r="E3014" s="9" t="str">
        <f>_xlfn.TEXTAFTER(Condiciones_acumuladas[[#This Row],[Descripción]], " ", -2)</f>
        <v>Abraham Quiej</v>
      </c>
      <c r="F3014" s="10" t="s">
        <v>2522</v>
      </c>
      <c r="G3014" s="11">
        <v>46097</v>
      </c>
    </row>
    <row r="3015" spans="1:7" ht="36.5" hidden="1" x14ac:dyDescent="0.35">
      <c r="A3015" s="8">
        <v>11231</v>
      </c>
      <c r="B3015" s="10" t="s">
        <v>5573</v>
      </c>
      <c r="C3015" s="10" t="s">
        <v>26</v>
      </c>
      <c r="D3015" s="9" t="s">
        <v>26</v>
      </c>
      <c r="E3015" s="9" t="str">
        <f>_xlfn.TEXTAFTER(Condiciones_acumuladas[[#This Row],[Descripción]], " ", -2)</f>
        <v>Adrian Santisteban</v>
      </c>
      <c r="F3015" s="21" t="s">
        <v>2516</v>
      </c>
      <c r="G3015" s="23">
        <v>46080</v>
      </c>
    </row>
    <row r="3016" spans="1:7" ht="24.5" hidden="1" x14ac:dyDescent="0.35">
      <c r="A3016" s="8">
        <v>11229</v>
      </c>
      <c r="B3016" s="10" t="s">
        <v>5574</v>
      </c>
      <c r="C3016" s="10" t="s">
        <v>26</v>
      </c>
      <c r="D3016" s="9" t="s">
        <v>26</v>
      </c>
      <c r="E3016" s="9" t="str">
        <f>_xlfn.TEXTAFTER(Condiciones_acumuladas[[#This Row],[Descripción]], " ", -2)</f>
        <v>Adrian Santisteban</v>
      </c>
      <c r="F3016" s="21" t="s">
        <v>2522</v>
      </c>
      <c r="G3016" s="23">
        <v>46080</v>
      </c>
    </row>
    <row r="3017" spans="1:7" ht="36.5" hidden="1" x14ac:dyDescent="0.35">
      <c r="A3017" s="8">
        <v>11230</v>
      </c>
      <c r="B3017" s="10" t="s">
        <v>5575</v>
      </c>
      <c r="C3017" s="10" t="s">
        <v>34</v>
      </c>
      <c r="D3017" s="9" t="s">
        <v>34</v>
      </c>
      <c r="E3017" s="9" t="str">
        <f>_xlfn.TEXTAFTER(Condiciones_acumuladas[[#This Row],[Descripción]], " ", -2)</f>
        <v>Adrian Santisteban</v>
      </c>
      <c r="F3017" s="21" t="s">
        <v>2516</v>
      </c>
      <c r="G3017" s="23">
        <v>46080</v>
      </c>
    </row>
    <row r="3018" spans="1:7" ht="48.5" hidden="1" x14ac:dyDescent="0.35">
      <c r="A3018" s="8">
        <v>11227</v>
      </c>
      <c r="B3018" s="10" t="s">
        <v>5576</v>
      </c>
      <c r="C3018" s="10" t="s">
        <v>26</v>
      </c>
      <c r="D3018" s="9" t="s">
        <v>26</v>
      </c>
      <c r="E3018" s="9" t="str">
        <f>_xlfn.TEXTAFTER(Condiciones_acumuladas[[#This Row],[Descripción]], " ", -2)</f>
        <v>Adrian Santisteban</v>
      </c>
      <c r="F3018" s="21" t="s">
        <v>2559</v>
      </c>
      <c r="G3018" s="23">
        <v>46080</v>
      </c>
    </row>
    <row r="3019" spans="1:7" ht="48.5" hidden="1" x14ac:dyDescent="0.35">
      <c r="A3019" s="8">
        <v>11228</v>
      </c>
      <c r="B3019" s="10" t="s">
        <v>5577</v>
      </c>
      <c r="C3019" s="10" t="s">
        <v>34</v>
      </c>
      <c r="D3019" s="9" t="s">
        <v>34</v>
      </c>
      <c r="E3019" s="9" t="str">
        <f>_xlfn.TEXTAFTER(Condiciones_acumuladas[[#This Row],[Descripción]], " ", -2)</f>
        <v>Adrian Santisteban</v>
      </c>
      <c r="F3019" s="21" t="s">
        <v>2559</v>
      </c>
      <c r="G3019" s="23">
        <v>46080</v>
      </c>
    </row>
    <row r="3020" spans="1:7" ht="48.5" hidden="1" x14ac:dyDescent="0.35">
      <c r="A3020" s="8">
        <v>11226</v>
      </c>
      <c r="B3020" s="10" t="s">
        <v>5578</v>
      </c>
      <c r="C3020" s="10" t="s">
        <v>34</v>
      </c>
      <c r="D3020" s="9" t="s">
        <v>34</v>
      </c>
      <c r="E3020" s="9" t="str">
        <f>_xlfn.TEXTAFTER(Condiciones_acumuladas[[#This Row],[Descripción]], " ", -2)</f>
        <v>Adrian Santisteban</v>
      </c>
      <c r="F3020" s="21" t="s">
        <v>2559</v>
      </c>
      <c r="G3020" s="23">
        <v>46080</v>
      </c>
    </row>
    <row r="3021" spans="1:7" ht="24.5" hidden="1" x14ac:dyDescent="0.35">
      <c r="A3021" s="8">
        <v>11455</v>
      </c>
      <c r="B3021" s="10" t="s">
        <v>5579</v>
      </c>
      <c r="C3021" s="10" t="s">
        <v>21</v>
      </c>
      <c r="D3021" s="9" t="s">
        <v>395</v>
      </c>
      <c r="E3021" s="9" t="str">
        <f>_xlfn.TEXTAFTER(Condiciones_acumuladas[[#This Row],[Descripción]], " ", -2)</f>
        <v>Abraham Quiej</v>
      </c>
      <c r="F3021" s="10" t="s">
        <v>2522</v>
      </c>
      <c r="G3021" s="11">
        <v>46099</v>
      </c>
    </row>
    <row r="3022" spans="1:7" ht="24.5" hidden="1" x14ac:dyDescent="0.35">
      <c r="A3022" s="8">
        <v>11451</v>
      </c>
      <c r="B3022" s="10" t="s">
        <v>5580</v>
      </c>
      <c r="C3022" s="10" t="s">
        <v>21</v>
      </c>
      <c r="D3022" s="9" t="s">
        <v>395</v>
      </c>
      <c r="E3022" s="9" t="str">
        <f>_xlfn.TEXTAFTER(Condiciones_acumuladas[[#This Row],[Descripción]], " ", -2)</f>
        <v>Abraham Quiej</v>
      </c>
      <c r="F3022" s="10" t="s">
        <v>2522</v>
      </c>
      <c r="G3022" s="11">
        <v>46099</v>
      </c>
    </row>
    <row r="3023" spans="1:7" ht="24.5" hidden="1" x14ac:dyDescent="0.35">
      <c r="A3023" s="8">
        <v>11488</v>
      </c>
      <c r="B3023" s="10" t="s">
        <v>5581</v>
      </c>
      <c r="C3023" s="10" t="s">
        <v>196</v>
      </c>
      <c r="D3023" s="9" t="s">
        <v>395</v>
      </c>
      <c r="E3023" s="9" t="str">
        <f>_xlfn.TEXTAFTER(Condiciones_acumuladas[[#This Row],[Descripción]], " ", -2)</f>
        <v>Abraham Quiej</v>
      </c>
      <c r="F3023" s="10" t="s">
        <v>2537</v>
      </c>
      <c r="G3023" s="11">
        <v>46103</v>
      </c>
    </row>
    <row r="3024" spans="1:7" ht="24.5" hidden="1" x14ac:dyDescent="0.35">
      <c r="A3024" s="8">
        <v>11487</v>
      </c>
      <c r="B3024" s="10" t="s">
        <v>5582</v>
      </c>
      <c r="C3024" s="10" t="s">
        <v>21</v>
      </c>
      <c r="D3024" s="9" t="s">
        <v>395</v>
      </c>
      <c r="E3024" s="9" t="str">
        <f>_xlfn.TEXTAFTER(Condiciones_acumuladas[[#This Row],[Descripción]], " ", -2)</f>
        <v>Abraham Quiej</v>
      </c>
      <c r="F3024" s="10" t="s">
        <v>2540</v>
      </c>
      <c r="G3024" s="11">
        <v>46103</v>
      </c>
    </row>
    <row r="3025" spans="1:7" ht="24.5" hidden="1" x14ac:dyDescent="0.35">
      <c r="A3025" s="8">
        <v>11326</v>
      </c>
      <c r="B3025" s="10" t="s">
        <v>5583</v>
      </c>
      <c r="C3025" s="10" t="s">
        <v>34</v>
      </c>
      <c r="D3025" s="9" t="s">
        <v>95</v>
      </c>
      <c r="E3025" s="9" t="str">
        <f>_xlfn.TEXTAFTER(Condiciones_acumuladas[[#This Row],[Descripción]], " ", -2)</f>
        <v>Alejandro Martínez</v>
      </c>
      <c r="F3025" s="21" t="s">
        <v>2522</v>
      </c>
      <c r="G3025" s="23">
        <v>46090</v>
      </c>
    </row>
    <row r="3026" spans="1:7" ht="36.5" hidden="1" x14ac:dyDescent="0.35">
      <c r="A3026" s="8">
        <v>11317</v>
      </c>
      <c r="B3026" s="10" t="s">
        <v>5584</v>
      </c>
      <c r="C3026" s="10" t="s">
        <v>134</v>
      </c>
      <c r="D3026" s="9" t="s">
        <v>134</v>
      </c>
      <c r="E3026" s="9" t="str">
        <f>_xlfn.TEXTAFTER(Condiciones_acumuladas[[#This Row],[Descripción]], " ", -2)</f>
        <v xml:space="preserve">Alfonso Guatzin
</v>
      </c>
      <c r="F3026" s="21" t="s">
        <v>2522</v>
      </c>
      <c r="G3026" s="23">
        <v>46087</v>
      </c>
    </row>
    <row r="3027" spans="1:7" ht="24.5" hidden="1" x14ac:dyDescent="0.35">
      <c r="A3027" s="8">
        <v>11354</v>
      </c>
      <c r="B3027" s="10" t="s">
        <v>5585</v>
      </c>
      <c r="C3027" s="10" t="s">
        <v>13</v>
      </c>
      <c r="D3027" s="9" t="s">
        <v>13</v>
      </c>
      <c r="E3027" s="9" t="str">
        <f>_xlfn.TEXTAFTER(Condiciones_acumuladas[[#This Row],[Descripción]], " ", -2)</f>
        <v>Amílcar Ralda</v>
      </c>
      <c r="F3027" s="10" t="s">
        <v>2540</v>
      </c>
      <c r="G3027" s="11">
        <v>46092</v>
      </c>
    </row>
    <row r="3028" spans="1:7" ht="48.5" hidden="1" x14ac:dyDescent="0.35">
      <c r="A3028" s="8">
        <v>11458</v>
      </c>
      <c r="B3028" s="10" t="s">
        <v>5586</v>
      </c>
      <c r="C3028" s="10" t="s">
        <v>96</v>
      </c>
      <c r="D3028" s="9" t="s">
        <v>21</v>
      </c>
      <c r="E3028" s="9" t="str">
        <f>_xlfn.TEXTAFTER(Condiciones_acumuladas[[#This Row],[Descripción]], " ", -2)</f>
        <v>Amílcar Ralda</v>
      </c>
      <c r="F3028" s="10" t="s">
        <v>2559</v>
      </c>
      <c r="G3028" s="11">
        <v>46099</v>
      </c>
    </row>
    <row r="3029" spans="1:7" ht="48.5" hidden="1" x14ac:dyDescent="0.35">
      <c r="A3029" s="8">
        <v>11454</v>
      </c>
      <c r="B3029" s="10" t="s">
        <v>5587</v>
      </c>
      <c r="C3029" s="10" t="s">
        <v>96</v>
      </c>
      <c r="D3029" s="9" t="s">
        <v>21</v>
      </c>
      <c r="E3029" s="9" t="str">
        <f>_xlfn.TEXTAFTER(Condiciones_acumuladas[[#This Row],[Descripción]], " ", -2)</f>
        <v>Amílcar Ralda</v>
      </c>
      <c r="F3029" s="10" t="s">
        <v>2559</v>
      </c>
      <c r="G3029" s="11">
        <v>46099</v>
      </c>
    </row>
    <row r="3030" spans="1:7" ht="48.5" hidden="1" x14ac:dyDescent="0.35">
      <c r="A3030" s="8">
        <v>11457</v>
      </c>
      <c r="B3030" s="10" t="s">
        <v>5588</v>
      </c>
      <c r="C3030" s="10" t="s">
        <v>96</v>
      </c>
      <c r="D3030" s="9" t="s">
        <v>13</v>
      </c>
      <c r="E3030" s="9" t="str">
        <f>_xlfn.TEXTAFTER(Condiciones_acumuladas[[#This Row],[Descripción]], " ", -2)</f>
        <v>Amílcar Ralda</v>
      </c>
      <c r="F3030" s="10" t="s">
        <v>2559</v>
      </c>
      <c r="G3030" s="11">
        <v>46099</v>
      </c>
    </row>
    <row r="3031" spans="1:7" ht="36.5" hidden="1" x14ac:dyDescent="0.35">
      <c r="A3031" s="8">
        <v>11314</v>
      </c>
      <c r="B3031" s="10" t="s">
        <v>5589</v>
      </c>
      <c r="C3031" s="10" t="s">
        <v>26</v>
      </c>
      <c r="D3031" s="9" t="s">
        <v>95</v>
      </c>
      <c r="E3031" s="9" t="str">
        <f>_xlfn.TEXTAFTER(Condiciones_acumuladas[[#This Row],[Descripción]], " ", -2)</f>
        <v>Andrea González</v>
      </c>
      <c r="F3031" s="21" t="s">
        <v>2530</v>
      </c>
      <c r="G3031" s="23">
        <v>46090</v>
      </c>
    </row>
    <row r="3032" spans="1:7" ht="24.5" hidden="1" x14ac:dyDescent="0.35">
      <c r="A3032" s="8">
        <v>11328</v>
      </c>
      <c r="B3032" s="10" t="s">
        <v>5590</v>
      </c>
      <c r="C3032" s="10" t="s">
        <v>234</v>
      </c>
      <c r="D3032" s="9" t="s">
        <v>95</v>
      </c>
      <c r="E3032" s="9" t="str">
        <f>_xlfn.TEXTAFTER(Condiciones_acumuladas[[#This Row],[Descripción]], " ", -2)</f>
        <v>Andrea González</v>
      </c>
      <c r="F3032" s="21" t="s">
        <v>2522</v>
      </c>
      <c r="G3032" s="23">
        <v>46090</v>
      </c>
    </row>
    <row r="3033" spans="1:7" ht="36.5" hidden="1" x14ac:dyDescent="0.35">
      <c r="A3033" s="8">
        <v>11346</v>
      </c>
      <c r="B3033" s="10" t="s">
        <v>5591</v>
      </c>
      <c r="C3033" s="10" t="s">
        <v>220</v>
      </c>
      <c r="D3033" s="9" t="s">
        <v>95</v>
      </c>
      <c r="E3033" s="9" t="str">
        <f>_xlfn.TEXTAFTER(Condiciones_acumuladas[[#This Row],[Descripción]], " ", -2)</f>
        <v>Andrea González</v>
      </c>
      <c r="F3033" s="10" t="s">
        <v>2572</v>
      </c>
      <c r="G3033" s="11">
        <v>46093</v>
      </c>
    </row>
    <row r="3034" spans="1:7" ht="36.5" hidden="1" x14ac:dyDescent="0.35">
      <c r="A3034" s="8">
        <v>11342</v>
      </c>
      <c r="B3034" s="10" t="s">
        <v>5592</v>
      </c>
      <c r="C3034" s="10" t="s">
        <v>234</v>
      </c>
      <c r="D3034" s="9" t="s">
        <v>95</v>
      </c>
      <c r="E3034" s="9" t="str">
        <f>_xlfn.TEXTAFTER(Condiciones_acumuladas[[#This Row],[Descripción]], " ", -2)</f>
        <v>Andrea González</v>
      </c>
      <c r="F3034" s="10" t="s">
        <v>2525</v>
      </c>
      <c r="G3034" s="11">
        <v>46092</v>
      </c>
    </row>
    <row r="3035" spans="1:7" ht="36.5" hidden="1" x14ac:dyDescent="0.35">
      <c r="A3035" s="8">
        <v>11398</v>
      </c>
      <c r="B3035" s="10" t="s">
        <v>5593</v>
      </c>
      <c r="C3035" s="10" t="s">
        <v>95</v>
      </c>
      <c r="D3035" s="9" t="s">
        <v>95</v>
      </c>
      <c r="E3035" s="9" t="str">
        <f>_xlfn.TEXTAFTER(Condiciones_acumuladas[[#This Row],[Descripción]], " ", -2)</f>
        <v>Andrea González</v>
      </c>
      <c r="F3035" s="10" t="s">
        <v>2540</v>
      </c>
      <c r="G3035" s="11">
        <v>46097</v>
      </c>
    </row>
    <row r="3036" spans="1:7" ht="36.5" hidden="1" x14ac:dyDescent="0.35">
      <c r="A3036" s="8">
        <v>11243</v>
      </c>
      <c r="B3036" s="10" t="s">
        <v>5594</v>
      </c>
      <c r="C3036" s="10" t="s">
        <v>234</v>
      </c>
      <c r="D3036" s="9" t="s">
        <v>395</v>
      </c>
      <c r="E3036" s="9" t="str">
        <f>_xlfn.TEXTAFTER(Condiciones_acumuladas[[#This Row],[Descripción]], " ", -2)</f>
        <v>Antony Ramos</v>
      </c>
      <c r="F3036" s="21" t="s">
        <v>2525</v>
      </c>
      <c r="G3036" s="23">
        <v>46083</v>
      </c>
    </row>
    <row r="3037" spans="1:7" ht="24.5" hidden="1" x14ac:dyDescent="0.35">
      <c r="A3037" s="8">
        <v>11246</v>
      </c>
      <c r="B3037" s="10" t="s">
        <v>5595</v>
      </c>
      <c r="C3037" s="10" t="s">
        <v>134</v>
      </c>
      <c r="D3037" s="9" t="s">
        <v>395</v>
      </c>
      <c r="E3037" s="9" t="str">
        <f>_xlfn.TEXTAFTER(Condiciones_acumuladas[[#This Row],[Descripción]], " ", -2)</f>
        <v>Antony Ramos</v>
      </c>
      <c r="F3037" s="21" t="s">
        <v>2522</v>
      </c>
      <c r="G3037" s="23">
        <v>46083</v>
      </c>
    </row>
    <row r="3038" spans="1:7" ht="24.5" hidden="1" x14ac:dyDescent="0.35">
      <c r="A3038" s="8">
        <v>11245</v>
      </c>
      <c r="B3038" s="10" t="s">
        <v>5596</v>
      </c>
      <c r="C3038" s="10" t="s">
        <v>26</v>
      </c>
      <c r="D3038" s="9" t="s">
        <v>395</v>
      </c>
      <c r="E3038" s="9" t="str">
        <f>_xlfn.TEXTAFTER(Condiciones_acumuladas[[#This Row],[Descripción]], " ", -2)</f>
        <v>Antony Ramos</v>
      </c>
      <c r="F3038" s="21" t="s">
        <v>2522</v>
      </c>
      <c r="G3038" s="23">
        <v>46083</v>
      </c>
    </row>
    <row r="3039" spans="1:7" ht="48.5" hidden="1" x14ac:dyDescent="0.35">
      <c r="A3039" s="8">
        <v>11388</v>
      </c>
      <c r="B3039" s="10" t="s">
        <v>5597</v>
      </c>
      <c r="C3039" s="10" t="s">
        <v>250</v>
      </c>
      <c r="D3039" s="9" t="s">
        <v>395</v>
      </c>
      <c r="E3039" s="9" t="str">
        <f>_xlfn.TEXTAFTER(Condiciones_acumuladas[[#This Row],[Descripción]], " ", -2)</f>
        <v>Antony Ramos</v>
      </c>
      <c r="F3039" s="10" t="s">
        <v>2540</v>
      </c>
      <c r="G3039" s="11">
        <v>46093</v>
      </c>
    </row>
    <row r="3040" spans="1:7" ht="36.5" hidden="1" x14ac:dyDescent="0.35">
      <c r="A3040" s="8">
        <v>11358</v>
      </c>
      <c r="B3040" s="10" t="s">
        <v>5598</v>
      </c>
      <c r="C3040" s="10" t="s">
        <v>13</v>
      </c>
      <c r="D3040" s="9" t="s">
        <v>395</v>
      </c>
      <c r="E3040" s="9" t="str">
        <f>_xlfn.TEXTAFTER(Condiciones_acumuladas[[#This Row],[Descripción]], " ", -2)</f>
        <v>Antony Ramos</v>
      </c>
      <c r="F3040" s="10" t="s">
        <v>2522</v>
      </c>
      <c r="G3040" s="11">
        <v>46092</v>
      </c>
    </row>
    <row r="3041" spans="1:7" ht="24.5" hidden="1" x14ac:dyDescent="0.35">
      <c r="A3041" s="8">
        <v>11368</v>
      </c>
      <c r="B3041" s="10" t="s">
        <v>5599</v>
      </c>
      <c r="C3041" s="10" t="s">
        <v>13</v>
      </c>
      <c r="D3041" s="9" t="s">
        <v>395</v>
      </c>
      <c r="E3041" s="9" t="str">
        <f>_xlfn.TEXTAFTER(Condiciones_acumuladas[[#This Row],[Descripción]], " ", -2)</f>
        <v>Antony Ramos</v>
      </c>
      <c r="F3041" s="10" t="s">
        <v>2522</v>
      </c>
      <c r="G3041" s="11">
        <v>46092</v>
      </c>
    </row>
    <row r="3042" spans="1:7" ht="36.5" hidden="1" x14ac:dyDescent="0.35">
      <c r="A3042" s="8">
        <v>11335</v>
      </c>
      <c r="B3042" s="10" t="s">
        <v>5600</v>
      </c>
      <c r="C3042" s="10" t="s">
        <v>190</v>
      </c>
      <c r="D3042" s="9" t="s">
        <v>190</v>
      </c>
      <c r="E3042" s="9" t="str">
        <f>_xlfn.TEXTAFTER(Condiciones_acumuladas[[#This Row],[Descripción]], " ", -2)</f>
        <v>Ariel Cua</v>
      </c>
      <c r="F3042" s="21" t="s">
        <v>2540</v>
      </c>
      <c r="G3042" s="23">
        <v>46086</v>
      </c>
    </row>
    <row r="3043" spans="1:7" ht="24.5" hidden="1" x14ac:dyDescent="0.35">
      <c r="A3043" s="8">
        <v>11440</v>
      </c>
      <c r="B3043" s="10" t="s">
        <v>5601</v>
      </c>
      <c r="C3043" s="10" t="s">
        <v>190</v>
      </c>
      <c r="D3043" s="9" t="s">
        <v>190</v>
      </c>
      <c r="E3043" s="9" t="str">
        <f>_xlfn.TEXTAFTER(Condiciones_acumuladas[[#This Row],[Descripción]], " ", -2)</f>
        <v>Ariel Cua</v>
      </c>
      <c r="F3043" s="10" t="s">
        <v>2522</v>
      </c>
      <c r="G3043" s="11">
        <v>46095</v>
      </c>
    </row>
    <row r="3044" spans="1:7" ht="36.5" hidden="1" x14ac:dyDescent="0.35">
      <c r="A3044" s="8">
        <v>11275</v>
      </c>
      <c r="B3044" s="10" t="s">
        <v>5602</v>
      </c>
      <c r="C3044" s="10" t="s">
        <v>96</v>
      </c>
      <c r="D3044" s="9" t="s">
        <v>227</v>
      </c>
      <c r="E3044" s="9" t="str">
        <f>_xlfn.TEXTAFTER(Condiciones_acumuladas[[#This Row],[Descripción]], " ", -2)</f>
        <v>Astrid Macario</v>
      </c>
      <c r="F3044" s="21" t="s">
        <v>2516</v>
      </c>
      <c r="G3044" s="23">
        <v>46085</v>
      </c>
    </row>
    <row r="3045" spans="1:7" ht="24.5" hidden="1" x14ac:dyDescent="0.35">
      <c r="A3045" s="8">
        <v>11271</v>
      </c>
      <c r="B3045" s="10" t="s">
        <v>5603</v>
      </c>
      <c r="C3045" s="10" t="s">
        <v>96</v>
      </c>
      <c r="D3045" s="9" t="s">
        <v>227</v>
      </c>
      <c r="E3045" s="9" t="str">
        <f>_xlfn.TEXTAFTER(Condiciones_acumuladas[[#This Row],[Descripción]], " ", -2)</f>
        <v>Astrid Macario</v>
      </c>
      <c r="F3045" s="21" t="s">
        <v>2522</v>
      </c>
      <c r="G3045" s="23">
        <v>46085</v>
      </c>
    </row>
    <row r="3046" spans="1:7" ht="24.5" hidden="1" x14ac:dyDescent="0.35">
      <c r="A3046" s="8">
        <v>11268</v>
      </c>
      <c r="B3046" s="10" t="s">
        <v>5604</v>
      </c>
      <c r="C3046" s="10" t="s">
        <v>96</v>
      </c>
      <c r="D3046" s="9" t="s">
        <v>227</v>
      </c>
      <c r="E3046" s="9" t="str">
        <f>_xlfn.TEXTAFTER(Condiciones_acumuladas[[#This Row],[Descripción]], " ", -2)</f>
        <v>Astrid Macario</v>
      </c>
      <c r="F3046" s="21" t="s">
        <v>2522</v>
      </c>
      <c r="G3046" s="23">
        <v>46085</v>
      </c>
    </row>
    <row r="3047" spans="1:7" ht="24.5" hidden="1" x14ac:dyDescent="0.35">
      <c r="A3047" s="8">
        <v>11374</v>
      </c>
      <c r="B3047" s="10" t="s">
        <v>5605</v>
      </c>
      <c r="C3047" s="10" t="s">
        <v>134</v>
      </c>
      <c r="D3047" s="9" t="s">
        <v>227</v>
      </c>
      <c r="E3047" s="9" t="str">
        <f>_xlfn.TEXTAFTER(Condiciones_acumuladas[[#This Row],[Descripción]], " ", -2)</f>
        <v>Astrid Macario</v>
      </c>
      <c r="F3047" s="10" t="s">
        <v>2522</v>
      </c>
      <c r="G3047" s="11">
        <v>46092</v>
      </c>
    </row>
    <row r="3048" spans="1:7" ht="24.5" hidden="1" x14ac:dyDescent="0.35">
      <c r="A3048" s="8">
        <v>11323</v>
      </c>
      <c r="B3048" s="10" t="s">
        <v>5606</v>
      </c>
      <c r="C3048" s="10" t="s">
        <v>96</v>
      </c>
      <c r="D3048" s="9" t="s">
        <v>96</v>
      </c>
      <c r="E3048" s="9" t="str">
        <f>_xlfn.TEXTAFTER(Condiciones_acumuladas[[#This Row],[Descripción]], " ", -2)</f>
        <v>Bladimir López</v>
      </c>
      <c r="F3048" s="21" t="s">
        <v>2537</v>
      </c>
      <c r="G3048" s="23">
        <v>46090</v>
      </c>
    </row>
    <row r="3049" spans="1:7" ht="24.5" hidden="1" x14ac:dyDescent="0.35">
      <c r="A3049" s="8">
        <v>11357</v>
      </c>
      <c r="B3049" s="10" t="s">
        <v>5607</v>
      </c>
      <c r="C3049" s="10" t="s">
        <v>96</v>
      </c>
      <c r="D3049" s="9" t="s">
        <v>96</v>
      </c>
      <c r="E3049" s="9" t="str">
        <f>_xlfn.TEXTAFTER(Condiciones_acumuladas[[#This Row],[Descripción]], " ", -2)</f>
        <v>Bladimir López</v>
      </c>
      <c r="F3049" s="10" t="s">
        <v>2522</v>
      </c>
      <c r="G3049" s="11">
        <v>46092</v>
      </c>
    </row>
    <row r="3050" spans="1:7" ht="24.5" hidden="1" x14ac:dyDescent="0.35">
      <c r="A3050" s="8">
        <v>11355</v>
      </c>
      <c r="B3050" s="10" t="s">
        <v>5608</v>
      </c>
      <c r="C3050" s="10" t="s">
        <v>96</v>
      </c>
      <c r="D3050" s="9" t="s">
        <v>96</v>
      </c>
      <c r="E3050" s="9" t="str">
        <f>_xlfn.TEXTAFTER(Condiciones_acumuladas[[#This Row],[Descripción]], " ", -2)</f>
        <v>Bladimir López</v>
      </c>
      <c r="F3050" s="10" t="s">
        <v>2537</v>
      </c>
      <c r="G3050" s="11">
        <v>46092</v>
      </c>
    </row>
    <row r="3051" spans="1:7" ht="24.5" hidden="1" x14ac:dyDescent="0.35">
      <c r="A3051" s="8">
        <v>11436</v>
      </c>
      <c r="B3051" s="10" t="s">
        <v>5609</v>
      </c>
      <c r="C3051" s="10" t="s">
        <v>96</v>
      </c>
      <c r="D3051" s="9" t="s">
        <v>96</v>
      </c>
      <c r="E3051" s="9" t="str">
        <f>_xlfn.TEXTAFTER(Condiciones_acumuladas[[#This Row],[Descripción]], " ", -2)</f>
        <v>Bladimir López</v>
      </c>
      <c r="F3051" s="10" t="s">
        <v>2537</v>
      </c>
      <c r="G3051" s="11">
        <v>46098</v>
      </c>
    </row>
    <row r="3052" spans="1:7" ht="24.5" hidden="1" x14ac:dyDescent="0.35">
      <c r="A3052" s="8">
        <v>11420</v>
      </c>
      <c r="B3052" s="10" t="s">
        <v>5610</v>
      </c>
      <c r="C3052" s="10" t="s">
        <v>96</v>
      </c>
      <c r="D3052" s="9" t="s">
        <v>96</v>
      </c>
      <c r="E3052" s="9" t="str">
        <f>_xlfn.TEXTAFTER(Condiciones_acumuladas[[#This Row],[Descripción]], " ", -2)</f>
        <v>Bladimir López</v>
      </c>
      <c r="F3052" s="10" t="s">
        <v>2537</v>
      </c>
      <c r="G3052" s="11">
        <v>46097</v>
      </c>
    </row>
    <row r="3053" spans="1:7" ht="36.5" hidden="1" x14ac:dyDescent="0.35">
      <c r="A3053" s="8">
        <v>11409</v>
      </c>
      <c r="B3053" s="10" t="s">
        <v>5611</v>
      </c>
      <c r="C3053" s="10" t="s">
        <v>96</v>
      </c>
      <c r="D3053" s="9" t="s">
        <v>96</v>
      </c>
      <c r="E3053" s="9" t="str">
        <f>_xlfn.TEXTAFTER(Condiciones_acumuladas[[#This Row],[Descripción]], " ", -2)</f>
        <v>Bladimir López</v>
      </c>
      <c r="F3053" s="10" t="s">
        <v>2516</v>
      </c>
      <c r="G3053" s="11">
        <v>46095</v>
      </c>
    </row>
    <row r="3054" spans="1:7" ht="24.5" hidden="1" x14ac:dyDescent="0.35">
      <c r="A3054" s="8">
        <v>11486</v>
      </c>
      <c r="B3054" s="10" t="s">
        <v>5612</v>
      </c>
      <c r="C3054" s="10" t="s">
        <v>96</v>
      </c>
      <c r="D3054" s="9" t="s">
        <v>96</v>
      </c>
      <c r="E3054" s="9" t="str">
        <f>_xlfn.TEXTAFTER(Condiciones_acumuladas[[#This Row],[Descripción]], " ", -2)</f>
        <v>Bladimir López</v>
      </c>
      <c r="F3054" s="10" t="s">
        <v>2537</v>
      </c>
      <c r="G3054" s="11">
        <v>46102</v>
      </c>
    </row>
    <row r="3055" spans="1:7" ht="48.5" hidden="1" x14ac:dyDescent="0.35">
      <c r="A3055" s="8">
        <v>11254</v>
      </c>
      <c r="B3055" s="10" t="s">
        <v>5613</v>
      </c>
      <c r="C3055" s="10" t="s">
        <v>234</v>
      </c>
      <c r="D3055" s="9" t="s">
        <v>234</v>
      </c>
      <c r="E3055" s="9" t="str">
        <f>_xlfn.TEXTAFTER(Condiciones_acumuladas[[#This Row],[Descripción]], " ", -2)</f>
        <v>Bryan Nephtaly</v>
      </c>
      <c r="F3055" s="21" t="s">
        <v>2559</v>
      </c>
      <c r="G3055" s="23">
        <v>46084</v>
      </c>
    </row>
    <row r="3056" spans="1:7" ht="48.5" hidden="1" x14ac:dyDescent="0.35">
      <c r="A3056" s="8">
        <v>11312</v>
      </c>
      <c r="B3056" s="10" t="s">
        <v>5614</v>
      </c>
      <c r="C3056" s="10" t="s">
        <v>134</v>
      </c>
      <c r="D3056" s="9" t="s">
        <v>234</v>
      </c>
      <c r="E3056" s="9" t="str">
        <f>_xlfn.TEXTAFTER(Condiciones_acumuladas[[#This Row],[Descripción]], " ", -2)</f>
        <v>Bryan Nephtaly</v>
      </c>
      <c r="F3056" s="21" t="s">
        <v>2559</v>
      </c>
      <c r="G3056" s="23">
        <v>46090</v>
      </c>
    </row>
    <row r="3057" spans="1:7" ht="48.5" hidden="1" x14ac:dyDescent="0.35">
      <c r="A3057" s="8">
        <v>11341</v>
      </c>
      <c r="B3057" s="10" t="s">
        <v>5615</v>
      </c>
      <c r="C3057" s="10" t="s">
        <v>234</v>
      </c>
      <c r="D3057" s="9" t="s">
        <v>234</v>
      </c>
      <c r="E3057" s="9" t="str">
        <f>_xlfn.TEXTAFTER(Condiciones_acumuladas[[#This Row],[Descripción]], " ", -2)</f>
        <v>Bryan Nephtaly</v>
      </c>
      <c r="F3057" s="10" t="s">
        <v>2559</v>
      </c>
      <c r="G3057" s="11">
        <v>46092</v>
      </c>
    </row>
    <row r="3058" spans="1:7" ht="48.5" hidden="1" x14ac:dyDescent="0.35">
      <c r="A3058" s="8">
        <v>11432</v>
      </c>
      <c r="B3058" s="10" t="s">
        <v>5616</v>
      </c>
      <c r="C3058" s="10" t="s">
        <v>234</v>
      </c>
      <c r="D3058" s="9" t="s">
        <v>234</v>
      </c>
      <c r="E3058" s="9" t="str">
        <f>_xlfn.TEXTAFTER(Condiciones_acumuladas[[#This Row],[Descripción]], " ", -2)</f>
        <v>Bryan Nephtaly</v>
      </c>
      <c r="F3058" s="10" t="s">
        <v>2559</v>
      </c>
      <c r="G3058" s="11">
        <v>46098</v>
      </c>
    </row>
    <row r="3059" spans="1:7" ht="36.5" hidden="1" x14ac:dyDescent="0.35">
      <c r="A3059" s="8">
        <v>11438</v>
      </c>
      <c r="B3059" s="10" t="s">
        <v>5617</v>
      </c>
      <c r="C3059" s="10" t="s">
        <v>34</v>
      </c>
      <c r="D3059" s="9" t="s">
        <v>234</v>
      </c>
      <c r="E3059" s="9" t="str">
        <f>_xlfn.TEXTAFTER(Condiciones_acumuladas[[#This Row],[Descripción]], " ", -2)</f>
        <v>Bryan Nephtaly</v>
      </c>
      <c r="F3059" s="10" t="s">
        <v>2572</v>
      </c>
      <c r="G3059" s="11">
        <v>46098</v>
      </c>
    </row>
    <row r="3060" spans="1:7" ht="24.5" hidden="1" x14ac:dyDescent="0.35">
      <c r="A3060" s="8">
        <v>11429</v>
      </c>
      <c r="B3060" s="10" t="s">
        <v>5618</v>
      </c>
      <c r="C3060" s="10" t="s">
        <v>234</v>
      </c>
      <c r="D3060" s="9" t="s">
        <v>234</v>
      </c>
      <c r="E3060" s="9" t="str">
        <f>_xlfn.TEXTAFTER(Condiciones_acumuladas[[#This Row],[Descripción]], " ", -2)</f>
        <v>Bryan Nephtaly</v>
      </c>
      <c r="F3060" s="10" t="s">
        <v>2522</v>
      </c>
      <c r="G3060" s="11">
        <v>46098</v>
      </c>
    </row>
    <row r="3061" spans="1:7" ht="48.5" hidden="1" x14ac:dyDescent="0.35">
      <c r="A3061" s="8">
        <v>11427</v>
      </c>
      <c r="B3061" s="10" t="s">
        <v>5619</v>
      </c>
      <c r="C3061" s="10" t="s">
        <v>234</v>
      </c>
      <c r="D3061" s="9" t="s">
        <v>234</v>
      </c>
      <c r="E3061" s="9" t="str">
        <f>_xlfn.TEXTAFTER(Condiciones_acumuladas[[#This Row],[Descripción]], " ", -2)</f>
        <v>Bryan Nephtaly</v>
      </c>
      <c r="F3061" s="10" t="s">
        <v>2559</v>
      </c>
      <c r="G3061" s="11">
        <v>46098</v>
      </c>
    </row>
    <row r="3062" spans="1:7" ht="36.5" hidden="1" x14ac:dyDescent="0.35">
      <c r="A3062" s="8">
        <v>11473</v>
      </c>
      <c r="B3062" s="10" t="s">
        <v>5620</v>
      </c>
      <c r="C3062" s="10" t="s">
        <v>190</v>
      </c>
      <c r="D3062" s="9" t="s">
        <v>234</v>
      </c>
      <c r="E3062" s="9" t="str">
        <f>_xlfn.TEXTAFTER(Condiciones_acumuladas[[#This Row],[Descripción]], " ", -2)</f>
        <v>Bryan Nephtaly</v>
      </c>
      <c r="F3062" s="21" t="s">
        <v>2516</v>
      </c>
      <c r="G3062" s="23">
        <v>46101</v>
      </c>
    </row>
    <row r="3063" spans="1:7" ht="36.5" hidden="1" x14ac:dyDescent="0.35">
      <c r="A3063" s="8">
        <v>11478</v>
      </c>
      <c r="B3063" s="10" t="s">
        <v>5621</v>
      </c>
      <c r="C3063" s="10" t="s">
        <v>234</v>
      </c>
      <c r="D3063" s="9" t="s">
        <v>234</v>
      </c>
      <c r="E3063" s="9" t="str">
        <f>_xlfn.TEXTAFTER(Condiciones_acumuladas[[#This Row],[Descripción]], " ", -2)</f>
        <v>Bryan Nephtaly</v>
      </c>
      <c r="F3063" s="10" t="s">
        <v>2522</v>
      </c>
      <c r="G3063" s="11">
        <v>46101</v>
      </c>
    </row>
    <row r="3064" spans="1:7" ht="24.5" hidden="1" x14ac:dyDescent="0.35">
      <c r="A3064" s="8">
        <v>11266</v>
      </c>
      <c r="B3064" s="10" t="s">
        <v>5622</v>
      </c>
      <c r="C3064" s="10" t="s">
        <v>220</v>
      </c>
      <c r="D3064" s="9" t="s">
        <v>220</v>
      </c>
      <c r="E3064" s="9" t="str">
        <f>_xlfn.TEXTAFTER(Condiciones_acumuladas[[#This Row],[Descripción]], " ", -2)</f>
        <v>Carlos Chávez</v>
      </c>
      <c r="F3064" s="21" t="s">
        <v>2522</v>
      </c>
      <c r="G3064" s="23">
        <v>46085</v>
      </c>
    </row>
    <row r="3065" spans="1:7" ht="24.5" hidden="1" x14ac:dyDescent="0.35">
      <c r="A3065" s="8">
        <v>11364</v>
      </c>
      <c r="B3065" s="10" t="s">
        <v>5623</v>
      </c>
      <c r="C3065" s="10" t="s">
        <v>220</v>
      </c>
      <c r="D3065" s="9" t="s">
        <v>220</v>
      </c>
      <c r="E3065" s="9" t="str">
        <f>_xlfn.TEXTAFTER(Condiciones_acumuladas[[#This Row],[Descripción]], " ", -2)</f>
        <v>Carlos Chávez</v>
      </c>
      <c r="F3065" s="10" t="s">
        <v>2522</v>
      </c>
      <c r="G3065" s="11">
        <v>46092</v>
      </c>
    </row>
    <row r="3066" spans="1:7" ht="24.5" hidden="1" x14ac:dyDescent="0.35">
      <c r="A3066" s="8">
        <v>11383</v>
      </c>
      <c r="B3066" s="10" t="s">
        <v>5624</v>
      </c>
      <c r="C3066" s="10" t="s">
        <v>95</v>
      </c>
      <c r="D3066" s="9" t="s">
        <v>220</v>
      </c>
      <c r="E3066" s="9" t="str">
        <f>_xlfn.TEXTAFTER(Condiciones_acumuladas[[#This Row],[Descripción]], " ", -2)</f>
        <v>Carlos Chávez</v>
      </c>
      <c r="F3066" s="10" t="s">
        <v>2522</v>
      </c>
      <c r="G3066" s="11">
        <v>46092</v>
      </c>
    </row>
    <row r="3067" spans="1:7" ht="24.5" hidden="1" x14ac:dyDescent="0.35">
      <c r="A3067" s="8">
        <v>11467</v>
      </c>
      <c r="B3067" s="10" t="s">
        <v>5625</v>
      </c>
      <c r="C3067" s="10" t="s">
        <v>34</v>
      </c>
      <c r="D3067" s="9" t="s">
        <v>220</v>
      </c>
      <c r="E3067" s="9" t="str">
        <f>_xlfn.TEXTAFTER(Condiciones_acumuladas[[#This Row],[Descripción]], " ", -2)</f>
        <v>Carlos Chávez</v>
      </c>
      <c r="F3067" s="10" t="s">
        <v>2522</v>
      </c>
      <c r="G3067" s="11">
        <v>46099</v>
      </c>
    </row>
    <row r="3068" spans="1:7" ht="24.5" hidden="1" x14ac:dyDescent="0.35">
      <c r="A3068" s="8">
        <v>11262</v>
      </c>
      <c r="B3068" s="10" t="s">
        <v>5626</v>
      </c>
      <c r="C3068" s="10" t="s">
        <v>220</v>
      </c>
      <c r="D3068" s="9" t="s">
        <v>220</v>
      </c>
      <c r="E3068" s="9" t="str">
        <f>_xlfn.TEXTAFTER(Condiciones_acumuladas[[#This Row],[Descripción]], " ", -2)</f>
        <v>Charly Coc</v>
      </c>
      <c r="F3068" s="21" t="s">
        <v>2522</v>
      </c>
      <c r="G3068" s="23">
        <v>46084</v>
      </c>
    </row>
    <row r="3069" spans="1:7" ht="24.5" hidden="1" x14ac:dyDescent="0.35">
      <c r="A3069" s="8">
        <v>11305</v>
      </c>
      <c r="B3069" s="10" t="s">
        <v>5627</v>
      </c>
      <c r="C3069" s="10" t="s">
        <v>220</v>
      </c>
      <c r="D3069" s="9" t="s">
        <v>220</v>
      </c>
      <c r="E3069" s="9" t="str">
        <f>_xlfn.TEXTAFTER(Condiciones_acumuladas[[#This Row],[Descripción]], " ", -2)</f>
        <v>Charly Coc</v>
      </c>
      <c r="F3069" s="21" t="s">
        <v>2522</v>
      </c>
      <c r="G3069" s="23">
        <v>46087</v>
      </c>
    </row>
    <row r="3070" spans="1:7" ht="36.5" hidden="1" x14ac:dyDescent="0.35">
      <c r="A3070" s="8">
        <v>11303</v>
      </c>
      <c r="B3070" s="10" t="s">
        <v>5628</v>
      </c>
      <c r="C3070" s="10" t="s">
        <v>220</v>
      </c>
      <c r="D3070" s="9" t="s">
        <v>220</v>
      </c>
      <c r="E3070" s="9" t="str">
        <f>_xlfn.TEXTAFTER(Condiciones_acumuladas[[#This Row],[Descripción]], " ", -2)</f>
        <v>Charly Coc</v>
      </c>
      <c r="F3070" s="21" t="s">
        <v>2522</v>
      </c>
      <c r="G3070" s="23">
        <v>46087</v>
      </c>
    </row>
    <row r="3071" spans="1:7" ht="48.5" hidden="1" x14ac:dyDescent="0.35">
      <c r="A3071" s="8">
        <v>11331</v>
      </c>
      <c r="B3071" s="10" t="s">
        <v>5629</v>
      </c>
      <c r="C3071" s="10" t="s">
        <v>220</v>
      </c>
      <c r="D3071" s="9" t="s">
        <v>220</v>
      </c>
      <c r="E3071" s="9" t="str">
        <f>_xlfn.TEXTAFTER(Condiciones_acumuladas[[#This Row],[Descripción]], " ", -2)</f>
        <v>Charly Coc</v>
      </c>
      <c r="F3071" s="21" t="s">
        <v>2559</v>
      </c>
      <c r="G3071" s="23">
        <v>46090</v>
      </c>
    </row>
    <row r="3072" spans="1:7" ht="24.5" hidden="1" x14ac:dyDescent="0.35">
      <c r="A3072" s="8">
        <v>11387</v>
      </c>
      <c r="B3072" s="10" t="s">
        <v>5630</v>
      </c>
      <c r="C3072" s="10" t="s">
        <v>220</v>
      </c>
      <c r="D3072" s="9" t="s">
        <v>220</v>
      </c>
      <c r="E3072" s="9" t="str">
        <f>_xlfn.TEXTAFTER(Condiciones_acumuladas[[#This Row],[Descripción]], " ", -2)</f>
        <v>Charly Coc</v>
      </c>
      <c r="F3072" s="10" t="s">
        <v>2522</v>
      </c>
      <c r="G3072" s="11">
        <v>46092</v>
      </c>
    </row>
    <row r="3073" spans="1:7" ht="24.5" hidden="1" x14ac:dyDescent="0.35">
      <c r="A3073" s="8">
        <v>11446</v>
      </c>
      <c r="B3073" s="10" t="s">
        <v>5631</v>
      </c>
      <c r="C3073" s="10" t="s">
        <v>220</v>
      </c>
      <c r="D3073" s="9" t="s">
        <v>220</v>
      </c>
      <c r="E3073" s="9" t="str">
        <f>_xlfn.TEXTAFTER(Condiciones_acumuladas[[#This Row],[Descripción]], " ", -2)</f>
        <v>Charly Coc</v>
      </c>
      <c r="F3073" s="10" t="s">
        <v>2522</v>
      </c>
      <c r="G3073" s="11">
        <v>46099</v>
      </c>
    </row>
    <row r="3074" spans="1:7" ht="36.5" hidden="1" x14ac:dyDescent="0.35">
      <c r="A3074" s="8">
        <v>11290</v>
      </c>
      <c r="B3074" s="10" t="s">
        <v>5632</v>
      </c>
      <c r="C3074" s="10" t="s">
        <v>250</v>
      </c>
      <c r="D3074" s="9" t="s">
        <v>395</v>
      </c>
      <c r="E3074" s="9" t="str">
        <f>_xlfn.TEXTAFTER(Condiciones_acumuladas[[#This Row],[Descripción]], " ", -2)</f>
        <v>Daniel Pineda</v>
      </c>
      <c r="F3074" s="21" t="s">
        <v>2516</v>
      </c>
      <c r="G3074" s="23">
        <v>46085</v>
      </c>
    </row>
    <row r="3075" spans="1:7" ht="24.5" hidden="1" x14ac:dyDescent="0.35">
      <c r="A3075" s="8">
        <v>11333</v>
      </c>
      <c r="B3075" s="10" t="s">
        <v>5633</v>
      </c>
      <c r="C3075" s="10" t="s">
        <v>220</v>
      </c>
      <c r="D3075" s="9" t="s">
        <v>395</v>
      </c>
      <c r="E3075" s="9" t="str">
        <f>_xlfn.TEXTAFTER(Condiciones_acumuladas[[#This Row],[Descripción]], " ", -2)</f>
        <v>Daniel Pineda</v>
      </c>
      <c r="F3075" s="21" t="s">
        <v>2522</v>
      </c>
      <c r="G3075" s="23">
        <v>46091</v>
      </c>
    </row>
    <row r="3076" spans="1:7" ht="36.5" hidden="1" x14ac:dyDescent="0.35">
      <c r="A3076" s="8">
        <v>11421</v>
      </c>
      <c r="B3076" s="10" t="s">
        <v>5634</v>
      </c>
      <c r="C3076" s="10" t="s">
        <v>193</v>
      </c>
      <c r="D3076" s="9" t="s">
        <v>395</v>
      </c>
      <c r="E3076" s="9" t="str">
        <f>_xlfn.TEXTAFTER(Condiciones_acumuladas[[#This Row],[Descripción]], " ", -2)</f>
        <v>Daniel Pineda</v>
      </c>
      <c r="F3076" s="10" t="s">
        <v>2525</v>
      </c>
      <c r="G3076" s="11">
        <v>46097</v>
      </c>
    </row>
    <row r="3077" spans="1:7" ht="36.5" hidden="1" x14ac:dyDescent="0.35">
      <c r="A3077" s="8">
        <v>11469</v>
      </c>
      <c r="B3077" s="10" t="s">
        <v>5635</v>
      </c>
      <c r="C3077" s="10" t="s">
        <v>96</v>
      </c>
      <c r="D3077" s="9" t="s">
        <v>395</v>
      </c>
      <c r="E3077" s="9" t="str">
        <f>_xlfn.TEXTAFTER(Condiciones_acumuladas[[#This Row],[Descripción]], " ", -2)</f>
        <v>Daniel Pineda</v>
      </c>
      <c r="F3077" s="10" t="s">
        <v>2715</v>
      </c>
      <c r="G3077" s="11">
        <v>46100</v>
      </c>
    </row>
    <row r="3078" spans="1:7" ht="48.5" hidden="1" x14ac:dyDescent="0.35">
      <c r="A3078" s="8">
        <v>11463</v>
      </c>
      <c r="B3078" s="10" t="s">
        <v>5636</v>
      </c>
      <c r="C3078" s="10" t="s">
        <v>96</v>
      </c>
      <c r="D3078" s="9" t="s">
        <v>395</v>
      </c>
      <c r="E3078" s="9" t="str">
        <f>_xlfn.TEXTAFTER(Condiciones_acumuladas[[#This Row],[Descripción]], " ", -2)</f>
        <v>Daniel Pineda</v>
      </c>
      <c r="F3078" s="10" t="s">
        <v>2559</v>
      </c>
      <c r="G3078" s="11">
        <v>46100</v>
      </c>
    </row>
    <row r="3079" spans="1:7" ht="24.5" hidden="1" x14ac:dyDescent="0.35">
      <c r="A3079" s="8">
        <v>11332</v>
      </c>
      <c r="B3079" s="10" t="s">
        <v>5637</v>
      </c>
      <c r="C3079" s="10" t="s">
        <v>190</v>
      </c>
      <c r="D3079" s="9" t="s">
        <v>190</v>
      </c>
      <c r="E3079" s="9" t="str">
        <f>_xlfn.TEXTAFTER(Condiciones_acumuladas[[#This Row],[Descripción]], " ", -2)</f>
        <v>Dennis DeLeón</v>
      </c>
      <c r="F3079" s="21" t="s">
        <v>2522</v>
      </c>
      <c r="G3079" s="23">
        <v>46090</v>
      </c>
    </row>
    <row r="3080" spans="1:7" ht="36.5" hidden="1" x14ac:dyDescent="0.35">
      <c r="A3080" s="8">
        <v>11330</v>
      </c>
      <c r="B3080" s="10" t="s">
        <v>5638</v>
      </c>
      <c r="C3080" s="10" t="s">
        <v>13</v>
      </c>
      <c r="D3080" s="9" t="s">
        <v>95</v>
      </c>
      <c r="E3080" s="9" t="str">
        <f>_xlfn.TEXTAFTER(Condiciones_acumuladas[[#This Row],[Descripción]], " ", -2)</f>
        <v>Edgar Coti</v>
      </c>
      <c r="F3080" s="21" t="s">
        <v>2530</v>
      </c>
      <c r="G3080" s="23">
        <v>46090</v>
      </c>
    </row>
    <row r="3081" spans="1:7" ht="24.5" hidden="1" x14ac:dyDescent="0.35">
      <c r="A3081" s="8">
        <v>11329</v>
      </c>
      <c r="B3081" s="10" t="s">
        <v>5639</v>
      </c>
      <c r="C3081" s="10" t="s">
        <v>21</v>
      </c>
      <c r="D3081" s="9" t="s">
        <v>95</v>
      </c>
      <c r="E3081" s="9" t="str">
        <f>_xlfn.TEXTAFTER(Condiciones_acumuladas[[#This Row],[Descripción]], " ", -2)</f>
        <v>Edgar Coti</v>
      </c>
      <c r="F3081" s="21" t="s">
        <v>2522</v>
      </c>
      <c r="G3081" s="23">
        <v>46090</v>
      </c>
    </row>
    <row r="3082" spans="1:7" ht="36.5" hidden="1" x14ac:dyDescent="0.35">
      <c r="A3082" s="8">
        <v>11405</v>
      </c>
      <c r="B3082" s="10" t="s">
        <v>5640</v>
      </c>
      <c r="C3082" s="10" t="s">
        <v>95</v>
      </c>
      <c r="D3082" s="9" t="s">
        <v>95</v>
      </c>
      <c r="E3082" s="9" t="str">
        <f>_xlfn.TEXTAFTER(Condiciones_acumuladas[[#This Row],[Descripción]], " ", -2)</f>
        <v>Edgar Coti</v>
      </c>
      <c r="F3082" s="10" t="s">
        <v>2572</v>
      </c>
      <c r="G3082" s="11">
        <v>46094</v>
      </c>
    </row>
    <row r="3083" spans="1:7" ht="24.5" hidden="1" x14ac:dyDescent="0.35">
      <c r="A3083" s="8">
        <v>11464</v>
      </c>
      <c r="B3083" s="10" t="s">
        <v>5641</v>
      </c>
      <c r="C3083" s="10" t="s">
        <v>134</v>
      </c>
      <c r="D3083" s="9" t="s">
        <v>95</v>
      </c>
      <c r="E3083" s="9" t="str">
        <f>_xlfn.TEXTAFTER(Condiciones_acumuladas[[#This Row],[Descripción]], " ", -2)</f>
        <v>Edgar Coti</v>
      </c>
      <c r="F3083" s="10" t="s">
        <v>2522</v>
      </c>
      <c r="G3083" s="11">
        <v>46100</v>
      </c>
    </row>
    <row r="3084" spans="1:7" ht="36.5" hidden="1" x14ac:dyDescent="0.35">
      <c r="A3084" s="8">
        <v>11296</v>
      </c>
      <c r="B3084" s="10" t="s">
        <v>5642</v>
      </c>
      <c r="C3084" s="10" t="s">
        <v>13</v>
      </c>
      <c r="D3084" s="9" t="s">
        <v>190</v>
      </c>
      <c r="E3084" s="9" t="str">
        <f>_xlfn.TEXTAFTER(Condiciones_acumuladas[[#This Row],[Descripción]], " ", -2)</f>
        <v>Edgar Ixcarche</v>
      </c>
      <c r="F3084" s="21" t="s">
        <v>2530</v>
      </c>
      <c r="G3084" s="23">
        <v>46084</v>
      </c>
    </row>
    <row r="3085" spans="1:7" ht="36.5" hidden="1" x14ac:dyDescent="0.35">
      <c r="A3085" s="8">
        <v>11297</v>
      </c>
      <c r="B3085" s="10" t="s">
        <v>5643</v>
      </c>
      <c r="C3085" s="10" t="s">
        <v>134</v>
      </c>
      <c r="D3085" s="9" t="s">
        <v>190</v>
      </c>
      <c r="E3085" s="9" t="str">
        <f>_xlfn.TEXTAFTER(Condiciones_acumuladas[[#This Row],[Descripción]], " ", -2)</f>
        <v>Edgar Ixcarche</v>
      </c>
      <c r="F3085" s="21" t="s">
        <v>2530</v>
      </c>
      <c r="G3085" s="23">
        <v>46084</v>
      </c>
    </row>
    <row r="3086" spans="1:7" ht="24.5" hidden="1" x14ac:dyDescent="0.35">
      <c r="A3086" s="8">
        <v>11308</v>
      </c>
      <c r="B3086" s="10" t="s">
        <v>5644</v>
      </c>
      <c r="C3086" s="10" t="s">
        <v>371</v>
      </c>
      <c r="D3086" s="9" t="s">
        <v>190</v>
      </c>
      <c r="E3086" s="9" t="str">
        <f>_xlfn.TEXTAFTER(Condiciones_acumuladas[[#This Row],[Descripción]], " ", -2)</f>
        <v>Edson Bonifacio</v>
      </c>
      <c r="F3086" s="21" t="s">
        <v>2522</v>
      </c>
      <c r="G3086" s="23">
        <v>46087</v>
      </c>
    </row>
    <row r="3087" spans="1:7" ht="24.5" hidden="1" x14ac:dyDescent="0.35">
      <c r="A3087" s="8">
        <v>11456</v>
      </c>
      <c r="B3087" s="10" t="s">
        <v>5645</v>
      </c>
      <c r="C3087" s="10" t="s">
        <v>104</v>
      </c>
      <c r="D3087" s="9" t="s">
        <v>190</v>
      </c>
      <c r="E3087" s="9" t="str">
        <f>_xlfn.TEXTAFTER(Condiciones_acumuladas[[#This Row],[Descripción]], " ", -2)</f>
        <v>Edson Bonifacio</v>
      </c>
      <c r="F3087" s="10" t="s">
        <v>2540</v>
      </c>
      <c r="G3087" s="11">
        <v>46099</v>
      </c>
    </row>
    <row r="3088" spans="1:7" ht="36.5" hidden="1" x14ac:dyDescent="0.35">
      <c r="A3088" s="8">
        <v>11484</v>
      </c>
      <c r="B3088" s="10" t="s">
        <v>5646</v>
      </c>
      <c r="C3088" s="10" t="s">
        <v>278</v>
      </c>
      <c r="D3088" s="9" t="s">
        <v>190</v>
      </c>
      <c r="E3088" s="9" t="str">
        <f>_xlfn.TEXTAFTER(Condiciones_acumuladas[[#This Row],[Descripción]], " ", -2)</f>
        <v>Edson Bonifacio</v>
      </c>
      <c r="F3088" s="10" t="s">
        <v>2522</v>
      </c>
      <c r="G3088" s="11">
        <v>46101</v>
      </c>
    </row>
    <row r="3089" spans="1:7" ht="24.5" hidden="1" x14ac:dyDescent="0.35">
      <c r="A3089" s="8">
        <v>11483</v>
      </c>
      <c r="B3089" s="10" t="s">
        <v>5647</v>
      </c>
      <c r="C3089" s="10" t="s">
        <v>190</v>
      </c>
      <c r="D3089" s="9" t="s">
        <v>190</v>
      </c>
      <c r="E3089" s="9" t="str">
        <f>_xlfn.TEXTAFTER(Condiciones_acumuladas[[#This Row],[Descripción]], " ", -2)</f>
        <v>Edson Bonifacio</v>
      </c>
      <c r="F3089" s="10" t="s">
        <v>2522</v>
      </c>
      <c r="G3089" s="11">
        <v>46101</v>
      </c>
    </row>
    <row r="3090" spans="1:7" ht="48.5" hidden="1" x14ac:dyDescent="0.35">
      <c r="A3090" s="8">
        <v>11264</v>
      </c>
      <c r="B3090" s="10" t="s">
        <v>5648</v>
      </c>
      <c r="C3090" s="10" t="s">
        <v>227</v>
      </c>
      <c r="D3090" s="9" t="s">
        <v>95</v>
      </c>
      <c r="E3090" s="9" t="str">
        <f>_xlfn.TEXTAFTER(Condiciones_acumuladas[[#This Row],[Descripción]], " ", -2)</f>
        <v>Efraín Valux</v>
      </c>
      <c r="F3090" s="21" t="s">
        <v>2559</v>
      </c>
      <c r="G3090" s="23">
        <v>46084</v>
      </c>
    </row>
    <row r="3091" spans="1:7" ht="36.5" hidden="1" x14ac:dyDescent="0.35">
      <c r="A3091" s="8">
        <v>11244</v>
      </c>
      <c r="B3091" s="10" t="s">
        <v>5649</v>
      </c>
      <c r="C3091" s="10" t="s">
        <v>234</v>
      </c>
      <c r="D3091" s="9" t="s">
        <v>234</v>
      </c>
      <c r="E3091" s="9" t="str">
        <f>_xlfn.TEXTAFTER(Condiciones_acumuladas[[#This Row],[Descripción]], " ", -2)</f>
        <v>Eliu Tello</v>
      </c>
      <c r="F3091" s="21" t="s">
        <v>2516</v>
      </c>
      <c r="G3091" s="23">
        <v>46083</v>
      </c>
    </row>
    <row r="3092" spans="1:7" ht="48.5" hidden="1" x14ac:dyDescent="0.35">
      <c r="A3092" s="8">
        <v>11294</v>
      </c>
      <c r="B3092" s="10" t="s">
        <v>5650</v>
      </c>
      <c r="C3092" s="10" t="s">
        <v>234</v>
      </c>
      <c r="D3092" s="9" t="s">
        <v>234</v>
      </c>
      <c r="E3092" s="9" t="str">
        <f>_xlfn.TEXTAFTER(Condiciones_acumuladas[[#This Row],[Descripción]], " ", -2)</f>
        <v>Eliu Tello</v>
      </c>
      <c r="F3092" s="21" t="s">
        <v>2516</v>
      </c>
      <c r="G3092" s="23">
        <v>46087</v>
      </c>
    </row>
    <row r="3093" spans="1:7" ht="24.5" hidden="1" x14ac:dyDescent="0.35">
      <c r="A3093" s="8">
        <v>11482</v>
      </c>
      <c r="B3093" s="10" t="s">
        <v>5651</v>
      </c>
      <c r="C3093" s="10" t="s">
        <v>234</v>
      </c>
      <c r="D3093" s="9" t="s">
        <v>190</v>
      </c>
      <c r="E3093" s="9" t="str">
        <f>_xlfn.TEXTAFTER(Condiciones_acumuladas[[#This Row],[Descripción]], " ", -2)</f>
        <v>Elvis Oliva</v>
      </c>
      <c r="F3093" s="10" t="s">
        <v>2522</v>
      </c>
      <c r="G3093" s="11">
        <v>46101</v>
      </c>
    </row>
    <row r="3094" spans="1:7" ht="24.5" hidden="1" x14ac:dyDescent="0.35">
      <c r="A3094" s="8">
        <v>11481</v>
      </c>
      <c r="B3094" s="10" t="s">
        <v>5652</v>
      </c>
      <c r="C3094" s="10" t="s">
        <v>234</v>
      </c>
      <c r="D3094" s="9" t="s">
        <v>190</v>
      </c>
      <c r="E3094" s="9" t="str">
        <f>_xlfn.TEXTAFTER(Condiciones_acumuladas[[#This Row],[Descripción]], " ", -2)</f>
        <v>Elvis Oliva</v>
      </c>
      <c r="F3094" s="10" t="s">
        <v>2522</v>
      </c>
      <c r="G3094" s="11">
        <v>46101</v>
      </c>
    </row>
    <row r="3095" spans="1:7" ht="24.5" hidden="1" x14ac:dyDescent="0.35">
      <c r="A3095" s="8">
        <v>11480</v>
      </c>
      <c r="B3095" s="10" t="s">
        <v>5653</v>
      </c>
      <c r="C3095" s="10" t="s">
        <v>234</v>
      </c>
      <c r="D3095" s="9" t="s">
        <v>190</v>
      </c>
      <c r="E3095" s="9" t="str">
        <f>_xlfn.TEXTAFTER(Condiciones_acumuladas[[#This Row],[Descripción]], " ", -2)</f>
        <v>Elvis Oliva</v>
      </c>
      <c r="F3095" s="10" t="s">
        <v>2522</v>
      </c>
      <c r="G3095" s="11">
        <v>46101</v>
      </c>
    </row>
    <row r="3096" spans="1:7" ht="48.5" hidden="1" x14ac:dyDescent="0.35">
      <c r="A3096" s="8">
        <v>11479</v>
      </c>
      <c r="B3096" s="10" t="s">
        <v>5654</v>
      </c>
      <c r="C3096" s="10" t="s">
        <v>234</v>
      </c>
      <c r="D3096" s="9" t="s">
        <v>5655</v>
      </c>
      <c r="E3096" s="9" t="str">
        <f>_xlfn.TEXTAFTER(Condiciones_acumuladas[[#This Row],[Descripción]], " ", -2)</f>
        <v>Elvis Oliva</v>
      </c>
      <c r="F3096" s="10" t="s">
        <v>2559</v>
      </c>
      <c r="G3096" s="11">
        <v>46101</v>
      </c>
    </row>
    <row r="3097" spans="1:7" ht="24.5" hidden="1" x14ac:dyDescent="0.35">
      <c r="A3097" s="8">
        <v>11461</v>
      </c>
      <c r="B3097" s="10" t="s">
        <v>5656</v>
      </c>
      <c r="C3097" s="10" t="s">
        <v>26</v>
      </c>
      <c r="D3097" s="9" t="s">
        <v>5655</v>
      </c>
      <c r="E3097" s="9" t="str">
        <f>_xlfn.TEXTAFTER(Condiciones_acumuladas[[#This Row],[Descripción]], " ", -2)</f>
        <v>Elvis Oliva</v>
      </c>
      <c r="F3097" s="10" t="s">
        <v>2540</v>
      </c>
      <c r="G3097" s="11">
        <v>46099</v>
      </c>
    </row>
    <row r="3098" spans="1:7" ht="24.5" hidden="1" x14ac:dyDescent="0.35">
      <c r="A3098" s="8">
        <v>11292</v>
      </c>
      <c r="B3098" s="10" t="s">
        <v>5657</v>
      </c>
      <c r="C3098" s="10" t="s">
        <v>104</v>
      </c>
      <c r="D3098" s="9" t="s">
        <v>95</v>
      </c>
      <c r="E3098" s="9" t="str">
        <f>_xlfn.TEXTAFTER(Condiciones_acumuladas[[#This Row],[Descripción]], " ", -2)</f>
        <v>Francisco Hernández</v>
      </c>
      <c r="F3098" s="21" t="s">
        <v>2834</v>
      </c>
      <c r="G3098" s="23">
        <v>46086</v>
      </c>
    </row>
    <row r="3099" spans="1:7" ht="24.5" hidden="1" x14ac:dyDescent="0.35">
      <c r="A3099" s="8">
        <v>11293</v>
      </c>
      <c r="B3099" s="10" t="s">
        <v>5658</v>
      </c>
      <c r="C3099" s="10" t="s">
        <v>26</v>
      </c>
      <c r="D3099" s="9" t="s">
        <v>95</v>
      </c>
      <c r="E3099" s="9" t="str">
        <f>_xlfn.TEXTAFTER(Condiciones_acumuladas[[#This Row],[Descripción]], " ", -2)</f>
        <v>Francisco Hernández</v>
      </c>
      <c r="F3099" s="21" t="s">
        <v>2834</v>
      </c>
      <c r="G3099" s="23">
        <v>46086</v>
      </c>
    </row>
    <row r="3100" spans="1:7" ht="36.5" hidden="1" x14ac:dyDescent="0.35">
      <c r="A3100" s="8">
        <v>11287</v>
      </c>
      <c r="B3100" s="10" t="s">
        <v>5659</v>
      </c>
      <c r="C3100" s="10" t="s">
        <v>96</v>
      </c>
      <c r="D3100" s="9" t="s">
        <v>395</v>
      </c>
      <c r="E3100" s="9" t="str">
        <f>_xlfn.TEXTAFTER(Condiciones_acumuladas[[#This Row],[Descripción]], " ", -2)</f>
        <v>German Orozco</v>
      </c>
      <c r="F3100" s="21" t="s">
        <v>2516</v>
      </c>
      <c r="G3100" s="23">
        <v>46085</v>
      </c>
    </row>
    <row r="3101" spans="1:7" ht="24.5" hidden="1" x14ac:dyDescent="0.35">
      <c r="A3101" s="8">
        <v>11281</v>
      </c>
      <c r="B3101" s="10" t="s">
        <v>5660</v>
      </c>
      <c r="C3101" s="10" t="s">
        <v>104</v>
      </c>
      <c r="D3101" s="9" t="s">
        <v>395</v>
      </c>
      <c r="E3101" s="9" t="str">
        <f>_xlfn.TEXTAFTER(Condiciones_acumuladas[[#This Row],[Descripción]], " ", -2)</f>
        <v>German Orozco</v>
      </c>
      <c r="F3101" s="21" t="s">
        <v>2522</v>
      </c>
      <c r="G3101" s="23">
        <v>46085</v>
      </c>
    </row>
    <row r="3102" spans="1:7" ht="36.5" hidden="1" x14ac:dyDescent="0.35">
      <c r="A3102" s="8">
        <v>11276</v>
      </c>
      <c r="B3102" s="10" t="s">
        <v>5661</v>
      </c>
      <c r="C3102" s="10" t="s">
        <v>104</v>
      </c>
      <c r="D3102" s="9" t="s">
        <v>395</v>
      </c>
      <c r="E3102" s="9" t="str">
        <f>_xlfn.TEXTAFTER(Condiciones_acumuladas[[#This Row],[Descripción]], " ", -2)</f>
        <v>German Orozco</v>
      </c>
      <c r="F3102" s="21" t="s">
        <v>2516</v>
      </c>
      <c r="G3102" s="23">
        <v>46085</v>
      </c>
    </row>
    <row r="3103" spans="1:7" ht="36.5" hidden="1" x14ac:dyDescent="0.35">
      <c r="A3103" s="8">
        <v>11336</v>
      </c>
      <c r="B3103" s="10" t="s">
        <v>5662</v>
      </c>
      <c r="C3103" s="10" t="s">
        <v>134</v>
      </c>
      <c r="D3103" s="9" t="s">
        <v>395</v>
      </c>
      <c r="E3103" s="9" t="str">
        <f>_xlfn.TEXTAFTER(Condiciones_acumuladas[[#This Row],[Descripción]], " ", -2)</f>
        <v>German Orozco</v>
      </c>
      <c r="F3103" s="21" t="s">
        <v>2516</v>
      </c>
      <c r="G3103" s="23">
        <v>46091</v>
      </c>
    </row>
    <row r="3104" spans="1:7" ht="24.5" hidden="1" x14ac:dyDescent="0.35">
      <c r="A3104" s="8">
        <v>11377</v>
      </c>
      <c r="B3104" s="10" t="s">
        <v>5663</v>
      </c>
      <c r="C3104" s="10" t="s">
        <v>96</v>
      </c>
      <c r="D3104" s="9" t="s">
        <v>395</v>
      </c>
      <c r="E3104" s="9" t="str">
        <f>_xlfn.TEXTAFTER(Condiciones_acumuladas[[#This Row],[Descripción]], " ", -2)</f>
        <v>German Orozco</v>
      </c>
      <c r="F3104" s="10" t="s">
        <v>2522</v>
      </c>
      <c r="G3104" s="11">
        <v>46092</v>
      </c>
    </row>
    <row r="3105" spans="1:7" ht="36.5" hidden="1" x14ac:dyDescent="0.35">
      <c r="A3105" s="8">
        <v>11361</v>
      </c>
      <c r="B3105" s="10" t="s">
        <v>5664</v>
      </c>
      <c r="C3105" s="10" t="s">
        <v>96</v>
      </c>
      <c r="D3105" s="9" t="s">
        <v>395</v>
      </c>
      <c r="E3105" s="9" t="str">
        <f>_xlfn.TEXTAFTER(Condiciones_acumuladas[[#This Row],[Descripción]], " ", -2)</f>
        <v>German Orozco</v>
      </c>
      <c r="F3105" s="10" t="s">
        <v>2525</v>
      </c>
      <c r="G3105" s="11">
        <v>46092</v>
      </c>
    </row>
    <row r="3106" spans="1:7" ht="24.5" hidden="1" x14ac:dyDescent="0.35">
      <c r="A3106" s="8">
        <v>11378</v>
      </c>
      <c r="B3106" s="10" t="s">
        <v>5665</v>
      </c>
      <c r="C3106" s="10" t="s">
        <v>96</v>
      </c>
      <c r="D3106" s="9" t="s">
        <v>395</v>
      </c>
      <c r="E3106" s="9" t="str">
        <f>_xlfn.TEXTAFTER(Condiciones_acumuladas[[#This Row],[Descripción]], " ", -2)</f>
        <v>German Orozco</v>
      </c>
      <c r="F3106" s="10" t="s">
        <v>2522</v>
      </c>
      <c r="G3106" s="11">
        <v>46092</v>
      </c>
    </row>
    <row r="3107" spans="1:7" ht="24.5" hidden="1" x14ac:dyDescent="0.35">
      <c r="A3107" s="8">
        <v>11379</v>
      </c>
      <c r="B3107" s="10" t="s">
        <v>5666</v>
      </c>
      <c r="C3107" s="10" t="s">
        <v>96</v>
      </c>
      <c r="D3107" s="9" t="s">
        <v>395</v>
      </c>
      <c r="E3107" s="9" t="str">
        <f>_xlfn.TEXTAFTER(Condiciones_acumuladas[[#This Row],[Descripción]], " ", -2)</f>
        <v>German Orozco</v>
      </c>
      <c r="F3107" s="10" t="s">
        <v>2522</v>
      </c>
      <c r="G3107" s="11">
        <v>46092</v>
      </c>
    </row>
    <row r="3108" spans="1:7" ht="24.5" hidden="1" x14ac:dyDescent="0.35">
      <c r="A3108" s="8">
        <v>11441</v>
      </c>
      <c r="B3108" s="10" t="s">
        <v>5667</v>
      </c>
      <c r="C3108" s="10" t="s">
        <v>395</v>
      </c>
      <c r="D3108" s="9" t="s">
        <v>395</v>
      </c>
      <c r="E3108" s="9" t="str">
        <f>_xlfn.TEXTAFTER(Condiciones_acumuladas[[#This Row],[Descripción]], " ", -2)</f>
        <v>German Orozco</v>
      </c>
      <c r="F3108" s="10" t="s">
        <v>2522</v>
      </c>
      <c r="G3108" s="11">
        <v>46098</v>
      </c>
    </row>
    <row r="3109" spans="1:7" ht="24.5" hidden="1" x14ac:dyDescent="0.35">
      <c r="A3109" s="8">
        <v>11449</v>
      </c>
      <c r="B3109" s="10" t="s">
        <v>5668</v>
      </c>
      <c r="C3109" s="10" t="s">
        <v>193</v>
      </c>
      <c r="D3109" s="9" t="s">
        <v>395</v>
      </c>
      <c r="E3109" s="9" t="str">
        <f>_xlfn.TEXTAFTER(Condiciones_acumuladas[[#This Row],[Descripción]], " ", -2)</f>
        <v>German Orozco</v>
      </c>
      <c r="F3109" s="10" t="s">
        <v>2522</v>
      </c>
      <c r="G3109" s="11">
        <v>46099</v>
      </c>
    </row>
    <row r="3110" spans="1:7" ht="24.5" hidden="1" x14ac:dyDescent="0.35">
      <c r="A3110" s="8">
        <v>11448</v>
      </c>
      <c r="B3110" s="10" t="s">
        <v>5669</v>
      </c>
      <c r="C3110" s="10" t="s">
        <v>193</v>
      </c>
      <c r="D3110" s="9" t="s">
        <v>395</v>
      </c>
      <c r="E3110" s="9" t="str">
        <f>_xlfn.TEXTAFTER(Condiciones_acumuladas[[#This Row],[Descripción]], " ", -2)</f>
        <v>German Orozco</v>
      </c>
      <c r="F3110" s="10" t="s">
        <v>2522</v>
      </c>
      <c r="G3110" s="11">
        <v>46099</v>
      </c>
    </row>
    <row r="3111" spans="1:7" ht="24.5" hidden="1" x14ac:dyDescent="0.35">
      <c r="A3111" s="8">
        <v>11452</v>
      </c>
      <c r="B3111" s="10" t="s">
        <v>5670</v>
      </c>
      <c r="C3111" s="10" t="s">
        <v>193</v>
      </c>
      <c r="D3111" s="9" t="s">
        <v>395</v>
      </c>
      <c r="E3111" s="9" t="str">
        <f>_xlfn.TEXTAFTER(Condiciones_acumuladas[[#This Row],[Descripción]], " ", -2)</f>
        <v>German Orozco</v>
      </c>
      <c r="F3111" s="10" t="s">
        <v>2522</v>
      </c>
      <c r="G3111" s="11">
        <v>46099</v>
      </c>
    </row>
    <row r="3112" spans="1:7" ht="36.5" hidden="1" x14ac:dyDescent="0.35">
      <c r="A3112" s="8">
        <v>11460</v>
      </c>
      <c r="B3112" s="10" t="s">
        <v>5671</v>
      </c>
      <c r="C3112" s="10" t="s">
        <v>26</v>
      </c>
      <c r="D3112" s="9" t="s">
        <v>395</v>
      </c>
      <c r="E3112" s="9" t="str">
        <f>_xlfn.TEXTAFTER(Condiciones_acumuladas[[#This Row],[Descripción]], " ", -2)</f>
        <v>German Orozco</v>
      </c>
      <c r="F3112" s="10" t="s">
        <v>2522</v>
      </c>
      <c r="G3112" s="11">
        <v>46100</v>
      </c>
    </row>
    <row r="3113" spans="1:7" ht="24.5" hidden="1" x14ac:dyDescent="0.35">
      <c r="A3113" s="8">
        <v>11299</v>
      </c>
      <c r="B3113" s="10" t="s">
        <v>5672</v>
      </c>
      <c r="C3113" s="10" t="s">
        <v>95</v>
      </c>
      <c r="D3113" s="9" t="s">
        <v>95</v>
      </c>
      <c r="E3113" s="9" t="str">
        <f>_xlfn.TEXTAFTER(Condiciones_acumuladas[[#This Row],[Descripción]], " ", -2)</f>
        <v>Gerson Castañeda</v>
      </c>
      <c r="F3113" s="21" t="s">
        <v>2522</v>
      </c>
      <c r="G3113" s="23">
        <v>46086</v>
      </c>
    </row>
    <row r="3114" spans="1:7" ht="24.5" hidden="1" x14ac:dyDescent="0.35">
      <c r="A3114" s="8">
        <v>11325</v>
      </c>
      <c r="B3114" s="10" t="s">
        <v>5673</v>
      </c>
      <c r="C3114" s="10" t="s">
        <v>134</v>
      </c>
      <c r="D3114" s="9" t="s">
        <v>95</v>
      </c>
      <c r="E3114" s="9" t="str">
        <f>_xlfn.TEXTAFTER(Condiciones_acumuladas[[#This Row],[Descripción]], " ", -2)</f>
        <v>Gerson Castañeda</v>
      </c>
      <c r="F3114" s="21" t="s">
        <v>2522</v>
      </c>
      <c r="G3114" s="23">
        <v>46090</v>
      </c>
    </row>
    <row r="3115" spans="1:7" ht="36.5" hidden="1" x14ac:dyDescent="0.35">
      <c r="A3115" s="8">
        <v>11324</v>
      </c>
      <c r="B3115" s="10" t="s">
        <v>5674</v>
      </c>
      <c r="C3115" s="10" t="s">
        <v>95</v>
      </c>
      <c r="D3115" s="9" t="s">
        <v>95</v>
      </c>
      <c r="E3115" s="9" t="str">
        <f>_xlfn.TEXTAFTER(Condiciones_acumuladas[[#This Row],[Descripción]], " ", -2)</f>
        <v>Gerson Castañeda</v>
      </c>
      <c r="F3115" s="21" t="s">
        <v>2530</v>
      </c>
      <c r="G3115" s="23">
        <v>46090</v>
      </c>
    </row>
    <row r="3116" spans="1:7" ht="36.5" hidden="1" x14ac:dyDescent="0.35">
      <c r="A3116" s="8">
        <v>11404</v>
      </c>
      <c r="B3116" s="10" t="s">
        <v>5675</v>
      </c>
      <c r="C3116" s="10" t="s">
        <v>21</v>
      </c>
      <c r="D3116" s="9" t="s">
        <v>21</v>
      </c>
      <c r="E3116" s="9" t="str">
        <f>_xlfn.TEXTAFTER(Condiciones_acumuladas[[#This Row],[Descripción]], " ", -2)</f>
        <v>Gustavo Hernández</v>
      </c>
      <c r="F3116" s="10" t="s">
        <v>2516</v>
      </c>
      <c r="G3116" s="11">
        <v>46094</v>
      </c>
    </row>
    <row r="3117" spans="1:7" ht="24.5" hidden="1" x14ac:dyDescent="0.35">
      <c r="A3117" s="8">
        <v>11491</v>
      </c>
      <c r="B3117" s="10" t="s">
        <v>5676</v>
      </c>
      <c r="C3117" s="10" t="s">
        <v>21</v>
      </c>
      <c r="D3117" s="9" t="s">
        <v>21</v>
      </c>
      <c r="E3117" s="9" t="str">
        <f>_xlfn.TEXTAFTER(Condiciones_acumuladas[[#This Row],[Descripción]], " ", -2)</f>
        <v>Haroldo Yalibath</v>
      </c>
      <c r="F3117" s="21" t="s">
        <v>2540</v>
      </c>
      <c r="G3117" s="23">
        <v>46104</v>
      </c>
    </row>
    <row r="3118" spans="1:7" ht="36.5" hidden="1" x14ac:dyDescent="0.35">
      <c r="A3118" s="8">
        <v>11445</v>
      </c>
      <c r="B3118" s="10" t="s">
        <v>5677</v>
      </c>
      <c r="C3118" s="10" t="s">
        <v>21</v>
      </c>
      <c r="D3118" s="9" t="s">
        <v>21</v>
      </c>
      <c r="E3118" s="9" t="str">
        <f>_xlfn.TEXTAFTER(Condiciones_acumuladas[[#This Row],[Descripción]], " ", -2)</f>
        <v>Haydée Morales</v>
      </c>
      <c r="F3118" s="10" t="s">
        <v>2516</v>
      </c>
      <c r="G3118" s="11">
        <v>46098</v>
      </c>
    </row>
    <row r="3119" spans="1:7" ht="36.5" hidden="1" x14ac:dyDescent="0.35">
      <c r="A3119" s="8">
        <v>11444</v>
      </c>
      <c r="B3119" s="10" t="s">
        <v>5678</v>
      </c>
      <c r="C3119" s="10" t="s">
        <v>134</v>
      </c>
      <c r="D3119" s="9" t="s">
        <v>134</v>
      </c>
      <c r="E3119" s="9" t="str">
        <f>_xlfn.TEXTAFTER(Condiciones_acumuladas[[#This Row],[Descripción]], " ", -2)</f>
        <v>Haydée Morales</v>
      </c>
      <c r="F3119" s="10" t="s">
        <v>2516</v>
      </c>
      <c r="G3119" s="11">
        <v>46098</v>
      </c>
    </row>
    <row r="3120" spans="1:7" ht="36.5" hidden="1" x14ac:dyDescent="0.35">
      <c r="A3120" s="8">
        <v>11443</v>
      </c>
      <c r="B3120" s="10" t="s">
        <v>5679</v>
      </c>
      <c r="C3120" s="10" t="s">
        <v>134</v>
      </c>
      <c r="D3120" s="9" t="s">
        <v>134</v>
      </c>
      <c r="E3120" s="9" t="str">
        <f>_xlfn.TEXTAFTER(Condiciones_acumuladas[[#This Row],[Descripción]], " ", -2)</f>
        <v>Haydée Morales</v>
      </c>
      <c r="F3120" s="10" t="s">
        <v>2516</v>
      </c>
      <c r="G3120" s="11">
        <v>46098</v>
      </c>
    </row>
    <row r="3121" spans="1:7" ht="36.5" hidden="1" x14ac:dyDescent="0.35">
      <c r="A3121" s="8">
        <v>11349</v>
      </c>
      <c r="B3121" s="10" t="s">
        <v>5680</v>
      </c>
      <c r="C3121" s="10" t="s">
        <v>104</v>
      </c>
      <c r="D3121" s="9" t="s">
        <v>95</v>
      </c>
      <c r="E3121" s="9" t="str">
        <f>_xlfn.TEXTAFTER(Condiciones_acumuladas[[#This Row],[Descripción]], " ", -2)</f>
        <v>Hellen Estrada</v>
      </c>
      <c r="F3121" s="10" t="s">
        <v>2715</v>
      </c>
      <c r="G3121" s="11">
        <v>46093</v>
      </c>
    </row>
    <row r="3122" spans="1:7" ht="48.5" hidden="1" x14ac:dyDescent="0.35">
      <c r="A3122" s="8">
        <v>11348</v>
      </c>
      <c r="B3122" s="10" t="s">
        <v>5681</v>
      </c>
      <c r="C3122" s="10" t="s">
        <v>104</v>
      </c>
      <c r="D3122" s="9" t="s">
        <v>95</v>
      </c>
      <c r="E3122" s="9" t="str">
        <f>_xlfn.TEXTAFTER(Condiciones_acumuladas[[#This Row],[Descripción]], " ", -2)</f>
        <v>Hellen Estrada</v>
      </c>
      <c r="F3122" s="10" t="s">
        <v>2559</v>
      </c>
      <c r="G3122" s="11">
        <v>46093</v>
      </c>
    </row>
    <row r="3123" spans="1:7" ht="48.5" hidden="1" x14ac:dyDescent="0.35">
      <c r="A3123" s="8">
        <v>11347</v>
      </c>
      <c r="B3123" s="10" t="s">
        <v>5682</v>
      </c>
      <c r="C3123" s="10" t="s">
        <v>234</v>
      </c>
      <c r="D3123" s="9" t="s">
        <v>95</v>
      </c>
      <c r="E3123" s="9" t="str">
        <f>_xlfn.TEXTAFTER(Condiciones_acumuladas[[#This Row],[Descripción]], " ", -2)</f>
        <v>Hellen Estrada</v>
      </c>
      <c r="F3123" s="10" t="s">
        <v>2559</v>
      </c>
      <c r="G3123" s="11">
        <v>46093</v>
      </c>
    </row>
    <row r="3124" spans="1:7" ht="48.5" hidden="1" x14ac:dyDescent="0.35">
      <c r="A3124" s="8">
        <v>11406</v>
      </c>
      <c r="B3124" s="10" t="s">
        <v>5683</v>
      </c>
      <c r="C3124" s="10" t="s">
        <v>96</v>
      </c>
      <c r="D3124" s="9" t="s">
        <v>96</v>
      </c>
      <c r="E3124" s="9" t="str">
        <f>_xlfn.TEXTAFTER(Condiciones_acumuladas[[#This Row],[Descripción]], " ", -2)</f>
        <v>Hugo Oliva</v>
      </c>
      <c r="F3124" s="10" t="s">
        <v>2537</v>
      </c>
      <c r="G3124" s="11">
        <v>46094</v>
      </c>
    </row>
    <row r="3125" spans="1:7" ht="48.5" hidden="1" x14ac:dyDescent="0.35">
      <c r="A3125" s="8">
        <v>11422</v>
      </c>
      <c r="B3125" s="10" t="s">
        <v>5684</v>
      </c>
      <c r="C3125" s="10" t="s">
        <v>96</v>
      </c>
      <c r="D3125" s="9" t="s">
        <v>21</v>
      </c>
      <c r="E3125" s="9" t="str">
        <f>_xlfn.TEXTAFTER(Condiciones_acumuladas[[#This Row],[Descripción]], " ", -2)</f>
        <v>Hugo Oliva</v>
      </c>
      <c r="F3125" s="10" t="s">
        <v>2559</v>
      </c>
      <c r="G3125" s="11">
        <v>46098</v>
      </c>
    </row>
    <row r="3126" spans="1:7" ht="36.5" hidden="1" x14ac:dyDescent="0.35">
      <c r="A3126" s="8">
        <v>11411</v>
      </c>
      <c r="B3126" s="10" t="s">
        <v>5685</v>
      </c>
      <c r="C3126" s="10" t="s">
        <v>26</v>
      </c>
      <c r="D3126" s="9" t="s">
        <v>234</v>
      </c>
      <c r="E3126" s="9" t="str">
        <f>_xlfn.TEXTAFTER(Condiciones_acumuladas[[#This Row],[Descripción]], " ", -2)</f>
        <v>Hugo Oliva</v>
      </c>
      <c r="F3126" s="10" t="s">
        <v>2530</v>
      </c>
      <c r="G3126" s="11">
        <v>46097</v>
      </c>
    </row>
    <row r="3127" spans="1:7" ht="48.5" hidden="1" x14ac:dyDescent="0.35">
      <c r="A3127" s="8">
        <v>11485</v>
      </c>
      <c r="B3127" s="10" t="s">
        <v>5686</v>
      </c>
      <c r="C3127" s="10" t="s">
        <v>21</v>
      </c>
      <c r="D3127" s="9" t="s">
        <v>21</v>
      </c>
      <c r="E3127" s="9" t="str">
        <f>_xlfn.TEXTAFTER(Condiciones_acumuladas[[#This Row],[Descripción]], " ", -2)</f>
        <v>Hugo Oliva</v>
      </c>
      <c r="F3127" s="10" t="s">
        <v>2540</v>
      </c>
      <c r="G3127" s="11">
        <v>46101</v>
      </c>
    </row>
    <row r="3128" spans="1:7" ht="48.5" hidden="1" x14ac:dyDescent="0.35">
      <c r="A3128" s="8">
        <v>11476</v>
      </c>
      <c r="B3128" s="10" t="s">
        <v>5687</v>
      </c>
      <c r="C3128" s="10" t="s">
        <v>96</v>
      </c>
      <c r="D3128" s="9" t="s">
        <v>21</v>
      </c>
      <c r="E3128" s="9" t="str">
        <f>_xlfn.TEXTAFTER(Condiciones_acumuladas[[#This Row],[Descripción]], " ", -2)</f>
        <v>Hugo Oliva</v>
      </c>
      <c r="F3128" s="10" t="s">
        <v>2537</v>
      </c>
      <c r="G3128" s="11">
        <v>46101</v>
      </c>
    </row>
    <row r="3129" spans="1:7" ht="24.5" hidden="1" x14ac:dyDescent="0.35">
      <c r="A3129" s="8">
        <v>11273</v>
      </c>
      <c r="B3129" s="10" t="s">
        <v>5688</v>
      </c>
      <c r="C3129" s="10" t="s">
        <v>278</v>
      </c>
      <c r="D3129" s="9" t="s">
        <v>196</v>
      </c>
      <c r="E3129" s="9" t="str">
        <f>_xlfn.TEXTAFTER(Condiciones_acumuladas[[#This Row],[Descripción]], " ", -2)</f>
        <v>Jaime Chex</v>
      </c>
      <c r="F3129" s="21" t="s">
        <v>2522</v>
      </c>
      <c r="G3129" s="23">
        <v>46085</v>
      </c>
    </row>
    <row r="3130" spans="1:7" ht="24.5" hidden="1" x14ac:dyDescent="0.35">
      <c r="A3130" s="8">
        <v>11269</v>
      </c>
      <c r="B3130" s="10" t="s">
        <v>5689</v>
      </c>
      <c r="C3130" s="10" t="s">
        <v>278</v>
      </c>
      <c r="D3130" s="9" t="s">
        <v>196</v>
      </c>
      <c r="E3130" s="9" t="str">
        <f>_xlfn.TEXTAFTER(Condiciones_acumuladas[[#This Row],[Descripción]], " ", -2)</f>
        <v>Jaime Chex</v>
      </c>
      <c r="F3130" s="21" t="s">
        <v>2522</v>
      </c>
      <c r="G3130" s="23">
        <v>46085</v>
      </c>
    </row>
    <row r="3131" spans="1:7" ht="48.5" hidden="1" x14ac:dyDescent="0.35">
      <c r="A3131" s="8">
        <v>11376</v>
      </c>
      <c r="B3131" s="10" t="s">
        <v>5690</v>
      </c>
      <c r="C3131" s="10" t="s">
        <v>26</v>
      </c>
      <c r="D3131" s="9" t="s">
        <v>196</v>
      </c>
      <c r="E3131" s="9" t="str">
        <f>_xlfn.TEXTAFTER(Condiciones_acumuladas[[#This Row],[Descripción]], " ", -2)</f>
        <v>Jaime Chex</v>
      </c>
      <c r="F3131" s="10" t="s">
        <v>2530</v>
      </c>
      <c r="G3131" s="11">
        <v>46092</v>
      </c>
    </row>
    <row r="3132" spans="1:7" ht="24.5" hidden="1" x14ac:dyDescent="0.35">
      <c r="A3132" s="8">
        <v>11372</v>
      </c>
      <c r="B3132" s="10" t="s">
        <v>5691</v>
      </c>
      <c r="C3132" s="10" t="s">
        <v>26</v>
      </c>
      <c r="D3132" s="9" t="s">
        <v>196</v>
      </c>
      <c r="E3132" s="9" t="str">
        <f>_xlfn.TEXTAFTER(Condiciones_acumuladas[[#This Row],[Descripción]], " ", -2)</f>
        <v>Jaime Chex</v>
      </c>
      <c r="F3132" s="10" t="s">
        <v>2522</v>
      </c>
      <c r="G3132" s="11">
        <v>46092</v>
      </c>
    </row>
    <row r="3133" spans="1:7" ht="24.5" hidden="1" x14ac:dyDescent="0.35">
      <c r="A3133" s="8">
        <v>11366</v>
      </c>
      <c r="B3133" s="10" t="s">
        <v>5692</v>
      </c>
      <c r="C3133" s="10" t="s">
        <v>26</v>
      </c>
      <c r="D3133" s="9" t="s">
        <v>196</v>
      </c>
      <c r="E3133" s="9" t="str">
        <f>_xlfn.TEXTAFTER(Condiciones_acumuladas[[#This Row],[Descripción]], " ", -2)</f>
        <v>Jaime Chex</v>
      </c>
      <c r="F3133" s="10" t="s">
        <v>2522</v>
      </c>
      <c r="G3133" s="11">
        <v>46092</v>
      </c>
    </row>
    <row r="3134" spans="1:7" ht="24.5" hidden="1" x14ac:dyDescent="0.35">
      <c r="A3134" s="8">
        <v>11359</v>
      </c>
      <c r="B3134" s="10" t="s">
        <v>5693</v>
      </c>
      <c r="C3134" s="10" t="s">
        <v>26</v>
      </c>
      <c r="D3134" s="9" t="s">
        <v>196</v>
      </c>
      <c r="E3134" s="9" t="str">
        <f>_xlfn.TEXTAFTER(Condiciones_acumuladas[[#This Row],[Descripción]], " ", -2)</f>
        <v>Jaime Chex</v>
      </c>
      <c r="F3134" s="10" t="s">
        <v>2522</v>
      </c>
      <c r="G3134" s="11">
        <v>46092</v>
      </c>
    </row>
    <row r="3135" spans="1:7" ht="24.5" hidden="1" x14ac:dyDescent="0.35">
      <c r="A3135" s="8">
        <v>11363</v>
      </c>
      <c r="B3135" s="10" t="s">
        <v>5694</v>
      </c>
      <c r="C3135" s="10" t="s">
        <v>26</v>
      </c>
      <c r="D3135" s="9" t="s">
        <v>196</v>
      </c>
      <c r="E3135" s="9" t="str">
        <f>_xlfn.TEXTAFTER(Condiciones_acumuladas[[#This Row],[Descripción]], " ", -2)</f>
        <v>Jaime Chex</v>
      </c>
      <c r="F3135" s="10" t="s">
        <v>2522</v>
      </c>
      <c r="G3135" s="11">
        <v>46092</v>
      </c>
    </row>
    <row r="3136" spans="1:7" ht="24.5" hidden="1" x14ac:dyDescent="0.35">
      <c r="A3136" s="8">
        <v>11447</v>
      </c>
      <c r="B3136" s="10" t="s">
        <v>5695</v>
      </c>
      <c r="C3136" s="10" t="s">
        <v>190</v>
      </c>
      <c r="D3136" s="9" t="s">
        <v>5655</v>
      </c>
      <c r="E3136" s="9" t="str">
        <f>_xlfn.TEXTAFTER(Condiciones_acumuladas[[#This Row],[Descripción]], " ", -2)</f>
        <v>Jaime Chex</v>
      </c>
      <c r="F3136" s="10" t="s">
        <v>2522</v>
      </c>
      <c r="G3136" s="11">
        <v>46099</v>
      </c>
    </row>
    <row r="3137" spans="1:7" ht="24.5" hidden="1" x14ac:dyDescent="0.35">
      <c r="A3137" s="8">
        <v>11450</v>
      </c>
      <c r="B3137" s="10" t="s">
        <v>5696</v>
      </c>
      <c r="C3137" s="10" t="s">
        <v>190</v>
      </c>
      <c r="D3137" s="9" t="s">
        <v>196</v>
      </c>
      <c r="E3137" s="9" t="str">
        <f>_xlfn.TEXTAFTER(Condiciones_acumuladas[[#This Row],[Descripción]], " ", -2)</f>
        <v>Jaime Chex</v>
      </c>
      <c r="F3137" s="10" t="s">
        <v>2522</v>
      </c>
      <c r="G3137" s="11">
        <v>46099</v>
      </c>
    </row>
    <row r="3138" spans="1:7" ht="36.5" hidden="1" x14ac:dyDescent="0.35">
      <c r="A3138" s="8">
        <v>11274</v>
      </c>
      <c r="B3138" s="10" t="s">
        <v>5697</v>
      </c>
      <c r="C3138" s="10" t="s">
        <v>371</v>
      </c>
      <c r="D3138" s="9" t="s">
        <v>371</v>
      </c>
      <c r="E3138" s="9" t="str">
        <f>_xlfn.TEXTAFTER(Condiciones_acumuladas[[#This Row],[Descripción]], " ", -2)</f>
        <v>Jessica Loarca</v>
      </c>
      <c r="F3138" s="21" t="s">
        <v>2516</v>
      </c>
      <c r="G3138" s="23">
        <v>46085</v>
      </c>
    </row>
    <row r="3139" spans="1:7" ht="36.5" hidden="1" x14ac:dyDescent="0.35">
      <c r="A3139" s="8">
        <v>11384</v>
      </c>
      <c r="B3139" s="10" t="s">
        <v>5698</v>
      </c>
      <c r="C3139" s="10" t="s">
        <v>278</v>
      </c>
      <c r="D3139" s="9" t="s">
        <v>371</v>
      </c>
      <c r="E3139" s="9" t="str">
        <f>_xlfn.TEXTAFTER(Condiciones_acumuladas[[#This Row],[Descripción]], " ", -2)</f>
        <v>Jessica Loarca</v>
      </c>
      <c r="F3139" s="10" t="s">
        <v>2715</v>
      </c>
      <c r="G3139" s="11">
        <v>46092</v>
      </c>
    </row>
    <row r="3140" spans="1:7" ht="24.5" hidden="1" x14ac:dyDescent="0.35">
      <c r="A3140" s="8">
        <v>11382</v>
      </c>
      <c r="B3140" s="10" t="s">
        <v>5699</v>
      </c>
      <c r="C3140" s="10" t="s">
        <v>95</v>
      </c>
      <c r="D3140" s="9" t="s">
        <v>371</v>
      </c>
      <c r="E3140" s="9" t="str">
        <f>_xlfn.TEXTAFTER(Condiciones_acumuladas[[#This Row],[Descripción]], " ", -2)</f>
        <v>Jessica Loarca</v>
      </c>
      <c r="F3140" s="10" t="s">
        <v>2522</v>
      </c>
      <c r="G3140" s="11">
        <v>46092</v>
      </c>
    </row>
    <row r="3141" spans="1:7" ht="24.5" hidden="1" x14ac:dyDescent="0.35">
      <c r="A3141" s="8">
        <v>11370</v>
      </c>
      <c r="B3141" s="10" t="s">
        <v>5700</v>
      </c>
      <c r="C3141" s="10" t="s">
        <v>250</v>
      </c>
      <c r="D3141" s="9" t="s">
        <v>371</v>
      </c>
      <c r="E3141" s="9" t="str">
        <f>_xlfn.TEXTAFTER(Condiciones_acumuladas[[#This Row],[Descripción]], " ", -2)</f>
        <v>Jessica Loarca</v>
      </c>
      <c r="F3141" s="10" t="s">
        <v>2522</v>
      </c>
      <c r="G3141" s="11">
        <v>46092</v>
      </c>
    </row>
    <row r="3142" spans="1:7" ht="24.5" hidden="1" x14ac:dyDescent="0.35">
      <c r="A3142" s="8">
        <v>11369</v>
      </c>
      <c r="B3142" s="10" t="s">
        <v>5701</v>
      </c>
      <c r="C3142" s="10" t="s">
        <v>371</v>
      </c>
      <c r="D3142" s="9" t="s">
        <v>371</v>
      </c>
      <c r="E3142" s="9" t="str">
        <f>_xlfn.TEXTAFTER(Condiciones_acumuladas[[#This Row],[Descripción]], " ", -2)</f>
        <v>Jessica Loarca</v>
      </c>
      <c r="F3142" s="10" t="s">
        <v>2522</v>
      </c>
      <c r="G3142" s="11">
        <v>46092</v>
      </c>
    </row>
    <row r="3143" spans="1:7" ht="36.5" hidden="1" x14ac:dyDescent="0.35">
      <c r="A3143" s="8">
        <v>11477</v>
      </c>
      <c r="B3143" s="10" t="s">
        <v>5702</v>
      </c>
      <c r="C3143" s="10" t="s">
        <v>34</v>
      </c>
      <c r="D3143" s="9" t="s">
        <v>278</v>
      </c>
      <c r="E3143" s="9" t="str">
        <f>_xlfn.TEXTAFTER(Condiciones_acumuladas[[#This Row],[Descripción]], " ", -2)</f>
        <v>Jimmy Velásquez</v>
      </c>
      <c r="F3143" s="10" t="s">
        <v>2516</v>
      </c>
      <c r="G3143" s="11">
        <v>46101</v>
      </c>
    </row>
    <row r="3144" spans="1:7" ht="36.5" hidden="1" x14ac:dyDescent="0.35">
      <c r="A3144" s="8">
        <v>11466</v>
      </c>
      <c r="B3144" s="10" t="s">
        <v>5703</v>
      </c>
      <c r="C3144" s="10" t="s">
        <v>26</v>
      </c>
      <c r="D3144" s="9" t="s">
        <v>5655</v>
      </c>
      <c r="E3144" s="9" t="str">
        <f>_xlfn.TEXTAFTER(Condiciones_acumuladas[[#This Row],[Descripción]], " ", -2)</f>
        <v>Jorge Ixtacuy</v>
      </c>
      <c r="F3144" s="10" t="s">
        <v>2516</v>
      </c>
      <c r="G3144" s="11">
        <v>46100</v>
      </c>
    </row>
    <row r="3145" spans="1:7" ht="24.5" hidden="1" x14ac:dyDescent="0.35">
      <c r="A3145" s="8">
        <v>11265</v>
      </c>
      <c r="B3145" s="10" t="s">
        <v>5704</v>
      </c>
      <c r="C3145" s="10" t="s">
        <v>96</v>
      </c>
      <c r="D3145" s="9" t="s">
        <v>395</v>
      </c>
      <c r="E3145" s="9" t="str">
        <f>_xlfn.TEXTAFTER(Condiciones_acumuladas[[#This Row],[Descripción]], " ", -2)</f>
        <v>Josué Abraham</v>
      </c>
      <c r="F3145" s="21" t="s">
        <v>2522</v>
      </c>
      <c r="G3145" s="23">
        <v>46084</v>
      </c>
    </row>
    <row r="3146" spans="1:7" ht="24.5" hidden="1" x14ac:dyDescent="0.35">
      <c r="A3146" s="8">
        <v>11310</v>
      </c>
      <c r="B3146" s="10" t="s">
        <v>5705</v>
      </c>
      <c r="C3146" s="10" t="s">
        <v>96</v>
      </c>
      <c r="D3146" s="9" t="s">
        <v>395</v>
      </c>
      <c r="E3146" s="9" t="str">
        <f>_xlfn.TEXTAFTER(Condiciones_acumuladas[[#This Row],[Descripción]], " ", -2)</f>
        <v>Josué Abraham</v>
      </c>
      <c r="F3146" s="21" t="s">
        <v>2522</v>
      </c>
      <c r="G3146" s="23">
        <v>46087</v>
      </c>
    </row>
    <row r="3147" spans="1:7" ht="24.5" hidden="1" x14ac:dyDescent="0.35">
      <c r="A3147" s="8">
        <v>11309</v>
      </c>
      <c r="B3147" s="10" t="s">
        <v>5706</v>
      </c>
      <c r="C3147" s="10" t="s">
        <v>21</v>
      </c>
      <c r="D3147" s="9" t="s">
        <v>395</v>
      </c>
      <c r="E3147" s="9" t="str">
        <f>_xlfn.TEXTAFTER(Condiciones_acumuladas[[#This Row],[Descripción]], " ", -2)</f>
        <v>Josué Abraham</v>
      </c>
      <c r="F3147" s="21" t="s">
        <v>2522</v>
      </c>
      <c r="G3147" s="23">
        <v>46087</v>
      </c>
    </row>
    <row r="3148" spans="1:7" ht="24.5" hidden="1" x14ac:dyDescent="0.35">
      <c r="A3148" s="8">
        <v>11263</v>
      </c>
      <c r="B3148" s="10" t="s">
        <v>5707</v>
      </c>
      <c r="C3148" s="10" t="s">
        <v>371</v>
      </c>
      <c r="D3148" s="9" t="s">
        <v>371</v>
      </c>
      <c r="E3148" s="9" t="str">
        <f>_xlfn.TEXTAFTER(Condiciones_acumuladas[[#This Row],[Descripción]], " ", -2)</f>
        <v>Josué Lepe</v>
      </c>
      <c r="F3148" s="21" t="s">
        <v>2522</v>
      </c>
      <c r="G3148" s="23">
        <v>46084</v>
      </c>
    </row>
    <row r="3149" spans="1:7" ht="24.5" hidden="1" x14ac:dyDescent="0.35">
      <c r="A3149" s="8">
        <v>11426</v>
      </c>
      <c r="B3149" s="10" t="s">
        <v>5708</v>
      </c>
      <c r="C3149" s="10" t="s">
        <v>371</v>
      </c>
      <c r="D3149" s="9" t="s">
        <v>371</v>
      </c>
      <c r="E3149" s="9" t="str">
        <f>_xlfn.TEXTAFTER(Condiciones_acumuladas[[#This Row],[Descripción]], " ", -2)</f>
        <v>Josué Lepe</v>
      </c>
      <c r="F3149" s="10" t="s">
        <v>2522</v>
      </c>
      <c r="G3149" s="11">
        <v>46098</v>
      </c>
    </row>
    <row r="3150" spans="1:7" ht="24.5" hidden="1" x14ac:dyDescent="0.35">
      <c r="A3150" s="8">
        <v>11424</v>
      </c>
      <c r="B3150" s="10" t="s">
        <v>5709</v>
      </c>
      <c r="C3150" s="10" t="s">
        <v>371</v>
      </c>
      <c r="D3150" s="9" t="s">
        <v>371</v>
      </c>
      <c r="E3150" s="9" t="str">
        <f>_xlfn.TEXTAFTER(Condiciones_acumuladas[[#This Row],[Descripción]], " ", -2)</f>
        <v>Josué Lepe</v>
      </c>
      <c r="F3150" s="10" t="s">
        <v>2522</v>
      </c>
      <c r="G3150" s="11">
        <v>46098</v>
      </c>
    </row>
    <row r="3151" spans="1:7" ht="24.5" hidden="1" x14ac:dyDescent="0.35">
      <c r="A3151" s="8">
        <v>11425</v>
      </c>
      <c r="B3151" s="10" t="s">
        <v>5710</v>
      </c>
      <c r="C3151" s="10" t="s">
        <v>371</v>
      </c>
      <c r="D3151" s="9" t="s">
        <v>371</v>
      </c>
      <c r="E3151" s="9" t="str">
        <f>_xlfn.TEXTAFTER(Condiciones_acumuladas[[#This Row],[Descripción]], " ", -2)</f>
        <v>Josué Lepe</v>
      </c>
      <c r="F3151" s="10" t="s">
        <v>2522</v>
      </c>
      <c r="G3151" s="11">
        <v>46098</v>
      </c>
    </row>
    <row r="3152" spans="1:7" ht="36.5" hidden="1" x14ac:dyDescent="0.35">
      <c r="A3152" s="8">
        <v>11417</v>
      </c>
      <c r="B3152" s="10" t="s">
        <v>5711</v>
      </c>
      <c r="C3152" s="10" t="s">
        <v>96</v>
      </c>
      <c r="D3152" s="9" t="s">
        <v>395</v>
      </c>
      <c r="E3152" s="9" t="str">
        <f>_xlfn.TEXTAFTER(Condiciones_acumuladas[[#This Row],[Descripción]], " ", -2)</f>
        <v>Josué Vásquez</v>
      </c>
      <c r="F3152" s="10" t="s">
        <v>2516</v>
      </c>
      <c r="G3152" s="11">
        <v>46097</v>
      </c>
    </row>
    <row r="3153" spans="1:7" ht="36.5" hidden="1" x14ac:dyDescent="0.35">
      <c r="A3153" s="8">
        <v>11416</v>
      </c>
      <c r="B3153" s="10" t="s">
        <v>5712</v>
      </c>
      <c r="C3153" s="10" t="s">
        <v>395</v>
      </c>
      <c r="D3153" s="9" t="s">
        <v>395</v>
      </c>
      <c r="E3153" s="9" t="str">
        <f>_xlfn.TEXTAFTER(Condiciones_acumuladas[[#This Row],[Descripción]], " ", -2)</f>
        <v>Josué Vásquez</v>
      </c>
      <c r="F3153" s="10" t="s">
        <v>2516</v>
      </c>
      <c r="G3153" s="11">
        <v>46097</v>
      </c>
    </row>
    <row r="3154" spans="1:7" ht="24.5" hidden="1" x14ac:dyDescent="0.35">
      <c r="A3154" s="8">
        <v>11437</v>
      </c>
      <c r="B3154" s="10" t="s">
        <v>5713</v>
      </c>
      <c r="C3154" s="10" t="s">
        <v>196</v>
      </c>
      <c r="D3154" s="9" t="s">
        <v>395</v>
      </c>
      <c r="E3154" s="9" t="str">
        <f>_xlfn.TEXTAFTER(Condiciones_acumuladas[[#This Row],[Descripción]], " ", -2)</f>
        <v>Josué Vásquez</v>
      </c>
      <c r="F3154" s="10" t="s">
        <v>2537</v>
      </c>
      <c r="G3154" s="11">
        <v>46098</v>
      </c>
    </row>
    <row r="3155" spans="1:7" ht="24.5" hidden="1" x14ac:dyDescent="0.35">
      <c r="A3155" s="8">
        <v>11419</v>
      </c>
      <c r="B3155" s="10" t="s">
        <v>5714</v>
      </c>
      <c r="C3155" s="10" t="s">
        <v>250</v>
      </c>
      <c r="D3155" s="9" t="s">
        <v>395</v>
      </c>
      <c r="E3155" s="9" t="str">
        <f>_xlfn.TEXTAFTER(Condiciones_acumuladas[[#This Row],[Descripción]], " ", -2)</f>
        <v>Josué Vásquez</v>
      </c>
      <c r="F3155" s="10" t="s">
        <v>2522</v>
      </c>
      <c r="G3155" s="11">
        <v>46097</v>
      </c>
    </row>
    <row r="3156" spans="1:7" ht="36.5" hidden="1" x14ac:dyDescent="0.35">
      <c r="A3156" s="8">
        <v>11414</v>
      </c>
      <c r="B3156" s="10" t="s">
        <v>5715</v>
      </c>
      <c r="C3156" s="10" t="s">
        <v>190</v>
      </c>
      <c r="D3156" s="9" t="s">
        <v>395</v>
      </c>
      <c r="E3156" s="9" t="str">
        <f>_xlfn.TEXTAFTER(Condiciones_acumuladas[[#This Row],[Descripción]], " ", -2)</f>
        <v>Josué Vásquez</v>
      </c>
      <c r="F3156" s="10" t="s">
        <v>2516</v>
      </c>
      <c r="G3156" s="11">
        <v>46097</v>
      </c>
    </row>
    <row r="3157" spans="1:7" ht="36.5" hidden="1" x14ac:dyDescent="0.35">
      <c r="A3157" s="8">
        <v>11415</v>
      </c>
      <c r="B3157" s="10" t="s">
        <v>5716</v>
      </c>
      <c r="C3157" s="10" t="s">
        <v>96</v>
      </c>
      <c r="D3157" s="9" t="s">
        <v>395</v>
      </c>
      <c r="E3157" s="9" t="str">
        <f>_xlfn.TEXTAFTER(Condiciones_acumuladas[[#This Row],[Descripción]], " ", -2)</f>
        <v>Josué Vásquez</v>
      </c>
      <c r="F3157" s="10" t="s">
        <v>2525</v>
      </c>
      <c r="G3157" s="11">
        <v>46097</v>
      </c>
    </row>
    <row r="3158" spans="1:7" ht="36.5" hidden="1" x14ac:dyDescent="0.35">
      <c r="A3158" s="8">
        <v>11418</v>
      </c>
      <c r="B3158" s="10" t="s">
        <v>5717</v>
      </c>
      <c r="C3158" s="10" t="s">
        <v>21</v>
      </c>
      <c r="D3158" s="9" t="s">
        <v>395</v>
      </c>
      <c r="E3158" s="9" t="str">
        <f>_xlfn.TEXTAFTER(Condiciones_acumuladas[[#This Row],[Descripción]], " ", -2)</f>
        <v>Josué Vásquez</v>
      </c>
      <c r="F3158" s="10" t="s">
        <v>2516</v>
      </c>
      <c r="G3158" s="11">
        <v>46097</v>
      </c>
    </row>
    <row r="3159" spans="1:7" ht="36.5" hidden="1" x14ac:dyDescent="0.35">
      <c r="A3159" s="8">
        <v>11453</v>
      </c>
      <c r="B3159" s="10" t="s">
        <v>5718</v>
      </c>
      <c r="C3159" s="10" t="s">
        <v>395</v>
      </c>
      <c r="D3159" s="9" t="s">
        <v>395</v>
      </c>
      <c r="E3159" s="9" t="str">
        <f>_xlfn.TEXTAFTER(Condiciones_acumuladas[[#This Row],[Descripción]], " ", -2)</f>
        <v>Josué Vásquez</v>
      </c>
      <c r="F3159" s="10" t="s">
        <v>2525</v>
      </c>
      <c r="G3159" s="11">
        <v>46099</v>
      </c>
    </row>
    <row r="3160" spans="1:7" ht="24.5" hidden="1" x14ac:dyDescent="0.35">
      <c r="A3160" s="8">
        <v>11301</v>
      </c>
      <c r="B3160" s="10" t="s">
        <v>5719</v>
      </c>
      <c r="C3160" s="10" t="s">
        <v>26</v>
      </c>
      <c r="D3160" s="9" t="s">
        <v>26</v>
      </c>
      <c r="E3160" s="9" t="str">
        <f>_xlfn.TEXTAFTER(Condiciones_acumuladas[[#This Row],[Descripción]], " ", -2)</f>
        <v>Juan Hernández</v>
      </c>
      <c r="F3160" s="21" t="s">
        <v>2834</v>
      </c>
      <c r="G3160" s="23">
        <v>46086</v>
      </c>
    </row>
    <row r="3161" spans="1:7" ht="24.5" hidden="1" x14ac:dyDescent="0.35">
      <c r="A3161" s="8">
        <v>11321</v>
      </c>
      <c r="B3161" s="10" t="s">
        <v>5720</v>
      </c>
      <c r="C3161" s="10" t="s">
        <v>95</v>
      </c>
      <c r="D3161" s="9" t="s">
        <v>95</v>
      </c>
      <c r="E3161" s="9" t="str">
        <f>_xlfn.TEXTAFTER(Condiciones_acumuladas[[#This Row],[Descripción]], " ", -2)</f>
        <v>Juan Hernández</v>
      </c>
      <c r="F3161" s="21" t="s">
        <v>2834</v>
      </c>
      <c r="G3161" s="23">
        <v>46090</v>
      </c>
    </row>
    <row r="3162" spans="1:7" ht="24.5" hidden="1" x14ac:dyDescent="0.35">
      <c r="A3162" s="8">
        <v>11320</v>
      </c>
      <c r="B3162" s="10" t="s">
        <v>5721</v>
      </c>
      <c r="C3162" s="10" t="s">
        <v>196</v>
      </c>
      <c r="D3162" s="9" t="s">
        <v>196</v>
      </c>
      <c r="E3162" s="9" t="str">
        <f>_xlfn.TEXTAFTER(Condiciones_acumuladas[[#This Row],[Descripción]], " ", -2)</f>
        <v>Kelly Calderón</v>
      </c>
      <c r="F3162" s="21" t="s">
        <v>2522</v>
      </c>
      <c r="G3162" s="23">
        <v>46090</v>
      </c>
    </row>
    <row r="3163" spans="1:7" ht="36.5" hidden="1" x14ac:dyDescent="0.35">
      <c r="A3163" s="8">
        <v>11352</v>
      </c>
      <c r="B3163" s="10" t="s">
        <v>5722</v>
      </c>
      <c r="C3163" s="10" t="s">
        <v>196</v>
      </c>
      <c r="D3163" s="9" t="s">
        <v>196</v>
      </c>
      <c r="E3163" s="9" t="str">
        <f>_xlfn.TEXTAFTER(Condiciones_acumuladas[[#This Row],[Descripción]], " ", -2)</f>
        <v>Kelly Calderón</v>
      </c>
      <c r="F3163" s="10" t="s">
        <v>2516</v>
      </c>
      <c r="G3163" s="11">
        <v>46092</v>
      </c>
    </row>
    <row r="3164" spans="1:7" ht="24.5" hidden="1" x14ac:dyDescent="0.35">
      <c r="A3164" s="8">
        <v>11400</v>
      </c>
      <c r="B3164" s="10" t="s">
        <v>5723</v>
      </c>
      <c r="C3164" s="10" t="s">
        <v>96</v>
      </c>
      <c r="D3164" s="9" t="s">
        <v>95</v>
      </c>
      <c r="E3164" s="9" t="str">
        <f>_xlfn.TEXTAFTER(Condiciones_acumuladas[[#This Row],[Descripción]], " ", -2)</f>
        <v>Leidy Camey</v>
      </c>
      <c r="F3164" s="10" t="s">
        <v>2537</v>
      </c>
      <c r="G3164" s="11">
        <v>46098</v>
      </c>
    </row>
    <row r="3165" spans="1:7" ht="24.5" hidden="1" x14ac:dyDescent="0.35">
      <c r="A3165" s="8">
        <v>11396</v>
      </c>
      <c r="B3165" s="10" t="s">
        <v>5724</v>
      </c>
      <c r="C3165" s="10" t="s">
        <v>395</v>
      </c>
      <c r="D3165" s="9" t="s">
        <v>95</v>
      </c>
      <c r="E3165" s="9" t="str">
        <f>_xlfn.TEXTAFTER(Condiciones_acumuladas[[#This Row],[Descripción]], " ", -2)</f>
        <v>Leidy Camey</v>
      </c>
      <c r="F3165" s="10" t="s">
        <v>2834</v>
      </c>
      <c r="G3165" s="11">
        <v>46094</v>
      </c>
    </row>
    <row r="3166" spans="1:7" ht="24.5" hidden="1" x14ac:dyDescent="0.35">
      <c r="A3166" s="8">
        <v>11489</v>
      </c>
      <c r="B3166" s="10" t="s">
        <v>5725</v>
      </c>
      <c r="C3166" s="10" t="s">
        <v>21</v>
      </c>
      <c r="D3166" s="9" t="s">
        <v>95</v>
      </c>
      <c r="E3166" s="9" t="str">
        <f>_xlfn.TEXTAFTER(Condiciones_acumuladas[[#This Row],[Descripción]], " ", -2)</f>
        <v>Leidy Camey</v>
      </c>
      <c r="F3166" s="21" t="s">
        <v>2834</v>
      </c>
      <c r="G3166" s="23">
        <v>46104</v>
      </c>
    </row>
    <row r="3167" spans="1:7" ht="24.5" hidden="1" x14ac:dyDescent="0.35">
      <c r="A3167" s="8">
        <v>11284</v>
      </c>
      <c r="B3167" s="10" t="s">
        <v>5726</v>
      </c>
      <c r="C3167" s="10" t="s">
        <v>250</v>
      </c>
      <c r="D3167" s="9" t="s">
        <v>205</v>
      </c>
      <c r="E3167" s="9" t="str">
        <f>_xlfn.TEXTAFTER(Condiciones_acumuladas[[#This Row],[Descripción]], " ", -2)</f>
        <v>Lissette Loarca</v>
      </c>
      <c r="F3167" s="21" t="s">
        <v>2522</v>
      </c>
      <c r="G3167" s="23">
        <v>46085</v>
      </c>
    </row>
    <row r="3168" spans="1:7" ht="24.5" hidden="1" x14ac:dyDescent="0.35">
      <c r="A3168" s="8">
        <v>11285</v>
      </c>
      <c r="B3168" s="10" t="s">
        <v>5727</v>
      </c>
      <c r="C3168" s="10" t="s">
        <v>34</v>
      </c>
      <c r="D3168" s="9" t="s">
        <v>205</v>
      </c>
      <c r="E3168" s="9" t="str">
        <f>_xlfn.TEXTAFTER(Condiciones_acumuladas[[#This Row],[Descripción]], " ", -2)</f>
        <v>Lissette Loarca</v>
      </c>
      <c r="F3168" s="21" t="s">
        <v>2522</v>
      </c>
      <c r="G3168" s="23">
        <v>46085</v>
      </c>
    </row>
    <row r="3169" spans="1:7" ht="24.5" hidden="1" x14ac:dyDescent="0.35">
      <c r="A3169" s="8">
        <v>11280</v>
      </c>
      <c r="B3169" s="10" t="s">
        <v>5728</v>
      </c>
      <c r="C3169" s="10" t="s">
        <v>34</v>
      </c>
      <c r="D3169" s="9" t="s">
        <v>205</v>
      </c>
      <c r="E3169" s="9" t="str">
        <f>_xlfn.TEXTAFTER(Condiciones_acumuladas[[#This Row],[Descripción]], " ", -2)</f>
        <v>Lissette Loarca</v>
      </c>
      <c r="F3169" s="21" t="s">
        <v>2522</v>
      </c>
      <c r="G3169" s="23">
        <v>46085</v>
      </c>
    </row>
    <row r="3170" spans="1:7" ht="24.5" hidden="1" x14ac:dyDescent="0.35">
      <c r="A3170" s="8">
        <v>11272</v>
      </c>
      <c r="B3170" s="10" t="s">
        <v>5729</v>
      </c>
      <c r="C3170" s="10" t="s">
        <v>250</v>
      </c>
      <c r="D3170" s="9" t="s">
        <v>205</v>
      </c>
      <c r="E3170" s="9" t="str">
        <f>_xlfn.TEXTAFTER(Condiciones_acumuladas[[#This Row],[Descripción]], " ", -2)</f>
        <v>Lissette Loarca</v>
      </c>
      <c r="F3170" s="21" t="s">
        <v>2522</v>
      </c>
      <c r="G3170" s="23">
        <v>46085</v>
      </c>
    </row>
    <row r="3171" spans="1:7" ht="24.5" hidden="1" x14ac:dyDescent="0.35">
      <c r="A3171" s="8">
        <v>11270</v>
      </c>
      <c r="B3171" s="10" t="s">
        <v>5730</v>
      </c>
      <c r="C3171" s="10" t="s">
        <v>220</v>
      </c>
      <c r="D3171" s="9" t="s">
        <v>205</v>
      </c>
      <c r="E3171" s="9" t="str">
        <f>_xlfn.TEXTAFTER(Condiciones_acumuladas[[#This Row],[Descripción]], " ", -2)</f>
        <v>Lissette Loarca</v>
      </c>
      <c r="F3171" s="21" t="s">
        <v>2522</v>
      </c>
      <c r="G3171" s="23">
        <v>46085</v>
      </c>
    </row>
    <row r="3172" spans="1:7" ht="24.5" hidden="1" x14ac:dyDescent="0.35">
      <c r="A3172" s="8">
        <v>11267</v>
      </c>
      <c r="B3172" s="10" t="s">
        <v>5731</v>
      </c>
      <c r="C3172" s="10" t="s">
        <v>220</v>
      </c>
      <c r="D3172" s="9" t="s">
        <v>205</v>
      </c>
      <c r="E3172" s="9" t="str">
        <f>_xlfn.TEXTAFTER(Condiciones_acumuladas[[#This Row],[Descripción]], " ", -2)</f>
        <v>Lissette Loarca</v>
      </c>
      <c r="F3172" s="21" t="s">
        <v>2522</v>
      </c>
      <c r="G3172" s="23">
        <v>46085</v>
      </c>
    </row>
    <row r="3173" spans="1:7" ht="36.5" hidden="1" x14ac:dyDescent="0.35">
      <c r="A3173" s="8">
        <v>11242</v>
      </c>
      <c r="B3173" s="10" t="s">
        <v>5732</v>
      </c>
      <c r="C3173" s="10" t="s">
        <v>95</v>
      </c>
      <c r="D3173" s="9" t="s">
        <v>196</v>
      </c>
      <c r="E3173" s="9" t="str">
        <f>_xlfn.TEXTAFTER(Condiciones_acumuladas[[#This Row],[Descripción]], " ", -2)</f>
        <v>Luis Ángel</v>
      </c>
      <c r="F3173" s="21" t="s">
        <v>2572</v>
      </c>
      <c r="G3173" s="23">
        <v>46082</v>
      </c>
    </row>
    <row r="3174" spans="1:7" ht="24.5" hidden="1" x14ac:dyDescent="0.35">
      <c r="A3174" s="8">
        <v>11300</v>
      </c>
      <c r="B3174" s="10" t="s">
        <v>5733</v>
      </c>
      <c r="C3174" s="10" t="s">
        <v>96</v>
      </c>
      <c r="D3174" s="9" t="s">
        <v>196</v>
      </c>
      <c r="E3174" s="9" t="str">
        <f>_xlfn.TEXTAFTER(Condiciones_acumuladas[[#This Row],[Descripción]], " ", -2)</f>
        <v>Luis Ángel</v>
      </c>
      <c r="F3174" s="21" t="s">
        <v>2834</v>
      </c>
      <c r="G3174" s="23">
        <v>46086</v>
      </c>
    </row>
    <row r="3175" spans="1:7" ht="36.5" hidden="1" x14ac:dyDescent="0.35">
      <c r="A3175" s="8">
        <v>11386</v>
      </c>
      <c r="B3175" s="10" t="s">
        <v>5734</v>
      </c>
      <c r="C3175" s="10" t="s">
        <v>234</v>
      </c>
      <c r="D3175" s="9" t="s">
        <v>196</v>
      </c>
      <c r="E3175" s="9" t="str">
        <f>_xlfn.TEXTAFTER(Condiciones_acumuladas[[#This Row],[Descripción]], " ", -2)</f>
        <v>Luis Ángel</v>
      </c>
      <c r="F3175" s="10" t="s">
        <v>2572</v>
      </c>
      <c r="G3175" s="11">
        <v>46092</v>
      </c>
    </row>
    <row r="3176" spans="1:7" ht="24.5" hidden="1" x14ac:dyDescent="0.35">
      <c r="A3176" s="8">
        <v>11327</v>
      </c>
      <c r="B3176" s="10" t="s">
        <v>5735</v>
      </c>
      <c r="C3176" s="10" t="s">
        <v>96</v>
      </c>
      <c r="D3176" s="9" t="s">
        <v>95</v>
      </c>
      <c r="E3176" s="9" t="str">
        <f>_xlfn.TEXTAFTER(Condiciones_acumuladas[[#This Row],[Descripción]], " ", -2)</f>
        <v>Luis Cabrera</v>
      </c>
      <c r="F3176" s="21" t="s">
        <v>2537</v>
      </c>
      <c r="G3176" s="23">
        <v>46090</v>
      </c>
    </row>
    <row r="3177" spans="1:7" ht="48.5" hidden="1" x14ac:dyDescent="0.35">
      <c r="A3177" s="8">
        <v>11322</v>
      </c>
      <c r="B3177" s="10" t="s">
        <v>5736</v>
      </c>
      <c r="C3177" s="10" t="s">
        <v>96</v>
      </c>
      <c r="D3177" s="9" t="s">
        <v>95</v>
      </c>
      <c r="E3177" s="9" t="str">
        <f>_xlfn.TEXTAFTER(Condiciones_acumuladas[[#This Row],[Descripción]], " ", -2)</f>
        <v>Luis Cabrera</v>
      </c>
      <c r="F3177" s="21" t="s">
        <v>2559</v>
      </c>
      <c r="G3177" s="23">
        <v>46090</v>
      </c>
    </row>
    <row r="3178" spans="1:7" ht="36.5" hidden="1" x14ac:dyDescent="0.35">
      <c r="A3178" s="8">
        <v>11385</v>
      </c>
      <c r="B3178" s="10" t="s">
        <v>5737</v>
      </c>
      <c r="C3178" s="10" t="s">
        <v>21</v>
      </c>
      <c r="D3178" s="9" t="s">
        <v>95</v>
      </c>
      <c r="E3178" s="9" t="str">
        <f>_xlfn.TEXTAFTER(Condiciones_acumuladas[[#This Row],[Descripción]], " ", -2)</f>
        <v>Luis Cabrera</v>
      </c>
      <c r="F3178" s="10" t="s">
        <v>2530</v>
      </c>
      <c r="G3178" s="11">
        <v>46092</v>
      </c>
    </row>
    <row r="3179" spans="1:7" ht="36.5" hidden="1" x14ac:dyDescent="0.35">
      <c r="A3179" s="8">
        <v>11356</v>
      </c>
      <c r="B3179" s="10" t="s">
        <v>5738</v>
      </c>
      <c r="C3179" s="10" t="s">
        <v>134</v>
      </c>
      <c r="D3179" s="9" t="s">
        <v>95</v>
      </c>
      <c r="E3179" s="9" t="str">
        <f>_xlfn.TEXTAFTER(Condiciones_acumuladas[[#This Row],[Descripción]], " ", -2)</f>
        <v>Luis Cabrera</v>
      </c>
      <c r="F3179" s="10" t="s">
        <v>2516</v>
      </c>
      <c r="G3179" s="11">
        <v>46092</v>
      </c>
    </row>
    <row r="3180" spans="1:7" ht="24.5" hidden="1" x14ac:dyDescent="0.35">
      <c r="A3180" s="8">
        <v>11298</v>
      </c>
      <c r="B3180" s="10" t="s">
        <v>5739</v>
      </c>
      <c r="C3180" s="10" t="s">
        <v>96</v>
      </c>
      <c r="D3180" s="9" t="s">
        <v>96</v>
      </c>
      <c r="E3180" s="9" t="str">
        <f>_xlfn.TEXTAFTER(Condiciones_acumuladas[[#This Row],[Descripción]], " ", -2)</f>
        <v>Luis Pérez</v>
      </c>
      <c r="F3180" s="21" t="s">
        <v>2522</v>
      </c>
      <c r="G3180" s="23">
        <v>46086</v>
      </c>
    </row>
    <row r="3181" spans="1:7" ht="24.5" hidden="1" x14ac:dyDescent="0.35">
      <c r="A3181" s="8">
        <v>11282</v>
      </c>
      <c r="B3181" s="10" t="s">
        <v>5740</v>
      </c>
      <c r="C3181" s="10" t="s">
        <v>13</v>
      </c>
      <c r="D3181" s="9" t="s">
        <v>95</v>
      </c>
      <c r="E3181" s="9" t="str">
        <f>_xlfn.TEXTAFTER(Condiciones_acumuladas[[#This Row],[Descripción]], " ", -2)</f>
        <v>María Obregón</v>
      </c>
      <c r="F3181" s="21" t="s">
        <v>2537</v>
      </c>
      <c r="G3181" s="23">
        <v>46085</v>
      </c>
    </row>
    <row r="3182" spans="1:7" ht="36.5" hidden="1" x14ac:dyDescent="0.35">
      <c r="A3182" s="8">
        <v>11286</v>
      </c>
      <c r="B3182" s="10" t="s">
        <v>5741</v>
      </c>
      <c r="C3182" s="10" t="s">
        <v>250</v>
      </c>
      <c r="D3182" s="9" t="s">
        <v>95</v>
      </c>
      <c r="E3182" s="9" t="str">
        <f>_xlfn.TEXTAFTER(Condiciones_acumuladas[[#This Row],[Descripción]], " ", -2)</f>
        <v>María Obregón</v>
      </c>
      <c r="F3182" s="21" t="s">
        <v>2530</v>
      </c>
      <c r="G3182" s="23">
        <v>46085</v>
      </c>
    </row>
    <row r="3183" spans="1:7" ht="36.5" hidden="1" x14ac:dyDescent="0.35">
      <c r="A3183" s="8">
        <v>11279</v>
      </c>
      <c r="B3183" s="10" t="s">
        <v>5742</v>
      </c>
      <c r="C3183" s="10" t="s">
        <v>134</v>
      </c>
      <c r="D3183" s="9" t="s">
        <v>95</v>
      </c>
      <c r="E3183" s="9" t="str">
        <f>_xlfn.TEXTAFTER(Condiciones_acumuladas[[#This Row],[Descripción]], " ", -2)</f>
        <v>María Obregón</v>
      </c>
      <c r="F3183" s="21" t="s">
        <v>2516</v>
      </c>
      <c r="G3183" s="23">
        <v>46085</v>
      </c>
    </row>
    <row r="3184" spans="1:7" ht="24.5" hidden="1" x14ac:dyDescent="0.35">
      <c r="A3184" s="8">
        <v>11278</v>
      </c>
      <c r="B3184" s="10" t="s">
        <v>5743</v>
      </c>
      <c r="C3184" s="10" t="s">
        <v>134</v>
      </c>
      <c r="D3184" s="9" t="s">
        <v>95</v>
      </c>
      <c r="E3184" s="9" t="str">
        <f>_xlfn.TEXTAFTER(Condiciones_acumuladas[[#This Row],[Descripción]], " ", -2)</f>
        <v>María Obregón</v>
      </c>
      <c r="F3184" s="21" t="s">
        <v>2522</v>
      </c>
      <c r="G3184" s="23">
        <v>46085</v>
      </c>
    </row>
    <row r="3185" spans="1:7" ht="36.5" hidden="1" x14ac:dyDescent="0.35">
      <c r="A3185" s="8">
        <v>11277</v>
      </c>
      <c r="B3185" s="10" t="s">
        <v>5744</v>
      </c>
      <c r="C3185" s="10" t="s">
        <v>134</v>
      </c>
      <c r="D3185" s="9" t="s">
        <v>95</v>
      </c>
      <c r="E3185" s="9" t="str">
        <f>_xlfn.TEXTAFTER(Condiciones_acumuladas[[#This Row],[Descripción]], " ", -2)</f>
        <v>María Obregón</v>
      </c>
      <c r="F3185" s="21" t="s">
        <v>2516</v>
      </c>
      <c r="G3185" s="23">
        <v>46085</v>
      </c>
    </row>
    <row r="3186" spans="1:7" ht="24.5" hidden="1" x14ac:dyDescent="0.35">
      <c r="A3186" s="8">
        <v>11362</v>
      </c>
      <c r="B3186" s="10" t="s">
        <v>5745</v>
      </c>
      <c r="C3186" s="10" t="s">
        <v>220</v>
      </c>
      <c r="D3186" s="9" t="s">
        <v>96</v>
      </c>
      <c r="E3186" s="9" t="str">
        <f>_xlfn.TEXTAFTER(Condiciones_acumuladas[[#This Row],[Descripción]], " ", -2)</f>
        <v>Mario Marroquín</v>
      </c>
      <c r="F3186" s="10" t="s">
        <v>2522</v>
      </c>
      <c r="G3186" s="11">
        <v>46092</v>
      </c>
    </row>
    <row r="3187" spans="1:7" ht="36.5" hidden="1" x14ac:dyDescent="0.35">
      <c r="A3187" s="8">
        <v>11433</v>
      </c>
      <c r="B3187" s="10" t="s">
        <v>5746</v>
      </c>
      <c r="C3187" s="10" t="s">
        <v>234</v>
      </c>
      <c r="D3187" s="9" t="s">
        <v>13</v>
      </c>
      <c r="E3187" s="9" t="str">
        <f>_xlfn.TEXTAFTER(Condiciones_acumuladas[[#This Row],[Descripción]], " ", -2)</f>
        <v>Mario Ramos</v>
      </c>
      <c r="F3187" s="10" t="s">
        <v>2525</v>
      </c>
      <c r="G3187" s="11">
        <v>46098</v>
      </c>
    </row>
    <row r="3188" spans="1:7" ht="24.5" hidden="1" x14ac:dyDescent="0.35">
      <c r="A3188" s="8">
        <v>11289</v>
      </c>
      <c r="B3188" s="10" t="s">
        <v>5747</v>
      </c>
      <c r="C3188" s="10" t="s">
        <v>371</v>
      </c>
      <c r="D3188" s="9" t="s">
        <v>196</v>
      </c>
      <c r="E3188" s="9" t="str">
        <f>_xlfn.TEXTAFTER(Condiciones_acumuladas[[#This Row],[Descripción]], " ", -2)</f>
        <v>Miguel Godínez</v>
      </c>
      <c r="F3188" s="21" t="s">
        <v>2522</v>
      </c>
      <c r="G3188" s="23">
        <v>46085</v>
      </c>
    </row>
    <row r="3189" spans="1:7" ht="48.5" hidden="1" x14ac:dyDescent="0.35">
      <c r="A3189" s="8">
        <v>11399</v>
      </c>
      <c r="B3189" s="10" t="s">
        <v>5748</v>
      </c>
      <c r="C3189" s="10" t="s">
        <v>21</v>
      </c>
      <c r="D3189" s="9" t="s">
        <v>95</v>
      </c>
      <c r="E3189" s="9" t="str">
        <f>_xlfn.TEXTAFTER(Condiciones_acumuladas[[#This Row],[Descripción]], " ", -2)</f>
        <v>Nelson Godínez</v>
      </c>
      <c r="F3189" s="10" t="s">
        <v>2559</v>
      </c>
      <c r="G3189" s="11">
        <v>46097</v>
      </c>
    </row>
    <row r="3190" spans="1:7" ht="24.5" hidden="1" x14ac:dyDescent="0.35">
      <c r="A3190" s="8">
        <v>11345</v>
      </c>
      <c r="B3190" s="10" t="s">
        <v>5749</v>
      </c>
      <c r="C3190" s="10" t="s">
        <v>104</v>
      </c>
      <c r="D3190" s="9" t="s">
        <v>104</v>
      </c>
      <c r="E3190" s="9" t="str">
        <f>_xlfn.TEXTAFTER(Condiciones_acumuladas[[#This Row],[Descripción]], " ", -2)</f>
        <v>Obdulio Saquic</v>
      </c>
      <c r="F3190" s="10" t="s">
        <v>2522</v>
      </c>
      <c r="G3190" s="11">
        <v>46093</v>
      </c>
    </row>
    <row r="3191" spans="1:7" ht="24.5" hidden="1" x14ac:dyDescent="0.35">
      <c r="A3191" s="8">
        <v>11344</v>
      </c>
      <c r="B3191" s="10" t="s">
        <v>5750</v>
      </c>
      <c r="C3191" s="10" t="s">
        <v>104</v>
      </c>
      <c r="D3191" s="9" t="s">
        <v>104</v>
      </c>
      <c r="E3191" s="9" t="str">
        <f>_xlfn.TEXTAFTER(Condiciones_acumuladas[[#This Row],[Descripción]], " ", -2)</f>
        <v>Obdulio Saquic</v>
      </c>
      <c r="F3191" s="10" t="s">
        <v>2834</v>
      </c>
      <c r="G3191" s="11">
        <v>46093</v>
      </c>
    </row>
    <row r="3192" spans="1:7" ht="24.5" hidden="1" x14ac:dyDescent="0.35">
      <c r="A3192" s="8">
        <v>11343</v>
      </c>
      <c r="B3192" s="10" t="s">
        <v>5751</v>
      </c>
      <c r="C3192" s="10" t="s">
        <v>104</v>
      </c>
      <c r="D3192" s="9" t="s">
        <v>104</v>
      </c>
      <c r="E3192" s="9" t="str">
        <f>_xlfn.TEXTAFTER(Condiciones_acumuladas[[#This Row],[Descripción]], " ", -2)</f>
        <v>Obdulio Saquic</v>
      </c>
      <c r="F3192" s="10" t="s">
        <v>2522</v>
      </c>
      <c r="G3192" s="11">
        <v>46093</v>
      </c>
    </row>
    <row r="3193" spans="1:7" ht="36.5" hidden="1" x14ac:dyDescent="0.35">
      <c r="A3193" s="8">
        <v>11470</v>
      </c>
      <c r="B3193" s="10" t="s">
        <v>5752</v>
      </c>
      <c r="C3193" s="10" t="s">
        <v>134</v>
      </c>
      <c r="D3193" s="9" t="s">
        <v>104</v>
      </c>
      <c r="E3193" s="9" t="str">
        <f>_xlfn.TEXTAFTER(Condiciones_acumuladas[[#This Row],[Descripción]], " ", -2)</f>
        <v>Obdulio Saquic</v>
      </c>
      <c r="F3193" s="10" t="s">
        <v>2530</v>
      </c>
      <c r="G3193" s="11">
        <v>46101</v>
      </c>
    </row>
    <row r="3194" spans="1:7" ht="24.5" hidden="1" x14ac:dyDescent="0.35">
      <c r="A3194" s="8">
        <v>11307</v>
      </c>
      <c r="B3194" s="10" t="s">
        <v>5753</v>
      </c>
      <c r="C3194" s="10" t="s">
        <v>134</v>
      </c>
      <c r="D3194" s="9" t="s">
        <v>13</v>
      </c>
      <c r="E3194" s="9" t="str">
        <f>_xlfn.TEXTAFTER(Condiciones_acumuladas[[#This Row],[Descripción]], " ", -2)</f>
        <v>Oscar Ramírez</v>
      </c>
      <c r="F3194" s="21" t="s">
        <v>2522</v>
      </c>
      <c r="G3194" s="23">
        <v>46087</v>
      </c>
    </row>
    <row r="3195" spans="1:7" ht="24.5" hidden="1" x14ac:dyDescent="0.35">
      <c r="A3195" s="8">
        <v>11306</v>
      </c>
      <c r="B3195" s="10" t="s">
        <v>5754</v>
      </c>
      <c r="C3195" s="10" t="s">
        <v>134</v>
      </c>
      <c r="D3195" s="9" t="s">
        <v>21</v>
      </c>
      <c r="E3195" s="9" t="str">
        <f>_xlfn.TEXTAFTER(Condiciones_acumuladas[[#This Row],[Descripción]], " ", -2)</f>
        <v>Oscar Ramírez</v>
      </c>
      <c r="F3195" s="21" t="s">
        <v>2522</v>
      </c>
      <c r="G3195" s="23">
        <v>46087</v>
      </c>
    </row>
    <row r="3196" spans="1:7" ht="24.5" hidden="1" x14ac:dyDescent="0.35">
      <c r="A3196" s="8">
        <v>11389</v>
      </c>
      <c r="B3196" s="10" t="s">
        <v>5755</v>
      </c>
      <c r="C3196" s="10" t="s">
        <v>13</v>
      </c>
      <c r="D3196" s="9" t="s">
        <v>13</v>
      </c>
      <c r="E3196" s="9" t="str">
        <f>_xlfn.TEXTAFTER(Condiciones_acumuladas[[#This Row],[Descripción]], " ", -2)</f>
        <v>Oscar Ramírez</v>
      </c>
      <c r="F3196" s="10" t="s">
        <v>2522</v>
      </c>
      <c r="G3196" s="11">
        <v>46093</v>
      </c>
    </row>
    <row r="3197" spans="1:7" ht="36.5" hidden="1" x14ac:dyDescent="0.35">
      <c r="A3197" s="8">
        <v>11375</v>
      </c>
      <c r="B3197" s="10" t="s">
        <v>5756</v>
      </c>
      <c r="C3197" s="10" t="s">
        <v>104</v>
      </c>
      <c r="D3197" s="9" t="s">
        <v>21</v>
      </c>
      <c r="E3197" s="9" t="str">
        <f>_xlfn.TEXTAFTER(Condiciones_acumuladas[[#This Row],[Descripción]], " ", -2)</f>
        <v>Oscar Ramírez</v>
      </c>
      <c r="F3197" s="10" t="s">
        <v>2516</v>
      </c>
      <c r="G3197" s="11">
        <v>46092</v>
      </c>
    </row>
    <row r="3198" spans="1:7" ht="24.5" hidden="1" x14ac:dyDescent="0.35">
      <c r="A3198" s="8">
        <v>11381</v>
      </c>
      <c r="B3198" s="10" t="s">
        <v>5757</v>
      </c>
      <c r="C3198" s="10" t="s">
        <v>104</v>
      </c>
      <c r="D3198" s="9" t="s">
        <v>21</v>
      </c>
      <c r="E3198" s="9" t="str">
        <f>_xlfn.TEXTAFTER(Condiciones_acumuladas[[#This Row],[Descripción]], " ", -2)</f>
        <v>Oscar Ramírez</v>
      </c>
      <c r="F3198" s="10" t="s">
        <v>2522</v>
      </c>
      <c r="G3198" s="11">
        <v>46092</v>
      </c>
    </row>
    <row r="3199" spans="1:7" ht="24.5" hidden="1" x14ac:dyDescent="0.35">
      <c r="A3199" s="8">
        <v>11371</v>
      </c>
      <c r="B3199" s="10" t="s">
        <v>5758</v>
      </c>
      <c r="C3199" s="10" t="s">
        <v>13</v>
      </c>
      <c r="D3199" s="9" t="s">
        <v>13</v>
      </c>
      <c r="E3199" s="9" t="str">
        <f>_xlfn.TEXTAFTER(Condiciones_acumuladas[[#This Row],[Descripción]], " ", -2)</f>
        <v>Oscar Ramírez</v>
      </c>
      <c r="F3199" s="10" t="s">
        <v>2522</v>
      </c>
      <c r="G3199" s="11">
        <v>46092</v>
      </c>
    </row>
    <row r="3200" spans="1:7" ht="24.5" hidden="1" x14ac:dyDescent="0.35">
      <c r="A3200" s="8">
        <v>11367</v>
      </c>
      <c r="B3200" s="10" t="s">
        <v>5759</v>
      </c>
      <c r="C3200" s="10" t="s">
        <v>104</v>
      </c>
      <c r="D3200" s="9" t="s">
        <v>21</v>
      </c>
      <c r="E3200" s="9" t="str">
        <f>_xlfn.TEXTAFTER(Condiciones_acumuladas[[#This Row],[Descripción]], " ", -2)</f>
        <v>Oscar Ramírez</v>
      </c>
      <c r="F3200" s="10" t="s">
        <v>2522</v>
      </c>
      <c r="G3200" s="11">
        <v>46092</v>
      </c>
    </row>
    <row r="3201" spans="1:7" ht="36.5" hidden="1" x14ac:dyDescent="0.35">
      <c r="A3201" s="8">
        <v>11380</v>
      </c>
      <c r="B3201" s="10" t="s">
        <v>5760</v>
      </c>
      <c r="C3201" s="10" t="s">
        <v>134</v>
      </c>
      <c r="D3201" s="9" t="s">
        <v>21</v>
      </c>
      <c r="E3201" s="9" t="str">
        <f>_xlfn.TEXTAFTER(Condiciones_acumuladas[[#This Row],[Descripción]], " ", -2)</f>
        <v>Oscar Ramírez</v>
      </c>
      <c r="F3201" s="10" t="s">
        <v>2530</v>
      </c>
      <c r="G3201" s="11">
        <v>46092</v>
      </c>
    </row>
    <row r="3202" spans="1:7" ht="24.5" hidden="1" x14ac:dyDescent="0.35">
      <c r="A3202" s="8">
        <v>11353</v>
      </c>
      <c r="B3202" s="10" t="s">
        <v>5761</v>
      </c>
      <c r="C3202" s="10" t="s">
        <v>13</v>
      </c>
      <c r="D3202" s="9" t="s">
        <v>13</v>
      </c>
      <c r="E3202" s="9" t="str">
        <f>_xlfn.TEXTAFTER(Condiciones_acumuladas[[#This Row],[Descripción]], " ", -2)</f>
        <v>Oscar Ramírez</v>
      </c>
      <c r="F3202" s="10" t="s">
        <v>2522</v>
      </c>
      <c r="G3202" s="11">
        <v>46092</v>
      </c>
    </row>
    <row r="3203" spans="1:7" ht="36.5" hidden="1" x14ac:dyDescent="0.35">
      <c r="A3203" s="8">
        <v>11351</v>
      </c>
      <c r="B3203" s="10" t="s">
        <v>5762</v>
      </c>
      <c r="C3203" s="10" t="s">
        <v>13</v>
      </c>
      <c r="D3203" s="9" t="s">
        <v>13</v>
      </c>
      <c r="E3203" s="9" t="str">
        <f>_xlfn.TEXTAFTER(Condiciones_acumuladas[[#This Row],[Descripción]], " ", -2)</f>
        <v>Oscar Ramírez</v>
      </c>
      <c r="F3203" s="10" t="s">
        <v>2516</v>
      </c>
      <c r="G3203" s="11">
        <v>46092</v>
      </c>
    </row>
    <row r="3204" spans="1:7" ht="36.5" hidden="1" x14ac:dyDescent="0.35">
      <c r="A3204" s="8">
        <v>11434</v>
      </c>
      <c r="B3204" s="10" t="s">
        <v>5763</v>
      </c>
      <c r="C3204" s="10" t="s">
        <v>196</v>
      </c>
      <c r="D3204" s="9" t="s">
        <v>13</v>
      </c>
      <c r="E3204" s="9" t="str">
        <f>_xlfn.TEXTAFTER(Condiciones_acumuladas[[#This Row],[Descripción]], " ", -2)</f>
        <v>Oscar Ramírez</v>
      </c>
      <c r="F3204" s="10" t="s">
        <v>2525</v>
      </c>
      <c r="G3204" s="11">
        <v>46098</v>
      </c>
    </row>
    <row r="3205" spans="1:7" ht="36.5" hidden="1" x14ac:dyDescent="0.35">
      <c r="A3205" s="8">
        <v>11431</v>
      </c>
      <c r="B3205" s="10" t="s">
        <v>5764</v>
      </c>
      <c r="C3205" s="10" t="s">
        <v>250</v>
      </c>
      <c r="D3205" s="9" t="s">
        <v>21</v>
      </c>
      <c r="E3205" s="9" t="str">
        <f>_xlfn.TEXTAFTER(Condiciones_acumuladas[[#This Row],[Descripción]], " ", -2)</f>
        <v>Oscar Ramírez</v>
      </c>
      <c r="F3205" s="10" t="s">
        <v>2516</v>
      </c>
      <c r="G3205" s="11">
        <v>46098</v>
      </c>
    </row>
    <row r="3206" spans="1:7" ht="24.5" hidden="1" x14ac:dyDescent="0.35">
      <c r="A3206" s="8">
        <v>11430</v>
      </c>
      <c r="B3206" s="10" t="s">
        <v>5765</v>
      </c>
      <c r="C3206" s="10" t="s">
        <v>134</v>
      </c>
      <c r="D3206" s="9" t="s">
        <v>13</v>
      </c>
      <c r="E3206" s="9" t="str">
        <f>_xlfn.TEXTAFTER(Condiciones_acumuladas[[#This Row],[Descripción]], " ", -2)</f>
        <v>Oscar Ramírez</v>
      </c>
      <c r="F3206" s="10" t="s">
        <v>2522</v>
      </c>
      <c r="G3206" s="11">
        <v>46098</v>
      </c>
    </row>
    <row r="3207" spans="1:7" ht="36.5" hidden="1" x14ac:dyDescent="0.35">
      <c r="A3207" s="8">
        <v>11428</v>
      </c>
      <c r="B3207" s="10" t="s">
        <v>5766</v>
      </c>
      <c r="C3207" s="10" t="s">
        <v>134</v>
      </c>
      <c r="D3207" s="9" t="s">
        <v>21</v>
      </c>
      <c r="E3207" s="9" t="str">
        <f>_xlfn.TEXTAFTER(Condiciones_acumuladas[[#This Row],[Descripción]], " ", -2)</f>
        <v>Oscar Ramírez</v>
      </c>
      <c r="F3207" s="10" t="s">
        <v>2522</v>
      </c>
      <c r="G3207" s="11">
        <v>46098</v>
      </c>
    </row>
    <row r="3208" spans="1:7" ht="24.5" hidden="1" x14ac:dyDescent="0.35">
      <c r="A3208" s="8">
        <v>11423</v>
      </c>
      <c r="B3208" s="10" t="s">
        <v>5767</v>
      </c>
      <c r="C3208" s="10" t="s">
        <v>21</v>
      </c>
      <c r="D3208" s="9" t="s">
        <v>21</v>
      </c>
      <c r="E3208" s="9" t="str">
        <f>_xlfn.TEXTAFTER(Condiciones_acumuladas[[#This Row],[Descripción]], " ", -2)</f>
        <v>Oscar Ramírez</v>
      </c>
      <c r="F3208" s="10" t="s">
        <v>2522</v>
      </c>
      <c r="G3208" s="11">
        <v>46098</v>
      </c>
    </row>
    <row r="3209" spans="1:7" ht="48.5" hidden="1" x14ac:dyDescent="0.35">
      <c r="A3209" s="8">
        <v>11407</v>
      </c>
      <c r="B3209" s="10" t="s">
        <v>5768</v>
      </c>
      <c r="C3209" s="10" t="s">
        <v>21</v>
      </c>
      <c r="D3209" s="9" t="s">
        <v>21</v>
      </c>
      <c r="E3209" s="9" t="str">
        <f>_xlfn.TEXTAFTER(Condiciones_acumuladas[[#This Row],[Descripción]], " ", -2)</f>
        <v>Oscar Ramírez</v>
      </c>
      <c r="F3209" s="10" t="s">
        <v>2559</v>
      </c>
      <c r="G3209" s="11">
        <v>46094</v>
      </c>
    </row>
    <row r="3210" spans="1:7" ht="24.5" hidden="1" x14ac:dyDescent="0.35">
      <c r="A3210" s="8">
        <v>11408</v>
      </c>
      <c r="B3210" s="10" t="s">
        <v>5769</v>
      </c>
      <c r="C3210" s="10" t="s">
        <v>250</v>
      </c>
      <c r="D3210" s="9" t="s">
        <v>13</v>
      </c>
      <c r="E3210" s="9" t="str">
        <f>_xlfn.TEXTAFTER(Condiciones_acumuladas[[#This Row],[Descripción]], " ", -2)</f>
        <v>Oscar Ramírez</v>
      </c>
      <c r="F3210" s="10" t="s">
        <v>2834</v>
      </c>
      <c r="G3210" s="11">
        <v>46094</v>
      </c>
    </row>
    <row r="3211" spans="1:7" ht="36.5" hidden="1" x14ac:dyDescent="0.35">
      <c r="A3211" s="8">
        <v>11468</v>
      </c>
      <c r="B3211" s="10" t="s">
        <v>5770</v>
      </c>
      <c r="C3211" s="10" t="s">
        <v>13</v>
      </c>
      <c r="D3211" s="9" t="s">
        <v>13</v>
      </c>
      <c r="E3211" s="9" t="str">
        <f>_xlfn.TEXTAFTER(Condiciones_acumuladas[[#This Row],[Descripción]], " ", -2)</f>
        <v>Oscar Ramírez</v>
      </c>
      <c r="F3211" s="10" t="s">
        <v>2530</v>
      </c>
      <c r="G3211" s="11">
        <v>46100</v>
      </c>
    </row>
    <row r="3212" spans="1:7" ht="36.5" hidden="1" x14ac:dyDescent="0.35">
      <c r="A3212" s="8">
        <v>11462</v>
      </c>
      <c r="B3212" s="10" t="s">
        <v>5771</v>
      </c>
      <c r="C3212" s="10" t="s">
        <v>21</v>
      </c>
      <c r="D3212" s="9" t="s">
        <v>21</v>
      </c>
      <c r="E3212" s="9" t="str">
        <f>_xlfn.TEXTAFTER(Condiciones_acumuladas[[#This Row],[Descripción]], " ", -2)</f>
        <v>Oscar Ramírez</v>
      </c>
      <c r="F3212" s="10" t="s">
        <v>2522</v>
      </c>
      <c r="G3212" s="11">
        <v>46100</v>
      </c>
    </row>
    <row r="3213" spans="1:7" ht="24.5" hidden="1" x14ac:dyDescent="0.35">
      <c r="A3213" s="8">
        <v>11465</v>
      </c>
      <c r="B3213" s="10" t="s">
        <v>5772</v>
      </c>
      <c r="C3213" s="10" t="s">
        <v>21</v>
      </c>
      <c r="D3213" s="9" t="s">
        <v>13</v>
      </c>
      <c r="E3213" s="9" t="str">
        <f>_xlfn.TEXTAFTER(Condiciones_acumuladas[[#This Row],[Descripción]], " ", -2)</f>
        <v>Oscar Ramírez</v>
      </c>
      <c r="F3213" s="10" t="s">
        <v>2540</v>
      </c>
      <c r="G3213" s="11">
        <v>46100</v>
      </c>
    </row>
    <row r="3214" spans="1:7" ht="48.5" hidden="1" x14ac:dyDescent="0.35">
      <c r="A3214" s="8">
        <v>11490</v>
      </c>
      <c r="B3214" s="10" t="s">
        <v>5773</v>
      </c>
      <c r="C3214" s="10" t="s">
        <v>104</v>
      </c>
      <c r="D3214" s="9" t="s">
        <v>234</v>
      </c>
      <c r="E3214" s="9" t="str">
        <f>_xlfn.TEXTAFTER(Condiciones_acumuladas[[#This Row],[Descripción]], " ", -2)</f>
        <v>Bryan Nephtaly</v>
      </c>
      <c r="F3214" s="21" t="s">
        <v>2559</v>
      </c>
      <c r="G3214" s="23">
        <v>46104</v>
      </c>
    </row>
    <row r="3215" spans="1:7" ht="36.5" hidden="1" x14ac:dyDescent="0.35">
      <c r="A3215" s="8">
        <v>11360</v>
      </c>
      <c r="B3215" s="10" t="s">
        <v>5774</v>
      </c>
      <c r="C3215" s="10" t="s">
        <v>190</v>
      </c>
      <c r="D3215" s="9" t="s">
        <v>5655</v>
      </c>
      <c r="E3215" s="9" t="str">
        <f>_xlfn.TEXTAFTER(Condiciones_acumuladas[[#This Row],[Descripción]], " ", -2)</f>
        <v>Roy Luarca</v>
      </c>
      <c r="F3215" s="10" t="s">
        <v>2530</v>
      </c>
      <c r="G3215" s="11">
        <v>46092</v>
      </c>
    </row>
    <row r="3216" spans="1:7" ht="24.5" hidden="1" x14ac:dyDescent="0.35">
      <c r="A3216" s="8">
        <v>11304</v>
      </c>
      <c r="B3216" s="10" t="s">
        <v>5775</v>
      </c>
      <c r="C3216" s="10" t="s">
        <v>227</v>
      </c>
      <c r="D3216" s="9" t="s">
        <v>190</v>
      </c>
      <c r="E3216" s="9" t="str">
        <f>_xlfn.TEXTAFTER(Condiciones_acumuladas[[#This Row],[Descripción]], " ", -2)</f>
        <v>Walfred Guzmán</v>
      </c>
      <c r="F3216" s="21" t="s">
        <v>2522</v>
      </c>
      <c r="G3216" s="23">
        <v>46087</v>
      </c>
    </row>
    <row r="3217" spans="1:7" ht="24.5" hidden="1" x14ac:dyDescent="0.35">
      <c r="A3217" s="8">
        <v>11373</v>
      </c>
      <c r="B3217" s="10" t="s">
        <v>5776</v>
      </c>
      <c r="C3217" s="10" t="s">
        <v>190</v>
      </c>
      <c r="D3217" s="9" t="s">
        <v>190</v>
      </c>
      <c r="E3217" s="9" t="str">
        <f>_xlfn.TEXTAFTER(Condiciones_acumuladas[[#This Row],[Descripción]], " ", -2)</f>
        <v>Walfred Guzmán</v>
      </c>
      <c r="F3217" s="10" t="s">
        <v>2522</v>
      </c>
      <c r="G3217" s="11">
        <v>46092</v>
      </c>
    </row>
    <row r="3218" spans="1:7" ht="24.5" hidden="1" x14ac:dyDescent="0.35">
      <c r="A3218" s="8">
        <v>11365</v>
      </c>
      <c r="B3218" s="10" t="s">
        <v>5777</v>
      </c>
      <c r="C3218" s="10" t="s">
        <v>190</v>
      </c>
      <c r="D3218" s="9" t="s">
        <v>190</v>
      </c>
      <c r="E3218" s="9" t="str">
        <f>_xlfn.TEXTAFTER(Condiciones_acumuladas[[#This Row],[Descripción]], " ", -2)</f>
        <v>Walfred Guzmán</v>
      </c>
      <c r="F3218" s="10" t="s">
        <v>2522</v>
      </c>
      <c r="G3218" s="11">
        <v>46092</v>
      </c>
    </row>
    <row r="3219" spans="1:7" ht="24.5" hidden="1" x14ac:dyDescent="0.35">
      <c r="A3219" s="8">
        <v>11288</v>
      </c>
      <c r="B3219" s="10" t="s">
        <v>5778</v>
      </c>
      <c r="C3219" s="10" t="s">
        <v>134</v>
      </c>
      <c r="D3219" s="9" t="s">
        <v>395</v>
      </c>
      <c r="E3219" s="9" t="str">
        <f>_xlfn.TEXTAFTER(Condiciones_acumuladas[[#This Row],[Descripción]], " ", -2)</f>
        <v>Yessica Guarcas</v>
      </c>
      <c r="F3219" s="21" t="s">
        <v>2834</v>
      </c>
      <c r="G3219" s="23">
        <v>46085</v>
      </c>
    </row>
    <row r="3220" spans="1:7" ht="24.5" hidden="1" x14ac:dyDescent="0.35">
      <c r="A3220" s="8">
        <v>11283</v>
      </c>
      <c r="B3220" s="10" t="s">
        <v>5779</v>
      </c>
      <c r="C3220" s="10" t="s">
        <v>104</v>
      </c>
      <c r="D3220" s="9" t="s">
        <v>395</v>
      </c>
      <c r="E3220" s="9" t="str">
        <f>_xlfn.TEXTAFTER(Condiciones_acumuladas[[#This Row],[Descripción]], " ", -2)</f>
        <v>Yessica Guarcas</v>
      </c>
      <c r="F3220" s="21" t="s">
        <v>2522</v>
      </c>
      <c r="G3220" s="23">
        <v>46085</v>
      </c>
    </row>
    <row r="3221" spans="1:7" ht="36.5" hidden="1" x14ac:dyDescent="0.35">
      <c r="A3221" s="8">
        <v>11514</v>
      </c>
      <c r="B3221" s="10" t="s">
        <v>5780</v>
      </c>
      <c r="C3221" s="10" t="s">
        <v>234</v>
      </c>
      <c r="D3221" s="9" t="s">
        <v>190</v>
      </c>
      <c r="E3221" s="9" t="str">
        <f>_xlfn.TEXTAFTER(Condiciones_acumuladas[[#This Row],[Descripción]], " ", -2)</f>
        <v>Elvis Oliva</v>
      </c>
      <c r="F3221" s="21" t="s">
        <v>2715</v>
      </c>
      <c r="G3221" s="23">
        <v>46101</v>
      </c>
    </row>
    <row r="3222" spans="1:7" ht="24.5" hidden="1" x14ac:dyDescent="0.35">
      <c r="A3222" s="8">
        <v>11513</v>
      </c>
      <c r="B3222" s="10" t="s">
        <v>5781</v>
      </c>
      <c r="C3222" s="10" t="s">
        <v>13</v>
      </c>
      <c r="D3222" s="9" t="s">
        <v>190</v>
      </c>
      <c r="E3222" s="9" t="str">
        <f>_xlfn.TEXTAFTER(Condiciones_acumuladas[[#This Row],[Descripción]], " ", -2)</f>
        <v>Ariel Cua</v>
      </c>
      <c r="F3222" s="21" t="s">
        <v>2540</v>
      </c>
      <c r="G3222" s="23">
        <v>46106</v>
      </c>
    </row>
    <row r="3223" spans="1:7" ht="48.5" hidden="1" x14ac:dyDescent="0.35">
      <c r="A3223" s="8">
        <v>11512</v>
      </c>
      <c r="B3223" s="10" t="s">
        <v>5782</v>
      </c>
      <c r="C3223" s="10" t="s">
        <v>278</v>
      </c>
      <c r="D3223" s="9" t="s">
        <v>190</v>
      </c>
      <c r="E3223" s="9" t="str">
        <f>_xlfn.TEXTAFTER(Condiciones_acumuladas[[#This Row],[Descripción]], " ", -2)</f>
        <v>Edson Bonifacio</v>
      </c>
      <c r="F3223" s="21" t="s">
        <v>2559</v>
      </c>
      <c r="G3223" s="23">
        <v>46105</v>
      </c>
    </row>
    <row r="3224" spans="1:7" ht="48.5" hidden="1" x14ac:dyDescent="0.35">
      <c r="A3224" s="8">
        <v>11511</v>
      </c>
      <c r="B3224" s="10" t="s">
        <v>5783</v>
      </c>
      <c r="C3224" s="10" t="s">
        <v>21</v>
      </c>
      <c r="D3224" s="9" t="s">
        <v>21</v>
      </c>
      <c r="E3224" s="9" t="str">
        <f>_xlfn.TEXTAFTER(Condiciones_acumuladas[[#This Row],[Descripción]], " ", -2)</f>
        <v>Oscar Ramírez</v>
      </c>
      <c r="F3224" s="21" t="s">
        <v>2559</v>
      </c>
      <c r="G3224" s="23">
        <v>46105</v>
      </c>
    </row>
    <row r="3225" spans="1:7" ht="36.5" hidden="1" x14ac:dyDescent="0.35">
      <c r="A3225" s="8">
        <v>11510</v>
      </c>
      <c r="B3225" s="10" t="s">
        <v>5784</v>
      </c>
      <c r="C3225" s="10" t="s">
        <v>250</v>
      </c>
      <c r="D3225" s="9" t="s">
        <v>371</v>
      </c>
      <c r="E3225" s="9" t="str">
        <f>_xlfn.TEXTAFTER(Condiciones_acumuladas[[#This Row],[Descripción]], " ", -2)</f>
        <v>Rodrigo Galindo</v>
      </c>
      <c r="F3225" s="21" t="s">
        <v>2525</v>
      </c>
      <c r="G3225" s="23">
        <v>46106</v>
      </c>
    </row>
    <row r="3226" spans="1:7" ht="24.5" hidden="1" x14ac:dyDescent="0.35">
      <c r="A3226" s="8">
        <v>11509</v>
      </c>
      <c r="B3226" s="10" t="s">
        <v>5785</v>
      </c>
      <c r="C3226" s="10" t="s">
        <v>196</v>
      </c>
      <c r="D3226" s="9" t="s">
        <v>196</v>
      </c>
      <c r="E3226" s="9" t="str">
        <f>_xlfn.TEXTAFTER(Condiciones_acumuladas[[#This Row],[Descripción]], " ", -2)</f>
        <v>Jaime Chex</v>
      </c>
      <c r="F3226" s="21" t="s">
        <v>2537</v>
      </c>
      <c r="G3226" s="23">
        <v>46106</v>
      </c>
    </row>
    <row r="3227" spans="1:7" ht="24.5" hidden="1" x14ac:dyDescent="0.35">
      <c r="A3227" s="8">
        <v>11508</v>
      </c>
      <c r="B3227" s="10" t="s">
        <v>5786</v>
      </c>
      <c r="C3227" s="10" t="s">
        <v>95</v>
      </c>
      <c r="D3227" s="9" t="s">
        <v>95</v>
      </c>
      <c r="E3227" s="9" t="str">
        <f>_xlfn.TEXTAFTER(Condiciones_acumuladas[[#This Row],[Descripción]], " ", -2)</f>
        <v>Nelson Godínez</v>
      </c>
      <c r="F3227" s="21" t="s">
        <v>2522</v>
      </c>
      <c r="G3227" s="23">
        <v>46106</v>
      </c>
    </row>
    <row r="3228" spans="1:7" ht="24.5" hidden="1" x14ac:dyDescent="0.35">
      <c r="A3228" s="8">
        <v>11507</v>
      </c>
      <c r="B3228" s="10" t="s">
        <v>5787</v>
      </c>
      <c r="C3228" s="10" t="s">
        <v>134</v>
      </c>
      <c r="D3228" s="9" t="s">
        <v>134</v>
      </c>
      <c r="E3228" s="9" t="str">
        <f>_xlfn.TEXTAFTER(Condiciones_acumuladas[[#This Row],[Descripción]], " ", -2)</f>
        <v>Hugo Oliva</v>
      </c>
      <c r="F3228" s="21" t="s">
        <v>2522</v>
      </c>
      <c r="G3228" s="23">
        <v>46106</v>
      </c>
    </row>
    <row r="3229" spans="1:7" ht="24.5" hidden="1" x14ac:dyDescent="0.35">
      <c r="A3229" s="8">
        <v>11506</v>
      </c>
      <c r="B3229" s="10" t="s">
        <v>5788</v>
      </c>
      <c r="C3229" s="10" t="s">
        <v>220</v>
      </c>
      <c r="D3229" s="9" t="s">
        <v>371</v>
      </c>
      <c r="E3229" s="9" t="str">
        <f>_xlfn.TEXTAFTER(Condiciones_acumuladas[[#This Row],[Descripción]], " ", -2)</f>
        <v>Josué Lepe</v>
      </c>
      <c r="F3229" s="21" t="s">
        <v>2522</v>
      </c>
      <c r="G3229" s="23">
        <v>46106</v>
      </c>
    </row>
    <row r="3230" spans="1:7" ht="24.5" hidden="1" x14ac:dyDescent="0.35">
      <c r="A3230" s="8">
        <v>11505</v>
      </c>
      <c r="B3230" s="10" t="s">
        <v>5789</v>
      </c>
      <c r="C3230" s="10" t="s">
        <v>96</v>
      </c>
      <c r="D3230" s="9" t="s">
        <v>96</v>
      </c>
      <c r="E3230" s="9" t="str">
        <f>_xlfn.TEXTAFTER(Condiciones_acumuladas[[#This Row],[Descripción]], " ", -2)</f>
        <v>Isabel Sequila</v>
      </c>
      <c r="F3230" s="21" t="s">
        <v>2522</v>
      </c>
      <c r="G3230" s="23">
        <v>46106</v>
      </c>
    </row>
    <row r="3231" spans="1:7" ht="36.5" hidden="1" x14ac:dyDescent="0.35">
      <c r="A3231" s="8">
        <v>11504</v>
      </c>
      <c r="B3231" s="10" t="s">
        <v>5790</v>
      </c>
      <c r="C3231" s="10" t="s">
        <v>21</v>
      </c>
      <c r="D3231" s="9" t="s">
        <v>190</v>
      </c>
      <c r="E3231" s="9" t="str">
        <f>_xlfn.TEXTAFTER(Condiciones_acumuladas[[#This Row],[Descripción]], " ", -2)</f>
        <v>Edson Bonifacio</v>
      </c>
      <c r="F3231" s="21" t="s">
        <v>2516</v>
      </c>
      <c r="G3231" s="23">
        <v>46106</v>
      </c>
    </row>
    <row r="3232" spans="1:7" ht="36.5" hidden="1" x14ac:dyDescent="0.35">
      <c r="A3232" s="8">
        <v>11503</v>
      </c>
      <c r="B3232" s="10" t="s">
        <v>5791</v>
      </c>
      <c r="C3232" s="10" t="s">
        <v>95</v>
      </c>
      <c r="D3232" s="9" t="s">
        <v>95</v>
      </c>
      <c r="E3232" s="9" t="str">
        <f>_xlfn.TEXTAFTER(Condiciones_acumuladas[[#This Row],[Descripción]], " ", -2)</f>
        <v>Domingo Yac</v>
      </c>
      <c r="F3232" s="21" t="s">
        <v>2516</v>
      </c>
      <c r="G3232" s="23">
        <v>46106</v>
      </c>
    </row>
    <row r="3233" spans="1:7" ht="24.5" hidden="1" x14ac:dyDescent="0.35">
      <c r="A3233" s="8">
        <v>11502</v>
      </c>
      <c r="B3233" s="10" t="s">
        <v>5792</v>
      </c>
      <c r="C3233" s="10" t="s">
        <v>196</v>
      </c>
      <c r="D3233" s="9" t="s">
        <v>190</v>
      </c>
      <c r="E3233" s="9" t="str">
        <f>_xlfn.TEXTAFTER(Condiciones_acumuladas[[#This Row],[Descripción]], " ", -2)</f>
        <v>Dennis DeLeón</v>
      </c>
      <c r="F3233" s="21" t="s">
        <v>2540</v>
      </c>
      <c r="G3233" s="23">
        <v>46105</v>
      </c>
    </row>
    <row r="3234" spans="1:7" ht="36.5" hidden="1" x14ac:dyDescent="0.35">
      <c r="A3234" s="8">
        <v>11501</v>
      </c>
      <c r="B3234" s="10" t="s">
        <v>5793</v>
      </c>
      <c r="C3234" s="10" t="s">
        <v>395</v>
      </c>
      <c r="D3234" s="9" t="s">
        <v>395</v>
      </c>
      <c r="E3234" s="9" t="str">
        <f>_xlfn.TEXTAFTER(Condiciones_acumuladas[[#This Row],[Descripción]], " ", -2)</f>
        <v>Josué Vásquez</v>
      </c>
      <c r="F3234" s="21" t="s">
        <v>2525</v>
      </c>
      <c r="G3234" s="23">
        <v>46105</v>
      </c>
    </row>
    <row r="3235" spans="1:7" ht="36.5" hidden="1" x14ac:dyDescent="0.35">
      <c r="A3235" s="8">
        <v>11500</v>
      </c>
      <c r="B3235" s="10" t="s">
        <v>5794</v>
      </c>
      <c r="C3235" s="10" t="s">
        <v>96</v>
      </c>
      <c r="D3235" s="9" t="s">
        <v>395</v>
      </c>
      <c r="E3235" s="9" t="str">
        <f>_xlfn.TEXTAFTER(Condiciones_acumuladas[[#This Row],[Descripción]], " ", -2)</f>
        <v>German Orozco</v>
      </c>
      <c r="F3235" s="21" t="s">
        <v>2516</v>
      </c>
      <c r="G3235" s="23">
        <v>46105</v>
      </c>
    </row>
    <row r="3236" spans="1:7" ht="48.5" hidden="1" x14ac:dyDescent="0.35">
      <c r="A3236" s="8">
        <v>11499</v>
      </c>
      <c r="B3236" s="10" t="s">
        <v>5795</v>
      </c>
      <c r="C3236" s="10" t="s">
        <v>96</v>
      </c>
      <c r="D3236" s="9" t="s">
        <v>395</v>
      </c>
      <c r="E3236" s="9" t="str">
        <f>_xlfn.TEXTAFTER(Condiciones_acumuladas[[#This Row],[Descripción]], " ", -2)</f>
        <v>German Orozco</v>
      </c>
      <c r="F3236" s="21" t="s">
        <v>2559</v>
      </c>
      <c r="G3236" s="23">
        <v>46105</v>
      </c>
    </row>
    <row r="3237" spans="1:7" ht="36.5" hidden="1" x14ac:dyDescent="0.35">
      <c r="A3237" s="8">
        <v>11497</v>
      </c>
      <c r="B3237" s="10" t="s">
        <v>5796</v>
      </c>
      <c r="C3237" s="10" t="s">
        <v>104</v>
      </c>
      <c r="D3237" s="9" t="s">
        <v>104</v>
      </c>
      <c r="E3237" s="9" t="str">
        <f>_xlfn.TEXTAFTER(Condiciones_acumuladas[[#This Row],[Descripción]], " ", -2)</f>
        <v>Obdulio Saquic</v>
      </c>
      <c r="F3237" s="21" t="s">
        <v>2530</v>
      </c>
      <c r="G3237" s="23">
        <v>46105</v>
      </c>
    </row>
    <row r="3238" spans="1:7" ht="48.5" hidden="1" x14ac:dyDescent="0.35">
      <c r="A3238" s="8">
        <v>11496</v>
      </c>
      <c r="B3238" s="10" t="s">
        <v>5797</v>
      </c>
      <c r="C3238" s="10" t="s">
        <v>134</v>
      </c>
      <c r="D3238" s="9" t="s">
        <v>134</v>
      </c>
      <c r="E3238" s="9" t="str">
        <f>_xlfn.TEXTAFTER(Condiciones_acumuladas[[#This Row],[Descripción]], " ", -2)</f>
        <v xml:space="preserve">Alfonso Guatzin
</v>
      </c>
      <c r="F3238" s="21" t="s">
        <v>2559</v>
      </c>
      <c r="G3238" s="23">
        <v>46104</v>
      </c>
    </row>
    <row r="3239" spans="1:7" ht="24.5" hidden="1" x14ac:dyDescent="0.35">
      <c r="A3239" s="8">
        <v>11492</v>
      </c>
      <c r="B3239" s="10" t="s">
        <v>5798</v>
      </c>
      <c r="C3239" s="10" t="s">
        <v>134</v>
      </c>
      <c r="D3239" s="9" t="s">
        <v>134</v>
      </c>
      <c r="E3239" s="9" t="str">
        <f>_xlfn.TEXTAFTER(Condiciones_acumuladas[[#This Row],[Descripción]], " ", -2)</f>
        <v>Alfonso Guatzin</v>
      </c>
      <c r="F3239" s="21" t="s">
        <v>2522</v>
      </c>
      <c r="G3239" s="23">
        <v>46093</v>
      </c>
    </row>
    <row r="3240" spans="1:7" ht="48.5" hidden="1" x14ac:dyDescent="0.35">
      <c r="A3240" s="8">
        <v>11515</v>
      </c>
      <c r="B3240" s="10" t="s">
        <v>5799</v>
      </c>
      <c r="C3240" s="10" t="s">
        <v>196</v>
      </c>
      <c r="D3240" s="9" t="s">
        <v>104</v>
      </c>
      <c r="E3240" s="9" t="str">
        <f>_xlfn.TEXTAFTER(Condiciones_acumuladas[[#This Row],[Descripción]], " ", -2)</f>
        <v>Obdulio Saquic</v>
      </c>
      <c r="F3240" s="21" t="s">
        <v>2559</v>
      </c>
      <c r="G3240" s="23">
        <v>46106</v>
      </c>
    </row>
    <row r="3241" spans="1:7" ht="36.5" hidden="1" x14ac:dyDescent="0.35">
      <c r="A3241" s="8">
        <v>11530</v>
      </c>
      <c r="B3241" s="10" t="s">
        <v>5800</v>
      </c>
      <c r="C3241" s="10" t="s">
        <v>220</v>
      </c>
      <c r="D3241" s="9" t="s">
        <v>395</v>
      </c>
      <c r="E3241" s="9" t="str">
        <f>_xlfn.TEXTAFTER(Condiciones_acumuladas[[#This Row],[Descripción]], " ", -2)</f>
        <v>Antony Ramos</v>
      </c>
      <c r="F3241" s="21" t="s">
        <v>2572</v>
      </c>
      <c r="G3241" s="23">
        <v>46107</v>
      </c>
    </row>
    <row r="3242" spans="1:7" ht="36.5" hidden="1" x14ac:dyDescent="0.35">
      <c r="A3242" s="8">
        <v>11529</v>
      </c>
      <c r="B3242" s="10" t="s">
        <v>5801</v>
      </c>
      <c r="C3242" s="10" t="s">
        <v>234</v>
      </c>
      <c r="D3242" s="9" t="s">
        <v>278</v>
      </c>
      <c r="E3242" s="9" t="str">
        <f>_xlfn.TEXTAFTER(Condiciones_acumuladas[[#This Row],[Descripción]], " ", -2)</f>
        <v>Fredy Fuentes</v>
      </c>
      <c r="F3242" s="21" t="s">
        <v>2540</v>
      </c>
      <c r="G3242" s="23">
        <v>46107</v>
      </c>
    </row>
    <row r="3243" spans="1:7" ht="36.5" hidden="1" x14ac:dyDescent="0.35">
      <c r="A3243" s="8">
        <v>11527</v>
      </c>
      <c r="B3243" s="10" t="s">
        <v>5802</v>
      </c>
      <c r="C3243" s="10" t="s">
        <v>96</v>
      </c>
      <c r="D3243" s="9" t="s">
        <v>95</v>
      </c>
      <c r="E3243" s="9" t="str">
        <f>_xlfn.TEXTAFTER(Condiciones_acumuladas[[#This Row],[Descripción]], " ", -2)</f>
        <v>Nelson Godínez</v>
      </c>
      <c r="F3243" s="21" t="s">
        <v>2516</v>
      </c>
      <c r="G3243" s="23">
        <v>46106</v>
      </c>
    </row>
    <row r="3244" spans="1:7" ht="36.5" hidden="1" x14ac:dyDescent="0.35">
      <c r="A3244" s="8">
        <v>11528</v>
      </c>
      <c r="B3244" s="10" t="s">
        <v>5803</v>
      </c>
      <c r="C3244" s="10" t="s">
        <v>196</v>
      </c>
      <c r="D3244" s="9" t="s">
        <v>395</v>
      </c>
      <c r="E3244" s="9" t="str">
        <f>_xlfn.TEXTAFTER(Condiciones_acumuladas[[#This Row],[Descripción]], " ", -2)</f>
        <v>Daniel Pineda</v>
      </c>
      <c r="F3244" s="21" t="s">
        <v>2522</v>
      </c>
      <c r="G3244" s="23">
        <v>46106</v>
      </c>
    </row>
    <row r="3245" spans="1:7" ht="36.5" hidden="1" x14ac:dyDescent="0.35">
      <c r="A3245" s="8">
        <v>11525</v>
      </c>
      <c r="B3245" s="10" t="s">
        <v>5804</v>
      </c>
      <c r="C3245" s="10" t="s">
        <v>21</v>
      </c>
      <c r="D3245" s="9" t="s">
        <v>395</v>
      </c>
      <c r="E3245" s="9" t="str">
        <f>_xlfn.TEXTAFTER(Condiciones_acumuladas[[#This Row],[Descripción]], " ", -2)</f>
        <v>Daniel Pineda</v>
      </c>
      <c r="F3245" s="21" t="s">
        <v>2525</v>
      </c>
      <c r="G3245" s="23">
        <v>46106</v>
      </c>
    </row>
    <row r="3246" spans="1:7" ht="24.5" hidden="1" x14ac:dyDescent="0.35">
      <c r="A3246" s="8">
        <v>11526</v>
      </c>
      <c r="B3246" s="10" t="s">
        <v>5805</v>
      </c>
      <c r="C3246" s="10" t="s">
        <v>21</v>
      </c>
      <c r="D3246" s="9" t="s">
        <v>395</v>
      </c>
      <c r="E3246" s="9" t="str">
        <f>_xlfn.TEXTAFTER(Condiciones_acumuladas[[#This Row],[Descripción]], " ", -2)</f>
        <v>Daniel Pineda</v>
      </c>
      <c r="F3246" s="21" t="s">
        <v>2522</v>
      </c>
      <c r="G3246" s="23">
        <v>46106</v>
      </c>
    </row>
    <row r="3247" spans="1:7" ht="36.5" hidden="1" x14ac:dyDescent="0.35">
      <c r="A3247" s="8">
        <v>11524</v>
      </c>
      <c r="B3247" s="10" t="s">
        <v>5806</v>
      </c>
      <c r="C3247" s="10" t="s">
        <v>395</v>
      </c>
      <c r="D3247" s="9" t="s">
        <v>395</v>
      </c>
      <c r="E3247" s="9" t="str">
        <f>_xlfn.TEXTAFTER(Condiciones_acumuladas[[#This Row],[Descripción]], " ", -2)</f>
        <v>Josué Vásquez</v>
      </c>
      <c r="F3247" s="21" t="s">
        <v>2525</v>
      </c>
      <c r="G3247" s="23">
        <v>46106</v>
      </c>
    </row>
    <row r="3248" spans="1:7" ht="36.5" hidden="1" x14ac:dyDescent="0.35">
      <c r="A3248" s="8">
        <v>11523</v>
      </c>
      <c r="B3248" s="10" t="s">
        <v>5807</v>
      </c>
      <c r="C3248" s="10" t="s">
        <v>395</v>
      </c>
      <c r="D3248" s="9" t="s">
        <v>395</v>
      </c>
      <c r="E3248" s="9" t="str">
        <f>_xlfn.TEXTAFTER(Condiciones_acumuladas[[#This Row],[Descripción]], " ", -2)</f>
        <v>Josué Vásquez</v>
      </c>
      <c r="F3248" s="21" t="s">
        <v>2525</v>
      </c>
      <c r="G3248" s="23">
        <v>46106</v>
      </c>
    </row>
    <row r="3249" spans="1:7" ht="36.5" hidden="1" x14ac:dyDescent="0.35">
      <c r="A3249" s="8">
        <v>11558</v>
      </c>
      <c r="B3249" s="10" t="s">
        <v>5808</v>
      </c>
      <c r="C3249" s="10" t="s">
        <v>134</v>
      </c>
      <c r="D3249" s="9" t="s">
        <v>395</v>
      </c>
      <c r="E3249" s="9" t="str">
        <f>_xlfn.TEXTAFTER(Condiciones_acumuladas[[#This Row],[Descripción]], " ", -2)</f>
        <v>German Orozco</v>
      </c>
      <c r="F3249" s="21" t="s">
        <v>2530</v>
      </c>
      <c r="G3249" s="23">
        <v>46111</v>
      </c>
    </row>
    <row r="3250" spans="1:7" ht="48.5" hidden="1" x14ac:dyDescent="0.35">
      <c r="A3250" s="8">
        <v>11559</v>
      </c>
      <c r="B3250" s="10" t="s">
        <v>5809</v>
      </c>
      <c r="C3250" s="10" t="s">
        <v>96</v>
      </c>
      <c r="D3250" s="9" t="s">
        <v>395</v>
      </c>
      <c r="E3250" s="9" t="str">
        <f>_xlfn.TEXTAFTER(Condiciones_acumuladas[[#This Row],[Descripción]], " ", -2)</f>
        <v>German Orozco</v>
      </c>
      <c r="F3250" s="21" t="s">
        <v>2559</v>
      </c>
      <c r="G3250" s="23">
        <v>46111</v>
      </c>
    </row>
    <row r="3251" spans="1:7" ht="36.5" hidden="1" x14ac:dyDescent="0.35">
      <c r="A3251" s="8">
        <v>11557</v>
      </c>
      <c r="B3251" s="10" t="s">
        <v>5810</v>
      </c>
      <c r="C3251" s="10" t="s">
        <v>395</v>
      </c>
      <c r="D3251" s="9" t="s">
        <v>395</v>
      </c>
      <c r="E3251" s="9" t="str">
        <f>_xlfn.TEXTAFTER(Condiciones_acumuladas[[#This Row],[Descripción]], " ", -2)</f>
        <v>German Orozco</v>
      </c>
      <c r="F3251" s="21" t="s">
        <v>2525</v>
      </c>
      <c r="G3251" s="23">
        <v>46111</v>
      </c>
    </row>
    <row r="3252" spans="1:7" ht="48.5" hidden="1" x14ac:dyDescent="0.35">
      <c r="A3252" s="8">
        <v>11556</v>
      </c>
      <c r="B3252" s="10" t="s">
        <v>5811</v>
      </c>
      <c r="C3252" s="10" t="s">
        <v>196</v>
      </c>
      <c r="D3252" s="9" t="s">
        <v>395</v>
      </c>
      <c r="E3252" s="9" t="str">
        <f>_xlfn.TEXTAFTER(Condiciones_acumuladas[[#This Row],[Descripción]], " ", -2)</f>
        <v>Abraham Quiej</v>
      </c>
      <c r="F3252" s="21" t="s">
        <v>2559</v>
      </c>
      <c r="G3252" s="23">
        <v>46111</v>
      </c>
    </row>
    <row r="3253" spans="1:7" ht="36.5" hidden="1" x14ac:dyDescent="0.35">
      <c r="A3253" s="8">
        <v>11555</v>
      </c>
      <c r="B3253" s="10" t="s">
        <v>5812</v>
      </c>
      <c r="C3253" s="10" t="s">
        <v>196</v>
      </c>
      <c r="D3253" s="9" t="s">
        <v>395</v>
      </c>
      <c r="E3253" s="9" t="str">
        <f>_xlfn.TEXTAFTER(Condiciones_acumuladas[[#This Row],[Descripción]], " ", -2)</f>
        <v>German Orozco</v>
      </c>
      <c r="F3253" s="21" t="s">
        <v>2530</v>
      </c>
      <c r="G3253" s="23">
        <v>46111</v>
      </c>
    </row>
    <row r="3254" spans="1:7" ht="24.5" hidden="1" x14ac:dyDescent="0.35">
      <c r="A3254" s="8">
        <v>11554</v>
      </c>
      <c r="B3254" s="10" t="s">
        <v>5813</v>
      </c>
      <c r="C3254" s="10" t="s">
        <v>96</v>
      </c>
      <c r="D3254" s="9" t="s">
        <v>96</v>
      </c>
      <c r="E3254" s="9" t="str">
        <f>_xlfn.TEXTAFTER(Condiciones_acumuladas[[#This Row],[Descripción]], " ", -2)</f>
        <v>Bladimir López</v>
      </c>
      <c r="F3254" s="21" t="s">
        <v>2537</v>
      </c>
      <c r="G3254" s="23">
        <v>46111</v>
      </c>
    </row>
    <row r="3255" spans="1:7" ht="48.5" hidden="1" x14ac:dyDescent="0.35">
      <c r="A3255" s="8">
        <v>11553</v>
      </c>
      <c r="B3255" s="10" t="s">
        <v>5814</v>
      </c>
      <c r="C3255" s="10" t="s">
        <v>13</v>
      </c>
      <c r="D3255" s="9" t="s">
        <v>13</v>
      </c>
      <c r="E3255" s="9" t="str">
        <f>_xlfn.TEXTAFTER(Condiciones_acumuladas[[#This Row],[Descripción]], " ", -2)</f>
        <v>Oscar Ramírez</v>
      </c>
      <c r="F3255" s="21" t="s">
        <v>2559</v>
      </c>
      <c r="G3255" s="23">
        <v>46111</v>
      </c>
    </row>
    <row r="3256" spans="1:7" ht="24.5" hidden="1" x14ac:dyDescent="0.35">
      <c r="A3256" s="8">
        <v>11552</v>
      </c>
      <c r="B3256" s="10" t="s">
        <v>5815</v>
      </c>
      <c r="C3256" s="10" t="s">
        <v>26</v>
      </c>
      <c r="D3256" s="9" t="s">
        <v>95</v>
      </c>
      <c r="E3256" s="9" t="str">
        <f>_xlfn.TEXTAFTER(Condiciones_acumuladas[[#This Row],[Descripción]], " ", -2)</f>
        <v>Juan Hernández</v>
      </c>
      <c r="F3256" s="21" t="s">
        <v>2540</v>
      </c>
      <c r="G3256" s="23">
        <v>46111</v>
      </c>
    </row>
    <row r="3257" spans="1:7" ht="36.5" hidden="1" x14ac:dyDescent="0.35">
      <c r="A3257" s="8">
        <v>11551</v>
      </c>
      <c r="B3257" s="10" t="s">
        <v>5816</v>
      </c>
      <c r="C3257" s="10" t="s">
        <v>21</v>
      </c>
      <c r="D3257" s="9" t="s">
        <v>21</v>
      </c>
      <c r="E3257" s="9" t="str">
        <f>_xlfn.TEXTAFTER(Condiciones_acumuladas[[#This Row],[Descripción]], " ", -2)</f>
        <v>Haydée Morales</v>
      </c>
      <c r="F3257" s="21" t="s">
        <v>2540</v>
      </c>
      <c r="G3257" s="23">
        <v>46110</v>
      </c>
    </row>
    <row r="3258" spans="1:7" ht="36.5" hidden="1" x14ac:dyDescent="0.35">
      <c r="A3258" s="8">
        <v>11550</v>
      </c>
      <c r="B3258" s="10" t="s">
        <v>5817</v>
      </c>
      <c r="C3258" s="10" t="s">
        <v>13</v>
      </c>
      <c r="D3258" s="9" t="s">
        <v>13</v>
      </c>
      <c r="E3258" s="9" t="str">
        <f>_xlfn.TEXTAFTER(Condiciones_acumuladas[[#This Row],[Descripción]], " ", -2)</f>
        <v>Gustavo Hernández</v>
      </c>
      <c r="F3258" s="21" t="s">
        <v>2522</v>
      </c>
      <c r="G3258" s="23">
        <v>46109</v>
      </c>
    </row>
    <row r="3259" spans="1:7" ht="24.5" hidden="1" x14ac:dyDescent="0.35">
      <c r="A3259" s="8">
        <v>11549</v>
      </c>
      <c r="B3259" s="10" t="s">
        <v>5818</v>
      </c>
      <c r="C3259" s="10" t="s">
        <v>21</v>
      </c>
      <c r="D3259" s="9" t="s">
        <v>21</v>
      </c>
      <c r="E3259" s="9" t="str">
        <f>_xlfn.TEXTAFTER(Condiciones_acumuladas[[#This Row],[Descripción]], " ", -2)</f>
        <v xml:space="preserve">Gustavo </v>
      </c>
      <c r="F3259" s="21" t="s">
        <v>2522</v>
      </c>
      <c r="G3259" s="23">
        <v>46108</v>
      </c>
    </row>
    <row r="3260" spans="1:7" ht="48.5" hidden="1" x14ac:dyDescent="0.35">
      <c r="A3260" s="8">
        <v>11548</v>
      </c>
      <c r="B3260" s="10" t="s">
        <v>5819</v>
      </c>
      <c r="C3260" s="10" t="s">
        <v>96</v>
      </c>
      <c r="D3260" s="9" t="s">
        <v>395</v>
      </c>
      <c r="E3260" s="9" t="str">
        <f>_xlfn.TEXTAFTER(Condiciones_acumuladas[[#This Row],[Descripción]], " ", -2)</f>
        <v>Abraham Quiej</v>
      </c>
      <c r="F3260" s="21" t="s">
        <v>2559</v>
      </c>
      <c r="G3260" s="23">
        <v>46108</v>
      </c>
    </row>
    <row r="3261" spans="1:7" ht="36.5" hidden="1" x14ac:dyDescent="0.35">
      <c r="A3261" s="8">
        <v>11547</v>
      </c>
      <c r="B3261" s="10" t="s">
        <v>5820</v>
      </c>
      <c r="C3261" s="10" t="s">
        <v>278</v>
      </c>
      <c r="D3261" s="9" t="s">
        <v>278</v>
      </c>
      <c r="E3261" s="9" t="str">
        <f>_xlfn.TEXTAFTER(Condiciones_acumuladas[[#This Row],[Descripción]], " ", -2)</f>
        <v>Jason Calderón</v>
      </c>
      <c r="F3261" s="21" t="s">
        <v>2572</v>
      </c>
      <c r="G3261" s="23">
        <v>46108</v>
      </c>
    </row>
    <row r="3262" spans="1:7" ht="36.5" hidden="1" x14ac:dyDescent="0.35">
      <c r="A3262" s="8">
        <v>11545</v>
      </c>
      <c r="B3262" s="10" t="s">
        <v>5821</v>
      </c>
      <c r="C3262" s="10" t="s">
        <v>371</v>
      </c>
      <c r="D3262" s="9" t="s">
        <v>395</v>
      </c>
      <c r="E3262" s="9" t="str">
        <f>_xlfn.TEXTAFTER(Condiciones_acumuladas[[#This Row],[Descripción]], " ", -2)</f>
        <v>Yessica Guarcas</v>
      </c>
      <c r="F3262" s="21" t="s">
        <v>2516</v>
      </c>
      <c r="G3262" s="23">
        <v>46108</v>
      </c>
    </row>
    <row r="3263" spans="1:7" ht="36.5" hidden="1" x14ac:dyDescent="0.35">
      <c r="A3263" s="8">
        <v>11544</v>
      </c>
      <c r="B3263" s="10" t="s">
        <v>5822</v>
      </c>
      <c r="C3263" s="10" t="s">
        <v>371</v>
      </c>
      <c r="D3263" s="9" t="s">
        <v>395</v>
      </c>
      <c r="E3263" s="9" t="str">
        <f>_xlfn.TEXTAFTER(Condiciones_acumuladas[[#This Row],[Descripción]], " ", -2)</f>
        <v>Yessica Guarcas</v>
      </c>
      <c r="F3263" s="21" t="s">
        <v>2516</v>
      </c>
      <c r="G3263" s="23">
        <v>46108</v>
      </c>
    </row>
    <row r="3264" spans="1:7" ht="24.5" hidden="1" x14ac:dyDescent="0.35">
      <c r="A3264" s="8">
        <v>11542</v>
      </c>
      <c r="B3264" s="10" t="s">
        <v>5823</v>
      </c>
      <c r="C3264" s="10" t="s">
        <v>234</v>
      </c>
      <c r="D3264" s="9" t="s">
        <v>234</v>
      </c>
      <c r="E3264" s="9" t="str">
        <f>_xlfn.TEXTAFTER(Condiciones_acumuladas[[#This Row],[Descripción]], " ", -2)</f>
        <v>Bryan Nephtaly</v>
      </c>
      <c r="F3264" s="21" t="s">
        <v>2522</v>
      </c>
      <c r="G3264" s="23">
        <v>46111</v>
      </c>
    </row>
    <row r="3265" spans="1:7" ht="48.5" hidden="1" x14ac:dyDescent="0.35">
      <c r="A3265" s="8">
        <v>11543</v>
      </c>
      <c r="B3265" s="10" t="s">
        <v>5824</v>
      </c>
      <c r="C3265" s="10" t="s">
        <v>234</v>
      </c>
      <c r="D3265" s="9" t="s">
        <v>234</v>
      </c>
      <c r="E3265" s="9" t="str">
        <f>_xlfn.TEXTAFTER(Condiciones_acumuladas[[#This Row],[Descripción]], " ", -2)</f>
        <v>Bryan Nephtaly</v>
      </c>
      <c r="F3265" s="21" t="s">
        <v>2559</v>
      </c>
      <c r="G3265" s="23">
        <v>46111</v>
      </c>
    </row>
    <row r="3266" spans="1:7" ht="48.5" hidden="1" x14ac:dyDescent="0.35">
      <c r="A3266" s="8">
        <v>11532</v>
      </c>
      <c r="B3266" s="10" t="s">
        <v>5825</v>
      </c>
      <c r="C3266" s="10" t="s">
        <v>278</v>
      </c>
      <c r="D3266" s="9" t="s">
        <v>278</v>
      </c>
      <c r="E3266" s="9" t="str">
        <f>_xlfn.TEXTAFTER(Condiciones_acumuladas[[#This Row],[Descripción]], " ", -2)</f>
        <v>Jason Calderón</v>
      </c>
      <c r="F3266" s="21" t="s">
        <v>2559</v>
      </c>
      <c r="G3266" s="23">
        <v>46109</v>
      </c>
    </row>
    <row r="3267" spans="1:7" ht="24.5" hidden="1" x14ac:dyDescent="0.35">
      <c r="A3267" s="8">
        <v>11534</v>
      </c>
      <c r="B3267" s="10" t="s">
        <v>5826</v>
      </c>
      <c r="C3267" s="10" t="s">
        <v>96</v>
      </c>
      <c r="D3267" s="9" t="s">
        <v>95</v>
      </c>
      <c r="E3267" s="9" t="str">
        <f>_xlfn.TEXTAFTER(Condiciones_acumuladas[[#This Row],[Descripción]], " ", -2)</f>
        <v>María Obregón</v>
      </c>
      <c r="F3267" s="21" t="s">
        <v>2522</v>
      </c>
      <c r="G3267" s="23">
        <v>46107</v>
      </c>
    </row>
    <row r="3268" spans="1:7" ht="36.5" hidden="1" x14ac:dyDescent="0.35">
      <c r="A3268" s="8">
        <v>11540</v>
      </c>
      <c r="B3268" s="10" t="s">
        <v>5827</v>
      </c>
      <c r="C3268" s="10" t="s">
        <v>395</v>
      </c>
      <c r="D3268" s="9" t="s">
        <v>395</v>
      </c>
      <c r="E3268" s="9" t="str">
        <f>_xlfn.TEXTAFTER(Condiciones_acumuladas[[#This Row],[Descripción]], " ", -2)</f>
        <v>Yessica Guarcas</v>
      </c>
      <c r="F3268" s="21" t="s">
        <v>2525</v>
      </c>
      <c r="G3268" s="23">
        <v>46108</v>
      </c>
    </row>
    <row r="3269" spans="1:7" ht="36.5" hidden="1" x14ac:dyDescent="0.35">
      <c r="A3269" s="8">
        <v>11538</v>
      </c>
      <c r="B3269" s="10" t="s">
        <v>5828</v>
      </c>
      <c r="C3269" s="10" t="s">
        <v>134</v>
      </c>
      <c r="D3269" s="9" t="s">
        <v>395</v>
      </c>
      <c r="E3269" s="9" t="str">
        <f>_xlfn.TEXTAFTER(Condiciones_acumuladas[[#This Row],[Descripción]], " ", -2)</f>
        <v>Abraham Quiej</v>
      </c>
      <c r="F3269" s="21" t="s">
        <v>2516</v>
      </c>
      <c r="G3269" s="23">
        <v>46108</v>
      </c>
    </row>
    <row r="3270" spans="1:7" ht="36.5" hidden="1" x14ac:dyDescent="0.35">
      <c r="A3270" s="8">
        <v>11535</v>
      </c>
      <c r="B3270" s="10" t="s">
        <v>5829</v>
      </c>
      <c r="C3270" s="10" t="s">
        <v>234</v>
      </c>
      <c r="D3270" s="9" t="s">
        <v>395</v>
      </c>
      <c r="E3270" s="9" t="str">
        <f>_xlfn.TEXTAFTER(Condiciones_acumuladas[[#This Row],[Descripción]], " ", -2)</f>
        <v>Antony Ramos</v>
      </c>
      <c r="F3270" s="21" t="s">
        <v>2540</v>
      </c>
      <c r="G3270" s="23">
        <v>46108</v>
      </c>
    </row>
    <row r="3271" spans="1:7" ht="24.5" hidden="1" x14ac:dyDescent="0.35">
      <c r="A3271" s="8">
        <v>11536</v>
      </c>
      <c r="B3271" s="10" t="s">
        <v>5830</v>
      </c>
      <c r="C3271" s="10" t="s">
        <v>234</v>
      </c>
      <c r="D3271" s="9" t="s">
        <v>234</v>
      </c>
      <c r="E3271" s="9" t="str">
        <f>_xlfn.TEXTAFTER(Condiciones_acumuladas[[#This Row],[Descripción]], " ", -2)</f>
        <v>Haydée Morales</v>
      </c>
      <c r="F3271" s="21" t="s">
        <v>2540</v>
      </c>
      <c r="G3271" s="23">
        <v>46108</v>
      </c>
    </row>
    <row r="3272" spans="1:7" ht="36.5" hidden="1" x14ac:dyDescent="0.35">
      <c r="A3272" s="8">
        <v>11539</v>
      </c>
      <c r="B3272" s="10" t="s">
        <v>5831</v>
      </c>
      <c r="C3272" s="10" t="s">
        <v>13</v>
      </c>
      <c r="D3272" s="9" t="s">
        <v>395</v>
      </c>
      <c r="E3272" s="9" t="str">
        <f>_xlfn.TEXTAFTER(Condiciones_acumuladas[[#This Row],[Descripción]], " ", -2)</f>
        <v>Yessica Guarcas</v>
      </c>
      <c r="F3272" s="21" t="s">
        <v>2530</v>
      </c>
      <c r="G3272" s="23">
        <v>46108</v>
      </c>
    </row>
    <row r="3273" spans="1:7" ht="36.5" hidden="1" x14ac:dyDescent="0.35">
      <c r="A3273" s="8">
        <v>11541</v>
      </c>
      <c r="B3273" s="10" t="s">
        <v>5832</v>
      </c>
      <c r="C3273" s="10" t="s">
        <v>395</v>
      </c>
      <c r="D3273" s="9" t="s">
        <v>395</v>
      </c>
      <c r="E3273" s="9" t="str">
        <f>_xlfn.TEXTAFTER(Condiciones_acumuladas[[#This Row],[Descripción]], " ", -2)</f>
        <v>Yessica Guarcas</v>
      </c>
      <c r="F3273" s="21" t="s">
        <v>2525</v>
      </c>
      <c r="G3273" s="23">
        <v>46108</v>
      </c>
    </row>
    <row r="3274" spans="1:7" ht="48.5" hidden="1" x14ac:dyDescent="0.35">
      <c r="A3274" s="8">
        <v>11537</v>
      </c>
      <c r="B3274" s="10" t="s">
        <v>5833</v>
      </c>
      <c r="C3274" s="10" t="s">
        <v>96</v>
      </c>
      <c r="D3274" s="9" t="s">
        <v>96</v>
      </c>
      <c r="E3274" s="9" t="str">
        <f>_xlfn.TEXTAFTER(Condiciones_acumuladas[[#This Row],[Descripción]], " ", -2)</f>
        <v>Luis Pérez</v>
      </c>
      <c r="F3274" s="21" t="s">
        <v>2516</v>
      </c>
      <c r="G3274" s="23">
        <v>46108</v>
      </c>
    </row>
    <row r="3275" spans="1:7" ht="36.5" hidden="1" x14ac:dyDescent="0.35">
      <c r="A3275" s="8">
        <v>11570</v>
      </c>
      <c r="B3275" s="10" t="s">
        <v>5834</v>
      </c>
      <c r="C3275" s="10" t="s">
        <v>395</v>
      </c>
      <c r="D3275" s="9" t="s">
        <v>395</v>
      </c>
      <c r="E3275" s="9" t="str">
        <f>_xlfn.TEXTAFTER(Condiciones_acumuladas[[#This Row],[Descripción]], " ", -2)</f>
        <v>Abraham Quiej</v>
      </c>
      <c r="F3275" s="21" t="s">
        <v>2525</v>
      </c>
      <c r="G3275" s="23">
        <v>46112</v>
      </c>
    </row>
    <row r="3276" spans="1:7" ht="48.5" hidden="1" x14ac:dyDescent="0.35">
      <c r="A3276" s="8">
        <v>11569</v>
      </c>
      <c r="B3276" s="10" t="s">
        <v>5835</v>
      </c>
      <c r="C3276" s="10" t="s">
        <v>21</v>
      </c>
      <c r="D3276" s="9" t="s">
        <v>395</v>
      </c>
      <c r="E3276" s="9" t="str">
        <f>_xlfn.TEXTAFTER(Condiciones_acumuladas[[#This Row],[Descripción]], " ", -2)</f>
        <v>Abraham Quiej</v>
      </c>
      <c r="F3276" s="21" t="s">
        <v>2559</v>
      </c>
      <c r="G3276" s="23">
        <v>46112</v>
      </c>
    </row>
    <row r="3277" spans="1:7" ht="24.5" hidden="1" x14ac:dyDescent="0.35">
      <c r="A3277" s="8">
        <v>11568</v>
      </c>
      <c r="B3277" s="10" t="s">
        <v>5836</v>
      </c>
      <c r="C3277" s="10" t="s">
        <v>134</v>
      </c>
      <c r="D3277" s="9" t="s">
        <v>395</v>
      </c>
      <c r="E3277" s="9" t="str">
        <f>_xlfn.TEXTAFTER(Condiciones_acumuladas[[#This Row],[Descripción]], " ", -2)</f>
        <v>Abraham Quiej</v>
      </c>
      <c r="F3277" s="21" t="s">
        <v>2522</v>
      </c>
      <c r="G3277" s="23">
        <v>46112</v>
      </c>
    </row>
    <row r="3278" spans="1:7" ht="24.5" hidden="1" x14ac:dyDescent="0.35">
      <c r="A3278" s="8">
        <v>11567</v>
      </c>
      <c r="B3278" s="10" t="s">
        <v>5837</v>
      </c>
      <c r="C3278" s="10" t="s">
        <v>250</v>
      </c>
      <c r="D3278" s="9" t="s">
        <v>21</v>
      </c>
      <c r="E3278" s="9" t="str">
        <f>_xlfn.TEXTAFTER(Condiciones_acumuladas[[#This Row],[Descripción]], " ", -2)</f>
        <v>Oscar Ramírez</v>
      </c>
      <c r="F3278" s="21" t="s">
        <v>2522</v>
      </c>
      <c r="G3278" s="23">
        <v>46111</v>
      </c>
    </row>
    <row r="3279" spans="1:7" ht="24.5" hidden="1" x14ac:dyDescent="0.35">
      <c r="A3279" s="8">
        <v>11566</v>
      </c>
      <c r="B3279" s="10" t="s">
        <v>5838</v>
      </c>
      <c r="C3279" s="10" t="s">
        <v>26</v>
      </c>
      <c r="D3279" s="9" t="s">
        <v>26</v>
      </c>
      <c r="E3279" s="9" t="str">
        <f>_xlfn.TEXTAFTER(Condiciones_acumuladas[[#This Row],[Descripción]], " ", -2)</f>
        <v>Adrian Santisteban</v>
      </c>
      <c r="F3279" s="21" t="s">
        <v>2522</v>
      </c>
      <c r="G3279" s="23">
        <v>46099</v>
      </c>
    </row>
    <row r="3280" spans="1:7" ht="36.5" hidden="1" x14ac:dyDescent="0.35">
      <c r="A3280" s="8">
        <v>11565</v>
      </c>
      <c r="B3280" s="10" t="s">
        <v>5839</v>
      </c>
      <c r="C3280" s="10" t="s">
        <v>26</v>
      </c>
      <c r="D3280" s="9" t="s">
        <v>26</v>
      </c>
      <c r="E3280" s="9" t="str">
        <f>_xlfn.TEXTAFTER(Condiciones_acumuladas[[#This Row],[Descripción]], " ", -2)</f>
        <v>Adrian Santisteban</v>
      </c>
      <c r="F3280" s="21" t="s">
        <v>2516</v>
      </c>
      <c r="G3280" s="23">
        <v>46111</v>
      </c>
    </row>
    <row r="3281" spans="1:7" ht="48.5" hidden="1" x14ac:dyDescent="0.35">
      <c r="A3281" s="8">
        <v>11564</v>
      </c>
      <c r="B3281" s="10" t="s">
        <v>5840</v>
      </c>
      <c r="C3281" s="10" t="s">
        <v>26</v>
      </c>
      <c r="D3281" s="9" t="s">
        <v>26</v>
      </c>
      <c r="E3281" s="9" t="str">
        <f>_xlfn.TEXTAFTER(Condiciones_acumuladas[[#This Row],[Descripción]], " ", -2)</f>
        <v>Adrian Santisteban</v>
      </c>
      <c r="F3281" s="21" t="s">
        <v>2559</v>
      </c>
      <c r="G3281" s="23">
        <v>46111</v>
      </c>
    </row>
    <row r="3282" spans="1:7" ht="36.5" hidden="1" x14ac:dyDescent="0.35">
      <c r="A3282" s="8">
        <v>11563</v>
      </c>
      <c r="B3282" s="10" t="s">
        <v>5841</v>
      </c>
      <c r="C3282" s="10" t="s">
        <v>26</v>
      </c>
      <c r="D3282" s="9" t="s">
        <v>26</v>
      </c>
      <c r="E3282" s="9" t="str">
        <f>_xlfn.TEXTAFTER(Condiciones_acumuladas[[#This Row],[Descripción]], " ", -2)</f>
        <v>Adrian Santisteban</v>
      </c>
      <c r="F3282" s="21" t="s">
        <v>2516</v>
      </c>
      <c r="G3282" s="23">
        <v>46111</v>
      </c>
    </row>
    <row r="3283" spans="1:7" ht="48.5" hidden="1" x14ac:dyDescent="0.35">
      <c r="A3283" s="8">
        <v>11562</v>
      </c>
      <c r="B3283" s="10" t="s">
        <v>5842</v>
      </c>
      <c r="C3283" s="10" t="s">
        <v>26</v>
      </c>
      <c r="D3283" s="9" t="s">
        <v>26</v>
      </c>
      <c r="E3283" s="9" t="str">
        <f>_xlfn.TEXTAFTER(Condiciones_acumuladas[[#This Row],[Descripción]], " ", -2)</f>
        <v>Adrian Santisteban</v>
      </c>
      <c r="F3283" s="21" t="s">
        <v>2559</v>
      </c>
      <c r="G3283" s="23">
        <v>46112</v>
      </c>
    </row>
    <row r="3284" spans="1:7" ht="36.5" hidden="1" x14ac:dyDescent="0.35">
      <c r="A3284" s="8">
        <v>11573</v>
      </c>
      <c r="B3284" s="10" t="s">
        <v>5843</v>
      </c>
      <c r="C3284" s="10" t="s">
        <v>34</v>
      </c>
      <c r="D3284" s="9" t="s">
        <v>34</v>
      </c>
      <c r="E3284" s="9" t="str">
        <f>_xlfn.TEXTAFTER(Condiciones_acumuladas[[#This Row],[Descripción]], " ", -2)</f>
        <v>Adrian Santisteban</v>
      </c>
      <c r="F3284" s="21" t="s">
        <v>2530</v>
      </c>
      <c r="G3284" s="23">
        <v>46111</v>
      </c>
    </row>
    <row r="3285" spans="1:7" ht="36.5" hidden="1" x14ac:dyDescent="0.35">
      <c r="A3285" s="8">
        <v>11574</v>
      </c>
      <c r="B3285" s="10" t="s">
        <v>5844</v>
      </c>
      <c r="C3285" s="10" t="s">
        <v>34</v>
      </c>
      <c r="D3285" s="9" t="s">
        <v>34</v>
      </c>
      <c r="E3285" s="9" t="str">
        <f>_xlfn.TEXTAFTER(Condiciones_acumuladas[[#This Row],[Descripción]], " ", -2)</f>
        <v>Adrian Santisteban</v>
      </c>
      <c r="F3285" s="21" t="s">
        <v>2516</v>
      </c>
      <c r="G3285" s="23">
        <v>46111</v>
      </c>
    </row>
    <row r="3286" spans="1:7" ht="48.5" hidden="1" x14ac:dyDescent="0.35">
      <c r="A3286" s="8">
        <v>11575</v>
      </c>
      <c r="B3286" s="10" t="s">
        <v>5845</v>
      </c>
      <c r="C3286" s="10" t="s">
        <v>34</v>
      </c>
      <c r="D3286" s="9" t="s">
        <v>34</v>
      </c>
      <c r="E3286" s="9" t="str">
        <f>_xlfn.TEXTAFTER(Condiciones_acumuladas[[#This Row],[Descripción]], " ", -2)</f>
        <v>Adrian Santisteban</v>
      </c>
      <c r="F3286" s="21" t="s">
        <v>2559</v>
      </c>
      <c r="G3286" s="23">
        <v>46112</v>
      </c>
    </row>
    <row r="3287" spans="1:7" ht="36.5" hidden="1" x14ac:dyDescent="0.35">
      <c r="A3287" s="8">
        <v>11576</v>
      </c>
      <c r="B3287" s="10" t="s">
        <v>5846</v>
      </c>
      <c r="C3287" s="10" t="s">
        <v>34</v>
      </c>
      <c r="D3287" s="9" t="s">
        <v>34</v>
      </c>
      <c r="E3287" s="9" t="str">
        <f>_xlfn.TEXTAFTER(Condiciones_acumuladas[[#This Row],[Descripción]], " ", -2)</f>
        <v>Adrian Santisteban</v>
      </c>
      <c r="F3287" s="21" t="s">
        <v>2530</v>
      </c>
      <c r="G3287" s="23">
        <v>46112</v>
      </c>
    </row>
    <row r="3288" spans="1:7" ht="24.5" hidden="1" x14ac:dyDescent="0.35">
      <c r="A3288" s="8">
        <v>11593</v>
      </c>
      <c r="B3288" s="10" t="s">
        <v>5847</v>
      </c>
      <c r="C3288" s="10" t="s">
        <v>21</v>
      </c>
      <c r="D3288" s="9" t="s">
        <v>395</v>
      </c>
      <c r="E3288" s="9" t="str">
        <f>_xlfn.TEXTAFTER(Condiciones_acumuladas[[#This Row],[Descripción]], " ", -2)</f>
        <v>Abraham Quiej</v>
      </c>
      <c r="F3288" s="21" t="s">
        <v>2522</v>
      </c>
      <c r="G3288" s="23">
        <v>46114</v>
      </c>
    </row>
    <row r="3289" spans="1:7" ht="24.5" hidden="1" x14ac:dyDescent="0.35">
      <c r="A3289" s="8">
        <v>11592</v>
      </c>
      <c r="B3289" s="10" t="s">
        <v>5848</v>
      </c>
      <c r="C3289" s="10" t="s">
        <v>134</v>
      </c>
      <c r="D3289" s="9" t="s">
        <v>395</v>
      </c>
      <c r="E3289" s="9" t="str">
        <f>_xlfn.TEXTAFTER(Condiciones_acumuladas[[#This Row],[Descripción]], " ", -2)</f>
        <v>Abraham Quiej</v>
      </c>
      <c r="F3289" s="21" t="s">
        <v>2522</v>
      </c>
      <c r="G3289" s="23">
        <v>46114</v>
      </c>
    </row>
    <row r="3290" spans="1:7" ht="36.5" hidden="1" x14ac:dyDescent="0.35">
      <c r="A3290" s="8">
        <v>11636</v>
      </c>
      <c r="B3290" s="10" t="s">
        <v>5849</v>
      </c>
      <c r="C3290" s="10" t="s">
        <v>134</v>
      </c>
      <c r="D3290" s="9" t="s">
        <v>395</v>
      </c>
      <c r="E3290" s="9" t="str">
        <f>_xlfn.TEXTAFTER(Condiciones_acumuladas[[#This Row],[Descripción]], " ", -2)</f>
        <v>Abraham Quiej</v>
      </c>
      <c r="F3290" s="21" t="s">
        <v>2516</v>
      </c>
      <c r="G3290" s="23">
        <v>46120</v>
      </c>
    </row>
    <row r="3291" spans="1:7" ht="24.5" hidden="1" x14ac:dyDescent="0.35">
      <c r="A3291" s="8">
        <v>11638</v>
      </c>
      <c r="B3291" s="10" t="s">
        <v>5850</v>
      </c>
      <c r="C3291" s="10" t="s">
        <v>21</v>
      </c>
      <c r="D3291" s="9" t="s">
        <v>395</v>
      </c>
      <c r="E3291" s="9" t="str">
        <f>_xlfn.TEXTAFTER(Condiciones_acumuladas[[#This Row],[Descripción]], " ", -2)</f>
        <v>Abraham Quiej</v>
      </c>
      <c r="F3291" s="21" t="s">
        <v>2522</v>
      </c>
      <c r="G3291" s="23">
        <v>46120</v>
      </c>
    </row>
    <row r="3292" spans="1:7" ht="24.5" hidden="1" x14ac:dyDescent="0.35">
      <c r="A3292" s="8">
        <v>11635</v>
      </c>
      <c r="B3292" s="10" t="s">
        <v>5851</v>
      </c>
      <c r="C3292" s="10" t="s">
        <v>134</v>
      </c>
      <c r="D3292" s="9" t="s">
        <v>395</v>
      </c>
      <c r="E3292" s="9" t="str">
        <f>_xlfn.TEXTAFTER(Condiciones_acumuladas[[#This Row],[Descripción]], " ", -2)</f>
        <v>Abraham Quiej</v>
      </c>
      <c r="F3292" s="21" t="s">
        <v>2522</v>
      </c>
      <c r="G3292" s="23">
        <v>46120</v>
      </c>
    </row>
    <row r="3293" spans="1:7" ht="36.5" hidden="1" x14ac:dyDescent="0.35">
      <c r="A3293" s="8">
        <v>11637</v>
      </c>
      <c r="B3293" s="10" t="s">
        <v>5852</v>
      </c>
      <c r="C3293" s="10" t="s">
        <v>21</v>
      </c>
      <c r="D3293" s="9" t="s">
        <v>395</v>
      </c>
      <c r="E3293" s="9" t="str">
        <f>_xlfn.TEXTAFTER(Condiciones_acumuladas[[#This Row],[Descripción]], " ", -2)</f>
        <v>Abraham Quiej</v>
      </c>
      <c r="F3293" s="21" t="s">
        <v>2516</v>
      </c>
      <c r="G3293" s="23">
        <v>46120</v>
      </c>
    </row>
    <row r="3294" spans="1:7" ht="36.5" hidden="1" x14ac:dyDescent="0.35">
      <c r="A3294" s="8">
        <v>11639</v>
      </c>
      <c r="B3294" s="10" t="s">
        <v>5853</v>
      </c>
      <c r="C3294" s="10" t="s">
        <v>21</v>
      </c>
      <c r="D3294" s="9" t="s">
        <v>395</v>
      </c>
      <c r="E3294" s="9" t="str">
        <f>_xlfn.TEXTAFTER(Condiciones_acumuladas[[#This Row],[Descripción]], " ", -2)</f>
        <v>Abraham Quiej</v>
      </c>
      <c r="F3294" s="21" t="s">
        <v>2522</v>
      </c>
      <c r="G3294" s="23">
        <v>46120</v>
      </c>
    </row>
    <row r="3295" spans="1:7" ht="24.5" hidden="1" x14ac:dyDescent="0.35">
      <c r="A3295" s="8">
        <v>11665</v>
      </c>
      <c r="B3295" s="10" t="s">
        <v>5854</v>
      </c>
      <c r="C3295" s="10" t="s">
        <v>21</v>
      </c>
      <c r="D3295" s="9" t="s">
        <v>395</v>
      </c>
      <c r="E3295" s="9" t="str">
        <f>_xlfn.TEXTAFTER(Condiciones_acumuladas[[#This Row],[Descripción]], " ", -2)</f>
        <v>Abraham Quiej</v>
      </c>
      <c r="F3295" s="21" t="s">
        <v>2522</v>
      </c>
      <c r="G3295" s="23">
        <v>46124</v>
      </c>
    </row>
    <row r="3296" spans="1:7" ht="36.5" hidden="1" x14ac:dyDescent="0.35">
      <c r="A3296" s="8">
        <v>11710</v>
      </c>
      <c r="B3296" s="10" t="s">
        <v>5855</v>
      </c>
      <c r="C3296" s="10" t="s">
        <v>96</v>
      </c>
      <c r="D3296" s="9" t="s">
        <v>395</v>
      </c>
      <c r="E3296" s="9" t="str">
        <f>_xlfn.TEXTAFTER(Condiciones_acumuladas[[#This Row],[Descripción]], " ", -2)</f>
        <v>Abraham Quiej</v>
      </c>
      <c r="F3296" s="21" t="s">
        <v>2572</v>
      </c>
      <c r="G3296" s="23">
        <v>46129</v>
      </c>
    </row>
    <row r="3297" spans="1:7" ht="24.5" hidden="1" x14ac:dyDescent="0.35">
      <c r="A3297" s="8">
        <v>11697</v>
      </c>
      <c r="B3297" s="10" t="s">
        <v>5856</v>
      </c>
      <c r="C3297" s="10" t="s">
        <v>196</v>
      </c>
      <c r="D3297" s="9" t="s">
        <v>395</v>
      </c>
      <c r="E3297" s="9" t="str">
        <f>_xlfn.TEXTAFTER(Condiciones_acumuladas[[#This Row],[Descripción]], " ", -2)</f>
        <v>Abraham Quiej</v>
      </c>
      <c r="F3297" s="21" t="s">
        <v>2834</v>
      </c>
      <c r="G3297" s="23">
        <v>46127</v>
      </c>
    </row>
    <row r="3298" spans="1:7" ht="24.5" hidden="1" x14ac:dyDescent="0.35">
      <c r="A3298" s="8">
        <v>11685</v>
      </c>
      <c r="B3298" s="10" t="s">
        <v>5857</v>
      </c>
      <c r="C3298" s="10" t="s">
        <v>21</v>
      </c>
      <c r="D3298" s="9" t="s">
        <v>395</v>
      </c>
      <c r="E3298" s="9" t="str">
        <f>_xlfn.TEXTAFTER(Condiciones_acumuladas[[#This Row],[Descripción]], " ", -2)</f>
        <v>Abraham Quiej</v>
      </c>
      <c r="F3298" s="21" t="s">
        <v>2522</v>
      </c>
      <c r="G3298" s="23">
        <v>46126</v>
      </c>
    </row>
    <row r="3299" spans="1:7" ht="24.5" hidden="1" x14ac:dyDescent="0.35">
      <c r="A3299" s="8">
        <v>11736</v>
      </c>
      <c r="B3299" s="10" t="s">
        <v>5858</v>
      </c>
      <c r="C3299" s="10" t="s">
        <v>96</v>
      </c>
      <c r="D3299" s="9" t="s">
        <v>395</v>
      </c>
      <c r="E3299" s="9" t="str">
        <f>_xlfn.TEXTAFTER(Condiciones_acumuladas[[#This Row],[Descripción]], " ", -2)</f>
        <v>Abraham Quiej</v>
      </c>
      <c r="F3299" s="21" t="s">
        <v>2522</v>
      </c>
      <c r="G3299" s="23">
        <v>46132</v>
      </c>
    </row>
    <row r="3300" spans="1:7" ht="24.5" hidden="1" x14ac:dyDescent="0.35">
      <c r="A3300" s="8">
        <v>11737</v>
      </c>
      <c r="B3300" s="10" t="s">
        <v>5859</v>
      </c>
      <c r="C3300" s="10" t="s">
        <v>96</v>
      </c>
      <c r="D3300" s="9" t="s">
        <v>395</v>
      </c>
      <c r="E3300" s="9" t="str">
        <f>_xlfn.TEXTAFTER(Condiciones_acumuladas[[#This Row],[Descripción]], " ", -2)</f>
        <v>Abraham Quiej</v>
      </c>
      <c r="F3300" s="21" t="s">
        <v>2522</v>
      </c>
      <c r="G3300" s="23">
        <v>46132</v>
      </c>
    </row>
    <row r="3301" spans="1:7" ht="24.5" hidden="1" x14ac:dyDescent="0.35">
      <c r="A3301" s="8">
        <v>11811</v>
      </c>
      <c r="B3301" s="10" t="s">
        <v>5860</v>
      </c>
      <c r="C3301" s="10" t="s">
        <v>13</v>
      </c>
      <c r="D3301" s="9" t="s">
        <v>395</v>
      </c>
      <c r="E3301" s="9" t="str">
        <f>_xlfn.TEXTAFTER(Condiciones_acumuladas[[#This Row],[Descripción]], " ", -2)</f>
        <v>Abraham Quiej</v>
      </c>
      <c r="F3301" s="21" t="s">
        <v>2540</v>
      </c>
      <c r="G3301" s="23">
        <v>46138</v>
      </c>
    </row>
    <row r="3302" spans="1:7" ht="24.5" hidden="1" x14ac:dyDescent="0.35">
      <c r="A3302" s="8">
        <v>11810</v>
      </c>
      <c r="B3302" s="10" t="s">
        <v>5861</v>
      </c>
      <c r="C3302" s="10" t="s">
        <v>96</v>
      </c>
      <c r="D3302" s="9" t="s">
        <v>395</v>
      </c>
      <c r="E3302" s="9" t="str">
        <f>_xlfn.TEXTAFTER(Condiciones_acumuladas[[#This Row],[Descripción]], " ", -2)</f>
        <v>Abraham Quiej</v>
      </c>
      <c r="F3302" s="21" t="s">
        <v>2522</v>
      </c>
      <c r="G3302" s="23">
        <v>46138</v>
      </c>
    </row>
    <row r="3303" spans="1:7" ht="24.5" hidden="1" x14ac:dyDescent="0.35">
      <c r="A3303" s="8">
        <v>11809</v>
      </c>
      <c r="B3303" s="10" t="s">
        <v>5862</v>
      </c>
      <c r="C3303" s="10" t="s">
        <v>196</v>
      </c>
      <c r="D3303" s="9" t="s">
        <v>395</v>
      </c>
      <c r="E3303" s="9" t="str">
        <f>_xlfn.TEXTAFTER(Condiciones_acumuladas[[#This Row],[Descripción]], " ", -2)</f>
        <v>Abraham Quiej</v>
      </c>
      <c r="F3303" s="21" t="s">
        <v>2522</v>
      </c>
      <c r="G3303" s="23">
        <v>46138</v>
      </c>
    </row>
    <row r="3304" spans="1:7" ht="48.5" hidden="1" x14ac:dyDescent="0.35">
      <c r="A3304" s="8">
        <v>11859</v>
      </c>
      <c r="B3304" s="10" t="s">
        <v>5863</v>
      </c>
      <c r="C3304" s="10" t="s">
        <v>96</v>
      </c>
      <c r="D3304" s="9" t="s">
        <v>395</v>
      </c>
      <c r="E3304" s="9" t="str">
        <f>_xlfn.TEXTAFTER(Condiciones_acumuladas[[#This Row],[Descripción]], " ", -2)</f>
        <v>Abraham Quiej</v>
      </c>
      <c r="F3304" s="21" t="s">
        <v>2559</v>
      </c>
      <c r="G3304" s="23">
        <v>46141</v>
      </c>
    </row>
    <row r="3305" spans="1:7" ht="48.5" hidden="1" x14ac:dyDescent="0.35">
      <c r="A3305" s="8">
        <v>11833</v>
      </c>
      <c r="B3305" s="10" t="s">
        <v>5864</v>
      </c>
      <c r="C3305" s="10" t="s">
        <v>26</v>
      </c>
      <c r="D3305" s="9" t="s">
        <v>26</v>
      </c>
      <c r="E3305" s="9" t="str">
        <f>_xlfn.TEXTAFTER(Condiciones_acumuladas[[#This Row],[Descripción]], " ", -2)</f>
        <v>Adrian Santisteban</v>
      </c>
      <c r="F3305" s="21" t="s">
        <v>2559</v>
      </c>
      <c r="G3305" s="23">
        <v>46140</v>
      </c>
    </row>
    <row r="3306" spans="1:7" ht="36.5" hidden="1" x14ac:dyDescent="0.35">
      <c r="A3306" s="8">
        <v>11832</v>
      </c>
      <c r="B3306" s="10" t="s">
        <v>5865</v>
      </c>
      <c r="C3306" s="10" t="s">
        <v>26</v>
      </c>
      <c r="D3306" s="9" t="s">
        <v>26</v>
      </c>
      <c r="E3306" s="9" t="str">
        <f>_xlfn.TEXTAFTER(Condiciones_acumuladas[[#This Row],[Descripción]], " ", -2)</f>
        <v>Adrian Santisteban</v>
      </c>
      <c r="F3306" s="21" t="s">
        <v>2516</v>
      </c>
      <c r="G3306" s="23">
        <v>46140</v>
      </c>
    </row>
    <row r="3307" spans="1:7" ht="48.5" hidden="1" x14ac:dyDescent="0.35">
      <c r="A3307" s="8">
        <v>11831</v>
      </c>
      <c r="B3307" s="10" t="s">
        <v>5866</v>
      </c>
      <c r="C3307" s="10" t="s">
        <v>26</v>
      </c>
      <c r="D3307" s="9" t="s">
        <v>26</v>
      </c>
      <c r="E3307" s="9" t="str">
        <f>_xlfn.TEXTAFTER(Condiciones_acumuladas[[#This Row],[Descripción]], " ", -2)</f>
        <v>Adrian Santisteban</v>
      </c>
      <c r="F3307" s="21" t="s">
        <v>2559</v>
      </c>
      <c r="G3307" s="23">
        <v>46141</v>
      </c>
    </row>
    <row r="3308" spans="1:7" ht="24.5" hidden="1" x14ac:dyDescent="0.35">
      <c r="A3308" s="8">
        <v>11830</v>
      </c>
      <c r="B3308" s="10" t="s">
        <v>5867</v>
      </c>
      <c r="C3308" s="10" t="s">
        <v>26</v>
      </c>
      <c r="D3308" s="9" t="s">
        <v>26</v>
      </c>
      <c r="E3308" s="9" t="str">
        <f>_xlfn.TEXTAFTER(Condiciones_acumuladas[[#This Row],[Descripción]], " ", -2)</f>
        <v>Adrian Santisteban</v>
      </c>
      <c r="F3308" s="21" t="s">
        <v>2540</v>
      </c>
      <c r="G3308" s="23">
        <v>46141</v>
      </c>
    </row>
    <row r="3309" spans="1:7" ht="36.5" hidden="1" x14ac:dyDescent="0.35">
      <c r="A3309" s="8">
        <v>11579</v>
      </c>
      <c r="B3309" s="10" t="s">
        <v>5868</v>
      </c>
      <c r="C3309" s="10" t="s">
        <v>134</v>
      </c>
      <c r="D3309" s="9" t="s">
        <v>134</v>
      </c>
      <c r="E3309" s="9" t="str">
        <f>_xlfn.TEXTAFTER(Condiciones_acumuladas[[#This Row],[Descripción]], " ", -2)</f>
        <v xml:space="preserve">Alfonso Guatzin
</v>
      </c>
      <c r="F3309" s="21" t="s">
        <v>2522</v>
      </c>
      <c r="G3309" s="23">
        <v>46118</v>
      </c>
    </row>
    <row r="3310" spans="1:7" ht="36.5" hidden="1" x14ac:dyDescent="0.35">
      <c r="A3310" s="8">
        <v>11693</v>
      </c>
      <c r="B3310" s="10" t="s">
        <v>5869</v>
      </c>
      <c r="C3310" s="10" t="s">
        <v>104</v>
      </c>
      <c r="D3310" s="9" t="s">
        <v>134</v>
      </c>
      <c r="E3310" s="9" t="str">
        <f>_xlfn.TEXTAFTER(Condiciones_acumuladas[[#This Row],[Descripción]], " ", -2)</f>
        <v xml:space="preserve">Alfonso Guatzin
</v>
      </c>
      <c r="F3310" s="21" t="s">
        <v>2537</v>
      </c>
      <c r="G3310" s="23">
        <v>46125</v>
      </c>
    </row>
    <row r="3311" spans="1:7" ht="36.5" hidden="1" x14ac:dyDescent="0.35">
      <c r="A3311" s="8">
        <v>11819</v>
      </c>
      <c r="B3311" s="10" t="s">
        <v>5870</v>
      </c>
      <c r="C3311" s="10" t="s">
        <v>134</v>
      </c>
      <c r="D3311" s="9" t="s">
        <v>134</v>
      </c>
      <c r="E3311" s="9" t="str">
        <f>_xlfn.TEXTAFTER(Condiciones_acumuladas[[#This Row],[Descripción]], " ", -2)</f>
        <v xml:space="preserve">Alfonso Guatzin
</v>
      </c>
      <c r="F3311" s="21" t="s">
        <v>2516</v>
      </c>
      <c r="G3311" s="23">
        <v>46129</v>
      </c>
    </row>
    <row r="3312" spans="1:7" ht="24.5" hidden="1" x14ac:dyDescent="0.35">
      <c r="A3312" s="8">
        <v>11612</v>
      </c>
      <c r="B3312" s="10" t="s">
        <v>5871</v>
      </c>
      <c r="C3312" s="10" t="s">
        <v>13</v>
      </c>
      <c r="D3312" s="9" t="s">
        <v>13</v>
      </c>
      <c r="E3312" s="9" t="str">
        <f>_xlfn.TEXTAFTER(Condiciones_acumuladas[[#This Row],[Descripción]], " ", -2)</f>
        <v>Amílcar Ralda</v>
      </c>
      <c r="F3312" s="21" t="s">
        <v>2540</v>
      </c>
      <c r="G3312" s="23">
        <v>46119</v>
      </c>
    </row>
    <row r="3313" spans="1:7" ht="24.5" hidden="1" x14ac:dyDescent="0.35">
      <c r="A3313" s="8">
        <v>11695</v>
      </c>
      <c r="B3313" s="10" t="s">
        <v>5872</v>
      </c>
      <c r="C3313" s="10" t="s">
        <v>250</v>
      </c>
      <c r="D3313" s="9" t="s">
        <v>21</v>
      </c>
      <c r="E3313" s="9" t="str">
        <f>_xlfn.TEXTAFTER(Condiciones_acumuladas[[#This Row],[Descripción]], " ", -2)</f>
        <v>Amílcar Ralda</v>
      </c>
      <c r="F3313" s="21" t="s">
        <v>2540</v>
      </c>
      <c r="G3313" s="23">
        <v>46127</v>
      </c>
    </row>
    <row r="3314" spans="1:7" ht="36.5" hidden="1" x14ac:dyDescent="0.35">
      <c r="A3314" s="8">
        <v>11725</v>
      </c>
      <c r="B3314" s="10" t="s">
        <v>5873</v>
      </c>
      <c r="C3314" s="10" t="s">
        <v>21</v>
      </c>
      <c r="D3314" s="9" t="s">
        <v>21</v>
      </c>
      <c r="E3314" s="9" t="str">
        <f>_xlfn.TEXTAFTER(Condiciones_acumuladas[[#This Row],[Descripción]], " ", -2)</f>
        <v>Amílcar Ralda</v>
      </c>
      <c r="F3314" s="21" t="s">
        <v>2540</v>
      </c>
      <c r="G3314" s="23">
        <v>46132</v>
      </c>
    </row>
    <row r="3315" spans="1:7" ht="36.5" hidden="1" x14ac:dyDescent="0.35">
      <c r="A3315" s="8">
        <v>11763</v>
      </c>
      <c r="B3315" s="10" t="s">
        <v>5874</v>
      </c>
      <c r="C3315" s="10" t="s">
        <v>395</v>
      </c>
      <c r="D3315" s="9" t="s">
        <v>13</v>
      </c>
      <c r="E3315" s="9" t="str">
        <f>_xlfn.TEXTAFTER(Condiciones_acumuladas[[#This Row],[Descripción]], " ", -2)</f>
        <v>Amílcar Ralda</v>
      </c>
      <c r="F3315" s="21" t="s">
        <v>2525</v>
      </c>
      <c r="G3315" s="23">
        <v>46134</v>
      </c>
    </row>
    <row r="3316" spans="1:7" ht="36.5" hidden="1" x14ac:dyDescent="0.35">
      <c r="A3316" s="8">
        <v>11580</v>
      </c>
      <c r="B3316" s="10" t="s">
        <v>5875</v>
      </c>
      <c r="C3316" s="10" t="s">
        <v>220</v>
      </c>
      <c r="D3316" s="9" t="s">
        <v>95</v>
      </c>
      <c r="E3316" s="9" t="str">
        <f>_xlfn.TEXTAFTER(Condiciones_acumuladas[[#This Row],[Descripción]], " ", -2)</f>
        <v>Andrea González</v>
      </c>
      <c r="F3316" s="21" t="s">
        <v>2516</v>
      </c>
      <c r="G3316" s="23">
        <v>46118</v>
      </c>
    </row>
    <row r="3317" spans="1:7" ht="36.5" hidden="1" x14ac:dyDescent="0.35">
      <c r="A3317" s="8">
        <v>11641</v>
      </c>
      <c r="B3317" s="10" t="s">
        <v>5876</v>
      </c>
      <c r="C3317" s="10" t="s">
        <v>21</v>
      </c>
      <c r="D3317" s="9" t="s">
        <v>95</v>
      </c>
      <c r="E3317" s="9" t="str">
        <f>_xlfn.TEXTAFTER(Condiciones_acumuladas[[#This Row],[Descripción]], " ", -2)</f>
        <v>Andrea González</v>
      </c>
      <c r="F3317" s="21" t="s">
        <v>2572</v>
      </c>
      <c r="G3317" s="23">
        <v>46121</v>
      </c>
    </row>
    <row r="3318" spans="1:7" ht="36.5" hidden="1" x14ac:dyDescent="0.35">
      <c r="A3318" s="8">
        <v>11666</v>
      </c>
      <c r="B3318" s="10" t="s">
        <v>5877</v>
      </c>
      <c r="C3318" s="10" t="s">
        <v>95</v>
      </c>
      <c r="D3318" s="9" t="s">
        <v>95</v>
      </c>
      <c r="E3318" s="9" t="str">
        <f>_xlfn.TEXTAFTER(Condiciones_acumuladas[[#This Row],[Descripción]], " ", -2)</f>
        <v>Andrea González</v>
      </c>
      <c r="F3318" s="21" t="s">
        <v>2530</v>
      </c>
      <c r="G3318" s="23">
        <v>46125</v>
      </c>
    </row>
    <row r="3319" spans="1:7" ht="24.5" hidden="1" x14ac:dyDescent="0.35">
      <c r="A3319" s="8">
        <v>11591</v>
      </c>
      <c r="B3319" s="10" t="s">
        <v>5878</v>
      </c>
      <c r="C3319" s="10" t="s">
        <v>104</v>
      </c>
      <c r="D3319" s="9" t="s">
        <v>395</v>
      </c>
      <c r="E3319" s="9" t="str">
        <f>_xlfn.TEXTAFTER(Condiciones_acumuladas[[#This Row],[Descripción]], " ", -2)</f>
        <v>Antony Ramos</v>
      </c>
      <c r="F3319" s="21" t="s">
        <v>2522</v>
      </c>
      <c r="G3319" s="23">
        <v>46114</v>
      </c>
    </row>
    <row r="3320" spans="1:7" ht="24.5" hidden="1" x14ac:dyDescent="0.35">
      <c r="A3320" s="8">
        <v>11590</v>
      </c>
      <c r="B3320" s="10" t="s">
        <v>5879</v>
      </c>
      <c r="C3320" s="10" t="s">
        <v>96</v>
      </c>
      <c r="D3320" s="9" t="s">
        <v>395</v>
      </c>
      <c r="E3320" s="9" t="str">
        <f>_xlfn.TEXTAFTER(Condiciones_acumuladas[[#This Row],[Descripción]], " ", -2)</f>
        <v>Antony Ramos</v>
      </c>
      <c r="F3320" s="21" t="s">
        <v>2522</v>
      </c>
      <c r="G3320" s="23">
        <v>46114</v>
      </c>
    </row>
    <row r="3321" spans="1:7" ht="36.5" hidden="1" x14ac:dyDescent="0.35">
      <c r="A3321" s="8">
        <v>11657</v>
      </c>
      <c r="B3321" s="10" t="s">
        <v>5880</v>
      </c>
      <c r="C3321" s="10" t="s">
        <v>21</v>
      </c>
      <c r="D3321" s="9" t="s">
        <v>395</v>
      </c>
      <c r="E3321" s="9" t="str">
        <f>_xlfn.TEXTAFTER(Condiciones_acumuladas[[#This Row],[Descripción]], " ", -2)</f>
        <v>Antony Ramos</v>
      </c>
      <c r="F3321" s="21" t="s">
        <v>2530</v>
      </c>
      <c r="G3321" s="23">
        <v>46122</v>
      </c>
    </row>
    <row r="3322" spans="1:7" ht="24.5" hidden="1" x14ac:dyDescent="0.35">
      <c r="A3322" s="8">
        <v>11678</v>
      </c>
      <c r="B3322" s="10" t="s">
        <v>5881</v>
      </c>
      <c r="C3322" s="10" t="s">
        <v>196</v>
      </c>
      <c r="D3322" s="9" t="s">
        <v>395</v>
      </c>
      <c r="E3322" s="9" t="str">
        <f>_xlfn.TEXTAFTER(Condiciones_acumuladas[[#This Row],[Descripción]], " ", -2)</f>
        <v>Antony Ramos</v>
      </c>
      <c r="F3322" s="21" t="s">
        <v>2540</v>
      </c>
      <c r="G3322" s="23">
        <v>46126</v>
      </c>
    </row>
    <row r="3323" spans="1:7" ht="36.5" hidden="1" x14ac:dyDescent="0.35">
      <c r="A3323" s="8">
        <v>11682</v>
      </c>
      <c r="B3323" s="10" t="s">
        <v>5882</v>
      </c>
      <c r="C3323" s="10" t="s">
        <v>21</v>
      </c>
      <c r="D3323" s="9" t="s">
        <v>395</v>
      </c>
      <c r="E3323" s="9" t="str">
        <f>_xlfn.TEXTAFTER(Condiciones_acumuladas[[#This Row],[Descripción]], " ", -2)</f>
        <v>Antony Ramos</v>
      </c>
      <c r="F3323" s="21" t="s">
        <v>2525</v>
      </c>
      <c r="G3323" s="23">
        <v>46126</v>
      </c>
    </row>
    <row r="3324" spans="1:7" ht="24.5" hidden="1" x14ac:dyDescent="0.35">
      <c r="A3324" s="8">
        <v>11708</v>
      </c>
      <c r="B3324" s="10" t="s">
        <v>5883</v>
      </c>
      <c r="C3324" s="10" t="s">
        <v>26</v>
      </c>
      <c r="D3324" s="9" t="s">
        <v>395</v>
      </c>
      <c r="E3324" s="9" t="str">
        <f>_xlfn.TEXTAFTER(Condiciones_acumuladas[[#This Row],[Descripción]], " ", -2)</f>
        <v>Antony Ramos</v>
      </c>
      <c r="F3324" s="21" t="s">
        <v>2522</v>
      </c>
      <c r="G3324" s="23">
        <v>46128</v>
      </c>
    </row>
    <row r="3325" spans="1:7" ht="36.5" hidden="1" x14ac:dyDescent="0.35">
      <c r="A3325" s="8">
        <v>11709</v>
      </c>
      <c r="B3325" s="10" t="s">
        <v>5884</v>
      </c>
      <c r="C3325" s="10" t="s">
        <v>190</v>
      </c>
      <c r="D3325" s="9" t="s">
        <v>395</v>
      </c>
      <c r="E3325" s="9" t="str">
        <f>_xlfn.TEXTAFTER(Condiciones_acumuladas[[#This Row],[Descripción]], " ", -2)</f>
        <v>Antony Ramos</v>
      </c>
      <c r="F3325" s="21" t="s">
        <v>2572</v>
      </c>
      <c r="G3325" s="23">
        <v>46128</v>
      </c>
    </row>
    <row r="3326" spans="1:7" ht="24.5" hidden="1" x14ac:dyDescent="0.35">
      <c r="A3326" s="8">
        <v>11787</v>
      </c>
      <c r="B3326" s="10" t="s">
        <v>5885</v>
      </c>
      <c r="C3326" s="10" t="s">
        <v>234</v>
      </c>
      <c r="D3326" s="9" t="s">
        <v>395</v>
      </c>
      <c r="E3326" s="9" t="str">
        <f>_xlfn.TEXTAFTER(Condiciones_acumuladas[[#This Row],[Descripción]], " ", -2)</f>
        <v>Antony Ramos</v>
      </c>
      <c r="F3326" s="21" t="s">
        <v>2522</v>
      </c>
      <c r="G3326" s="23">
        <v>46134</v>
      </c>
    </row>
    <row r="3327" spans="1:7" ht="24.5" hidden="1" x14ac:dyDescent="0.35">
      <c r="A3327" s="8">
        <v>11786</v>
      </c>
      <c r="B3327" s="10" t="s">
        <v>5886</v>
      </c>
      <c r="C3327" s="10" t="s">
        <v>96</v>
      </c>
      <c r="D3327" s="9" t="s">
        <v>395</v>
      </c>
      <c r="E3327" s="9" t="str">
        <f>_xlfn.TEXTAFTER(Condiciones_acumuladas[[#This Row],[Descripción]], " ", -2)</f>
        <v>Antony Ramos</v>
      </c>
      <c r="F3327" s="21" t="s">
        <v>2522</v>
      </c>
      <c r="G3327" s="23">
        <v>46134</v>
      </c>
    </row>
    <row r="3328" spans="1:7" ht="24.5" hidden="1" x14ac:dyDescent="0.35">
      <c r="A3328" s="8">
        <v>11764</v>
      </c>
      <c r="B3328" s="10" t="s">
        <v>5887</v>
      </c>
      <c r="C3328" s="10" t="s">
        <v>278</v>
      </c>
      <c r="D3328" s="9" t="s">
        <v>395</v>
      </c>
      <c r="E3328" s="9" t="str">
        <f>_xlfn.TEXTAFTER(Condiciones_acumuladas[[#This Row],[Descripción]], " ", -2)</f>
        <v>Antony Ramos</v>
      </c>
      <c r="F3328" s="21" t="s">
        <v>2522</v>
      </c>
      <c r="G3328" s="23">
        <v>46134</v>
      </c>
    </row>
    <row r="3329" spans="1:7" ht="24.5" hidden="1" x14ac:dyDescent="0.35">
      <c r="A3329" s="8">
        <v>11807</v>
      </c>
      <c r="B3329" s="10" t="s">
        <v>5888</v>
      </c>
      <c r="C3329" s="10" t="s">
        <v>96</v>
      </c>
      <c r="D3329" s="9" t="s">
        <v>395</v>
      </c>
      <c r="E3329" s="9" t="str">
        <f>_xlfn.TEXTAFTER(Condiciones_acumuladas[[#This Row],[Descripción]], " ", -2)</f>
        <v>Antony Ramos</v>
      </c>
      <c r="F3329" s="21" t="s">
        <v>2522</v>
      </c>
      <c r="G3329" s="23">
        <v>46137</v>
      </c>
    </row>
    <row r="3330" spans="1:7" ht="48.5" hidden="1" x14ac:dyDescent="0.35">
      <c r="A3330" s="8">
        <v>11808</v>
      </c>
      <c r="B3330" s="10" t="s">
        <v>5889</v>
      </c>
      <c r="C3330" s="10" t="s">
        <v>196</v>
      </c>
      <c r="D3330" s="9" t="s">
        <v>395</v>
      </c>
      <c r="E3330" s="9" t="str">
        <f>_xlfn.TEXTAFTER(Condiciones_acumuladas[[#This Row],[Descripción]], " ", -2)</f>
        <v>Antony Ramos</v>
      </c>
      <c r="F3330" s="21" t="s">
        <v>2540</v>
      </c>
      <c r="G3330" s="23">
        <v>46137</v>
      </c>
    </row>
    <row r="3331" spans="1:7" ht="24.5" hidden="1" x14ac:dyDescent="0.35">
      <c r="A3331" s="8">
        <v>11798</v>
      </c>
      <c r="B3331" s="10" t="s">
        <v>5890</v>
      </c>
      <c r="C3331" s="10" t="s">
        <v>13</v>
      </c>
      <c r="D3331" s="9" t="s">
        <v>395</v>
      </c>
      <c r="E3331" s="9" t="str">
        <f>_xlfn.TEXTAFTER(Condiciones_acumuladas[[#This Row],[Descripción]], " ", -2)</f>
        <v>Antony Ramos</v>
      </c>
      <c r="F3331" s="21" t="s">
        <v>2522</v>
      </c>
      <c r="G3331" s="23">
        <v>46136</v>
      </c>
    </row>
    <row r="3332" spans="1:7" ht="24.5" hidden="1" x14ac:dyDescent="0.35">
      <c r="A3332" s="8">
        <v>11797</v>
      </c>
      <c r="B3332" s="10" t="s">
        <v>5891</v>
      </c>
      <c r="C3332" s="10" t="s">
        <v>13</v>
      </c>
      <c r="D3332" s="9" t="s">
        <v>395</v>
      </c>
      <c r="E3332" s="9" t="str">
        <f>_xlfn.TEXTAFTER(Condiciones_acumuladas[[#This Row],[Descripción]], " ", -2)</f>
        <v>Antony Ramos</v>
      </c>
      <c r="F3332" s="21" t="s">
        <v>2522</v>
      </c>
      <c r="G3332" s="23">
        <v>46136</v>
      </c>
    </row>
    <row r="3333" spans="1:7" ht="24.5" hidden="1" x14ac:dyDescent="0.35">
      <c r="A3333" s="8">
        <v>11799</v>
      </c>
      <c r="B3333" s="10" t="s">
        <v>5892</v>
      </c>
      <c r="C3333" s="10" t="s">
        <v>13</v>
      </c>
      <c r="D3333" s="9" t="s">
        <v>395</v>
      </c>
      <c r="E3333" s="9" t="str">
        <f>_xlfn.TEXTAFTER(Condiciones_acumuladas[[#This Row],[Descripción]], " ", -2)</f>
        <v>Antony Ramos</v>
      </c>
      <c r="F3333" s="21" t="s">
        <v>2522</v>
      </c>
      <c r="G3333" s="23">
        <v>46136</v>
      </c>
    </row>
    <row r="3334" spans="1:7" ht="24.5" hidden="1" x14ac:dyDescent="0.35">
      <c r="A3334" s="8">
        <v>11848</v>
      </c>
      <c r="B3334" s="10" t="s">
        <v>5893</v>
      </c>
      <c r="C3334" s="10" t="s">
        <v>21</v>
      </c>
      <c r="D3334" s="9" t="s">
        <v>395</v>
      </c>
      <c r="E3334" s="9" t="str">
        <f>_xlfn.TEXTAFTER(Condiciones_acumuladas[[#This Row],[Descripción]], " ", -2)</f>
        <v>Antony Ramos</v>
      </c>
      <c r="F3334" s="21" t="s">
        <v>2522</v>
      </c>
      <c r="G3334" s="23">
        <v>46140</v>
      </c>
    </row>
    <row r="3335" spans="1:7" ht="48.5" hidden="1" x14ac:dyDescent="0.35">
      <c r="A3335" s="8">
        <v>11788</v>
      </c>
      <c r="B3335" s="10" t="s">
        <v>5894</v>
      </c>
      <c r="C3335" s="10" t="s">
        <v>96</v>
      </c>
      <c r="D3335" s="9" t="s">
        <v>95</v>
      </c>
      <c r="E3335" s="9" t="str">
        <f>_xlfn.TEXTAFTER(Condiciones_acumuladas[[#This Row],[Descripción]], " ", -2)</f>
        <v>Benedicto Barrios</v>
      </c>
      <c r="F3335" s="21" t="s">
        <v>2559</v>
      </c>
      <c r="G3335" s="23">
        <v>46135</v>
      </c>
    </row>
    <row r="3336" spans="1:7" ht="48.5" hidden="1" x14ac:dyDescent="0.35">
      <c r="A3336" s="8">
        <v>11713</v>
      </c>
      <c r="B3336" s="10" t="s">
        <v>5895</v>
      </c>
      <c r="C3336" s="10" t="s">
        <v>96</v>
      </c>
      <c r="D3336" s="9" t="s">
        <v>96</v>
      </c>
      <c r="E3336" s="9" t="str">
        <f>_xlfn.TEXTAFTER(Condiciones_acumuladas[[#This Row],[Descripción]], " ", -2)</f>
        <v>Bladimir López</v>
      </c>
      <c r="F3336" s="21" t="s">
        <v>2559</v>
      </c>
      <c r="G3336" s="23">
        <v>46130</v>
      </c>
    </row>
    <row r="3337" spans="1:7" ht="24.5" hidden="1" x14ac:dyDescent="0.35">
      <c r="A3337" s="8">
        <v>11738</v>
      </c>
      <c r="B3337" s="10" t="s">
        <v>5896</v>
      </c>
      <c r="C3337" s="10" t="s">
        <v>96</v>
      </c>
      <c r="D3337" s="9" t="s">
        <v>96</v>
      </c>
      <c r="E3337" s="9" t="str">
        <f>_xlfn.TEXTAFTER(Condiciones_acumuladas[[#This Row],[Descripción]], " ", -2)</f>
        <v>Bladimir López</v>
      </c>
      <c r="F3337" s="21" t="s">
        <v>2537</v>
      </c>
      <c r="G3337" s="23">
        <v>46133</v>
      </c>
    </row>
    <row r="3338" spans="1:7" ht="48.5" hidden="1" x14ac:dyDescent="0.35">
      <c r="A3338" s="8">
        <v>11817</v>
      </c>
      <c r="B3338" s="10" t="s">
        <v>5897</v>
      </c>
      <c r="C3338" s="10" t="s">
        <v>96</v>
      </c>
      <c r="D3338" s="9" t="s">
        <v>96</v>
      </c>
      <c r="E3338" s="9" t="str">
        <f>_xlfn.TEXTAFTER(Condiciones_acumuladas[[#This Row],[Descripción]], " ", -2)</f>
        <v>Bladimir López</v>
      </c>
      <c r="F3338" s="21" t="s">
        <v>2559</v>
      </c>
      <c r="G3338" s="23">
        <v>46139</v>
      </c>
    </row>
    <row r="3339" spans="1:7" ht="24.5" hidden="1" x14ac:dyDescent="0.35">
      <c r="A3339" s="8">
        <v>11860</v>
      </c>
      <c r="B3339" s="10" t="s">
        <v>5898</v>
      </c>
      <c r="C3339" s="10" t="s">
        <v>96</v>
      </c>
      <c r="D3339" s="9" t="s">
        <v>96</v>
      </c>
      <c r="E3339" s="9" t="str">
        <f>_xlfn.TEXTAFTER(Condiciones_acumuladas[[#This Row],[Descripción]], " ", -2)</f>
        <v>Bladimir López</v>
      </c>
      <c r="F3339" s="21" t="s">
        <v>2537</v>
      </c>
      <c r="G3339" s="23">
        <v>46141</v>
      </c>
    </row>
    <row r="3340" spans="1:7" ht="48.5" hidden="1" x14ac:dyDescent="0.35">
      <c r="A3340" s="8">
        <v>11658</v>
      </c>
      <c r="B3340" s="10" t="s">
        <v>5899</v>
      </c>
      <c r="C3340" s="10" t="s">
        <v>234</v>
      </c>
      <c r="D3340" s="9" t="s">
        <v>234</v>
      </c>
      <c r="E3340" s="9" t="str">
        <f>_xlfn.TEXTAFTER(Condiciones_acumuladas[[#This Row],[Descripción]], " ", -2)</f>
        <v>Bryan Rodas</v>
      </c>
      <c r="F3340" s="21" t="s">
        <v>2559</v>
      </c>
      <c r="G3340" s="23">
        <v>46122</v>
      </c>
    </row>
    <row r="3341" spans="1:7" ht="36.5" hidden="1" x14ac:dyDescent="0.35">
      <c r="A3341" s="8">
        <v>11822</v>
      </c>
      <c r="B3341" s="10" t="s">
        <v>5900</v>
      </c>
      <c r="C3341" s="10" t="s">
        <v>196</v>
      </c>
      <c r="D3341" s="9" t="s">
        <v>234</v>
      </c>
      <c r="E3341" s="9" t="str">
        <f>_xlfn.TEXTAFTER(Condiciones_acumuladas[[#This Row],[Descripción]], " ", -2)</f>
        <v>Bryan Rodas</v>
      </c>
      <c r="F3341" s="21" t="s">
        <v>2834</v>
      </c>
      <c r="G3341" s="23">
        <v>46139</v>
      </c>
    </row>
    <row r="3342" spans="1:7" ht="24.5" hidden="1" x14ac:dyDescent="0.35">
      <c r="A3342" s="8">
        <v>11762</v>
      </c>
      <c r="B3342" s="10" t="s">
        <v>5901</v>
      </c>
      <c r="C3342" s="10" t="s">
        <v>371</v>
      </c>
      <c r="D3342" s="9" t="s">
        <v>220</v>
      </c>
      <c r="E3342" s="9" t="str">
        <f>_xlfn.TEXTAFTER(Condiciones_acumuladas[[#This Row],[Descripción]], " ", -2)</f>
        <v>Carlos Chávez</v>
      </c>
      <c r="F3342" s="21" t="s">
        <v>2522</v>
      </c>
      <c r="G3342" s="23">
        <v>46134</v>
      </c>
    </row>
    <row r="3343" spans="1:7" ht="24.5" hidden="1" x14ac:dyDescent="0.35">
      <c r="A3343" s="8">
        <v>11631</v>
      </c>
      <c r="B3343" s="10" t="s">
        <v>5902</v>
      </c>
      <c r="C3343" s="10" t="s">
        <v>34</v>
      </c>
      <c r="D3343" s="9" t="s">
        <v>220</v>
      </c>
      <c r="E3343" s="9" t="str">
        <f>_xlfn.TEXTAFTER(Condiciones_acumuladas[[#This Row],[Descripción]], " ", -2)</f>
        <v>Charly Coc</v>
      </c>
      <c r="F3343" s="21" t="s">
        <v>2522</v>
      </c>
      <c r="G3343" s="23">
        <v>46120</v>
      </c>
    </row>
    <row r="3344" spans="1:7" ht="24.5" hidden="1" x14ac:dyDescent="0.35">
      <c r="A3344" s="8">
        <v>11628</v>
      </c>
      <c r="B3344" s="10" t="s">
        <v>5903</v>
      </c>
      <c r="C3344" s="10" t="s">
        <v>134</v>
      </c>
      <c r="D3344" s="9" t="s">
        <v>220</v>
      </c>
      <c r="E3344" s="9" t="str">
        <f>_xlfn.TEXTAFTER(Condiciones_acumuladas[[#This Row],[Descripción]], " ", -2)</f>
        <v>Charly Coc</v>
      </c>
      <c r="F3344" s="21" t="s">
        <v>2522</v>
      </c>
      <c r="G3344" s="23">
        <v>46120</v>
      </c>
    </row>
    <row r="3345" spans="1:7" ht="24.5" hidden="1" x14ac:dyDescent="0.35">
      <c r="A3345" s="8">
        <v>11625</v>
      </c>
      <c r="B3345" s="10" t="s">
        <v>5904</v>
      </c>
      <c r="C3345" s="10" t="s">
        <v>193</v>
      </c>
      <c r="D3345" s="9" t="s">
        <v>220</v>
      </c>
      <c r="E3345" s="9" t="str">
        <f>_xlfn.TEXTAFTER(Condiciones_acumuladas[[#This Row],[Descripción]], " ", -2)</f>
        <v>Charly Coc</v>
      </c>
      <c r="F3345" s="21" t="s">
        <v>2522</v>
      </c>
      <c r="G3345" s="23">
        <v>46120</v>
      </c>
    </row>
    <row r="3346" spans="1:7" ht="24.5" hidden="1" x14ac:dyDescent="0.35">
      <c r="A3346" s="8">
        <v>11623</v>
      </c>
      <c r="B3346" s="10" t="s">
        <v>5905</v>
      </c>
      <c r="C3346" s="10" t="s">
        <v>220</v>
      </c>
      <c r="D3346" s="9" t="s">
        <v>220</v>
      </c>
      <c r="E3346" s="9" t="str">
        <f>_xlfn.TEXTAFTER(Condiciones_acumuladas[[#This Row],[Descripción]], " ", -2)</f>
        <v>Charly Coc</v>
      </c>
      <c r="F3346" s="21" t="s">
        <v>2522</v>
      </c>
      <c r="G3346" s="23">
        <v>46120</v>
      </c>
    </row>
    <row r="3347" spans="1:7" ht="24.5" hidden="1" x14ac:dyDescent="0.35">
      <c r="A3347" s="8">
        <v>11617</v>
      </c>
      <c r="B3347" s="10" t="s">
        <v>5906</v>
      </c>
      <c r="C3347" s="10" t="s">
        <v>220</v>
      </c>
      <c r="D3347" s="9" t="s">
        <v>220</v>
      </c>
      <c r="E3347" s="9" t="str">
        <f>_xlfn.TEXTAFTER(Condiciones_acumuladas[[#This Row],[Descripción]], " ", -2)</f>
        <v>Charly Coc</v>
      </c>
      <c r="F3347" s="21" t="s">
        <v>2522</v>
      </c>
      <c r="G3347" s="23">
        <v>46120</v>
      </c>
    </row>
    <row r="3348" spans="1:7" ht="24.5" hidden="1" x14ac:dyDescent="0.35">
      <c r="A3348" s="8">
        <v>11656</v>
      </c>
      <c r="B3348" s="10" t="s">
        <v>5907</v>
      </c>
      <c r="C3348" s="10" t="s">
        <v>220</v>
      </c>
      <c r="D3348" s="9" t="s">
        <v>220</v>
      </c>
      <c r="E3348" s="9" t="str">
        <f>_xlfn.TEXTAFTER(Condiciones_acumuladas[[#This Row],[Descripción]], " ", -2)</f>
        <v>Charly Coc</v>
      </c>
      <c r="F3348" s="21" t="s">
        <v>2522</v>
      </c>
      <c r="G3348" s="23">
        <v>46122</v>
      </c>
    </row>
    <row r="3349" spans="1:7" ht="48.5" hidden="1" x14ac:dyDescent="0.35">
      <c r="A3349" s="8">
        <v>11707</v>
      </c>
      <c r="B3349" s="10" t="s">
        <v>5908</v>
      </c>
      <c r="C3349" s="10" t="s">
        <v>220</v>
      </c>
      <c r="D3349" s="9" t="s">
        <v>220</v>
      </c>
      <c r="E3349" s="9" t="str">
        <f>_xlfn.TEXTAFTER(Condiciones_acumuladas[[#This Row],[Descripción]], " ", -2)</f>
        <v>Charly Coc</v>
      </c>
      <c r="F3349" s="21" t="s">
        <v>2559</v>
      </c>
      <c r="G3349" s="23">
        <v>46128</v>
      </c>
    </row>
    <row r="3350" spans="1:7" ht="36.5" hidden="1" x14ac:dyDescent="0.35">
      <c r="A3350" s="8">
        <v>11768</v>
      </c>
      <c r="B3350" s="10" t="s">
        <v>5909</v>
      </c>
      <c r="C3350" s="10" t="s">
        <v>371</v>
      </c>
      <c r="D3350" s="9" t="s">
        <v>220</v>
      </c>
      <c r="E3350" s="9" t="str">
        <f>_xlfn.TEXTAFTER(Condiciones_acumuladas[[#This Row],[Descripción]], " ", -2)</f>
        <v>Charly Coc</v>
      </c>
      <c r="F3350" s="21" t="s">
        <v>2516</v>
      </c>
      <c r="G3350" s="23">
        <v>46134</v>
      </c>
    </row>
    <row r="3351" spans="1:7" ht="48.5" hidden="1" x14ac:dyDescent="0.35">
      <c r="A3351" s="8">
        <v>11855</v>
      </c>
      <c r="B3351" s="10" t="s">
        <v>5910</v>
      </c>
      <c r="C3351" s="10" t="s">
        <v>220</v>
      </c>
      <c r="D3351" s="9" t="s">
        <v>220</v>
      </c>
      <c r="E3351" s="9" t="str">
        <f>_xlfn.TEXTAFTER(Condiciones_acumuladas[[#This Row],[Descripción]], " ", -2)</f>
        <v>Charly Coc</v>
      </c>
      <c r="F3351" s="21" t="s">
        <v>2559</v>
      </c>
      <c r="G3351" s="23">
        <v>46141</v>
      </c>
    </row>
    <row r="3352" spans="1:7" ht="36.5" hidden="1" x14ac:dyDescent="0.35">
      <c r="A3352" s="8">
        <v>11851</v>
      </c>
      <c r="B3352" s="10" t="s">
        <v>5911</v>
      </c>
      <c r="C3352" s="10" t="s">
        <v>395</v>
      </c>
      <c r="D3352" s="9" t="s">
        <v>278</v>
      </c>
      <c r="E3352" s="9" t="str">
        <f>_xlfn.TEXTAFTER(Condiciones_acumuladas[[#This Row],[Descripción]], " ", -2)</f>
        <v>CIP L5.</v>
      </c>
      <c r="F3352" s="21" t="s">
        <v>2525</v>
      </c>
      <c r="G3352" s="23">
        <v>46140</v>
      </c>
    </row>
    <row r="3353" spans="1:7" ht="24.5" hidden="1" x14ac:dyDescent="0.35">
      <c r="A3353" s="8">
        <v>11663</v>
      </c>
      <c r="B3353" s="10" t="s">
        <v>5912</v>
      </c>
      <c r="C3353" s="10" t="s">
        <v>96</v>
      </c>
      <c r="D3353" s="9" t="s">
        <v>395</v>
      </c>
      <c r="E3353" s="9" t="str">
        <f>_xlfn.TEXTAFTER(Condiciones_acumuladas[[#This Row],[Descripción]], " ", -2)</f>
        <v>Daniel Pineda</v>
      </c>
      <c r="F3353" s="21" t="s">
        <v>2522</v>
      </c>
      <c r="G3353" s="23">
        <v>46123</v>
      </c>
    </row>
    <row r="3354" spans="1:7" ht="24.5" hidden="1" x14ac:dyDescent="0.35">
      <c r="A3354" s="8">
        <v>11662</v>
      </c>
      <c r="B3354" s="10" t="s">
        <v>5913</v>
      </c>
      <c r="C3354" s="10" t="s">
        <v>96</v>
      </c>
      <c r="D3354" s="9" t="s">
        <v>395</v>
      </c>
      <c r="E3354" s="9" t="str">
        <f>_xlfn.TEXTAFTER(Condiciones_acumuladas[[#This Row],[Descripción]], " ", -2)</f>
        <v>Daniel Pineda</v>
      </c>
      <c r="F3354" s="21" t="s">
        <v>2522</v>
      </c>
      <c r="G3354" s="23">
        <v>46123</v>
      </c>
    </row>
    <row r="3355" spans="1:7" ht="36.5" hidden="1" x14ac:dyDescent="0.35">
      <c r="A3355" s="8">
        <v>11704</v>
      </c>
      <c r="B3355" s="10" t="s">
        <v>5914</v>
      </c>
      <c r="C3355" s="10" t="s">
        <v>96</v>
      </c>
      <c r="D3355" s="9" t="s">
        <v>395</v>
      </c>
      <c r="E3355" s="9" t="str">
        <f>_xlfn.TEXTAFTER(Condiciones_acumuladas[[#This Row],[Descripción]], " ", -2)</f>
        <v>Daniel Pineda</v>
      </c>
      <c r="F3355" s="21" t="s">
        <v>2530</v>
      </c>
      <c r="G3355" s="23">
        <v>46127</v>
      </c>
    </row>
    <row r="3356" spans="1:7" ht="36.5" hidden="1" x14ac:dyDescent="0.35">
      <c r="A3356" s="8">
        <v>11705</v>
      </c>
      <c r="B3356" s="10" t="s">
        <v>5915</v>
      </c>
      <c r="C3356" s="10" t="s">
        <v>250</v>
      </c>
      <c r="D3356" s="9" t="s">
        <v>395</v>
      </c>
      <c r="E3356" s="9" t="str">
        <f>_xlfn.TEXTAFTER(Condiciones_acumuladas[[#This Row],[Descripción]], " ", -2)</f>
        <v>Daniel Pineda</v>
      </c>
      <c r="F3356" s="21" t="s">
        <v>2525</v>
      </c>
      <c r="G3356" s="23">
        <v>46127</v>
      </c>
    </row>
    <row r="3357" spans="1:7" ht="36.5" hidden="1" x14ac:dyDescent="0.35">
      <c r="A3357" s="8">
        <v>11703</v>
      </c>
      <c r="B3357" s="10" t="s">
        <v>5916</v>
      </c>
      <c r="C3357" s="10" t="s">
        <v>96</v>
      </c>
      <c r="D3357" s="9" t="s">
        <v>395</v>
      </c>
      <c r="E3357" s="9" t="str">
        <f>_xlfn.TEXTAFTER(Condiciones_acumuladas[[#This Row],[Descripción]], " ", -2)</f>
        <v>Daniel Pineda</v>
      </c>
      <c r="F3357" s="21" t="s">
        <v>2530</v>
      </c>
      <c r="G3357" s="23">
        <v>46127</v>
      </c>
    </row>
    <row r="3358" spans="1:7" ht="36.5" hidden="1" x14ac:dyDescent="0.35">
      <c r="A3358" s="8">
        <v>11702</v>
      </c>
      <c r="B3358" s="10" t="s">
        <v>5917</v>
      </c>
      <c r="C3358" s="10" t="s">
        <v>96</v>
      </c>
      <c r="D3358" s="9" t="s">
        <v>395</v>
      </c>
      <c r="E3358" s="9" t="str">
        <f>_xlfn.TEXTAFTER(Condiciones_acumuladas[[#This Row],[Descripción]], " ", -2)</f>
        <v>Daniel Pineda</v>
      </c>
      <c r="F3358" s="21" t="s">
        <v>2530</v>
      </c>
      <c r="G3358" s="23">
        <v>46127</v>
      </c>
    </row>
    <row r="3359" spans="1:7" ht="36.5" hidden="1" x14ac:dyDescent="0.35">
      <c r="A3359" s="8">
        <v>11701</v>
      </c>
      <c r="B3359" s="10" t="s">
        <v>5918</v>
      </c>
      <c r="C3359" s="10" t="s">
        <v>26</v>
      </c>
      <c r="D3359" s="9" t="s">
        <v>395</v>
      </c>
      <c r="E3359" s="9" t="str">
        <f>_xlfn.TEXTAFTER(Condiciones_acumuladas[[#This Row],[Descripción]], " ", -2)</f>
        <v>Daniel Pineda</v>
      </c>
      <c r="F3359" s="21" t="s">
        <v>2516</v>
      </c>
      <c r="G3359" s="23">
        <v>46127</v>
      </c>
    </row>
    <row r="3360" spans="1:7" ht="36.5" hidden="1" x14ac:dyDescent="0.35">
      <c r="A3360" s="8">
        <v>11743</v>
      </c>
      <c r="B3360" s="10" t="s">
        <v>5919</v>
      </c>
      <c r="C3360" s="10" t="s">
        <v>193</v>
      </c>
      <c r="D3360" s="9" t="s">
        <v>395</v>
      </c>
      <c r="E3360" s="9" t="str">
        <f>_xlfn.TEXTAFTER(Condiciones_acumuladas[[#This Row],[Descripción]], " ", -2)</f>
        <v>Daniel Pineda</v>
      </c>
      <c r="F3360" s="21" t="s">
        <v>2516</v>
      </c>
      <c r="G3360" s="23">
        <v>46133</v>
      </c>
    </row>
    <row r="3361" spans="1:7" ht="36.5" hidden="1" x14ac:dyDescent="0.35">
      <c r="A3361" s="8">
        <v>11742</v>
      </c>
      <c r="B3361" s="10" t="s">
        <v>5920</v>
      </c>
      <c r="C3361" s="10" t="s">
        <v>395</v>
      </c>
      <c r="D3361" s="9" t="s">
        <v>395</v>
      </c>
      <c r="E3361" s="9" t="str">
        <f>_xlfn.TEXTAFTER(Condiciones_acumuladas[[#This Row],[Descripción]], " ", -2)</f>
        <v>Daniel Pineda</v>
      </c>
      <c r="F3361" s="21" t="s">
        <v>2525</v>
      </c>
      <c r="G3361" s="23">
        <v>46133</v>
      </c>
    </row>
    <row r="3362" spans="1:7" ht="36.5" hidden="1" x14ac:dyDescent="0.35">
      <c r="A3362" s="8">
        <v>11759</v>
      </c>
      <c r="B3362" s="10" t="s">
        <v>5921</v>
      </c>
      <c r="C3362" s="10" t="s">
        <v>395</v>
      </c>
      <c r="D3362" s="9" t="s">
        <v>395</v>
      </c>
      <c r="E3362" s="9" t="str">
        <f>_xlfn.TEXTAFTER(Condiciones_acumuladas[[#This Row],[Descripción]], " ", -2)</f>
        <v>Daniel Pineda</v>
      </c>
      <c r="F3362" s="21" t="s">
        <v>2525</v>
      </c>
      <c r="G3362" s="23">
        <v>46133</v>
      </c>
    </row>
    <row r="3363" spans="1:7" ht="24.5" hidden="1" x14ac:dyDescent="0.35">
      <c r="A3363" s="8">
        <v>11757</v>
      </c>
      <c r="B3363" s="10" t="s">
        <v>5922</v>
      </c>
      <c r="C3363" s="10" t="s">
        <v>234</v>
      </c>
      <c r="D3363" s="9" t="s">
        <v>395</v>
      </c>
      <c r="E3363" s="9" t="str">
        <f>_xlfn.TEXTAFTER(Condiciones_acumuladas[[#This Row],[Descripción]], " ", -2)</f>
        <v>Daniel Pineda</v>
      </c>
      <c r="F3363" s="21" t="s">
        <v>2522</v>
      </c>
      <c r="G3363" s="23">
        <v>46133</v>
      </c>
    </row>
    <row r="3364" spans="1:7" ht="36.5" hidden="1" x14ac:dyDescent="0.35">
      <c r="A3364" s="8">
        <v>11756</v>
      </c>
      <c r="B3364" s="10" t="s">
        <v>5923</v>
      </c>
      <c r="C3364" s="10" t="s">
        <v>104</v>
      </c>
      <c r="D3364" s="9" t="s">
        <v>395</v>
      </c>
      <c r="E3364" s="9" t="str">
        <f>_xlfn.TEXTAFTER(Condiciones_acumuladas[[#This Row],[Descripción]], " ", -2)</f>
        <v>Daniel Pineda</v>
      </c>
      <c r="F3364" s="21" t="s">
        <v>2572</v>
      </c>
      <c r="G3364" s="23">
        <v>46133</v>
      </c>
    </row>
    <row r="3365" spans="1:7" ht="36.5" hidden="1" x14ac:dyDescent="0.35">
      <c r="A3365" s="8">
        <v>11753</v>
      </c>
      <c r="B3365" s="10" t="s">
        <v>5924</v>
      </c>
      <c r="C3365" s="10" t="s">
        <v>278</v>
      </c>
      <c r="D3365" s="9" t="s">
        <v>395</v>
      </c>
      <c r="E3365" s="9" t="str">
        <f>_xlfn.TEXTAFTER(Condiciones_acumuladas[[#This Row],[Descripción]], " ", -2)</f>
        <v>Daniel Pineda</v>
      </c>
      <c r="F3365" s="21" t="s">
        <v>2522</v>
      </c>
      <c r="G3365" s="23">
        <v>46133</v>
      </c>
    </row>
    <row r="3366" spans="1:7" ht="24.5" hidden="1" x14ac:dyDescent="0.35">
      <c r="A3366" s="8">
        <v>11755</v>
      </c>
      <c r="B3366" s="10" t="s">
        <v>5925</v>
      </c>
      <c r="C3366" s="10" t="s">
        <v>13</v>
      </c>
      <c r="D3366" s="9" t="s">
        <v>395</v>
      </c>
      <c r="E3366" s="9" t="str">
        <f>_xlfn.TEXTAFTER(Condiciones_acumuladas[[#This Row],[Descripción]], " ", -2)</f>
        <v>Daniel Pineda</v>
      </c>
      <c r="F3366" s="21" t="s">
        <v>2834</v>
      </c>
      <c r="G3366" s="23">
        <v>46133</v>
      </c>
    </row>
    <row r="3367" spans="1:7" ht="36.5" hidden="1" x14ac:dyDescent="0.35">
      <c r="A3367" s="8">
        <v>11805</v>
      </c>
      <c r="B3367" s="10" t="s">
        <v>5926</v>
      </c>
      <c r="C3367" s="10" t="s">
        <v>96</v>
      </c>
      <c r="D3367" s="9" t="s">
        <v>395</v>
      </c>
      <c r="E3367" s="9" t="str">
        <f>_xlfn.TEXTAFTER(Condiciones_acumuladas[[#This Row],[Descripción]], " ", -2)</f>
        <v>Daniel Pineda</v>
      </c>
      <c r="F3367" s="21" t="s">
        <v>2572</v>
      </c>
      <c r="G3367" s="23">
        <v>46136</v>
      </c>
    </row>
    <row r="3368" spans="1:7" ht="48.5" hidden="1" x14ac:dyDescent="0.35">
      <c r="A3368" s="8">
        <v>11806</v>
      </c>
      <c r="B3368" s="10" t="s">
        <v>5927</v>
      </c>
      <c r="C3368" s="10" t="s">
        <v>96</v>
      </c>
      <c r="D3368" s="9" t="s">
        <v>395</v>
      </c>
      <c r="E3368" s="9" t="str">
        <f>_xlfn.TEXTAFTER(Condiciones_acumuladas[[#This Row],[Descripción]], " ", -2)</f>
        <v>Daniel Pineda</v>
      </c>
      <c r="F3368" s="21" t="s">
        <v>2559</v>
      </c>
      <c r="G3368" s="23">
        <v>46136</v>
      </c>
    </row>
    <row r="3369" spans="1:7" ht="36.5" hidden="1" x14ac:dyDescent="0.35">
      <c r="A3369" s="8">
        <v>11802</v>
      </c>
      <c r="B3369" s="10" t="s">
        <v>5928</v>
      </c>
      <c r="C3369" s="10" t="s">
        <v>26</v>
      </c>
      <c r="D3369" s="9" t="s">
        <v>395</v>
      </c>
      <c r="E3369" s="9" t="str">
        <f>_xlfn.TEXTAFTER(Condiciones_acumuladas[[#This Row],[Descripción]], " ", -2)</f>
        <v>Daniel Pineda</v>
      </c>
      <c r="F3369" s="21" t="s">
        <v>2522</v>
      </c>
      <c r="G3369" s="23">
        <v>46136</v>
      </c>
    </row>
    <row r="3370" spans="1:7" ht="36.5" hidden="1" x14ac:dyDescent="0.35">
      <c r="A3370" s="8">
        <v>11803</v>
      </c>
      <c r="B3370" s="10" t="s">
        <v>5929</v>
      </c>
      <c r="C3370" s="10" t="s">
        <v>26</v>
      </c>
      <c r="D3370" s="9" t="s">
        <v>395</v>
      </c>
      <c r="E3370" s="9" t="str">
        <f>_xlfn.TEXTAFTER(Condiciones_acumuladas[[#This Row],[Descripción]], " ", -2)</f>
        <v>Daniel Pineda</v>
      </c>
      <c r="F3370" s="21" t="s">
        <v>2715</v>
      </c>
      <c r="G3370" s="23">
        <v>46136</v>
      </c>
    </row>
    <row r="3371" spans="1:7" ht="24.5" hidden="1" x14ac:dyDescent="0.35">
      <c r="A3371" s="8">
        <v>11804</v>
      </c>
      <c r="B3371" s="10" t="s">
        <v>5930</v>
      </c>
      <c r="C3371" s="10" t="s">
        <v>196</v>
      </c>
      <c r="D3371" s="9" t="s">
        <v>395</v>
      </c>
      <c r="E3371" s="9" t="str">
        <f>_xlfn.TEXTAFTER(Condiciones_acumuladas[[#This Row],[Descripción]], " ", -2)</f>
        <v>Daniel Pineda</v>
      </c>
      <c r="F3371" s="21" t="s">
        <v>2522</v>
      </c>
      <c r="G3371" s="23">
        <v>46136</v>
      </c>
    </row>
    <row r="3372" spans="1:7" ht="24.5" hidden="1" x14ac:dyDescent="0.35">
      <c r="A3372" s="8">
        <v>11800</v>
      </c>
      <c r="B3372" s="10" t="s">
        <v>5931</v>
      </c>
      <c r="C3372" s="10" t="s">
        <v>234</v>
      </c>
      <c r="D3372" s="9" t="s">
        <v>395</v>
      </c>
      <c r="E3372" s="9" t="str">
        <f>_xlfn.TEXTAFTER(Condiciones_acumuladas[[#This Row],[Descripción]], " ", -2)</f>
        <v>Daniel Pineda</v>
      </c>
      <c r="F3372" s="21" t="s">
        <v>2522</v>
      </c>
      <c r="G3372" s="23">
        <v>46136</v>
      </c>
    </row>
    <row r="3373" spans="1:7" ht="24.5" hidden="1" x14ac:dyDescent="0.35">
      <c r="A3373" s="8">
        <v>11801</v>
      </c>
      <c r="B3373" s="10" t="s">
        <v>5932</v>
      </c>
      <c r="C3373" s="10" t="s">
        <v>26</v>
      </c>
      <c r="D3373" s="9" t="s">
        <v>395</v>
      </c>
      <c r="E3373" s="9" t="str">
        <f>_xlfn.TEXTAFTER(Condiciones_acumuladas[[#This Row],[Descripción]], " ", -2)</f>
        <v>Daniel Pineda</v>
      </c>
      <c r="F3373" s="21" t="s">
        <v>2522</v>
      </c>
      <c r="G3373" s="23">
        <v>46136</v>
      </c>
    </row>
    <row r="3374" spans="1:7" ht="36.5" hidden="1" x14ac:dyDescent="0.35">
      <c r="A3374" s="8">
        <v>11796</v>
      </c>
      <c r="B3374" s="10" t="s">
        <v>5933</v>
      </c>
      <c r="C3374" s="10" t="s">
        <v>220</v>
      </c>
      <c r="D3374" s="9" t="s">
        <v>395</v>
      </c>
      <c r="E3374" s="9" t="str">
        <f>_xlfn.TEXTAFTER(Condiciones_acumuladas[[#This Row],[Descripción]], " ", -2)</f>
        <v>Daniel Pineda</v>
      </c>
      <c r="F3374" s="21" t="s">
        <v>2572</v>
      </c>
      <c r="G3374" s="23">
        <v>46136</v>
      </c>
    </row>
    <row r="3375" spans="1:7" ht="36.5" hidden="1" x14ac:dyDescent="0.35">
      <c r="A3375" s="8">
        <v>11864</v>
      </c>
      <c r="B3375" s="10" t="s">
        <v>5934</v>
      </c>
      <c r="C3375" s="10" t="s">
        <v>193</v>
      </c>
      <c r="D3375" s="9" t="s">
        <v>395</v>
      </c>
      <c r="E3375" s="9" t="str">
        <f>_xlfn.TEXTAFTER(Condiciones_acumuladas[[#This Row],[Descripción]], " ", -2)</f>
        <v>Daniel Pineda</v>
      </c>
      <c r="F3375" s="21" t="s">
        <v>2530</v>
      </c>
      <c r="G3375" s="23">
        <v>46142</v>
      </c>
    </row>
    <row r="3376" spans="1:7" ht="24.5" hidden="1" x14ac:dyDescent="0.35">
      <c r="A3376" s="8">
        <v>11846</v>
      </c>
      <c r="B3376" s="10" t="s">
        <v>5935</v>
      </c>
      <c r="C3376" s="10" t="s">
        <v>278</v>
      </c>
      <c r="D3376" s="9" t="s">
        <v>395</v>
      </c>
      <c r="E3376" s="9" t="str">
        <f>_xlfn.TEXTAFTER(Condiciones_acumuladas[[#This Row],[Descripción]], " ", -2)</f>
        <v>Daniel Pineda</v>
      </c>
      <c r="F3376" s="21" t="s">
        <v>2522</v>
      </c>
      <c r="G3376" s="23">
        <v>46139</v>
      </c>
    </row>
    <row r="3377" spans="1:7" ht="36.5" hidden="1" x14ac:dyDescent="0.35">
      <c r="A3377" s="8">
        <v>11758</v>
      </c>
      <c r="B3377" s="10" t="s">
        <v>5936</v>
      </c>
      <c r="C3377" s="10" t="s">
        <v>220</v>
      </c>
      <c r="D3377" s="9" t="s">
        <v>95</v>
      </c>
      <c r="E3377" s="9" t="str">
        <f>_xlfn.TEXTAFTER(Condiciones_acumuladas[[#This Row],[Descripción]], " ", -2)</f>
        <v>Diana Pérez</v>
      </c>
      <c r="F3377" s="21" t="s">
        <v>2516</v>
      </c>
      <c r="G3377" s="23">
        <v>46134</v>
      </c>
    </row>
    <row r="3378" spans="1:7" ht="36.5" hidden="1" x14ac:dyDescent="0.35">
      <c r="A3378" s="8">
        <v>11679</v>
      </c>
      <c r="B3378" s="10" t="s">
        <v>5937</v>
      </c>
      <c r="C3378" s="10" t="s">
        <v>95</v>
      </c>
      <c r="D3378" s="9" t="s">
        <v>95</v>
      </c>
      <c r="E3378" s="9" t="str">
        <f>_xlfn.TEXTAFTER(Condiciones_acumuladas[[#This Row],[Descripción]], " ", -2)</f>
        <v>Domingo Yac</v>
      </c>
      <c r="F3378" s="21" t="s">
        <v>2516</v>
      </c>
      <c r="G3378" s="23">
        <v>46126</v>
      </c>
    </row>
    <row r="3379" spans="1:7" ht="36.5" hidden="1" x14ac:dyDescent="0.35">
      <c r="A3379" s="8">
        <v>11729</v>
      </c>
      <c r="B3379" s="10" t="s">
        <v>5938</v>
      </c>
      <c r="C3379" s="10" t="s">
        <v>250</v>
      </c>
      <c r="D3379" s="9" t="s">
        <v>95</v>
      </c>
      <c r="E3379" s="9" t="str">
        <f>_xlfn.TEXTAFTER(Condiciones_acumuladas[[#This Row],[Descripción]], " ", -2)</f>
        <v>Edgar Coti</v>
      </c>
      <c r="F3379" s="21" t="s">
        <v>2516</v>
      </c>
      <c r="G3379" s="23">
        <v>46133</v>
      </c>
    </row>
    <row r="3380" spans="1:7" ht="36.5" hidden="1" x14ac:dyDescent="0.35">
      <c r="A3380" s="8">
        <v>11728</v>
      </c>
      <c r="B3380" s="10" t="s">
        <v>5939</v>
      </c>
      <c r="C3380" s="10" t="s">
        <v>250</v>
      </c>
      <c r="D3380" s="9" t="s">
        <v>95</v>
      </c>
      <c r="E3380" s="9" t="str">
        <f>_xlfn.TEXTAFTER(Condiciones_acumuladas[[#This Row],[Descripción]], " ", -2)</f>
        <v>Edgar Coti</v>
      </c>
      <c r="F3380" s="21" t="s">
        <v>2572</v>
      </c>
      <c r="G3380" s="23">
        <v>46132</v>
      </c>
    </row>
    <row r="3381" spans="1:7" ht="36.5" hidden="1" x14ac:dyDescent="0.35">
      <c r="A3381" s="8">
        <v>11730</v>
      </c>
      <c r="B3381" s="10" t="s">
        <v>5940</v>
      </c>
      <c r="C3381" s="10" t="s">
        <v>250</v>
      </c>
      <c r="D3381" s="9" t="s">
        <v>95</v>
      </c>
      <c r="E3381" s="9" t="str">
        <f>_xlfn.TEXTAFTER(Condiciones_acumuladas[[#This Row],[Descripción]], " ", -2)</f>
        <v>Edgar Coti</v>
      </c>
      <c r="F3381" s="21" t="s">
        <v>2530</v>
      </c>
      <c r="G3381" s="23">
        <v>46133</v>
      </c>
    </row>
    <row r="3382" spans="1:7" ht="36.5" hidden="1" x14ac:dyDescent="0.35">
      <c r="A3382" s="8">
        <v>11820</v>
      </c>
      <c r="B3382" s="10" t="s">
        <v>5941</v>
      </c>
      <c r="C3382" s="10" t="s">
        <v>395</v>
      </c>
      <c r="D3382" s="9" t="s">
        <v>95</v>
      </c>
      <c r="E3382" s="9" t="str">
        <f>_xlfn.TEXTAFTER(Condiciones_acumuladas[[#This Row],[Descripción]], " ", -2)</f>
        <v>Edgar Coti</v>
      </c>
      <c r="F3382" s="21" t="s">
        <v>2715</v>
      </c>
      <c r="G3382" s="23">
        <v>46134</v>
      </c>
    </row>
    <row r="3383" spans="1:7" ht="48.5" hidden="1" x14ac:dyDescent="0.35">
      <c r="A3383" s="8">
        <v>11671</v>
      </c>
      <c r="B3383" s="10" t="s">
        <v>5942</v>
      </c>
      <c r="C3383" s="10" t="s">
        <v>234</v>
      </c>
      <c r="D3383" s="9" t="s">
        <v>190</v>
      </c>
      <c r="E3383" s="9" t="str">
        <f>_xlfn.TEXTAFTER(Condiciones_acumuladas[[#This Row],[Descripción]], " ", -2)</f>
        <v>Edson Bonifacio</v>
      </c>
      <c r="F3383" s="21" t="s">
        <v>2559</v>
      </c>
      <c r="G3383" s="23">
        <v>46125</v>
      </c>
    </row>
    <row r="3384" spans="1:7" ht="36.5" hidden="1" x14ac:dyDescent="0.35">
      <c r="A3384" s="8">
        <v>11687</v>
      </c>
      <c r="B3384" s="10" t="s">
        <v>5943</v>
      </c>
      <c r="C3384" s="10" t="s">
        <v>250</v>
      </c>
      <c r="D3384" s="9" t="s">
        <v>190</v>
      </c>
      <c r="E3384" s="9" t="str">
        <f>_xlfn.TEXTAFTER(Condiciones_acumuladas[[#This Row],[Descripción]], " ", -2)</f>
        <v>Edson Bonifacio</v>
      </c>
      <c r="F3384" s="21" t="s">
        <v>2530</v>
      </c>
      <c r="G3384" s="23">
        <v>46127</v>
      </c>
    </row>
    <row r="3385" spans="1:7" ht="24.5" hidden="1" x14ac:dyDescent="0.35">
      <c r="A3385" s="8">
        <v>11724</v>
      </c>
      <c r="B3385" s="10" t="s">
        <v>5944</v>
      </c>
      <c r="C3385" s="10" t="s">
        <v>190</v>
      </c>
      <c r="D3385" s="9" t="s">
        <v>190</v>
      </c>
      <c r="E3385" s="9" t="str">
        <f>_xlfn.TEXTAFTER(Condiciones_acumuladas[[#This Row],[Descripción]], " ", -2)</f>
        <v>Edson Bonifacio</v>
      </c>
      <c r="F3385" s="21" t="s">
        <v>2522</v>
      </c>
      <c r="G3385" s="23">
        <v>46132</v>
      </c>
    </row>
    <row r="3386" spans="1:7" ht="48.5" hidden="1" x14ac:dyDescent="0.35">
      <c r="A3386" s="8">
        <v>11727</v>
      </c>
      <c r="B3386" s="10" t="s">
        <v>5945</v>
      </c>
      <c r="C3386" s="10" t="s">
        <v>26</v>
      </c>
      <c r="D3386" s="9" t="s">
        <v>190</v>
      </c>
      <c r="E3386" s="9" t="str">
        <f>_xlfn.TEXTAFTER(Condiciones_acumuladas[[#This Row],[Descripción]], " ", -2)</f>
        <v>Edson Bonifacio</v>
      </c>
      <c r="F3386" s="21" t="s">
        <v>2559</v>
      </c>
      <c r="G3386" s="23">
        <v>46132</v>
      </c>
    </row>
    <row r="3387" spans="1:7" ht="24.5" hidden="1" x14ac:dyDescent="0.35">
      <c r="A3387" s="8">
        <v>11735</v>
      </c>
      <c r="B3387" s="10" t="s">
        <v>5946</v>
      </c>
      <c r="C3387" s="10" t="s">
        <v>26</v>
      </c>
      <c r="D3387" s="9" t="s">
        <v>190</v>
      </c>
      <c r="E3387" s="9" t="str">
        <f>_xlfn.TEXTAFTER(Condiciones_acumuladas[[#This Row],[Descripción]], " ", -2)</f>
        <v>Edson Bonifacio</v>
      </c>
      <c r="F3387" s="21" t="s">
        <v>2522</v>
      </c>
      <c r="G3387" s="23">
        <v>46132</v>
      </c>
    </row>
    <row r="3388" spans="1:7" ht="24.5" hidden="1" x14ac:dyDescent="0.35">
      <c r="A3388" s="8">
        <v>11734</v>
      </c>
      <c r="B3388" s="10" t="s">
        <v>5947</v>
      </c>
      <c r="C3388" s="10" t="s">
        <v>26</v>
      </c>
      <c r="D3388" s="9" t="s">
        <v>190</v>
      </c>
      <c r="E3388" s="9" t="str">
        <f>_xlfn.TEXTAFTER(Condiciones_acumuladas[[#This Row],[Descripción]], " ", -2)</f>
        <v>Edson Bonifacio</v>
      </c>
      <c r="F3388" s="21" t="s">
        <v>2522</v>
      </c>
      <c r="G3388" s="23">
        <v>46132</v>
      </c>
    </row>
    <row r="3389" spans="1:7" ht="24.5" hidden="1" x14ac:dyDescent="0.35">
      <c r="A3389" s="8">
        <v>11733</v>
      </c>
      <c r="B3389" s="10" t="s">
        <v>5948</v>
      </c>
      <c r="C3389" s="10" t="s">
        <v>26</v>
      </c>
      <c r="D3389" s="9" t="s">
        <v>190</v>
      </c>
      <c r="E3389" s="9" t="str">
        <f>_xlfn.TEXTAFTER(Condiciones_acumuladas[[#This Row],[Descripción]], " ", -2)</f>
        <v>Edson Bonifacio</v>
      </c>
      <c r="F3389" s="21" t="s">
        <v>2522</v>
      </c>
      <c r="G3389" s="23">
        <v>46132</v>
      </c>
    </row>
    <row r="3390" spans="1:7" ht="36.5" hidden="1" x14ac:dyDescent="0.35">
      <c r="A3390" s="8">
        <v>11600</v>
      </c>
      <c r="B3390" s="10" t="s">
        <v>5949</v>
      </c>
      <c r="C3390" s="10" t="s">
        <v>234</v>
      </c>
      <c r="D3390" s="9" t="s">
        <v>234</v>
      </c>
      <c r="E3390" s="9" t="str">
        <f>_xlfn.TEXTAFTER(Condiciones_acumuladas[[#This Row],[Descripción]], " ", -2)</f>
        <v>Eliu Tello</v>
      </c>
      <c r="F3390" s="21" t="s">
        <v>2540</v>
      </c>
      <c r="G3390" s="23">
        <v>46119</v>
      </c>
    </row>
    <row r="3391" spans="1:7" ht="36.5" hidden="1" x14ac:dyDescent="0.35">
      <c r="A3391" s="8">
        <v>11598</v>
      </c>
      <c r="B3391" s="10" t="s">
        <v>5950</v>
      </c>
      <c r="C3391" s="10" t="s">
        <v>250</v>
      </c>
      <c r="D3391" s="9" t="s">
        <v>190</v>
      </c>
      <c r="E3391" s="9" t="str">
        <f>_xlfn.TEXTAFTER(Condiciones_acumuladas[[#This Row],[Descripción]], " ", -2)</f>
        <v>Elvis Oliva</v>
      </c>
      <c r="F3391" s="21" t="s">
        <v>2516</v>
      </c>
      <c r="G3391" s="23">
        <v>46118</v>
      </c>
    </row>
    <row r="3392" spans="1:7" ht="24.5" hidden="1" x14ac:dyDescent="0.35">
      <c r="A3392" s="8">
        <v>11619</v>
      </c>
      <c r="B3392" s="10" t="s">
        <v>5951</v>
      </c>
      <c r="C3392" s="10" t="s">
        <v>96</v>
      </c>
      <c r="D3392" s="9" t="s">
        <v>190</v>
      </c>
      <c r="E3392" s="9" t="str">
        <f>_xlfn.TEXTAFTER(Condiciones_acumuladas[[#This Row],[Descripción]], " ", -2)</f>
        <v>Elvis Oliva</v>
      </c>
      <c r="F3392" s="21" t="s">
        <v>2522</v>
      </c>
      <c r="G3392" s="23">
        <v>46120</v>
      </c>
    </row>
    <row r="3393" spans="1:7" ht="24.5" hidden="1" x14ac:dyDescent="0.35">
      <c r="A3393" s="8">
        <v>11618</v>
      </c>
      <c r="B3393" s="10" t="s">
        <v>5952</v>
      </c>
      <c r="C3393" s="10" t="s">
        <v>96</v>
      </c>
      <c r="D3393" s="9" t="s">
        <v>190</v>
      </c>
      <c r="E3393" s="9" t="str">
        <f>_xlfn.TEXTAFTER(Condiciones_acumuladas[[#This Row],[Descripción]], " ", -2)</f>
        <v>Elvis Oliva</v>
      </c>
      <c r="F3393" s="21" t="s">
        <v>2522</v>
      </c>
      <c r="G3393" s="23">
        <v>46120</v>
      </c>
    </row>
    <row r="3394" spans="1:7" ht="36.5" hidden="1" x14ac:dyDescent="0.35">
      <c r="A3394" s="8">
        <v>11673</v>
      </c>
      <c r="B3394" s="10" t="s">
        <v>5953</v>
      </c>
      <c r="C3394" s="10" t="s">
        <v>196</v>
      </c>
      <c r="D3394" s="9" t="s">
        <v>190</v>
      </c>
      <c r="E3394" s="9" t="str">
        <f>_xlfn.TEXTAFTER(Condiciones_acumuladas[[#This Row],[Descripción]], " ", -2)</f>
        <v>Elvis Oliva</v>
      </c>
      <c r="F3394" s="21" t="s">
        <v>2516</v>
      </c>
      <c r="G3394" s="23">
        <v>46125</v>
      </c>
    </row>
    <row r="3395" spans="1:7" ht="36.5" hidden="1" x14ac:dyDescent="0.35">
      <c r="A3395" s="8">
        <v>11698</v>
      </c>
      <c r="B3395" s="10" t="s">
        <v>5954</v>
      </c>
      <c r="C3395" s="10" t="s">
        <v>220</v>
      </c>
      <c r="D3395" s="9" t="s">
        <v>190</v>
      </c>
      <c r="E3395" s="9" t="str">
        <f>_xlfn.TEXTAFTER(Condiciones_acumuladas[[#This Row],[Descripción]], " ", -2)</f>
        <v>Elvis Oliva</v>
      </c>
      <c r="F3395" s="21" t="s">
        <v>2516</v>
      </c>
      <c r="G3395" s="23">
        <v>46127</v>
      </c>
    </row>
    <row r="3396" spans="1:7" ht="36.5" hidden="1" x14ac:dyDescent="0.35">
      <c r="A3396" s="8">
        <v>11726</v>
      </c>
      <c r="B3396" s="10" t="s">
        <v>5955</v>
      </c>
      <c r="C3396" s="10" t="s">
        <v>395</v>
      </c>
      <c r="D3396" s="9" t="s">
        <v>190</v>
      </c>
      <c r="E3396" s="9" t="str">
        <f>_xlfn.TEXTAFTER(Condiciones_acumuladas[[#This Row],[Descripción]], " ", -2)</f>
        <v>Elvis Oliva</v>
      </c>
      <c r="F3396" s="21" t="s">
        <v>2525</v>
      </c>
      <c r="G3396" s="23">
        <v>46132</v>
      </c>
    </row>
    <row r="3397" spans="1:7" ht="24.5" hidden="1" x14ac:dyDescent="0.35">
      <c r="A3397" s="8">
        <v>11783</v>
      </c>
      <c r="B3397" s="10" t="s">
        <v>5956</v>
      </c>
      <c r="C3397" s="10" t="s">
        <v>395</v>
      </c>
      <c r="D3397" s="9" t="s">
        <v>190</v>
      </c>
      <c r="E3397" s="9" t="str">
        <f>_xlfn.TEXTAFTER(Condiciones_acumuladas[[#This Row],[Descripción]], " ", -2)</f>
        <v>Elvis Oliva</v>
      </c>
      <c r="F3397" s="21" t="s">
        <v>2522</v>
      </c>
      <c r="G3397" s="23">
        <v>46134</v>
      </c>
    </row>
    <row r="3398" spans="1:7" ht="24.5" hidden="1" x14ac:dyDescent="0.35">
      <c r="A3398" s="8">
        <v>11780</v>
      </c>
      <c r="B3398" s="10" t="s">
        <v>5957</v>
      </c>
      <c r="C3398" s="10" t="s">
        <v>13</v>
      </c>
      <c r="D3398" s="9" t="s">
        <v>190</v>
      </c>
      <c r="E3398" s="9" t="str">
        <f>_xlfn.TEXTAFTER(Condiciones_acumuladas[[#This Row],[Descripción]], " ", -2)</f>
        <v>Elvis Oliva</v>
      </c>
      <c r="F3398" s="21" t="s">
        <v>2540</v>
      </c>
      <c r="G3398" s="23">
        <v>46134</v>
      </c>
    </row>
    <row r="3399" spans="1:7" ht="36.5" hidden="1" x14ac:dyDescent="0.35">
      <c r="A3399" s="8">
        <v>11777</v>
      </c>
      <c r="B3399" s="10" t="s">
        <v>5958</v>
      </c>
      <c r="C3399" s="10" t="s">
        <v>13</v>
      </c>
      <c r="D3399" s="9" t="s">
        <v>190</v>
      </c>
      <c r="E3399" s="9" t="str">
        <f>_xlfn.TEXTAFTER(Condiciones_acumuladas[[#This Row],[Descripción]], " ", -2)</f>
        <v>Elvis Oliva</v>
      </c>
      <c r="F3399" s="21" t="s">
        <v>2572</v>
      </c>
      <c r="G3399" s="23">
        <v>46134</v>
      </c>
    </row>
    <row r="3400" spans="1:7" ht="24.5" hidden="1" x14ac:dyDescent="0.35">
      <c r="A3400" s="8">
        <v>11770</v>
      </c>
      <c r="B3400" s="10" t="s">
        <v>5959</v>
      </c>
      <c r="C3400" s="10" t="s">
        <v>13</v>
      </c>
      <c r="D3400" s="9" t="s">
        <v>190</v>
      </c>
      <c r="E3400" s="9" t="str">
        <f>_xlfn.TEXTAFTER(Condiciones_acumuladas[[#This Row],[Descripción]], " ", -2)</f>
        <v>Elvis Oliva</v>
      </c>
      <c r="F3400" s="21" t="s">
        <v>2522</v>
      </c>
      <c r="G3400" s="23">
        <v>46134</v>
      </c>
    </row>
    <row r="3401" spans="1:7" ht="36.5" hidden="1" x14ac:dyDescent="0.35">
      <c r="A3401" s="8">
        <v>11771</v>
      </c>
      <c r="B3401" s="10" t="s">
        <v>5960</v>
      </c>
      <c r="C3401" s="10" t="s">
        <v>13</v>
      </c>
      <c r="D3401" s="9" t="s">
        <v>190</v>
      </c>
      <c r="E3401" s="9" t="str">
        <f>_xlfn.TEXTAFTER(Condiciones_acumuladas[[#This Row],[Descripción]], " ", -2)</f>
        <v>Elvis Oliva</v>
      </c>
      <c r="F3401" s="21" t="s">
        <v>2572</v>
      </c>
      <c r="G3401" s="23">
        <v>46134</v>
      </c>
    </row>
    <row r="3402" spans="1:7" ht="24.5" hidden="1" x14ac:dyDescent="0.35">
      <c r="A3402" s="8">
        <v>11765</v>
      </c>
      <c r="B3402" s="10" t="s">
        <v>5961</v>
      </c>
      <c r="C3402" s="10" t="s">
        <v>13</v>
      </c>
      <c r="D3402" s="9" t="s">
        <v>190</v>
      </c>
      <c r="E3402" s="9" t="str">
        <f>_xlfn.TEXTAFTER(Condiciones_acumuladas[[#This Row],[Descripción]], " ", -2)</f>
        <v>Elvis Oliva</v>
      </c>
      <c r="F3402" s="21" t="s">
        <v>2540</v>
      </c>
      <c r="G3402" s="23">
        <v>46134</v>
      </c>
    </row>
    <row r="3403" spans="1:7" ht="36.5" hidden="1" x14ac:dyDescent="0.35">
      <c r="A3403" s="8">
        <v>11766</v>
      </c>
      <c r="B3403" s="10" t="s">
        <v>5962</v>
      </c>
      <c r="C3403" s="10" t="s">
        <v>13</v>
      </c>
      <c r="D3403" s="9" t="s">
        <v>190</v>
      </c>
      <c r="E3403" s="9" t="str">
        <f>_xlfn.TEXTAFTER(Condiciones_acumuladas[[#This Row],[Descripción]], " ", -2)</f>
        <v>Elvis Oliva</v>
      </c>
      <c r="F3403" s="21" t="s">
        <v>2530</v>
      </c>
      <c r="G3403" s="23">
        <v>46134</v>
      </c>
    </row>
    <row r="3404" spans="1:7" ht="36.5" hidden="1" x14ac:dyDescent="0.35">
      <c r="A3404" s="8">
        <v>11700</v>
      </c>
      <c r="B3404" s="10" t="s">
        <v>5963</v>
      </c>
      <c r="C3404" s="10" t="s">
        <v>371</v>
      </c>
      <c r="D3404" s="9" t="s">
        <v>371</v>
      </c>
      <c r="E3404" s="9" t="str">
        <f>_xlfn.TEXTAFTER(Condiciones_acumuladas[[#This Row],[Descripción]], " ", -2)</f>
        <v>Emilio Cux</v>
      </c>
      <c r="F3404" s="21" t="s">
        <v>2516</v>
      </c>
      <c r="G3404" s="23">
        <v>46127</v>
      </c>
    </row>
    <row r="3405" spans="1:7" ht="24.5" hidden="1" x14ac:dyDescent="0.35">
      <c r="A3405" s="8">
        <v>11699</v>
      </c>
      <c r="B3405" s="10" t="s">
        <v>5964</v>
      </c>
      <c r="C3405" s="10" t="s">
        <v>190</v>
      </c>
      <c r="D3405" s="9" t="s">
        <v>371</v>
      </c>
      <c r="E3405" s="9" t="str">
        <f>_xlfn.TEXTAFTER(Condiciones_acumuladas[[#This Row],[Descripción]], " ", -2)</f>
        <v>Emilio Cux</v>
      </c>
      <c r="F3405" s="21" t="s">
        <v>2522</v>
      </c>
      <c r="G3405" s="23">
        <v>46127</v>
      </c>
    </row>
    <row r="3406" spans="1:7" ht="36.5" hidden="1" x14ac:dyDescent="0.35">
      <c r="A3406" s="8">
        <v>11813</v>
      </c>
      <c r="B3406" s="10" t="s">
        <v>5965</v>
      </c>
      <c r="C3406" s="10" t="s">
        <v>371</v>
      </c>
      <c r="D3406" s="9" t="s">
        <v>371</v>
      </c>
      <c r="E3406" s="9" t="str">
        <f>_xlfn.TEXTAFTER(Condiciones_acumuladas[[#This Row],[Descripción]], " ", -2)</f>
        <v>Emilio Cux</v>
      </c>
      <c r="F3406" s="21" t="s">
        <v>2572</v>
      </c>
      <c r="G3406" s="23">
        <v>46139</v>
      </c>
    </row>
    <row r="3407" spans="1:7" ht="48.5" hidden="1" x14ac:dyDescent="0.35">
      <c r="A3407" s="8">
        <v>11827</v>
      </c>
      <c r="B3407" s="10" t="s">
        <v>5966</v>
      </c>
      <c r="C3407" s="10" t="s">
        <v>234</v>
      </c>
      <c r="D3407" s="9" t="s">
        <v>95</v>
      </c>
      <c r="E3407" s="9" t="str">
        <f>_xlfn.TEXTAFTER(Condiciones_acumuladas[[#This Row],[Descripción]], " ", -2)</f>
        <v>Francisco Hernández</v>
      </c>
      <c r="F3407" s="21" t="s">
        <v>2559</v>
      </c>
      <c r="G3407" s="23">
        <v>46140</v>
      </c>
    </row>
    <row r="3408" spans="1:7" ht="24.5" hidden="1" x14ac:dyDescent="0.35">
      <c r="A3408" s="8">
        <v>11748</v>
      </c>
      <c r="B3408" s="10" t="s">
        <v>5967</v>
      </c>
      <c r="C3408" s="10" t="s">
        <v>196</v>
      </c>
      <c r="D3408" s="9" t="s">
        <v>278</v>
      </c>
      <c r="E3408" s="9" t="str">
        <f>_xlfn.TEXTAFTER(Condiciones_acumuladas[[#This Row],[Descripción]], " ", -2)</f>
        <v>Fredy Fuentes</v>
      </c>
      <c r="F3408" s="21" t="s">
        <v>2522</v>
      </c>
      <c r="G3408" s="23">
        <v>46133</v>
      </c>
    </row>
    <row r="3409" spans="1:7" ht="24.5" hidden="1" x14ac:dyDescent="0.35">
      <c r="A3409" s="8">
        <v>11746</v>
      </c>
      <c r="B3409" s="10" t="s">
        <v>5968</v>
      </c>
      <c r="C3409" s="10" t="s">
        <v>21</v>
      </c>
      <c r="D3409" s="9" t="s">
        <v>278</v>
      </c>
      <c r="E3409" s="9" t="str">
        <f>_xlfn.TEXTAFTER(Condiciones_acumuladas[[#This Row],[Descripción]], " ", -2)</f>
        <v>Fredy Fuentes</v>
      </c>
      <c r="F3409" s="21" t="s">
        <v>2522</v>
      </c>
      <c r="G3409" s="23">
        <v>46133</v>
      </c>
    </row>
    <row r="3410" spans="1:7" ht="24.5" hidden="1" x14ac:dyDescent="0.35">
      <c r="A3410" s="8">
        <v>11747</v>
      </c>
      <c r="B3410" s="10" t="s">
        <v>5969</v>
      </c>
      <c r="C3410" s="10" t="s">
        <v>21</v>
      </c>
      <c r="D3410" s="9" t="s">
        <v>278</v>
      </c>
      <c r="E3410" s="9" t="str">
        <f>_xlfn.TEXTAFTER(Condiciones_acumuladas[[#This Row],[Descripción]], " ", -2)</f>
        <v>Fredy Fuentes</v>
      </c>
      <c r="F3410" s="21" t="s">
        <v>2522</v>
      </c>
      <c r="G3410" s="23">
        <v>46133</v>
      </c>
    </row>
    <row r="3411" spans="1:7" ht="24.5" hidden="1" x14ac:dyDescent="0.35">
      <c r="A3411" s="8">
        <v>11745</v>
      </c>
      <c r="B3411" s="10" t="s">
        <v>5970</v>
      </c>
      <c r="C3411" s="10" t="s">
        <v>21</v>
      </c>
      <c r="D3411" s="9" t="s">
        <v>278</v>
      </c>
      <c r="E3411" s="9" t="str">
        <f>_xlfn.TEXTAFTER(Condiciones_acumuladas[[#This Row],[Descripción]], " ", -2)</f>
        <v>Fredy Fuentes</v>
      </c>
      <c r="F3411" s="21" t="s">
        <v>2522</v>
      </c>
      <c r="G3411" s="23">
        <v>46133</v>
      </c>
    </row>
    <row r="3412" spans="1:7" ht="24.5" hidden="1" x14ac:dyDescent="0.35">
      <c r="A3412" s="8">
        <v>11744</v>
      </c>
      <c r="B3412" s="10" t="s">
        <v>5971</v>
      </c>
      <c r="C3412" s="10" t="s">
        <v>21</v>
      </c>
      <c r="D3412" s="9" t="s">
        <v>278</v>
      </c>
      <c r="E3412" s="9" t="str">
        <f>_xlfn.TEXTAFTER(Condiciones_acumuladas[[#This Row],[Descripción]], " ", -2)</f>
        <v>Fredy Fuentes</v>
      </c>
      <c r="F3412" s="21" t="s">
        <v>2522</v>
      </c>
      <c r="G3412" s="23">
        <v>46133</v>
      </c>
    </row>
    <row r="3413" spans="1:7" ht="36.5" hidden="1" x14ac:dyDescent="0.35">
      <c r="A3413" s="8">
        <v>11750</v>
      </c>
      <c r="B3413" s="10" t="s">
        <v>5972</v>
      </c>
      <c r="C3413" s="10" t="s">
        <v>21</v>
      </c>
      <c r="D3413" s="9" t="s">
        <v>278</v>
      </c>
      <c r="E3413" s="9" t="str">
        <f>_xlfn.TEXTAFTER(Condiciones_acumuladas[[#This Row],[Descripción]], " ", -2)</f>
        <v>Fredy Fuentes</v>
      </c>
      <c r="F3413" s="21" t="s">
        <v>2572</v>
      </c>
      <c r="G3413" s="23">
        <v>46133</v>
      </c>
    </row>
    <row r="3414" spans="1:7" ht="36.5" hidden="1" x14ac:dyDescent="0.35">
      <c r="A3414" s="8">
        <v>11751</v>
      </c>
      <c r="B3414" s="10" t="s">
        <v>5973</v>
      </c>
      <c r="C3414" s="10" t="s">
        <v>21</v>
      </c>
      <c r="D3414" s="9" t="s">
        <v>278</v>
      </c>
      <c r="E3414" s="9" t="str">
        <f>_xlfn.TEXTAFTER(Condiciones_acumuladas[[#This Row],[Descripción]], " ", -2)</f>
        <v>Fredy Fuentes</v>
      </c>
      <c r="F3414" s="21" t="s">
        <v>2572</v>
      </c>
      <c r="G3414" s="23">
        <v>46133</v>
      </c>
    </row>
    <row r="3415" spans="1:7" ht="36.5" hidden="1" x14ac:dyDescent="0.35">
      <c r="A3415" s="8">
        <v>11752</v>
      </c>
      <c r="B3415" s="10" t="s">
        <v>5974</v>
      </c>
      <c r="C3415" s="10" t="s">
        <v>21</v>
      </c>
      <c r="D3415" s="9" t="s">
        <v>278</v>
      </c>
      <c r="E3415" s="9" t="str">
        <f>_xlfn.TEXTAFTER(Condiciones_acumuladas[[#This Row],[Descripción]], " ", -2)</f>
        <v>Fredy Fuentes</v>
      </c>
      <c r="F3415" s="21" t="s">
        <v>2572</v>
      </c>
      <c r="G3415" s="23">
        <v>46133</v>
      </c>
    </row>
    <row r="3416" spans="1:7" ht="24.5" hidden="1" x14ac:dyDescent="0.35">
      <c r="A3416" s="8">
        <v>11630</v>
      </c>
      <c r="B3416" s="10" t="s">
        <v>5975</v>
      </c>
      <c r="C3416" s="10" t="s">
        <v>21</v>
      </c>
      <c r="D3416" s="9" t="s">
        <v>395</v>
      </c>
      <c r="E3416" s="9" t="str">
        <f>_xlfn.TEXTAFTER(Condiciones_acumuladas[[#This Row],[Descripción]], " ", -2)</f>
        <v>German Orozco</v>
      </c>
      <c r="F3416" s="21" t="s">
        <v>2522</v>
      </c>
      <c r="G3416" s="23">
        <v>46120</v>
      </c>
    </row>
    <row r="3417" spans="1:7" ht="24.5" hidden="1" x14ac:dyDescent="0.35">
      <c r="A3417" s="8">
        <v>11620</v>
      </c>
      <c r="B3417" s="10" t="s">
        <v>5976</v>
      </c>
      <c r="C3417" s="10" t="s">
        <v>21</v>
      </c>
      <c r="D3417" s="9" t="s">
        <v>395</v>
      </c>
      <c r="E3417" s="9" t="str">
        <f>_xlfn.TEXTAFTER(Condiciones_acumuladas[[#This Row],[Descripción]], " ", -2)</f>
        <v>German Orozco</v>
      </c>
      <c r="F3417" s="21" t="s">
        <v>2522</v>
      </c>
      <c r="G3417" s="23">
        <v>46120</v>
      </c>
    </row>
    <row r="3418" spans="1:7" ht="36.5" hidden="1" x14ac:dyDescent="0.35">
      <c r="A3418" s="8">
        <v>11696</v>
      </c>
      <c r="B3418" s="10" t="s">
        <v>5977</v>
      </c>
      <c r="C3418" s="10" t="s">
        <v>196</v>
      </c>
      <c r="D3418" s="9" t="s">
        <v>395</v>
      </c>
      <c r="E3418" s="9" t="str">
        <f>_xlfn.TEXTAFTER(Condiciones_acumuladas[[#This Row],[Descripción]], " ", -2)</f>
        <v>German Orozco</v>
      </c>
      <c r="F3418" s="21" t="s">
        <v>2537</v>
      </c>
      <c r="G3418" s="23">
        <v>46127</v>
      </c>
    </row>
    <row r="3419" spans="1:7" ht="36.5" hidden="1" x14ac:dyDescent="0.35">
      <c r="A3419" s="8">
        <v>11684</v>
      </c>
      <c r="B3419" s="10" t="s">
        <v>5978</v>
      </c>
      <c r="C3419" s="10" t="s">
        <v>96</v>
      </c>
      <c r="D3419" s="9" t="s">
        <v>395</v>
      </c>
      <c r="E3419" s="9" t="str">
        <f>_xlfn.TEXTAFTER(Condiciones_acumuladas[[#This Row],[Descripción]], " ", -2)</f>
        <v>German Orozco</v>
      </c>
      <c r="F3419" s="21" t="s">
        <v>2516</v>
      </c>
      <c r="G3419" s="23">
        <v>46126</v>
      </c>
    </row>
    <row r="3420" spans="1:7" ht="48.5" hidden="1" x14ac:dyDescent="0.35">
      <c r="A3420" s="8">
        <v>11858</v>
      </c>
      <c r="B3420" s="10" t="s">
        <v>5979</v>
      </c>
      <c r="C3420" s="10" t="s">
        <v>104</v>
      </c>
      <c r="D3420" s="9" t="s">
        <v>395</v>
      </c>
      <c r="E3420" s="9" t="str">
        <f>_xlfn.TEXTAFTER(Condiciones_acumuladas[[#This Row],[Descripción]], " ", -2)</f>
        <v>German Orozco</v>
      </c>
      <c r="F3420" s="21" t="s">
        <v>2559</v>
      </c>
      <c r="G3420" s="23">
        <v>46141</v>
      </c>
    </row>
    <row r="3421" spans="1:7" ht="36.5" hidden="1" x14ac:dyDescent="0.35">
      <c r="A3421" s="8">
        <v>11862</v>
      </c>
      <c r="B3421" s="10" t="s">
        <v>5980</v>
      </c>
      <c r="C3421" s="10" t="s">
        <v>134</v>
      </c>
      <c r="D3421" s="9" t="s">
        <v>95</v>
      </c>
      <c r="E3421" s="9" t="str">
        <f>_xlfn.TEXTAFTER(Condiciones_acumuladas[[#This Row],[Descripción]], " ", -2)</f>
        <v>Gerson Castañeda</v>
      </c>
      <c r="F3421" s="21" t="s">
        <v>2516</v>
      </c>
      <c r="G3421" s="23">
        <v>46141</v>
      </c>
    </row>
    <row r="3422" spans="1:7" ht="24.5" hidden="1" x14ac:dyDescent="0.35">
      <c r="A3422" s="8">
        <v>11861</v>
      </c>
      <c r="B3422" s="10" t="s">
        <v>5981</v>
      </c>
      <c r="C3422" s="10" t="s">
        <v>134</v>
      </c>
      <c r="D3422" s="9" t="s">
        <v>95</v>
      </c>
      <c r="E3422" s="9" t="str">
        <f>_xlfn.TEXTAFTER(Condiciones_acumuladas[[#This Row],[Descripción]], " ", -2)</f>
        <v>Gerson Castañeda</v>
      </c>
      <c r="F3422" s="21" t="s">
        <v>2522</v>
      </c>
      <c r="G3422" s="23">
        <v>46141</v>
      </c>
    </row>
    <row r="3423" spans="1:7" ht="24.5" hidden="1" x14ac:dyDescent="0.35">
      <c r="A3423" s="8">
        <v>11660</v>
      </c>
      <c r="B3423" s="10" t="s">
        <v>5982</v>
      </c>
      <c r="C3423" s="10" t="s">
        <v>21</v>
      </c>
      <c r="D3423" s="9" t="s">
        <v>21</v>
      </c>
      <c r="E3423" s="9" t="str">
        <f>_xlfn.TEXTAFTER(Condiciones_acumuladas[[#This Row],[Descripción]], " ", -2)</f>
        <v>Gustavo Hernández</v>
      </c>
      <c r="F3423" s="21" t="s">
        <v>2522</v>
      </c>
      <c r="G3423" s="23">
        <v>46122</v>
      </c>
    </row>
    <row r="3424" spans="1:7" ht="24.5" hidden="1" x14ac:dyDescent="0.35">
      <c r="A3424" s="8">
        <v>11640</v>
      </c>
      <c r="B3424" s="10" t="s">
        <v>5983</v>
      </c>
      <c r="C3424" s="10" t="s">
        <v>104</v>
      </c>
      <c r="D3424" s="9" t="s">
        <v>104</v>
      </c>
      <c r="E3424" s="9" t="str">
        <f>_xlfn.TEXTAFTER(Condiciones_acumuladas[[#This Row],[Descripción]], " ", -2)</f>
        <v>Gustavo Hernández</v>
      </c>
      <c r="F3424" s="21" t="s">
        <v>2522</v>
      </c>
      <c r="G3424" s="23">
        <v>46120</v>
      </c>
    </row>
    <row r="3425" spans="1:7" ht="24.5" hidden="1" x14ac:dyDescent="0.35">
      <c r="A3425" s="8">
        <v>11863</v>
      </c>
      <c r="B3425" s="10" t="s">
        <v>5984</v>
      </c>
      <c r="C3425" s="10" t="s">
        <v>234</v>
      </c>
      <c r="D3425" s="9" t="s">
        <v>234</v>
      </c>
      <c r="E3425" s="9" t="str">
        <f>_xlfn.TEXTAFTER(Condiciones_acumuladas[[#This Row],[Descripción]], " ", -2)</f>
        <v>Gustavo Hernández</v>
      </c>
      <c r="F3425" s="21" t="s">
        <v>2540</v>
      </c>
      <c r="G3425" s="23">
        <v>46141</v>
      </c>
    </row>
    <row r="3426" spans="1:7" ht="24.5" hidden="1" x14ac:dyDescent="0.35">
      <c r="A3426" s="8">
        <v>11854</v>
      </c>
      <c r="B3426" s="10" t="s">
        <v>5985</v>
      </c>
      <c r="C3426" s="10" t="s">
        <v>104</v>
      </c>
      <c r="D3426" s="9" t="s">
        <v>104</v>
      </c>
      <c r="E3426" s="9" t="str">
        <f>_xlfn.TEXTAFTER(Condiciones_acumuladas[[#This Row],[Descripción]], " ", -2)</f>
        <v>Gustavo Hernández</v>
      </c>
      <c r="F3426" s="21" t="s">
        <v>2522</v>
      </c>
      <c r="G3426" s="23">
        <v>46141</v>
      </c>
    </row>
    <row r="3427" spans="1:7" ht="24.5" hidden="1" x14ac:dyDescent="0.35">
      <c r="A3427" s="8">
        <v>11853</v>
      </c>
      <c r="B3427" s="10" t="s">
        <v>5986</v>
      </c>
      <c r="C3427" s="10" t="s">
        <v>104</v>
      </c>
      <c r="D3427" s="9" t="s">
        <v>104</v>
      </c>
      <c r="E3427" s="9" t="str">
        <f>_xlfn.TEXTAFTER(Condiciones_acumuladas[[#This Row],[Descripción]], " ", -2)</f>
        <v>Gustavo Hernández</v>
      </c>
      <c r="F3427" s="21" t="s">
        <v>2522</v>
      </c>
      <c r="G3427" s="23">
        <v>46140</v>
      </c>
    </row>
    <row r="3428" spans="1:7" ht="36.5" hidden="1" x14ac:dyDescent="0.35">
      <c r="A3428" s="8">
        <v>11661</v>
      </c>
      <c r="B3428" s="10" t="s">
        <v>5987</v>
      </c>
      <c r="C3428" s="10" t="s">
        <v>13</v>
      </c>
      <c r="D3428" s="9" t="s">
        <v>13</v>
      </c>
      <c r="E3428" s="9" t="str">
        <f>_xlfn.TEXTAFTER(Condiciones_acumuladas[[#This Row],[Descripción]], " ", -2)</f>
        <v>Haydée Morales</v>
      </c>
      <c r="F3428" s="21" t="s">
        <v>2540</v>
      </c>
      <c r="G3428" s="23">
        <v>46123</v>
      </c>
    </row>
    <row r="3429" spans="1:7" ht="36.5" hidden="1" x14ac:dyDescent="0.35">
      <c r="A3429" s="8">
        <v>11652</v>
      </c>
      <c r="B3429" s="10" t="s">
        <v>5988</v>
      </c>
      <c r="C3429" s="10" t="s">
        <v>95</v>
      </c>
      <c r="D3429" s="9" t="s">
        <v>234</v>
      </c>
      <c r="E3429" s="9" t="str">
        <f>_xlfn.TEXTAFTER(Condiciones_acumuladas[[#This Row],[Descripción]], " ", -2)</f>
        <v>Haydée Morales</v>
      </c>
      <c r="F3429" s="21" t="s">
        <v>2516</v>
      </c>
      <c r="G3429" s="23">
        <v>46121</v>
      </c>
    </row>
    <row r="3430" spans="1:7" ht="36.5" hidden="1" x14ac:dyDescent="0.35">
      <c r="A3430" s="8">
        <v>11644</v>
      </c>
      <c r="B3430" s="10" t="s">
        <v>5989</v>
      </c>
      <c r="C3430" s="10" t="s">
        <v>371</v>
      </c>
      <c r="D3430" s="9" t="s">
        <v>95</v>
      </c>
      <c r="E3430" s="9" t="str">
        <f>_xlfn.TEXTAFTER(Condiciones_acumuladas[[#This Row],[Descripción]], " ", -2)</f>
        <v>Hellen Estrada</v>
      </c>
      <c r="F3430" s="21" t="s">
        <v>2572</v>
      </c>
      <c r="G3430" s="23">
        <v>46121</v>
      </c>
    </row>
    <row r="3431" spans="1:7" ht="36.5" hidden="1" x14ac:dyDescent="0.35">
      <c r="A3431" s="8">
        <v>11667</v>
      </c>
      <c r="B3431" s="10" t="s">
        <v>5990</v>
      </c>
      <c r="C3431" s="10" t="s">
        <v>95</v>
      </c>
      <c r="D3431" s="9" t="s">
        <v>95</v>
      </c>
      <c r="E3431" s="9" t="str">
        <f>_xlfn.TEXTAFTER(Condiciones_acumuladas[[#This Row],[Descripción]], " ", -2)</f>
        <v>Hellen Estrada</v>
      </c>
      <c r="F3431" s="21" t="s">
        <v>2525</v>
      </c>
      <c r="G3431" s="23">
        <v>46126</v>
      </c>
    </row>
    <row r="3432" spans="1:7" ht="24.5" hidden="1" x14ac:dyDescent="0.35">
      <c r="A3432" s="8">
        <v>11653</v>
      </c>
      <c r="B3432" s="10" t="s">
        <v>5991</v>
      </c>
      <c r="C3432" s="10" t="s">
        <v>13</v>
      </c>
      <c r="D3432" s="9" t="s">
        <v>13</v>
      </c>
      <c r="E3432" s="9" t="str">
        <f>_xlfn.TEXTAFTER(Condiciones_acumuladas[[#This Row],[Descripción]], " ", -2)</f>
        <v>Hugo Oliva</v>
      </c>
      <c r="F3432" s="21" t="s">
        <v>2540</v>
      </c>
      <c r="G3432" s="23">
        <v>46121</v>
      </c>
    </row>
    <row r="3433" spans="1:7" ht="36.5" hidden="1" x14ac:dyDescent="0.35">
      <c r="A3433" s="8">
        <v>11711</v>
      </c>
      <c r="B3433" s="10" t="s">
        <v>5992</v>
      </c>
      <c r="C3433" s="10" t="s">
        <v>190</v>
      </c>
      <c r="D3433" s="9" t="s">
        <v>21</v>
      </c>
      <c r="E3433" s="9" t="str">
        <f>_xlfn.TEXTAFTER(Condiciones_acumuladas[[#This Row],[Descripción]], " ", -2)</f>
        <v>Hugo Oliva</v>
      </c>
      <c r="F3433" s="21" t="s">
        <v>2540</v>
      </c>
      <c r="G3433" s="23">
        <v>46130</v>
      </c>
    </row>
    <row r="3434" spans="1:7" ht="36.5" hidden="1" x14ac:dyDescent="0.35">
      <c r="A3434" s="8">
        <v>11712</v>
      </c>
      <c r="B3434" s="10" t="s">
        <v>5993</v>
      </c>
      <c r="C3434" s="10" t="s">
        <v>21</v>
      </c>
      <c r="D3434" s="9" t="s">
        <v>21</v>
      </c>
      <c r="E3434" s="9" t="str">
        <f>_xlfn.TEXTAFTER(Condiciones_acumuladas[[#This Row],[Descripción]], " ", -2)</f>
        <v>Hugo Oliva</v>
      </c>
      <c r="F3434" s="21" t="s">
        <v>2572</v>
      </c>
      <c r="G3434" s="23">
        <v>46130</v>
      </c>
    </row>
    <row r="3435" spans="1:7" ht="48.5" hidden="1" x14ac:dyDescent="0.35">
      <c r="A3435" s="8">
        <v>11761</v>
      </c>
      <c r="B3435" s="10" t="s">
        <v>5994</v>
      </c>
      <c r="C3435" s="10" t="s">
        <v>96</v>
      </c>
      <c r="D3435" s="9" t="s">
        <v>96</v>
      </c>
      <c r="E3435" s="9" t="str">
        <f>_xlfn.TEXTAFTER(Condiciones_acumuladas[[#This Row],[Descripción]], " ", -2)</f>
        <v>Hugo Oliva</v>
      </c>
      <c r="F3435" s="21" t="s">
        <v>2559</v>
      </c>
      <c r="G3435" s="23">
        <v>46134</v>
      </c>
    </row>
    <row r="3436" spans="1:7" ht="24.5" hidden="1" x14ac:dyDescent="0.35">
      <c r="A3436" s="8">
        <v>11812</v>
      </c>
      <c r="B3436" s="10" t="s">
        <v>5995</v>
      </c>
      <c r="C3436" s="10" t="s">
        <v>96</v>
      </c>
      <c r="D3436" s="9" t="s">
        <v>234</v>
      </c>
      <c r="E3436" s="9" t="str">
        <f>_xlfn.TEXTAFTER(Condiciones_acumuladas[[#This Row],[Descripción]], " ", -2)</f>
        <v>Hugo Oliva</v>
      </c>
      <c r="F3436" s="21" t="s">
        <v>2522</v>
      </c>
      <c r="G3436" s="23">
        <v>46139</v>
      </c>
    </row>
    <row r="3437" spans="1:7" ht="48.5" hidden="1" x14ac:dyDescent="0.35">
      <c r="A3437" s="8">
        <v>11865</v>
      </c>
      <c r="B3437" s="10" t="s">
        <v>5996</v>
      </c>
      <c r="C3437" s="10" t="s">
        <v>96</v>
      </c>
      <c r="D3437" s="9" t="s">
        <v>234</v>
      </c>
      <c r="E3437" s="9" t="str">
        <f>_xlfn.TEXTAFTER(Condiciones_acumuladas[[#This Row],[Descripción]], " ", -2)</f>
        <v>Hugo Oliva</v>
      </c>
      <c r="F3437" s="21" t="s">
        <v>2559</v>
      </c>
      <c r="G3437" s="23">
        <v>46142</v>
      </c>
    </row>
    <row r="3438" spans="1:7" ht="24.5" hidden="1" x14ac:dyDescent="0.35">
      <c r="A3438" s="8">
        <v>11643</v>
      </c>
      <c r="B3438" s="10" t="s">
        <v>5997</v>
      </c>
      <c r="C3438" s="10" t="s">
        <v>96</v>
      </c>
      <c r="D3438" s="9" t="s">
        <v>96</v>
      </c>
      <c r="E3438" s="9" t="str">
        <f>_xlfn.TEXTAFTER(Condiciones_acumuladas[[#This Row],[Descripción]], " ", -2)</f>
        <v>Isabel Saquila</v>
      </c>
      <c r="F3438" s="21" t="s">
        <v>2537</v>
      </c>
      <c r="G3438" s="23">
        <v>46121</v>
      </c>
    </row>
    <row r="3439" spans="1:7" ht="24.5" hidden="1" x14ac:dyDescent="0.35">
      <c r="A3439" s="8">
        <v>11614</v>
      </c>
      <c r="B3439" s="10" t="s">
        <v>5998</v>
      </c>
      <c r="C3439" s="10" t="s">
        <v>196</v>
      </c>
      <c r="D3439" s="9" t="s">
        <v>96</v>
      </c>
      <c r="E3439" s="9" t="str">
        <f>_xlfn.TEXTAFTER(Condiciones_acumuladas[[#This Row],[Descripción]], " ", -2)</f>
        <v>Isabel Saquila</v>
      </c>
      <c r="F3439" s="21" t="s">
        <v>2522</v>
      </c>
      <c r="G3439" s="23">
        <v>46119</v>
      </c>
    </row>
    <row r="3440" spans="1:7" ht="24.5" hidden="1" x14ac:dyDescent="0.35">
      <c r="A3440" s="8">
        <v>11815</v>
      </c>
      <c r="B3440" s="10" t="s">
        <v>5999</v>
      </c>
      <c r="C3440" s="10" t="s">
        <v>96</v>
      </c>
      <c r="D3440" s="9" t="s">
        <v>96</v>
      </c>
      <c r="E3440" s="9" t="str">
        <f>_xlfn.TEXTAFTER(Condiciones_acumuladas[[#This Row],[Descripción]], " ", -2)</f>
        <v>Isabel Saquila</v>
      </c>
      <c r="F3440" s="21" t="s">
        <v>2522</v>
      </c>
      <c r="G3440" s="23">
        <v>46139</v>
      </c>
    </row>
    <row r="3441" spans="1:7" ht="24.5" hidden="1" x14ac:dyDescent="0.35">
      <c r="A3441" s="8">
        <v>11816</v>
      </c>
      <c r="B3441" s="10" t="s">
        <v>6000</v>
      </c>
      <c r="C3441" s="10" t="s">
        <v>96</v>
      </c>
      <c r="D3441" s="9" t="s">
        <v>96</v>
      </c>
      <c r="E3441" s="9" t="str">
        <f>_xlfn.TEXTAFTER(Condiciones_acumuladas[[#This Row],[Descripción]], " ", -2)</f>
        <v>Isabel Saquila</v>
      </c>
      <c r="F3441" s="21" t="s">
        <v>2522</v>
      </c>
      <c r="G3441" s="23">
        <v>46139</v>
      </c>
    </row>
    <row r="3442" spans="1:7" ht="36.5" hidden="1" x14ac:dyDescent="0.35">
      <c r="A3442" s="8">
        <v>11624</v>
      </c>
      <c r="B3442" s="10" t="s">
        <v>6001</v>
      </c>
      <c r="C3442" s="10" t="s">
        <v>96</v>
      </c>
      <c r="D3442" s="9" t="s">
        <v>196</v>
      </c>
      <c r="E3442" s="9" t="str">
        <f>_xlfn.TEXTAFTER(Condiciones_acumuladas[[#This Row],[Descripción]], " ", -2)</f>
        <v>Jaime Chex</v>
      </c>
      <c r="F3442" s="21" t="s">
        <v>2516</v>
      </c>
      <c r="G3442" s="23">
        <v>46120</v>
      </c>
    </row>
    <row r="3443" spans="1:7" ht="24.5" hidden="1" x14ac:dyDescent="0.35">
      <c r="A3443" s="8">
        <v>11606</v>
      </c>
      <c r="B3443" s="10" t="s">
        <v>6002</v>
      </c>
      <c r="C3443" s="10" t="s">
        <v>196</v>
      </c>
      <c r="D3443" s="9" t="s">
        <v>196</v>
      </c>
      <c r="E3443" s="9" t="str">
        <f>_xlfn.TEXTAFTER(Condiciones_acumuladas[[#This Row],[Descripción]], " ", -2)</f>
        <v>Jaime Chex</v>
      </c>
      <c r="F3443" s="21" t="s">
        <v>2522</v>
      </c>
      <c r="G3443" s="23">
        <v>46119</v>
      </c>
    </row>
    <row r="3444" spans="1:7" ht="24.5" hidden="1" x14ac:dyDescent="0.35">
      <c r="A3444" s="8">
        <v>11603</v>
      </c>
      <c r="B3444" s="10" t="s">
        <v>6003</v>
      </c>
      <c r="C3444" s="10" t="s">
        <v>196</v>
      </c>
      <c r="D3444" s="9" t="s">
        <v>196</v>
      </c>
      <c r="E3444" s="9" t="str">
        <f>_xlfn.TEXTAFTER(Condiciones_acumuladas[[#This Row],[Descripción]], " ", -2)</f>
        <v>Jaime Chex</v>
      </c>
      <c r="F3444" s="21" t="s">
        <v>2537</v>
      </c>
      <c r="G3444" s="23">
        <v>46119</v>
      </c>
    </row>
    <row r="3445" spans="1:7" ht="36.5" hidden="1" x14ac:dyDescent="0.35">
      <c r="A3445" s="8">
        <v>11680</v>
      </c>
      <c r="B3445" s="10" t="s">
        <v>6004</v>
      </c>
      <c r="C3445" s="10" t="s">
        <v>134</v>
      </c>
      <c r="D3445" s="9" t="s">
        <v>196</v>
      </c>
      <c r="E3445" s="9" t="str">
        <f>_xlfn.TEXTAFTER(Condiciones_acumuladas[[#This Row],[Descripción]], " ", -2)</f>
        <v>Jaime Chex</v>
      </c>
      <c r="F3445" s="21" t="s">
        <v>2522</v>
      </c>
      <c r="G3445" s="23">
        <v>46126</v>
      </c>
    </row>
    <row r="3446" spans="1:7" ht="36.5" hidden="1" x14ac:dyDescent="0.35">
      <c r="A3446" s="8">
        <v>11676</v>
      </c>
      <c r="B3446" s="10" t="s">
        <v>6005</v>
      </c>
      <c r="C3446" s="10" t="s">
        <v>196</v>
      </c>
      <c r="D3446" s="9" t="s">
        <v>196</v>
      </c>
      <c r="E3446" s="9" t="str">
        <f>_xlfn.TEXTAFTER(Condiciones_acumuladas[[#This Row],[Descripción]], " ", -2)</f>
        <v>Jaime Chex</v>
      </c>
      <c r="F3446" s="21" t="s">
        <v>2537</v>
      </c>
      <c r="G3446" s="23">
        <v>46126</v>
      </c>
    </row>
    <row r="3447" spans="1:7" ht="24.5" hidden="1" x14ac:dyDescent="0.35">
      <c r="A3447" s="8">
        <v>11674</v>
      </c>
      <c r="B3447" s="10" t="s">
        <v>6006</v>
      </c>
      <c r="C3447" s="10" t="s">
        <v>196</v>
      </c>
      <c r="D3447" s="9" t="s">
        <v>196</v>
      </c>
      <c r="E3447" s="9" t="str">
        <f>_xlfn.TEXTAFTER(Condiciones_acumuladas[[#This Row],[Descripción]], " ", -2)</f>
        <v>Jaime Chex</v>
      </c>
      <c r="F3447" s="21" t="s">
        <v>2537</v>
      </c>
      <c r="G3447" s="23">
        <v>46125</v>
      </c>
    </row>
    <row r="3448" spans="1:7" ht="36.5" hidden="1" x14ac:dyDescent="0.35">
      <c r="A3448" s="8">
        <v>11675</v>
      </c>
      <c r="B3448" s="10" t="s">
        <v>6007</v>
      </c>
      <c r="C3448" s="10" t="s">
        <v>196</v>
      </c>
      <c r="D3448" s="9" t="s">
        <v>196</v>
      </c>
      <c r="E3448" s="9" t="str">
        <f>_xlfn.TEXTAFTER(Condiciones_acumuladas[[#This Row],[Descripción]], " ", -2)</f>
        <v>Jaime Chex</v>
      </c>
      <c r="F3448" s="21" t="s">
        <v>2516</v>
      </c>
      <c r="G3448" s="23">
        <v>46125</v>
      </c>
    </row>
    <row r="3449" spans="1:7" ht="36.5" hidden="1" x14ac:dyDescent="0.35">
      <c r="A3449" s="8">
        <v>11826</v>
      </c>
      <c r="B3449" s="10" t="s">
        <v>6008</v>
      </c>
      <c r="C3449" s="10" t="s">
        <v>278</v>
      </c>
      <c r="D3449" s="9" t="s">
        <v>278</v>
      </c>
      <c r="E3449" s="9" t="str">
        <f>_xlfn.TEXTAFTER(Condiciones_acumuladas[[#This Row],[Descripción]], " ", -2)</f>
        <v>Jason Calderón</v>
      </c>
      <c r="F3449" s="21" t="s">
        <v>2530</v>
      </c>
      <c r="G3449" s="23">
        <v>46140</v>
      </c>
    </row>
    <row r="3450" spans="1:7" ht="48.5" hidden="1" x14ac:dyDescent="0.35">
      <c r="A3450" s="8">
        <v>11633</v>
      </c>
      <c r="B3450" s="10" t="s">
        <v>6009</v>
      </c>
      <c r="C3450" s="10" t="s">
        <v>34</v>
      </c>
      <c r="D3450" s="9" t="s">
        <v>193</v>
      </c>
      <c r="E3450" s="9" t="str">
        <f>_xlfn.TEXTAFTER(Condiciones_acumuladas[[#This Row],[Descripción]], " ", -2)</f>
        <v>Jasón Orozco</v>
      </c>
      <c r="F3450" s="21" t="s">
        <v>2530</v>
      </c>
      <c r="G3450" s="23">
        <v>46120</v>
      </c>
    </row>
    <row r="3451" spans="1:7" ht="24.5" hidden="1" x14ac:dyDescent="0.35">
      <c r="A3451" s="8">
        <v>11814</v>
      </c>
      <c r="B3451" s="10" t="s">
        <v>6010</v>
      </c>
      <c r="C3451" s="10" t="s">
        <v>96</v>
      </c>
      <c r="D3451" s="9" t="s">
        <v>96</v>
      </c>
      <c r="E3451" s="9" t="str">
        <f>_xlfn.TEXTAFTER(Condiciones_acumuladas[[#This Row],[Descripción]], " ", -2)</f>
        <v>Jimmy Velásquez</v>
      </c>
      <c r="F3451" s="21" t="s">
        <v>2537</v>
      </c>
      <c r="G3451" s="23">
        <v>46139</v>
      </c>
    </row>
    <row r="3452" spans="1:7" ht="24.5" hidden="1" x14ac:dyDescent="0.35">
      <c r="A3452" s="8">
        <v>11681</v>
      </c>
      <c r="B3452" s="10" t="s">
        <v>6011</v>
      </c>
      <c r="C3452" s="10" t="s">
        <v>371</v>
      </c>
      <c r="D3452" s="9" t="s">
        <v>371</v>
      </c>
      <c r="E3452" s="9" t="str">
        <f>_xlfn.TEXTAFTER(Condiciones_acumuladas[[#This Row],[Descripción]], " ", -2)</f>
        <v>Josué Lepe</v>
      </c>
      <c r="F3452" s="21" t="s">
        <v>2522</v>
      </c>
      <c r="G3452" s="23">
        <v>46126</v>
      </c>
    </row>
    <row r="3453" spans="1:7" ht="24.5" hidden="1" x14ac:dyDescent="0.35">
      <c r="A3453" s="8">
        <v>11686</v>
      </c>
      <c r="B3453" s="10" t="s">
        <v>6012</v>
      </c>
      <c r="C3453" s="10" t="s">
        <v>371</v>
      </c>
      <c r="D3453" s="9" t="s">
        <v>371</v>
      </c>
      <c r="E3453" s="9" t="str">
        <f>_xlfn.TEXTAFTER(Condiciones_acumuladas[[#This Row],[Descripción]], " ", -2)</f>
        <v>Josué Lepe</v>
      </c>
      <c r="F3453" s="21" t="s">
        <v>2522</v>
      </c>
      <c r="G3453" s="23">
        <v>46126</v>
      </c>
    </row>
    <row r="3454" spans="1:7" ht="36.5" hidden="1" x14ac:dyDescent="0.35">
      <c r="A3454" s="8">
        <v>11634</v>
      </c>
      <c r="B3454" s="10" t="s">
        <v>6013</v>
      </c>
      <c r="C3454" s="10" t="s">
        <v>104</v>
      </c>
      <c r="D3454" s="9" t="s">
        <v>395</v>
      </c>
      <c r="E3454" s="9" t="str">
        <f>_xlfn.TEXTAFTER(Condiciones_acumuladas[[#This Row],[Descripción]], " ", -2)</f>
        <v>Josué Vásquez</v>
      </c>
      <c r="F3454" s="21" t="s">
        <v>2715</v>
      </c>
      <c r="G3454" s="23">
        <v>46120</v>
      </c>
    </row>
    <row r="3455" spans="1:7" ht="36.5" hidden="1" x14ac:dyDescent="0.35">
      <c r="A3455" s="8">
        <v>11632</v>
      </c>
      <c r="B3455" s="10" t="s">
        <v>6014</v>
      </c>
      <c r="C3455" s="10" t="s">
        <v>21</v>
      </c>
      <c r="D3455" s="9" t="s">
        <v>395</v>
      </c>
      <c r="E3455" s="9" t="str">
        <f>_xlfn.TEXTAFTER(Condiciones_acumuladas[[#This Row],[Descripción]], " ", -2)</f>
        <v>Josué Vásquez</v>
      </c>
      <c r="F3455" s="21" t="s">
        <v>2530</v>
      </c>
      <c r="G3455" s="23">
        <v>46121</v>
      </c>
    </row>
    <row r="3456" spans="1:7" ht="36.5" hidden="1" x14ac:dyDescent="0.35">
      <c r="A3456" s="8">
        <v>11655</v>
      </c>
      <c r="B3456" s="10" t="s">
        <v>6015</v>
      </c>
      <c r="C3456" s="10" t="s">
        <v>234</v>
      </c>
      <c r="D3456" s="9" t="s">
        <v>395</v>
      </c>
      <c r="E3456" s="9" t="str">
        <f>_xlfn.TEXTAFTER(Condiciones_acumuladas[[#This Row],[Descripción]], " ", -2)</f>
        <v>Josué Vásquez</v>
      </c>
      <c r="F3456" s="21" t="s">
        <v>2540</v>
      </c>
      <c r="G3456" s="23">
        <v>46121</v>
      </c>
    </row>
    <row r="3457" spans="1:7" ht="24.5" hidden="1" x14ac:dyDescent="0.35">
      <c r="A3457" s="8">
        <v>11670</v>
      </c>
      <c r="B3457" s="10" t="s">
        <v>6016</v>
      </c>
      <c r="C3457" s="10" t="s">
        <v>196</v>
      </c>
      <c r="D3457" s="9" t="s">
        <v>395</v>
      </c>
      <c r="E3457" s="9" t="str">
        <f>_xlfn.TEXTAFTER(Condiciones_acumuladas[[#This Row],[Descripción]], " ", -2)</f>
        <v>Josué Vásquez</v>
      </c>
      <c r="F3457" s="21" t="s">
        <v>2540</v>
      </c>
      <c r="G3457" s="23">
        <v>46125</v>
      </c>
    </row>
    <row r="3458" spans="1:7" ht="36.5" hidden="1" x14ac:dyDescent="0.35">
      <c r="A3458" s="8">
        <v>11688</v>
      </c>
      <c r="B3458" s="10" t="s">
        <v>6017</v>
      </c>
      <c r="C3458" s="10" t="s">
        <v>96</v>
      </c>
      <c r="D3458" s="9" t="s">
        <v>395</v>
      </c>
      <c r="E3458" s="9" t="str">
        <f>_xlfn.TEXTAFTER(Condiciones_acumuladas[[#This Row],[Descripción]], " ", -2)</f>
        <v>Josué Vásquez</v>
      </c>
      <c r="F3458" s="21" t="s">
        <v>2525</v>
      </c>
      <c r="G3458" s="23">
        <v>46127</v>
      </c>
    </row>
    <row r="3459" spans="1:7" ht="36.5" hidden="1" x14ac:dyDescent="0.35">
      <c r="A3459" s="8">
        <v>11784</v>
      </c>
      <c r="B3459" s="10" t="s">
        <v>6018</v>
      </c>
      <c r="C3459" s="10" t="s">
        <v>395</v>
      </c>
      <c r="D3459" s="9" t="s">
        <v>395</v>
      </c>
      <c r="E3459" s="9" t="str">
        <f>_xlfn.TEXTAFTER(Condiciones_acumuladas[[#This Row],[Descripción]], " ", -2)</f>
        <v>Josué Vásquez</v>
      </c>
      <c r="F3459" s="21" t="s">
        <v>2525</v>
      </c>
      <c r="G3459" s="23">
        <v>46134</v>
      </c>
    </row>
    <row r="3460" spans="1:7" ht="36.5" hidden="1" x14ac:dyDescent="0.35">
      <c r="A3460" s="8">
        <v>11795</v>
      </c>
      <c r="B3460" s="10" t="s">
        <v>6019</v>
      </c>
      <c r="C3460" s="10" t="s">
        <v>134</v>
      </c>
      <c r="D3460" s="9" t="s">
        <v>395</v>
      </c>
      <c r="E3460" s="9" t="str">
        <f>_xlfn.TEXTAFTER(Condiciones_acumuladas[[#This Row],[Descripción]], " ", -2)</f>
        <v>Josué Vásquez</v>
      </c>
      <c r="F3460" s="21" t="s">
        <v>2525</v>
      </c>
      <c r="G3460" s="23">
        <v>46134</v>
      </c>
    </row>
    <row r="3461" spans="1:7" ht="36.5" hidden="1" x14ac:dyDescent="0.35">
      <c r="A3461" s="8">
        <v>11793</v>
      </c>
      <c r="B3461" s="10" t="s">
        <v>6020</v>
      </c>
      <c r="C3461" s="10" t="s">
        <v>104</v>
      </c>
      <c r="D3461" s="9" t="s">
        <v>395</v>
      </c>
      <c r="E3461" s="9" t="str">
        <f>_xlfn.TEXTAFTER(Condiciones_acumuladas[[#This Row],[Descripción]], " ", -2)</f>
        <v>Josué Vásquez</v>
      </c>
      <c r="F3461" s="21" t="s">
        <v>2525</v>
      </c>
      <c r="G3461" s="23">
        <v>46134</v>
      </c>
    </row>
    <row r="3462" spans="1:7" ht="24.5" hidden="1" x14ac:dyDescent="0.35">
      <c r="A3462" s="8">
        <v>11857</v>
      </c>
      <c r="B3462" s="10" t="s">
        <v>6021</v>
      </c>
      <c r="C3462" s="10" t="s">
        <v>21</v>
      </c>
      <c r="D3462" s="9" t="s">
        <v>395</v>
      </c>
      <c r="E3462" s="9" t="str">
        <f>_xlfn.TEXTAFTER(Condiciones_acumuladas[[#This Row],[Descripción]], " ", -2)</f>
        <v>Josué Vásquez</v>
      </c>
      <c r="F3462" s="21" t="s">
        <v>2522</v>
      </c>
      <c r="G3462" s="23">
        <v>46141</v>
      </c>
    </row>
    <row r="3463" spans="1:7" ht="48.5" hidden="1" x14ac:dyDescent="0.35">
      <c r="A3463" s="8">
        <v>11689</v>
      </c>
      <c r="B3463" s="10" t="s">
        <v>6022</v>
      </c>
      <c r="C3463" s="10" t="s">
        <v>104</v>
      </c>
      <c r="D3463" s="9" t="s">
        <v>95</v>
      </c>
      <c r="E3463" s="9" t="str">
        <f>_xlfn.TEXTAFTER(Condiciones_acumuladas[[#This Row],[Descripción]], " ", -2)</f>
        <v>Juan Hernández</v>
      </c>
      <c r="F3463" s="21" t="s">
        <v>2559</v>
      </c>
      <c r="G3463" s="23">
        <v>46128</v>
      </c>
    </row>
    <row r="3464" spans="1:7" ht="48.5" hidden="1" x14ac:dyDescent="0.35">
      <c r="A3464" s="8">
        <v>11731</v>
      </c>
      <c r="B3464" s="10" t="s">
        <v>6023</v>
      </c>
      <c r="C3464" s="10" t="s">
        <v>234</v>
      </c>
      <c r="D3464" s="9" t="s">
        <v>95</v>
      </c>
      <c r="E3464" s="9" t="str">
        <f>_xlfn.TEXTAFTER(Condiciones_acumuladas[[#This Row],[Descripción]], " ", -2)</f>
        <v>Juan Hernández</v>
      </c>
      <c r="F3464" s="21" t="s">
        <v>2559</v>
      </c>
      <c r="G3464" s="23">
        <v>46133</v>
      </c>
    </row>
    <row r="3465" spans="1:7" ht="48.5" hidden="1" x14ac:dyDescent="0.35">
      <c r="A3465" s="8">
        <v>11852</v>
      </c>
      <c r="B3465" s="10" t="s">
        <v>6024</v>
      </c>
      <c r="C3465" s="10" t="s">
        <v>234</v>
      </c>
      <c r="D3465" s="9" t="s">
        <v>95</v>
      </c>
      <c r="E3465" s="9" t="str">
        <f>_xlfn.TEXTAFTER(Condiciones_acumuladas[[#This Row],[Descripción]], " ", -2)</f>
        <v>Juan Hernández</v>
      </c>
      <c r="F3465" s="21" t="s">
        <v>2559</v>
      </c>
      <c r="G3465" s="23">
        <v>46140</v>
      </c>
    </row>
    <row r="3466" spans="1:7" ht="24.5" hidden="1" x14ac:dyDescent="0.35">
      <c r="A3466" s="8">
        <v>11672</v>
      </c>
      <c r="B3466" s="10" t="s">
        <v>6025</v>
      </c>
      <c r="C3466" s="10" t="s">
        <v>196</v>
      </c>
      <c r="D3466" s="9" t="s">
        <v>196</v>
      </c>
      <c r="E3466" s="9" t="str">
        <f>_xlfn.TEXTAFTER(Condiciones_acumuladas[[#This Row],[Descripción]], " ", -2)</f>
        <v>Kelly Calderón</v>
      </c>
      <c r="F3466" s="21" t="s">
        <v>2537</v>
      </c>
      <c r="G3466" s="23">
        <v>46125</v>
      </c>
    </row>
    <row r="3467" spans="1:7" ht="48.5" hidden="1" x14ac:dyDescent="0.35">
      <c r="A3467" s="8">
        <v>11578</v>
      </c>
      <c r="B3467" s="10" t="s">
        <v>6026</v>
      </c>
      <c r="C3467" s="10" t="s">
        <v>26</v>
      </c>
      <c r="D3467" s="9" t="s">
        <v>95</v>
      </c>
      <c r="E3467" s="9" t="str">
        <f>_xlfn.TEXTAFTER(Condiciones_acumuladas[[#This Row],[Descripción]], " ", -2)</f>
        <v>Leidy Camey</v>
      </c>
      <c r="F3467" s="21" t="s">
        <v>2559</v>
      </c>
      <c r="G3467" s="23">
        <v>46115</v>
      </c>
    </row>
    <row r="3468" spans="1:7" ht="48.5" hidden="1" x14ac:dyDescent="0.35">
      <c r="A3468" s="8">
        <v>11839</v>
      </c>
      <c r="B3468" s="10" t="s">
        <v>6027</v>
      </c>
      <c r="C3468" s="10" t="s">
        <v>234</v>
      </c>
      <c r="D3468" s="9" t="s">
        <v>95</v>
      </c>
      <c r="E3468" s="9" t="str">
        <f>_xlfn.TEXTAFTER(Condiciones_acumuladas[[#This Row],[Descripción]], " ", -2)</f>
        <v>Leidy Camey</v>
      </c>
      <c r="F3468" s="21" t="s">
        <v>2559</v>
      </c>
      <c r="G3468" s="23">
        <v>46142</v>
      </c>
    </row>
    <row r="3469" spans="1:7" ht="24.5" hidden="1" x14ac:dyDescent="0.35">
      <c r="A3469" s="8">
        <v>11626</v>
      </c>
      <c r="B3469" s="10" t="s">
        <v>6028</v>
      </c>
      <c r="C3469" s="10" t="s">
        <v>371</v>
      </c>
      <c r="D3469" s="9" t="s">
        <v>205</v>
      </c>
      <c r="E3469" s="9" t="str">
        <f>_xlfn.TEXTAFTER(Condiciones_acumuladas[[#This Row],[Descripción]], " ", -2)</f>
        <v>Lissette Loarca</v>
      </c>
      <c r="F3469" s="21" t="s">
        <v>2522</v>
      </c>
      <c r="G3469" s="23">
        <v>46120</v>
      </c>
    </row>
    <row r="3470" spans="1:7" ht="36.5" hidden="1" x14ac:dyDescent="0.35">
      <c r="A3470" s="8">
        <v>11627</v>
      </c>
      <c r="B3470" s="10" t="s">
        <v>6029</v>
      </c>
      <c r="C3470" s="10" t="s">
        <v>371</v>
      </c>
      <c r="D3470" s="9" t="s">
        <v>205</v>
      </c>
      <c r="E3470" s="9" t="str">
        <f>_xlfn.TEXTAFTER(Condiciones_acumuladas[[#This Row],[Descripción]], " ", -2)</f>
        <v>Lissette Loarca</v>
      </c>
      <c r="F3470" s="21" t="s">
        <v>2516</v>
      </c>
      <c r="G3470" s="23">
        <v>46120</v>
      </c>
    </row>
    <row r="3471" spans="1:7" ht="24.5" hidden="1" x14ac:dyDescent="0.35">
      <c r="A3471" s="8">
        <v>11622</v>
      </c>
      <c r="B3471" s="10" t="s">
        <v>6030</v>
      </c>
      <c r="C3471" s="10" t="s">
        <v>371</v>
      </c>
      <c r="D3471" s="9" t="s">
        <v>205</v>
      </c>
      <c r="E3471" s="9" t="str">
        <f>_xlfn.TEXTAFTER(Condiciones_acumuladas[[#This Row],[Descripción]], " ", -2)</f>
        <v>Lissette Loarca</v>
      </c>
      <c r="F3471" s="21" t="s">
        <v>2522</v>
      </c>
      <c r="G3471" s="23">
        <v>46120</v>
      </c>
    </row>
    <row r="3472" spans="1:7" ht="48.5" hidden="1" x14ac:dyDescent="0.35">
      <c r="A3472" s="8">
        <v>11659</v>
      </c>
      <c r="B3472" s="10" t="s">
        <v>6031</v>
      </c>
      <c r="C3472" s="10" t="s">
        <v>26</v>
      </c>
      <c r="D3472" s="9" t="s">
        <v>95</v>
      </c>
      <c r="E3472" s="9" t="str">
        <f>_xlfn.TEXTAFTER(Condiciones_acumuladas[[#This Row],[Descripción]], " ", -2)</f>
        <v>Luis Ángel</v>
      </c>
      <c r="F3472" s="21" t="s">
        <v>2559</v>
      </c>
      <c r="G3472" s="23">
        <v>46122</v>
      </c>
    </row>
    <row r="3473" spans="1:7" ht="36.5" hidden="1" x14ac:dyDescent="0.35">
      <c r="A3473" s="8">
        <v>11845</v>
      </c>
      <c r="B3473" s="10" t="s">
        <v>6032</v>
      </c>
      <c r="C3473" s="10" t="s">
        <v>95</v>
      </c>
      <c r="D3473" s="9" t="s">
        <v>95</v>
      </c>
      <c r="E3473" s="9" t="str">
        <f>_xlfn.TEXTAFTER(Condiciones_acumuladas[[#This Row],[Descripción]], " ", -2)</f>
        <v>Luis Ángel</v>
      </c>
      <c r="F3473" s="21" t="s">
        <v>2516</v>
      </c>
      <c r="G3473" s="23">
        <v>46142</v>
      </c>
    </row>
    <row r="3474" spans="1:7" ht="24.5" hidden="1" x14ac:dyDescent="0.35">
      <c r="A3474" s="8">
        <v>11841</v>
      </c>
      <c r="B3474" s="10" t="s">
        <v>6033</v>
      </c>
      <c r="C3474" s="10" t="s">
        <v>96</v>
      </c>
      <c r="D3474" s="9" t="s">
        <v>95</v>
      </c>
      <c r="E3474" s="9" t="str">
        <f>_xlfn.TEXTAFTER(Condiciones_acumuladas[[#This Row],[Descripción]], " ", -2)</f>
        <v>Luis Cabrera</v>
      </c>
      <c r="F3474" s="21" t="s">
        <v>2537</v>
      </c>
      <c r="G3474" s="23">
        <v>46142</v>
      </c>
    </row>
    <row r="3475" spans="1:7" ht="36.5" hidden="1" x14ac:dyDescent="0.35">
      <c r="A3475" s="8">
        <v>11840</v>
      </c>
      <c r="B3475" s="10" t="s">
        <v>6034</v>
      </c>
      <c r="C3475" s="10" t="s">
        <v>95</v>
      </c>
      <c r="D3475" s="9" t="s">
        <v>95</v>
      </c>
      <c r="E3475" s="9" t="str">
        <f>_xlfn.TEXTAFTER(Condiciones_acumuladas[[#This Row],[Descripción]], " ", -2)</f>
        <v>Luis Cabrera</v>
      </c>
      <c r="F3475" s="21" t="s">
        <v>2516</v>
      </c>
      <c r="G3475" s="23">
        <v>46142</v>
      </c>
    </row>
    <row r="3476" spans="1:7" ht="36.5" hidden="1" x14ac:dyDescent="0.35">
      <c r="A3476" s="8">
        <v>11613</v>
      </c>
      <c r="B3476" s="10" t="s">
        <v>6035</v>
      </c>
      <c r="C3476" s="10" t="s">
        <v>96</v>
      </c>
      <c r="D3476" s="9" t="s">
        <v>96</v>
      </c>
      <c r="E3476" s="9" t="str">
        <f>_xlfn.TEXTAFTER(Condiciones_acumuladas[[#This Row],[Descripción]], " ", -2)</f>
        <v>Luis Pérez</v>
      </c>
      <c r="F3476" s="21" t="s">
        <v>2516</v>
      </c>
      <c r="G3476" s="23">
        <v>46119</v>
      </c>
    </row>
    <row r="3477" spans="1:7" ht="48.5" hidden="1" x14ac:dyDescent="0.35">
      <c r="A3477" s="8">
        <v>11611</v>
      </c>
      <c r="B3477" s="10" t="s">
        <v>6036</v>
      </c>
      <c r="C3477" s="10" t="s">
        <v>96</v>
      </c>
      <c r="D3477" s="9" t="s">
        <v>96</v>
      </c>
      <c r="E3477" s="9" t="str">
        <f>_xlfn.TEXTAFTER(Condiciones_acumuladas[[#This Row],[Descripción]], " ", -2)</f>
        <v>Luis Pérez</v>
      </c>
      <c r="F3477" s="21" t="s">
        <v>2559</v>
      </c>
      <c r="G3477" s="23">
        <v>46119</v>
      </c>
    </row>
    <row r="3478" spans="1:7" ht="24.5" hidden="1" x14ac:dyDescent="0.35">
      <c r="A3478" s="8">
        <v>11654</v>
      </c>
      <c r="B3478" s="10" t="s">
        <v>6037</v>
      </c>
      <c r="C3478" s="10" t="s">
        <v>220</v>
      </c>
      <c r="D3478" s="9" t="s">
        <v>220</v>
      </c>
      <c r="E3478" s="9" t="str">
        <f>_xlfn.TEXTAFTER(Condiciones_acumuladas[[#This Row],[Descripción]], " ", -2)</f>
        <v>Luis Pérez</v>
      </c>
      <c r="F3478" s="21" t="s">
        <v>2522</v>
      </c>
      <c r="G3478" s="23">
        <v>46121</v>
      </c>
    </row>
    <row r="3479" spans="1:7" ht="24.5" hidden="1" x14ac:dyDescent="0.35">
      <c r="A3479" s="8">
        <v>11629</v>
      </c>
      <c r="B3479" s="10" t="s">
        <v>6038</v>
      </c>
      <c r="C3479" s="10" t="s">
        <v>196</v>
      </c>
      <c r="D3479" s="9" t="s">
        <v>96</v>
      </c>
      <c r="E3479" s="9" t="str">
        <f>_xlfn.TEXTAFTER(Condiciones_acumuladas[[#This Row],[Descripción]], " ", -2)</f>
        <v>Mario Marroquín</v>
      </c>
      <c r="F3479" s="21" t="s">
        <v>2522</v>
      </c>
      <c r="G3479" s="23">
        <v>46120</v>
      </c>
    </row>
    <row r="3480" spans="1:7" ht="36.5" hidden="1" x14ac:dyDescent="0.35">
      <c r="A3480" s="8">
        <v>11677</v>
      </c>
      <c r="B3480" s="10" t="s">
        <v>6039</v>
      </c>
      <c r="C3480" s="10" t="s">
        <v>196</v>
      </c>
      <c r="D3480" s="9" t="s">
        <v>196</v>
      </c>
      <c r="E3480" s="9" t="str">
        <f>_xlfn.TEXTAFTER(Condiciones_acumuladas[[#This Row],[Descripción]], " ", -2)</f>
        <v>Miguel Godinez</v>
      </c>
      <c r="F3480" s="21" t="s">
        <v>2572</v>
      </c>
      <c r="G3480" s="23">
        <v>46126</v>
      </c>
    </row>
    <row r="3481" spans="1:7" ht="24.5" hidden="1" x14ac:dyDescent="0.35">
      <c r="A3481" s="8">
        <v>11597</v>
      </c>
      <c r="B3481" s="10" t="s">
        <v>6040</v>
      </c>
      <c r="C3481" s="10" t="s">
        <v>95</v>
      </c>
      <c r="D3481" s="9" t="s">
        <v>95</v>
      </c>
      <c r="E3481" s="9" t="str">
        <f>_xlfn.TEXTAFTER(Condiciones_acumuladas[[#This Row],[Descripción]], " ", -2)</f>
        <v>Nelson Godínez</v>
      </c>
      <c r="F3481" s="21" t="s">
        <v>2834</v>
      </c>
      <c r="G3481" s="23">
        <v>46118</v>
      </c>
    </row>
    <row r="3482" spans="1:7" ht="36.5" hidden="1" x14ac:dyDescent="0.35">
      <c r="A3482" s="8">
        <v>11692</v>
      </c>
      <c r="B3482" s="10" t="s">
        <v>6041</v>
      </c>
      <c r="C3482" s="10" t="s">
        <v>104</v>
      </c>
      <c r="D3482" s="9" t="s">
        <v>104</v>
      </c>
      <c r="E3482" s="9" t="str">
        <f>_xlfn.TEXTAFTER(Condiciones_acumuladas[[#This Row],[Descripción]], " ", -2)</f>
        <v>Obdulio Saquic</v>
      </c>
      <c r="F3482" s="21" t="s">
        <v>2530</v>
      </c>
      <c r="G3482" s="23">
        <v>46129</v>
      </c>
    </row>
    <row r="3483" spans="1:7" ht="36.5" hidden="1" x14ac:dyDescent="0.35">
      <c r="A3483" s="8">
        <v>11691</v>
      </c>
      <c r="B3483" s="10" t="s">
        <v>6042</v>
      </c>
      <c r="C3483" s="10" t="s">
        <v>104</v>
      </c>
      <c r="D3483" s="9" t="s">
        <v>104</v>
      </c>
      <c r="E3483" s="9" t="str">
        <f>_xlfn.TEXTAFTER(Condiciones_acumuladas[[#This Row],[Descripción]], " ", -2)</f>
        <v>Obdulio Saquic</v>
      </c>
      <c r="F3483" s="21" t="s">
        <v>2530</v>
      </c>
      <c r="G3483" s="23">
        <v>46129</v>
      </c>
    </row>
    <row r="3484" spans="1:7" ht="48.5" hidden="1" x14ac:dyDescent="0.35">
      <c r="A3484" s="8">
        <v>11690</v>
      </c>
      <c r="B3484" s="10" t="s">
        <v>6043</v>
      </c>
      <c r="C3484" s="10" t="s">
        <v>104</v>
      </c>
      <c r="D3484" s="9" t="s">
        <v>104</v>
      </c>
      <c r="E3484" s="9" t="str">
        <f>_xlfn.TEXTAFTER(Condiciones_acumuladas[[#This Row],[Descripción]], " ", -2)</f>
        <v>Obdulio Saquic</v>
      </c>
      <c r="F3484" s="21" t="s">
        <v>2559</v>
      </c>
      <c r="G3484" s="23">
        <v>46129</v>
      </c>
    </row>
    <row r="3485" spans="1:7" ht="24.5" hidden="1" x14ac:dyDescent="0.35">
      <c r="A3485" s="8">
        <v>11774</v>
      </c>
      <c r="B3485" s="10" t="s">
        <v>5751</v>
      </c>
      <c r="C3485" s="10" t="s">
        <v>104</v>
      </c>
      <c r="D3485" s="9" t="s">
        <v>104</v>
      </c>
      <c r="E3485" s="9" t="str">
        <f>_xlfn.TEXTAFTER(Condiciones_acumuladas[[#This Row],[Descripción]], " ", -2)</f>
        <v>Obdulio Saquic</v>
      </c>
      <c r="F3485" s="21" t="s">
        <v>2522</v>
      </c>
      <c r="G3485" s="23">
        <v>46136</v>
      </c>
    </row>
    <row r="3486" spans="1:7" ht="36.5" hidden="1" x14ac:dyDescent="0.35">
      <c r="A3486" s="8">
        <v>11772</v>
      </c>
      <c r="B3486" s="10" t="s">
        <v>6044</v>
      </c>
      <c r="C3486" s="10" t="s">
        <v>104</v>
      </c>
      <c r="D3486" s="9" t="s">
        <v>104</v>
      </c>
      <c r="E3486" s="9" t="str">
        <f>_xlfn.TEXTAFTER(Condiciones_acumuladas[[#This Row],[Descripción]], " ", -2)</f>
        <v>Obdulio Saquic</v>
      </c>
      <c r="F3486" s="21" t="s">
        <v>2530</v>
      </c>
      <c r="G3486" s="23">
        <v>46136</v>
      </c>
    </row>
    <row r="3487" spans="1:7" ht="24.5" hidden="1" x14ac:dyDescent="0.35">
      <c r="A3487" s="8">
        <v>11792</v>
      </c>
      <c r="B3487" s="10" t="s">
        <v>6045</v>
      </c>
      <c r="C3487" s="10" t="s">
        <v>104</v>
      </c>
      <c r="D3487" s="9" t="s">
        <v>104</v>
      </c>
      <c r="E3487" s="9" t="str">
        <f>_xlfn.TEXTAFTER(Condiciones_acumuladas[[#This Row],[Descripción]], " ", -2)</f>
        <v>Obdulio Saquic</v>
      </c>
      <c r="F3487" s="21" t="s">
        <v>2834</v>
      </c>
      <c r="G3487" s="23">
        <v>46139</v>
      </c>
    </row>
    <row r="3488" spans="1:7" ht="36.5" hidden="1" x14ac:dyDescent="0.35">
      <c r="A3488" s="8">
        <v>11791</v>
      </c>
      <c r="B3488" s="10" t="s">
        <v>6046</v>
      </c>
      <c r="C3488" s="10" t="s">
        <v>104</v>
      </c>
      <c r="D3488" s="9" t="s">
        <v>104</v>
      </c>
      <c r="E3488" s="9" t="str">
        <f>_xlfn.TEXTAFTER(Condiciones_acumuladas[[#This Row],[Descripción]], " ", -2)</f>
        <v>Obdulio Saquic</v>
      </c>
      <c r="F3488" s="21" t="s">
        <v>2530</v>
      </c>
      <c r="G3488" s="23">
        <v>46139</v>
      </c>
    </row>
    <row r="3489" spans="1:7" ht="36.5" hidden="1" x14ac:dyDescent="0.35">
      <c r="A3489" s="8">
        <v>11596</v>
      </c>
      <c r="B3489" s="10" t="s">
        <v>6047</v>
      </c>
      <c r="C3489" s="10" t="s">
        <v>21</v>
      </c>
      <c r="D3489" s="9" t="s">
        <v>21</v>
      </c>
      <c r="E3489" s="9" t="str">
        <f>_xlfn.TEXTAFTER(Condiciones_acumuladas[[#This Row],[Descripción]], " ", -2)</f>
        <v>Oscar Ramírez</v>
      </c>
      <c r="F3489" s="21" t="s">
        <v>2522</v>
      </c>
      <c r="G3489" s="23">
        <v>46118</v>
      </c>
    </row>
    <row r="3490" spans="1:7" ht="36.5" hidden="1" x14ac:dyDescent="0.35">
      <c r="A3490" s="8">
        <v>11595</v>
      </c>
      <c r="B3490" s="10" t="s">
        <v>6048</v>
      </c>
      <c r="C3490" s="10" t="s">
        <v>21</v>
      </c>
      <c r="D3490" s="9" t="s">
        <v>21</v>
      </c>
      <c r="E3490" s="9" t="str">
        <f>_xlfn.TEXTAFTER(Condiciones_acumuladas[[#This Row],[Descripción]], " ", -2)</f>
        <v>Oscar Ramírez</v>
      </c>
      <c r="F3490" s="21" t="s">
        <v>2522</v>
      </c>
      <c r="G3490" s="23">
        <v>46118</v>
      </c>
    </row>
    <row r="3491" spans="1:7" ht="24.5" hidden="1" x14ac:dyDescent="0.35">
      <c r="A3491" s="8">
        <v>11594</v>
      </c>
      <c r="B3491" s="10" t="s">
        <v>6049</v>
      </c>
      <c r="C3491" s="10" t="s">
        <v>21</v>
      </c>
      <c r="D3491" s="9" t="s">
        <v>21</v>
      </c>
      <c r="E3491" s="9" t="str">
        <f>_xlfn.TEXTAFTER(Condiciones_acumuladas[[#This Row],[Descripción]], " ", -2)</f>
        <v>Oscar Ramírez</v>
      </c>
      <c r="F3491" s="21" t="s">
        <v>2522</v>
      </c>
      <c r="G3491" s="23">
        <v>46118</v>
      </c>
    </row>
    <row r="3492" spans="1:7" ht="24.5" hidden="1" x14ac:dyDescent="0.35">
      <c r="A3492" s="8">
        <v>11616</v>
      </c>
      <c r="B3492" s="10" t="s">
        <v>6050</v>
      </c>
      <c r="C3492" s="10" t="s">
        <v>21</v>
      </c>
      <c r="D3492" s="9" t="s">
        <v>21</v>
      </c>
      <c r="E3492" s="9" t="str">
        <f>_xlfn.TEXTAFTER(Condiciones_acumuladas[[#This Row],[Descripción]], " ", -2)</f>
        <v>Oscar Ramírez</v>
      </c>
      <c r="F3492" s="21" t="s">
        <v>2522</v>
      </c>
      <c r="G3492" s="23">
        <v>46120</v>
      </c>
    </row>
    <row r="3493" spans="1:7" ht="36.5" hidden="1" x14ac:dyDescent="0.35">
      <c r="A3493" s="8">
        <v>11642</v>
      </c>
      <c r="B3493" s="10" t="s">
        <v>6051</v>
      </c>
      <c r="C3493" s="10" t="s">
        <v>13</v>
      </c>
      <c r="D3493" s="9" t="s">
        <v>13</v>
      </c>
      <c r="E3493" s="9" t="str">
        <f>_xlfn.TEXTAFTER(Condiciones_acumuladas[[#This Row],[Descripción]], " ", -2)</f>
        <v>Oscar Ramírez</v>
      </c>
      <c r="F3493" s="21" t="s">
        <v>2530</v>
      </c>
      <c r="G3493" s="23">
        <v>46121</v>
      </c>
    </row>
    <row r="3494" spans="1:7" ht="36.5" hidden="1" x14ac:dyDescent="0.35">
      <c r="A3494" s="8">
        <v>11610</v>
      </c>
      <c r="B3494" s="10" t="s">
        <v>6052</v>
      </c>
      <c r="C3494" s="10" t="s">
        <v>21</v>
      </c>
      <c r="D3494" s="9" t="s">
        <v>21</v>
      </c>
      <c r="E3494" s="9" t="str">
        <f>_xlfn.TEXTAFTER(Condiciones_acumuladas[[#This Row],[Descripción]], " ", -2)</f>
        <v>Oscar Ramírez</v>
      </c>
      <c r="F3494" s="21" t="s">
        <v>2516</v>
      </c>
      <c r="G3494" s="23">
        <v>46119</v>
      </c>
    </row>
    <row r="3495" spans="1:7" ht="36.5" hidden="1" x14ac:dyDescent="0.35">
      <c r="A3495" s="8">
        <v>11605</v>
      </c>
      <c r="B3495" s="10" t="s">
        <v>6053</v>
      </c>
      <c r="C3495" s="10" t="s">
        <v>13</v>
      </c>
      <c r="D3495" s="9" t="s">
        <v>13</v>
      </c>
      <c r="E3495" s="9" t="str">
        <f>_xlfn.TEXTAFTER(Condiciones_acumuladas[[#This Row],[Descripción]], " ", -2)</f>
        <v>Oscar Ramírez</v>
      </c>
      <c r="F3495" s="21" t="s">
        <v>2516</v>
      </c>
      <c r="G3495" s="23">
        <v>46119</v>
      </c>
    </row>
    <row r="3496" spans="1:7" ht="24.5" hidden="1" x14ac:dyDescent="0.35">
      <c r="A3496" s="8">
        <v>11604</v>
      </c>
      <c r="B3496" s="10" t="s">
        <v>6054</v>
      </c>
      <c r="C3496" s="10" t="s">
        <v>13</v>
      </c>
      <c r="D3496" s="9" t="s">
        <v>13</v>
      </c>
      <c r="E3496" s="9" t="str">
        <f>_xlfn.TEXTAFTER(Condiciones_acumuladas[[#This Row],[Descripción]], " ", -2)</f>
        <v>Oscar Ramírez</v>
      </c>
      <c r="F3496" s="21" t="s">
        <v>2522</v>
      </c>
      <c r="G3496" s="23">
        <v>46119</v>
      </c>
    </row>
    <row r="3497" spans="1:7" ht="36.5" hidden="1" x14ac:dyDescent="0.35">
      <c r="A3497" s="8">
        <v>11602</v>
      </c>
      <c r="B3497" s="10" t="s">
        <v>6055</v>
      </c>
      <c r="C3497" s="10" t="s">
        <v>13</v>
      </c>
      <c r="D3497" s="9" t="s">
        <v>13</v>
      </c>
      <c r="E3497" s="9" t="str">
        <f>_xlfn.TEXTAFTER(Condiciones_acumuladas[[#This Row],[Descripción]], " ", -2)</f>
        <v>Oscar Ramírez</v>
      </c>
      <c r="F3497" s="21" t="s">
        <v>2522</v>
      </c>
      <c r="G3497" s="23">
        <v>46119</v>
      </c>
    </row>
    <row r="3498" spans="1:7" ht="36.5" hidden="1" x14ac:dyDescent="0.35">
      <c r="A3498" s="8">
        <v>11664</v>
      </c>
      <c r="B3498" s="10" t="s">
        <v>6056</v>
      </c>
      <c r="C3498" s="10" t="s">
        <v>21</v>
      </c>
      <c r="D3498" s="9" t="s">
        <v>21</v>
      </c>
      <c r="E3498" s="9" t="str">
        <f>_xlfn.TEXTAFTER(Condiciones_acumuladas[[#This Row],[Descripción]], " ", -2)</f>
        <v>Oscar Ramírez</v>
      </c>
      <c r="F3498" s="21" t="s">
        <v>2530</v>
      </c>
      <c r="G3498" s="23">
        <v>46124</v>
      </c>
    </row>
    <row r="3499" spans="1:7" ht="36.5" hidden="1" x14ac:dyDescent="0.35">
      <c r="A3499" s="8">
        <v>11706</v>
      </c>
      <c r="B3499" s="10" t="s">
        <v>6057</v>
      </c>
      <c r="C3499" s="10" t="s">
        <v>21</v>
      </c>
      <c r="D3499" s="9" t="s">
        <v>21</v>
      </c>
      <c r="E3499" s="9" t="str">
        <f>_xlfn.TEXTAFTER(Condiciones_acumuladas[[#This Row],[Descripción]], " ", -2)</f>
        <v>Oscar Ramírez</v>
      </c>
      <c r="F3499" s="21" t="s">
        <v>2530</v>
      </c>
      <c r="G3499" s="23">
        <v>46128</v>
      </c>
    </row>
    <row r="3500" spans="1:7" ht="36.5" hidden="1" x14ac:dyDescent="0.35">
      <c r="A3500" s="8">
        <v>11741</v>
      </c>
      <c r="B3500" s="10" t="s">
        <v>6058</v>
      </c>
      <c r="C3500" s="10" t="s">
        <v>134</v>
      </c>
      <c r="D3500" s="9" t="s">
        <v>21</v>
      </c>
      <c r="E3500" s="9" t="str">
        <f>_xlfn.TEXTAFTER(Condiciones_acumuladas[[#This Row],[Descripción]], " ", -2)</f>
        <v>Oscar Ramírez</v>
      </c>
      <c r="F3500" s="21" t="s">
        <v>2572</v>
      </c>
      <c r="G3500" s="23">
        <v>46133</v>
      </c>
    </row>
    <row r="3501" spans="1:7" ht="24.5" hidden="1" x14ac:dyDescent="0.35">
      <c r="A3501" s="8">
        <v>11740</v>
      </c>
      <c r="B3501" s="10" t="s">
        <v>6059</v>
      </c>
      <c r="C3501" s="10" t="s">
        <v>134</v>
      </c>
      <c r="D3501" s="9" t="s">
        <v>13</v>
      </c>
      <c r="E3501" s="9" t="str">
        <f>_xlfn.TEXTAFTER(Condiciones_acumuladas[[#This Row],[Descripción]], " ", -2)</f>
        <v>Oscar Ramírez</v>
      </c>
      <c r="F3501" s="21" t="s">
        <v>2522</v>
      </c>
      <c r="G3501" s="23">
        <v>46133</v>
      </c>
    </row>
    <row r="3502" spans="1:7" ht="24.5" hidden="1" x14ac:dyDescent="0.35">
      <c r="A3502" s="8">
        <v>11739</v>
      </c>
      <c r="B3502" s="10" t="s">
        <v>6060</v>
      </c>
      <c r="C3502" s="10" t="s">
        <v>134</v>
      </c>
      <c r="D3502" s="9" t="s">
        <v>21</v>
      </c>
      <c r="E3502" s="9" t="str">
        <f>_xlfn.TEXTAFTER(Condiciones_acumuladas[[#This Row],[Descripción]], " ", -2)</f>
        <v>Oscar Ramírez</v>
      </c>
      <c r="F3502" s="21" t="s">
        <v>2522</v>
      </c>
      <c r="G3502" s="23">
        <v>46133</v>
      </c>
    </row>
    <row r="3503" spans="1:7" ht="24.5" hidden="1" x14ac:dyDescent="0.35">
      <c r="A3503" s="8">
        <v>11785</v>
      </c>
      <c r="B3503" s="10" t="s">
        <v>6061</v>
      </c>
      <c r="C3503" s="10" t="s">
        <v>13</v>
      </c>
      <c r="D3503" s="9" t="s">
        <v>13</v>
      </c>
      <c r="E3503" s="9" t="str">
        <f>_xlfn.TEXTAFTER(Condiciones_acumuladas[[#This Row],[Descripción]], " ", -2)</f>
        <v>Oscar Ramírez</v>
      </c>
      <c r="F3503" s="21" t="s">
        <v>2522</v>
      </c>
      <c r="G3503" s="23">
        <v>46134</v>
      </c>
    </row>
    <row r="3504" spans="1:7" ht="36.5" hidden="1" x14ac:dyDescent="0.35">
      <c r="A3504" s="8">
        <v>11825</v>
      </c>
      <c r="B3504" s="10" t="s">
        <v>6062</v>
      </c>
      <c r="C3504" s="10" t="s">
        <v>21</v>
      </c>
      <c r="D3504" s="9" t="s">
        <v>21</v>
      </c>
      <c r="E3504" s="9" t="str">
        <f>_xlfn.TEXTAFTER(Condiciones_acumuladas[[#This Row],[Descripción]], " ", -2)</f>
        <v>Oscar Ramírez</v>
      </c>
      <c r="F3504" s="21" t="s">
        <v>2572</v>
      </c>
      <c r="G3504" s="23">
        <v>46136</v>
      </c>
    </row>
    <row r="3505" spans="1:7" ht="24.5" hidden="1" x14ac:dyDescent="0.35">
      <c r="A3505" s="8">
        <v>11856</v>
      </c>
      <c r="B3505" s="10" t="s">
        <v>6063</v>
      </c>
      <c r="C3505" s="10" t="s">
        <v>13</v>
      </c>
      <c r="D3505" s="9" t="s">
        <v>13</v>
      </c>
      <c r="E3505" s="9" t="str">
        <f>_xlfn.TEXTAFTER(Condiciones_acumuladas[[#This Row],[Descripción]], " ", -2)</f>
        <v>Oscar Ramírez</v>
      </c>
      <c r="F3505" s="21" t="s">
        <v>2522</v>
      </c>
      <c r="G3505" s="23">
        <v>46141</v>
      </c>
    </row>
    <row r="3506" spans="1:7" ht="36.5" hidden="1" x14ac:dyDescent="0.35">
      <c r="A3506" s="8">
        <v>11847</v>
      </c>
      <c r="B3506" s="10" t="s">
        <v>6064</v>
      </c>
      <c r="C3506" s="10" t="s">
        <v>21</v>
      </c>
      <c r="D3506" s="9" t="s">
        <v>190</v>
      </c>
      <c r="E3506" s="9" t="str">
        <f>_xlfn.TEXTAFTER(Condiciones_acumuladas[[#This Row],[Descripción]], " ", -2)</f>
        <v>Roy Luarca</v>
      </c>
      <c r="F3506" s="21" t="s">
        <v>2530</v>
      </c>
      <c r="G3506" s="23">
        <v>46169</v>
      </c>
    </row>
    <row r="3507" spans="1:7" ht="24.5" hidden="1" x14ac:dyDescent="0.35">
      <c r="A3507" s="8">
        <v>11850</v>
      </c>
      <c r="B3507" s="10" t="s">
        <v>6065</v>
      </c>
      <c r="C3507" s="10" t="s">
        <v>134</v>
      </c>
      <c r="D3507" s="9" t="s">
        <v>21</v>
      </c>
      <c r="E3507" s="9" t="str">
        <f>_xlfn.TEXTAFTER(Condiciones_acumuladas[[#This Row],[Descripción]], " ", -2)</f>
        <v>Oscar Ramírez</v>
      </c>
      <c r="F3507" s="21" t="s">
        <v>2540</v>
      </c>
      <c r="G3507" s="23">
        <v>46140</v>
      </c>
    </row>
    <row r="3508" spans="1:7" ht="36.5" hidden="1" x14ac:dyDescent="0.35">
      <c r="A3508" s="8">
        <v>11836</v>
      </c>
      <c r="B3508" s="10" t="s">
        <v>6066</v>
      </c>
      <c r="C3508" s="10" t="s">
        <v>34</v>
      </c>
      <c r="D3508" s="9" t="s">
        <v>34</v>
      </c>
      <c r="E3508" s="9" t="str">
        <f>_xlfn.TEXTAFTER(Condiciones_acumuladas[[#This Row],[Descripción]], " ", -2)</f>
        <v>Oscar Ramos</v>
      </c>
      <c r="F3508" s="21" t="s">
        <v>2516</v>
      </c>
      <c r="G3508" s="23">
        <v>46141</v>
      </c>
    </row>
    <row r="3509" spans="1:7" ht="24.5" hidden="1" x14ac:dyDescent="0.35">
      <c r="A3509" s="8">
        <v>11837</v>
      </c>
      <c r="B3509" s="10" t="s">
        <v>6067</v>
      </c>
      <c r="C3509" s="10" t="s">
        <v>34</v>
      </c>
      <c r="D3509" s="9" t="s">
        <v>34</v>
      </c>
      <c r="E3509" s="9" t="str">
        <f>_xlfn.TEXTAFTER(Condiciones_acumuladas[[#This Row],[Descripción]], " ", -2)</f>
        <v>Oscar Ramos</v>
      </c>
      <c r="F3509" s="21" t="s">
        <v>2522</v>
      </c>
      <c r="G3509" s="23">
        <v>46141</v>
      </c>
    </row>
    <row r="3510" spans="1:7" ht="36.5" hidden="1" x14ac:dyDescent="0.35">
      <c r="A3510" s="8">
        <v>11835</v>
      </c>
      <c r="B3510" s="10" t="s">
        <v>6068</v>
      </c>
      <c r="C3510" s="10" t="s">
        <v>34</v>
      </c>
      <c r="D3510" s="9" t="s">
        <v>34</v>
      </c>
      <c r="E3510" s="9" t="str">
        <f>_xlfn.TEXTAFTER(Condiciones_acumuladas[[#This Row],[Descripción]], " ", -2)</f>
        <v>Oscar Ramos</v>
      </c>
      <c r="F3510" s="21" t="s">
        <v>2516</v>
      </c>
      <c r="G3510" s="23">
        <v>46141</v>
      </c>
    </row>
    <row r="3511" spans="1:7" ht="36.5" hidden="1" x14ac:dyDescent="0.35">
      <c r="A3511" s="8">
        <v>11834</v>
      </c>
      <c r="B3511" s="10" t="s">
        <v>6069</v>
      </c>
      <c r="C3511" s="10" t="s">
        <v>34</v>
      </c>
      <c r="D3511" s="9" t="s">
        <v>34</v>
      </c>
      <c r="E3511" s="9" t="str">
        <f>_xlfn.TEXTAFTER(Condiciones_acumuladas[[#This Row],[Descripción]], " ", -2)</f>
        <v>Oscar Ramos</v>
      </c>
      <c r="F3511" s="21" t="s">
        <v>2572</v>
      </c>
      <c r="G3511" s="23">
        <v>46141</v>
      </c>
    </row>
    <row r="3512" spans="1:7" ht="36.5" hidden="1" x14ac:dyDescent="0.35">
      <c r="A3512" s="8">
        <v>11621</v>
      </c>
      <c r="B3512" s="10" t="s">
        <v>6070</v>
      </c>
      <c r="C3512" s="10" t="s">
        <v>278</v>
      </c>
      <c r="D3512" s="9" t="s">
        <v>371</v>
      </c>
      <c r="E3512" s="9" t="str">
        <f>_xlfn.TEXTAFTER(Condiciones_acumuladas[[#This Row],[Descripción]], " ", -2)</f>
        <v>Rodrigo Galindo</v>
      </c>
      <c r="F3512" s="21" t="s">
        <v>2525</v>
      </c>
      <c r="G3512" s="23">
        <v>46120</v>
      </c>
    </row>
    <row r="3513" spans="1:7" ht="36.5" hidden="1" x14ac:dyDescent="0.35">
      <c r="A3513" s="8">
        <v>11609</v>
      </c>
      <c r="B3513" s="10" t="s">
        <v>6071</v>
      </c>
      <c r="C3513" s="10" t="s">
        <v>371</v>
      </c>
      <c r="D3513" s="9" t="s">
        <v>371</v>
      </c>
      <c r="E3513" s="9" t="str">
        <f>_xlfn.TEXTAFTER(Condiciones_acumuladas[[#This Row],[Descripción]], " ", -2)</f>
        <v>Rodrigo Galindo</v>
      </c>
      <c r="F3513" s="21" t="s">
        <v>2525</v>
      </c>
      <c r="G3513" s="23">
        <v>46119</v>
      </c>
    </row>
    <row r="3514" spans="1:7" ht="36.5" hidden="1" x14ac:dyDescent="0.35">
      <c r="A3514" s="8">
        <v>11607</v>
      </c>
      <c r="B3514" s="10" t="s">
        <v>6072</v>
      </c>
      <c r="C3514" s="10" t="s">
        <v>371</v>
      </c>
      <c r="D3514" s="9" t="s">
        <v>371</v>
      </c>
      <c r="E3514" s="9" t="str">
        <f>_xlfn.TEXTAFTER(Condiciones_acumuladas[[#This Row],[Descripción]], " ", -2)</f>
        <v>Rodrigo Galindo</v>
      </c>
      <c r="F3514" s="21" t="s">
        <v>2525</v>
      </c>
      <c r="G3514" s="23">
        <v>46119</v>
      </c>
    </row>
    <row r="3515" spans="1:7" ht="36.5" hidden="1" x14ac:dyDescent="0.35">
      <c r="A3515" s="8">
        <v>11608</v>
      </c>
      <c r="B3515" s="10" t="s">
        <v>6073</v>
      </c>
      <c r="C3515" s="10" t="s">
        <v>371</v>
      </c>
      <c r="D3515" s="9" t="s">
        <v>371</v>
      </c>
      <c r="E3515" s="9" t="str">
        <f>_xlfn.TEXTAFTER(Condiciones_acumuladas[[#This Row],[Descripción]], " ", -2)</f>
        <v>Rodrigo Galindo</v>
      </c>
      <c r="F3515" s="21" t="s">
        <v>2525</v>
      </c>
      <c r="G3515" s="23">
        <v>46119</v>
      </c>
    </row>
    <row r="3516" spans="1:7" ht="36.5" hidden="1" x14ac:dyDescent="0.35">
      <c r="A3516" s="8">
        <v>11615</v>
      </c>
      <c r="B3516" s="10" t="s">
        <v>6074</v>
      </c>
      <c r="C3516" s="10" t="s">
        <v>220</v>
      </c>
      <c r="D3516" s="9" t="s">
        <v>278</v>
      </c>
      <c r="E3516" s="9" t="str">
        <f>_xlfn.TEXTAFTER(Condiciones_acumuladas[[#This Row],[Descripción]], " ", -2)</f>
        <v>Rolando Gómez</v>
      </c>
      <c r="F3516" s="21" t="s">
        <v>2525</v>
      </c>
      <c r="G3516" s="23">
        <v>46120</v>
      </c>
    </row>
    <row r="3517" spans="1:7" ht="48.5" hidden="1" x14ac:dyDescent="0.35">
      <c r="A3517" s="8">
        <v>11782</v>
      </c>
      <c r="B3517" s="10" t="s">
        <v>6075</v>
      </c>
      <c r="C3517" s="10" t="s">
        <v>34</v>
      </c>
      <c r="D3517" s="9" t="s">
        <v>234</v>
      </c>
      <c r="E3517" s="9" t="str">
        <f>_xlfn.TEXTAFTER(Condiciones_acumuladas[[#This Row],[Descripción]], " ", -2)</f>
        <v>Wilber López</v>
      </c>
      <c r="F3517" s="21" t="s">
        <v>2540</v>
      </c>
      <c r="G3517" s="23">
        <v>46134</v>
      </c>
    </row>
    <row r="3518" spans="1:7" ht="24.5" hidden="1" x14ac:dyDescent="0.35">
      <c r="A3518" s="8">
        <v>11779</v>
      </c>
      <c r="B3518" s="10" t="s">
        <v>6076</v>
      </c>
      <c r="C3518" s="10" t="s">
        <v>34</v>
      </c>
      <c r="D3518" s="9" t="s">
        <v>234</v>
      </c>
      <c r="E3518" s="9" t="str">
        <f>_xlfn.TEXTAFTER(Condiciones_acumuladas[[#This Row],[Descripción]], " ", -2)</f>
        <v>Wilber López</v>
      </c>
      <c r="F3518" s="21" t="s">
        <v>2540</v>
      </c>
      <c r="G3518" s="23">
        <v>46134</v>
      </c>
    </row>
    <row r="3519" spans="1:7" ht="36.5" hidden="1" x14ac:dyDescent="0.35">
      <c r="A3519" s="8">
        <v>11778</v>
      </c>
      <c r="B3519" s="10" t="s">
        <v>6077</v>
      </c>
      <c r="C3519" s="10" t="s">
        <v>34</v>
      </c>
      <c r="D3519" s="9" t="s">
        <v>21</v>
      </c>
      <c r="E3519" s="9" t="str">
        <f>_xlfn.TEXTAFTER(Condiciones_acumuladas[[#This Row],[Descripción]], " ", -2)</f>
        <v>Wilber López</v>
      </c>
      <c r="F3519" s="21" t="s">
        <v>2715</v>
      </c>
      <c r="G3519" s="23">
        <v>46134</v>
      </c>
    </row>
    <row r="3520" spans="1:7" ht="36.5" hidden="1" x14ac:dyDescent="0.35">
      <c r="A3520" s="8">
        <v>11794</v>
      </c>
      <c r="B3520" s="10" t="s">
        <v>6078</v>
      </c>
      <c r="C3520" s="10" t="s">
        <v>34</v>
      </c>
      <c r="D3520" s="9" t="s">
        <v>234</v>
      </c>
      <c r="E3520" s="9" t="str">
        <f>_xlfn.TEXTAFTER(Condiciones_acumuladas[[#This Row],[Descripción]], " ", -2)</f>
        <v>Wilber López</v>
      </c>
      <c r="F3520" s="21" t="s">
        <v>2516</v>
      </c>
      <c r="G3520" s="23">
        <v>46134</v>
      </c>
    </row>
    <row r="3521" spans="1:7" ht="36.5" hidden="1" x14ac:dyDescent="0.35">
      <c r="A3521" s="8">
        <v>11769</v>
      </c>
      <c r="B3521" s="10" t="s">
        <v>6079</v>
      </c>
      <c r="C3521" s="10" t="s">
        <v>96</v>
      </c>
      <c r="D3521" s="9" t="s">
        <v>395</v>
      </c>
      <c r="E3521" s="9" t="str">
        <f>_xlfn.TEXTAFTER(Condiciones_acumuladas[[#This Row],[Descripción]], " ", -2)</f>
        <v>Yessi Guarcas</v>
      </c>
      <c r="F3521" s="21" t="s">
        <v>2525</v>
      </c>
      <c r="G3521" s="23">
        <v>46134</v>
      </c>
    </row>
    <row r="3522" spans="1:7" ht="48.5" hidden="1" x14ac:dyDescent="0.35">
      <c r="A3522" s="8">
        <v>11767</v>
      </c>
      <c r="B3522" s="10" t="s">
        <v>6080</v>
      </c>
      <c r="C3522" s="10" t="s">
        <v>96</v>
      </c>
      <c r="D3522" s="9" t="s">
        <v>395</v>
      </c>
      <c r="E3522" s="9" t="str">
        <f>_xlfn.TEXTAFTER(Condiciones_acumuladas[[#This Row],[Descripción]], " ", -2)</f>
        <v>Yessi Guarcas</v>
      </c>
      <c r="F3522" s="21" t="s">
        <v>2559</v>
      </c>
      <c r="G3522" s="23">
        <v>46134</v>
      </c>
    </row>
    <row r="3523" spans="1:7" ht="36.5" hidden="1" x14ac:dyDescent="0.35">
      <c r="A3523" s="8">
        <v>11885</v>
      </c>
      <c r="B3523" s="10" t="s">
        <v>6081</v>
      </c>
      <c r="C3523" s="10" t="s">
        <v>134</v>
      </c>
      <c r="D3523" s="9" t="s">
        <v>134</v>
      </c>
      <c r="E3523" s="9" t="str">
        <f>_xlfn.TEXTAFTER(Condiciones_acumuladas[[#This Row],[Descripción]], " ", -2)</f>
        <v xml:space="preserve">Alfonso Guatzin
</v>
      </c>
      <c r="F3523" s="21" t="s">
        <v>2522</v>
      </c>
      <c r="G3523" s="23">
        <v>46139</v>
      </c>
    </row>
    <row r="3524" spans="1:7" ht="36.5" hidden="1" x14ac:dyDescent="0.35">
      <c r="A3524" s="8">
        <v>11883</v>
      </c>
      <c r="B3524" s="10" t="s">
        <v>6082</v>
      </c>
      <c r="C3524" s="10" t="s">
        <v>26</v>
      </c>
      <c r="D3524" s="9" t="s">
        <v>95</v>
      </c>
      <c r="E3524" s="9" t="str">
        <f>_xlfn.TEXTAFTER(Condiciones_acumuladas[[#This Row],[Descripción]], " ", -2)</f>
        <v>Diana Pérez</v>
      </c>
      <c r="F3524" s="21" t="s">
        <v>2516</v>
      </c>
      <c r="G3524" s="23">
        <v>46142</v>
      </c>
    </row>
    <row r="3525" spans="1:7" ht="48.5" hidden="1" x14ac:dyDescent="0.35">
      <c r="A3525" s="8">
        <v>11902</v>
      </c>
      <c r="B3525" s="10" t="s">
        <v>5751</v>
      </c>
      <c r="C3525" s="10" t="s">
        <v>104</v>
      </c>
      <c r="D3525" s="9" t="s">
        <v>104</v>
      </c>
      <c r="E3525" s="9" t="s">
        <v>1381</v>
      </c>
      <c r="F3525" s="21" t="s">
        <v>2559</v>
      </c>
      <c r="G3525" s="23">
        <v>46147</v>
      </c>
    </row>
    <row r="3526" spans="1:7" ht="36.5" hidden="1" x14ac:dyDescent="0.35">
      <c r="A3526" s="8">
        <v>11897</v>
      </c>
      <c r="B3526" s="10" t="s">
        <v>6083</v>
      </c>
      <c r="C3526" s="10" t="s">
        <v>96</v>
      </c>
      <c r="D3526" s="9" t="s">
        <v>96</v>
      </c>
      <c r="E3526" s="9" t="str">
        <f>_xlfn.TEXTAFTER(Condiciones_acumuladas[[#This Row],[Descripción]], " ", -2)</f>
        <v>Luis Pérez</v>
      </c>
      <c r="F3526" s="21" t="s">
        <v>2572</v>
      </c>
      <c r="G3526" s="23">
        <v>46146</v>
      </c>
    </row>
    <row r="3527" spans="1:7" ht="24.5" hidden="1" x14ac:dyDescent="0.35">
      <c r="A3527" s="8">
        <v>11896</v>
      </c>
      <c r="B3527" s="10" t="s">
        <v>6084</v>
      </c>
      <c r="C3527" s="10" t="s">
        <v>13</v>
      </c>
      <c r="D3527" s="9" t="s">
        <v>13</v>
      </c>
      <c r="E3527" s="9" t="str">
        <f>_xlfn.TEXTAFTER(Condiciones_acumuladas[[#This Row],[Descripción]], " ", -2)</f>
        <v>Haydée Martínez</v>
      </c>
      <c r="F3527" s="21" t="s">
        <v>2834</v>
      </c>
      <c r="G3527" s="23">
        <v>46146</v>
      </c>
    </row>
    <row r="3528" spans="1:7" ht="36.5" hidden="1" x14ac:dyDescent="0.35">
      <c r="A3528" s="8">
        <v>11895</v>
      </c>
      <c r="B3528" s="10" t="s">
        <v>6085</v>
      </c>
      <c r="C3528" s="10" t="s">
        <v>21</v>
      </c>
      <c r="D3528" s="9" t="s">
        <v>21</v>
      </c>
      <c r="E3528" s="9" t="str">
        <f>_xlfn.TEXTAFTER(Condiciones_acumuladas[[#This Row],[Descripción]], " ", -2)</f>
        <v>Abel Aguilar</v>
      </c>
      <c r="F3528" s="21" t="s">
        <v>2516</v>
      </c>
      <c r="G3528" s="23">
        <v>46146</v>
      </c>
    </row>
    <row r="3529" spans="1:7" ht="24.5" hidden="1" x14ac:dyDescent="0.35">
      <c r="A3529" s="8">
        <v>11894</v>
      </c>
      <c r="B3529" s="10" t="s">
        <v>6086</v>
      </c>
      <c r="C3529" s="10" t="s">
        <v>96</v>
      </c>
      <c r="D3529" s="9" t="s">
        <v>96</v>
      </c>
      <c r="E3529" s="9" t="str">
        <f>_xlfn.TEXTAFTER(Condiciones_acumuladas[[#This Row],[Descripción]], " ", -2)</f>
        <v>Isabel Saquila</v>
      </c>
      <c r="F3529" s="21" t="s">
        <v>2537</v>
      </c>
      <c r="G3529" s="23">
        <v>46146</v>
      </c>
    </row>
    <row r="3530" spans="1:7" ht="24.5" hidden="1" x14ac:dyDescent="0.35">
      <c r="A3530" s="8">
        <v>11892</v>
      </c>
      <c r="B3530" s="10" t="s">
        <v>6087</v>
      </c>
      <c r="C3530" s="10" t="s">
        <v>96</v>
      </c>
      <c r="D3530" s="9" t="s">
        <v>96</v>
      </c>
      <c r="E3530" s="9" t="str">
        <f>_xlfn.TEXTAFTER(Condiciones_acumuladas[[#This Row],[Descripción]], " ", -2)</f>
        <v>Isabel Saquila</v>
      </c>
      <c r="F3530" s="21" t="s">
        <v>2537</v>
      </c>
      <c r="G3530" s="23">
        <v>46144</v>
      </c>
    </row>
    <row r="3531" spans="1:7" ht="24.5" hidden="1" x14ac:dyDescent="0.35">
      <c r="A3531" s="8">
        <v>11893</v>
      </c>
      <c r="B3531" s="10" t="s">
        <v>6088</v>
      </c>
      <c r="C3531" s="10" t="s">
        <v>104</v>
      </c>
      <c r="D3531" s="9" t="s">
        <v>95</v>
      </c>
      <c r="E3531" s="9" t="str">
        <f>_xlfn.TEXTAFTER(Condiciones_acumuladas[[#This Row],[Descripción]], " ", -2)</f>
        <v>Francisco Hernández</v>
      </c>
      <c r="F3531" s="21" t="s">
        <v>2834</v>
      </c>
      <c r="G3531" s="23">
        <v>46144</v>
      </c>
    </row>
    <row r="3532" spans="1:7" ht="24.5" hidden="1" x14ac:dyDescent="0.35">
      <c r="A3532" s="8">
        <v>11890</v>
      </c>
      <c r="B3532" s="10" t="s">
        <v>6089</v>
      </c>
      <c r="C3532" s="10" t="s">
        <v>234</v>
      </c>
      <c r="D3532" s="9" t="s">
        <v>395</v>
      </c>
      <c r="E3532" s="9" t="str">
        <f>_xlfn.TEXTAFTER(Condiciones_acumuladas[[#This Row],[Descripción]], " ", -2)</f>
        <v>Antony Ramos</v>
      </c>
      <c r="F3532" s="21" t="s">
        <v>2522</v>
      </c>
      <c r="G3532" s="23">
        <v>46143</v>
      </c>
    </row>
    <row r="3533" spans="1:7" ht="36.5" hidden="1" x14ac:dyDescent="0.35">
      <c r="A3533" s="8">
        <v>11884</v>
      </c>
      <c r="B3533" s="10" t="s">
        <v>6090</v>
      </c>
      <c r="C3533" s="10" t="s">
        <v>104</v>
      </c>
      <c r="D3533" s="9" t="s">
        <v>95</v>
      </c>
      <c r="E3533" s="9" t="str">
        <f>_xlfn.TEXTAFTER(Condiciones_acumuladas[[#This Row],[Descripción]], " ", -2)</f>
        <v>Francisco Hernández</v>
      </c>
      <c r="F3533" s="21" t="s">
        <v>2834</v>
      </c>
      <c r="G3533" s="23">
        <v>46144</v>
      </c>
    </row>
    <row r="3534" spans="1:7" ht="36.5" hidden="1" x14ac:dyDescent="0.35">
      <c r="A3534" s="8">
        <v>11887</v>
      </c>
      <c r="B3534" s="10" t="s">
        <v>6091</v>
      </c>
      <c r="C3534" s="10" t="s">
        <v>104</v>
      </c>
      <c r="D3534" s="9" t="s">
        <v>95</v>
      </c>
      <c r="E3534" s="9" t="str">
        <f>_xlfn.TEXTAFTER(Condiciones_acumuladas[[#This Row],[Descripción]], " ", -2)</f>
        <v>Leidy Camey</v>
      </c>
      <c r="F3534" s="21" t="s">
        <v>2834</v>
      </c>
      <c r="G3534" s="23">
        <v>46143</v>
      </c>
    </row>
    <row r="3535" spans="1:7" ht="24.5" hidden="1" x14ac:dyDescent="0.35">
      <c r="A3535" s="8">
        <v>11888</v>
      </c>
      <c r="B3535" s="10" t="s">
        <v>6092</v>
      </c>
      <c r="C3535" s="10" t="s">
        <v>104</v>
      </c>
      <c r="D3535" s="9" t="s">
        <v>95</v>
      </c>
      <c r="E3535" s="9" t="str">
        <f>_xlfn.TEXTAFTER(Condiciones_acumuladas[[#This Row],[Descripción]], " ", -2)</f>
        <v>Vanesa Camey</v>
      </c>
      <c r="F3535" s="21" t="s">
        <v>2537</v>
      </c>
      <c r="G3535" s="23">
        <v>46145</v>
      </c>
    </row>
    <row r="3536" spans="1:7" ht="24.5" hidden="1" x14ac:dyDescent="0.35">
      <c r="A3536" s="8">
        <v>11957</v>
      </c>
      <c r="B3536" s="10" t="s">
        <v>6093</v>
      </c>
      <c r="C3536" s="10" t="s">
        <v>21</v>
      </c>
      <c r="D3536" s="9" t="s">
        <v>21</v>
      </c>
      <c r="E3536" s="9" t="str">
        <f>_xlfn.TEXTAFTER(Condiciones_acumuladas[[#This Row],[Descripción]], " ", -2)</f>
        <v>Haydée Martínez</v>
      </c>
      <c r="F3536" s="21" t="s">
        <v>2540</v>
      </c>
      <c r="G3536" s="23">
        <v>46148</v>
      </c>
    </row>
    <row r="3537" spans="1:7" ht="24.5" hidden="1" x14ac:dyDescent="0.35">
      <c r="A3537" s="8">
        <v>11956</v>
      </c>
      <c r="B3537" s="10" t="s">
        <v>6094</v>
      </c>
      <c r="C3537" s="10" t="s">
        <v>96</v>
      </c>
      <c r="D3537" s="9" t="s">
        <v>395</v>
      </c>
      <c r="E3537" s="9" t="str">
        <f>_xlfn.TEXTAFTER(Condiciones_acumuladas[[#This Row],[Descripción]], " ", -2)</f>
        <v>Daniel Pineda</v>
      </c>
      <c r="F3537" s="21" t="s">
        <v>2834</v>
      </c>
      <c r="G3537" s="23">
        <v>46148</v>
      </c>
    </row>
    <row r="3538" spans="1:7" ht="36.5" hidden="1" x14ac:dyDescent="0.35">
      <c r="A3538" s="8">
        <v>11955</v>
      </c>
      <c r="B3538" s="10" t="s">
        <v>6095</v>
      </c>
      <c r="C3538" s="10" t="s">
        <v>234</v>
      </c>
      <c r="D3538" s="9" t="s">
        <v>234</v>
      </c>
      <c r="E3538" s="9" t="str">
        <f>_xlfn.TEXTAFTER(Condiciones_acumuladas[[#This Row],[Descripción]], " ", -2)</f>
        <v>Bryan Rodas</v>
      </c>
      <c r="F3538" s="21" t="s">
        <v>2516</v>
      </c>
      <c r="G3538" s="23">
        <v>46148</v>
      </c>
    </row>
    <row r="3539" spans="1:7" ht="36.5" hidden="1" x14ac:dyDescent="0.35">
      <c r="A3539" s="8">
        <v>11951</v>
      </c>
      <c r="B3539" s="10" t="s">
        <v>6096</v>
      </c>
      <c r="C3539" s="10" t="s">
        <v>395</v>
      </c>
      <c r="D3539" s="9" t="s">
        <v>134</v>
      </c>
      <c r="E3539" s="9" t="str">
        <f>_xlfn.TEXTAFTER(Condiciones_acumuladas[[#This Row],[Descripción]], " ", -2)</f>
        <v>Jaime Chilel</v>
      </c>
      <c r="F3539" s="21" t="s">
        <v>2715</v>
      </c>
      <c r="G3539" s="23">
        <v>46148</v>
      </c>
    </row>
    <row r="3540" spans="1:7" ht="24.5" hidden="1" x14ac:dyDescent="0.35">
      <c r="A3540" s="8">
        <v>11954</v>
      </c>
      <c r="B3540" s="10" t="s">
        <v>6097</v>
      </c>
      <c r="C3540" s="10" t="s">
        <v>371</v>
      </c>
      <c r="D3540" s="9" t="s">
        <v>395</v>
      </c>
      <c r="E3540" s="9" t="str">
        <f>_xlfn.TEXTAFTER(Condiciones_acumuladas[[#This Row],[Descripción]], " ", -2)</f>
        <v>Daniel Pineda</v>
      </c>
      <c r="F3540" s="21" t="s">
        <v>2522</v>
      </c>
      <c r="G3540" s="23">
        <v>46148</v>
      </c>
    </row>
    <row r="3541" spans="1:7" ht="48.5" hidden="1" x14ac:dyDescent="0.35">
      <c r="A3541" s="8">
        <v>11953</v>
      </c>
      <c r="B3541" s="10" t="s">
        <v>6098</v>
      </c>
      <c r="C3541" s="10" t="s">
        <v>96</v>
      </c>
      <c r="D3541" s="9" t="s">
        <v>395</v>
      </c>
      <c r="E3541" s="9" t="str">
        <f>_xlfn.TEXTAFTER(Condiciones_acumuladas[[#This Row],[Descripción]], " ", -2)</f>
        <v>Daniel Pineda</v>
      </c>
      <c r="F3541" s="21" t="s">
        <v>2559</v>
      </c>
      <c r="G3541" s="23">
        <v>46148</v>
      </c>
    </row>
    <row r="3542" spans="1:7" ht="48.5" hidden="1" x14ac:dyDescent="0.35">
      <c r="A3542" s="8">
        <v>11952</v>
      </c>
      <c r="B3542" s="10" t="s">
        <v>6099</v>
      </c>
      <c r="C3542" s="10" t="s">
        <v>278</v>
      </c>
      <c r="D3542" s="9" t="s">
        <v>190</v>
      </c>
      <c r="E3542" s="9" t="str">
        <f>_xlfn.TEXTAFTER(Condiciones_acumuladas[[#This Row],[Descripción]], " ", -2)</f>
        <v>Denni DeLeón</v>
      </c>
      <c r="F3542" s="21" t="s">
        <v>2559</v>
      </c>
      <c r="G3542" s="23">
        <v>46148</v>
      </c>
    </row>
    <row r="3543" spans="1:7" ht="36.5" hidden="1" x14ac:dyDescent="0.35">
      <c r="A3543" s="8">
        <v>11949</v>
      </c>
      <c r="B3543" s="10" t="s">
        <v>6100</v>
      </c>
      <c r="C3543" s="10" t="s">
        <v>395</v>
      </c>
      <c r="D3543" s="9" t="s">
        <v>395</v>
      </c>
      <c r="E3543" s="9" t="str">
        <f>_xlfn.TEXTAFTER(Condiciones_acumuladas[[#This Row],[Descripción]], " ", -2)</f>
        <v>Daniel Pineda</v>
      </c>
      <c r="F3543" s="21" t="s">
        <v>2715</v>
      </c>
      <c r="G3543" s="23">
        <v>46148</v>
      </c>
    </row>
    <row r="3544" spans="1:7" ht="36.5" hidden="1" x14ac:dyDescent="0.35">
      <c r="A3544" s="8">
        <v>11948</v>
      </c>
      <c r="B3544" s="10" t="s">
        <v>6101</v>
      </c>
      <c r="C3544" s="10" t="s">
        <v>395</v>
      </c>
      <c r="D3544" s="9" t="s">
        <v>371</v>
      </c>
      <c r="E3544" s="9" t="str">
        <f>_xlfn.TEXTAFTER(Condiciones_acumuladas[[#This Row],[Descripción]], " ", -2)</f>
        <v>Rodrigo Galindo</v>
      </c>
      <c r="F3544" s="21" t="s">
        <v>2525</v>
      </c>
      <c r="G3544" s="23">
        <v>46148</v>
      </c>
    </row>
    <row r="3545" spans="1:7" ht="24.5" hidden="1" x14ac:dyDescent="0.35">
      <c r="A3545" s="8">
        <v>11946</v>
      </c>
      <c r="B3545" s="10" t="s">
        <v>6102</v>
      </c>
      <c r="C3545" s="10" t="s">
        <v>134</v>
      </c>
      <c r="D3545" s="9" t="s">
        <v>395</v>
      </c>
      <c r="E3545" s="9" t="str">
        <f>_xlfn.TEXTAFTER(Condiciones_acumuladas[[#This Row],[Descripción]], " ", -2)</f>
        <v>Daniel Pineda</v>
      </c>
      <c r="F3545" s="21" t="s">
        <v>2522</v>
      </c>
      <c r="G3545" s="23">
        <v>46148</v>
      </c>
    </row>
    <row r="3546" spans="1:7" ht="36.5" hidden="1" x14ac:dyDescent="0.35">
      <c r="A3546" s="8">
        <v>11950</v>
      </c>
      <c r="B3546" s="10" t="s">
        <v>6103</v>
      </c>
      <c r="C3546" s="10" t="s">
        <v>395</v>
      </c>
      <c r="D3546" s="9" t="s">
        <v>371</v>
      </c>
      <c r="E3546" s="9" t="str">
        <f>_xlfn.TEXTAFTER(Condiciones_acumuladas[[#This Row],[Descripción]], " ", -2)</f>
        <v>Rodrigo Galindo</v>
      </c>
      <c r="F3546" s="21" t="s">
        <v>2525</v>
      </c>
      <c r="G3546" s="23">
        <v>46148</v>
      </c>
    </row>
    <row r="3547" spans="1:7" ht="36.5" hidden="1" x14ac:dyDescent="0.35">
      <c r="A3547" s="8">
        <v>11945</v>
      </c>
      <c r="B3547" s="10" t="s">
        <v>6104</v>
      </c>
      <c r="C3547" s="10" t="s">
        <v>234</v>
      </c>
      <c r="D3547" s="9" t="s">
        <v>371</v>
      </c>
      <c r="E3547" s="9" t="str">
        <f>_xlfn.TEXTAFTER(Condiciones_acumuladas[[#This Row],[Descripción]], " ", -2)</f>
        <v>Rodrigo Galindo</v>
      </c>
      <c r="F3547" s="21" t="s">
        <v>2530</v>
      </c>
      <c r="G3547" s="23">
        <v>46148</v>
      </c>
    </row>
    <row r="3548" spans="1:7" ht="48.5" hidden="1" x14ac:dyDescent="0.35">
      <c r="A3548" s="8">
        <v>11944</v>
      </c>
      <c r="B3548" s="10" t="s">
        <v>6105</v>
      </c>
      <c r="C3548" s="10" t="s">
        <v>234</v>
      </c>
      <c r="D3548" s="9" t="s">
        <v>371</v>
      </c>
      <c r="E3548" s="9" t="str">
        <f>_xlfn.TEXTAFTER(Condiciones_acumuladas[[#This Row],[Descripción]], " ", -2)</f>
        <v>Rodrigo Galindo</v>
      </c>
      <c r="F3548" s="21" t="s">
        <v>2559</v>
      </c>
      <c r="G3548" s="23">
        <v>46148</v>
      </c>
    </row>
    <row r="3549" spans="1:7" ht="48.5" hidden="1" x14ac:dyDescent="0.35">
      <c r="A3549" s="8">
        <v>11942</v>
      </c>
      <c r="B3549" s="10" t="s">
        <v>6106</v>
      </c>
      <c r="C3549" s="10" t="s">
        <v>96</v>
      </c>
      <c r="D3549" s="9" t="s">
        <v>96</v>
      </c>
      <c r="E3549" s="9" t="str">
        <f>_xlfn.TEXTAFTER(Condiciones_acumuladas[[#This Row],[Descripción]], " ", -2)</f>
        <v>Jimmy Velásquez</v>
      </c>
      <c r="F3549" s="21" t="s">
        <v>2559</v>
      </c>
      <c r="G3549" s="23">
        <v>46148</v>
      </c>
    </row>
    <row r="3550" spans="1:7" ht="24.5" hidden="1" x14ac:dyDescent="0.35">
      <c r="A3550" s="8">
        <v>11941</v>
      </c>
      <c r="B3550" s="10" t="s">
        <v>6107</v>
      </c>
      <c r="C3550" s="10" t="s">
        <v>134</v>
      </c>
      <c r="D3550" s="9" t="s">
        <v>395</v>
      </c>
      <c r="E3550" s="9" t="str">
        <f>_xlfn.TEXTAFTER(Condiciones_acumuladas[[#This Row],[Descripción]], " ", -2)</f>
        <v>Daniel Pineda</v>
      </c>
      <c r="F3550" s="21" t="s">
        <v>2522</v>
      </c>
      <c r="G3550" s="23">
        <v>46148</v>
      </c>
    </row>
    <row r="3551" spans="1:7" ht="48.5" hidden="1" x14ac:dyDescent="0.35">
      <c r="A3551" s="8">
        <v>11940</v>
      </c>
      <c r="B3551" s="10" t="s">
        <v>6108</v>
      </c>
      <c r="C3551" s="10" t="s">
        <v>234</v>
      </c>
      <c r="D3551" s="9" t="s">
        <v>13</v>
      </c>
      <c r="E3551" s="9" t="str">
        <f>_xlfn.TEXTAFTER(Condiciones_acumuladas[[#This Row],[Descripción]], " ", -2)</f>
        <v>Oscar Ramírez</v>
      </c>
      <c r="F3551" s="21" t="s">
        <v>2559</v>
      </c>
      <c r="G3551" s="23">
        <v>46148</v>
      </c>
    </row>
    <row r="3552" spans="1:7" ht="36.5" hidden="1" x14ac:dyDescent="0.35">
      <c r="A3552" s="8">
        <v>11947</v>
      </c>
      <c r="B3552" s="10" t="s">
        <v>6109</v>
      </c>
      <c r="C3552" s="10" t="s">
        <v>134</v>
      </c>
      <c r="D3552" s="9" t="s">
        <v>134</v>
      </c>
      <c r="E3552" s="9" t="str">
        <f>_xlfn.TEXTAFTER(Condiciones_acumuladas[[#This Row],[Descripción]], " ", -2)</f>
        <v>Jaime Chilel</v>
      </c>
      <c r="F3552" s="21" t="s">
        <v>2715</v>
      </c>
      <c r="G3552" s="23">
        <v>46148</v>
      </c>
    </row>
    <row r="3553" spans="1:7" ht="48.5" hidden="1" x14ac:dyDescent="0.35">
      <c r="A3553" s="8">
        <v>11939</v>
      </c>
      <c r="B3553" s="10" t="s">
        <v>6110</v>
      </c>
      <c r="C3553" s="10" t="s">
        <v>96</v>
      </c>
      <c r="D3553" s="9" t="s">
        <v>205</v>
      </c>
      <c r="E3553" s="9" t="str">
        <f>_xlfn.TEXTAFTER(Condiciones_acumuladas[[#This Row],[Descripción]], " ", -2)</f>
        <v>Jaime Chilel</v>
      </c>
      <c r="F3553" s="21" t="s">
        <v>2559</v>
      </c>
      <c r="G3553" s="23">
        <v>46148</v>
      </c>
    </row>
    <row r="3554" spans="1:7" ht="36.5" hidden="1" x14ac:dyDescent="0.35">
      <c r="A3554" s="8">
        <v>11938</v>
      </c>
      <c r="B3554" s="10" t="s">
        <v>6111</v>
      </c>
      <c r="C3554" s="10" t="s">
        <v>13</v>
      </c>
      <c r="D3554" s="9" t="s">
        <v>95</v>
      </c>
      <c r="E3554" s="9" t="str">
        <f>_xlfn.TEXTAFTER(Condiciones_acumuladas[[#This Row],[Descripción]], " ", -2)</f>
        <v>Edgar Coti</v>
      </c>
      <c r="F3554" s="21" t="s">
        <v>2530</v>
      </c>
      <c r="G3554" s="23">
        <v>46148</v>
      </c>
    </row>
    <row r="3555" spans="1:7" ht="24.5" hidden="1" x14ac:dyDescent="0.35">
      <c r="A3555" s="8">
        <v>11943</v>
      </c>
      <c r="B3555" s="10" t="s">
        <v>6112</v>
      </c>
      <c r="C3555" s="10" t="s">
        <v>234</v>
      </c>
      <c r="D3555" s="9" t="s">
        <v>371</v>
      </c>
      <c r="E3555" s="9" t="str">
        <f>_xlfn.TEXTAFTER(Condiciones_acumuladas[[#This Row],[Descripción]], " ", -2)</f>
        <v>Rodrigo Galindo</v>
      </c>
      <c r="F3555" s="21" t="s">
        <v>2522</v>
      </c>
      <c r="G3555" s="23">
        <v>46148</v>
      </c>
    </row>
    <row r="3556" spans="1:7" ht="24.5" hidden="1" x14ac:dyDescent="0.35">
      <c r="A3556" s="8">
        <v>11934</v>
      </c>
      <c r="B3556" s="10" t="s">
        <v>6113</v>
      </c>
      <c r="C3556" s="10" t="s">
        <v>96</v>
      </c>
      <c r="D3556" s="9" t="s">
        <v>96</v>
      </c>
      <c r="E3556" s="9" t="str">
        <f>_xlfn.TEXTAFTER(Condiciones_acumuladas[[#This Row],[Descripción]], " ", -2)</f>
        <v>Jimmy Velásquez</v>
      </c>
      <c r="F3556" s="21" t="s">
        <v>2537</v>
      </c>
      <c r="G3556" s="23">
        <v>46148</v>
      </c>
    </row>
    <row r="3557" spans="1:7" ht="24.5" hidden="1" x14ac:dyDescent="0.35">
      <c r="A3557" s="8">
        <v>11937</v>
      </c>
      <c r="B3557" s="10" t="s">
        <v>6114</v>
      </c>
      <c r="C3557" s="10" t="s">
        <v>13</v>
      </c>
      <c r="D3557" s="9" t="s">
        <v>95</v>
      </c>
      <c r="E3557" s="9" t="str">
        <f>_xlfn.TEXTAFTER(Condiciones_acumuladas[[#This Row],[Descripción]], " ", -2)</f>
        <v>Edgar Coti</v>
      </c>
      <c r="F3557" s="21" t="s">
        <v>2522</v>
      </c>
      <c r="G3557" s="23">
        <v>46144</v>
      </c>
    </row>
    <row r="3558" spans="1:7" ht="36.5" hidden="1" x14ac:dyDescent="0.35">
      <c r="A3558" s="8">
        <v>11933</v>
      </c>
      <c r="B3558" s="10" t="s">
        <v>6115</v>
      </c>
      <c r="C3558" s="10" t="s">
        <v>234</v>
      </c>
      <c r="D3558" s="9" t="s">
        <v>371</v>
      </c>
      <c r="E3558" s="9" t="str">
        <f>_xlfn.TEXTAFTER(Condiciones_acumuladas[[#This Row],[Descripción]], " ", -2)</f>
        <v>Rodrigo Galindo</v>
      </c>
      <c r="F3558" s="21" t="s">
        <v>2715</v>
      </c>
      <c r="G3558" s="23">
        <v>46148</v>
      </c>
    </row>
    <row r="3559" spans="1:7" ht="36.5" hidden="1" x14ac:dyDescent="0.35">
      <c r="A3559" s="8">
        <v>11962</v>
      </c>
      <c r="B3559" s="10" t="s">
        <v>6116</v>
      </c>
      <c r="C3559" s="10" t="s">
        <v>220</v>
      </c>
      <c r="D3559" s="9" t="s">
        <v>371</v>
      </c>
      <c r="E3559" s="9" t="str">
        <f>_xlfn.TEXTAFTER(Condiciones_acumuladas[[#This Row],[Descripción]], " ", -2)</f>
        <v>Rodrigo Galindo</v>
      </c>
      <c r="F3559" s="21" t="s">
        <v>2516</v>
      </c>
      <c r="G3559" s="23">
        <v>46148</v>
      </c>
    </row>
    <row r="3560" spans="1:7" ht="48.5" hidden="1" x14ac:dyDescent="0.35">
      <c r="A3560" s="8">
        <v>11960</v>
      </c>
      <c r="B3560" s="10" t="s">
        <v>6117</v>
      </c>
      <c r="C3560" s="10" t="s">
        <v>13</v>
      </c>
      <c r="D3560" s="9" t="s">
        <v>95</v>
      </c>
      <c r="E3560" s="9" t="str">
        <f>_xlfn.TEXTAFTER(Condiciones_acumuladas[[#This Row],[Descripción]], " ", -2)</f>
        <v>Francisco Hernández</v>
      </c>
      <c r="F3560" s="21" t="s">
        <v>2559</v>
      </c>
      <c r="G3560" s="23">
        <v>46150</v>
      </c>
    </row>
    <row r="3561" spans="1:7" ht="24.5" hidden="1" x14ac:dyDescent="0.35">
      <c r="A3561" s="8">
        <v>11961</v>
      </c>
      <c r="B3561" s="10" t="s">
        <v>6118</v>
      </c>
      <c r="C3561" s="10" t="s">
        <v>13</v>
      </c>
      <c r="D3561" s="9" t="s">
        <v>13</v>
      </c>
      <c r="E3561" s="9" t="str">
        <f>_xlfn.TEXTAFTER(Condiciones_acumuladas[[#This Row],[Descripción]], " ", -2)</f>
        <v>Gustavo Hernández</v>
      </c>
      <c r="F3561" s="21" t="s">
        <v>2522</v>
      </c>
      <c r="G3561" s="23">
        <v>46150</v>
      </c>
    </row>
    <row r="3562" spans="1:7" ht="36.5" hidden="1" x14ac:dyDescent="0.35">
      <c r="A3562" s="8">
        <v>11935</v>
      </c>
      <c r="B3562" s="10" t="s">
        <v>6119</v>
      </c>
      <c r="C3562" s="10" t="s">
        <v>234</v>
      </c>
      <c r="D3562" s="9" t="s">
        <v>371</v>
      </c>
      <c r="E3562" s="9" t="str">
        <f>_xlfn.TEXTAFTER(Condiciones_acumuladas[[#This Row],[Descripción]], " ", -2)</f>
        <v>Rodrigo Galindo</v>
      </c>
      <c r="F3562" s="21" t="s">
        <v>2516</v>
      </c>
      <c r="G3562" s="23">
        <v>46148</v>
      </c>
    </row>
    <row r="3563" spans="1:7" ht="24.5" hidden="1" x14ac:dyDescent="0.35">
      <c r="A3563" s="8">
        <v>11936</v>
      </c>
      <c r="B3563" s="10" t="s">
        <v>6120</v>
      </c>
      <c r="C3563" s="10" t="s">
        <v>234</v>
      </c>
      <c r="D3563" s="9" t="s">
        <v>371</v>
      </c>
      <c r="E3563" s="9" t="str">
        <f>_xlfn.TEXTAFTER(Condiciones_acumuladas[[#This Row],[Descripción]], " ", -2)</f>
        <v>Rodrigo Galindo</v>
      </c>
      <c r="F3563" s="21" t="s">
        <v>2522</v>
      </c>
      <c r="G3563" s="23">
        <v>46148</v>
      </c>
    </row>
    <row r="3564" spans="1:7" ht="24.5" hidden="1" x14ac:dyDescent="0.35">
      <c r="A3564" s="8">
        <v>11932</v>
      </c>
      <c r="B3564" s="10" t="s">
        <v>6121</v>
      </c>
      <c r="C3564" s="10" t="s">
        <v>250</v>
      </c>
      <c r="D3564" s="9" t="s">
        <v>190</v>
      </c>
      <c r="E3564" s="9" t="str">
        <f>_xlfn.TEXTAFTER(Condiciones_acumuladas[[#This Row],[Descripción]], " ", -2)</f>
        <v>Edson Bonifacio</v>
      </c>
      <c r="F3564" s="21" t="s">
        <v>2522</v>
      </c>
      <c r="G3564" s="23">
        <v>46148</v>
      </c>
    </row>
    <row r="3565" spans="1:7" ht="24.5" hidden="1" x14ac:dyDescent="0.35">
      <c r="A3565" s="8">
        <v>11931</v>
      </c>
      <c r="B3565" s="10" t="s">
        <v>6122</v>
      </c>
      <c r="C3565" s="10" t="s">
        <v>371</v>
      </c>
      <c r="D3565" s="9" t="s">
        <v>95</v>
      </c>
      <c r="E3565" s="9" t="str">
        <f>_xlfn.TEXTAFTER(Condiciones_acumuladas[[#This Row],[Descripción]], " ", -2)</f>
        <v>María Obregón</v>
      </c>
      <c r="F3565" s="21" t="s">
        <v>2522</v>
      </c>
      <c r="G3565" s="23">
        <v>46148</v>
      </c>
    </row>
    <row r="3566" spans="1:7" ht="48.5" hidden="1" x14ac:dyDescent="0.35">
      <c r="A3566" s="8">
        <v>11930</v>
      </c>
      <c r="B3566" s="10" t="s">
        <v>6123</v>
      </c>
      <c r="C3566" s="10" t="s">
        <v>96</v>
      </c>
      <c r="D3566" s="9" t="s">
        <v>96</v>
      </c>
      <c r="E3566" s="9" t="str">
        <f>_xlfn.TEXTAFTER(Condiciones_acumuladas[[#This Row],[Descripción]], " ", -2)</f>
        <v>Jimmy Velásquez</v>
      </c>
      <c r="F3566" s="21" t="s">
        <v>2559</v>
      </c>
      <c r="G3566" s="23">
        <v>46148</v>
      </c>
    </row>
    <row r="3567" spans="1:7" ht="48.5" hidden="1" x14ac:dyDescent="0.35">
      <c r="A3567" s="8">
        <v>11929</v>
      </c>
      <c r="B3567" s="10" t="s">
        <v>6124</v>
      </c>
      <c r="C3567" s="10" t="s">
        <v>96</v>
      </c>
      <c r="D3567" s="9" t="s">
        <v>96</v>
      </c>
      <c r="E3567" s="9" t="str">
        <f>_xlfn.TEXTAFTER(Condiciones_acumuladas[[#This Row],[Descripción]], " ", -2)</f>
        <v>Jimmy Velásquez</v>
      </c>
      <c r="F3567" s="21" t="s">
        <v>2559</v>
      </c>
      <c r="G3567" s="23">
        <v>46148</v>
      </c>
    </row>
    <row r="3568" spans="1:7" ht="36.5" hidden="1" x14ac:dyDescent="0.35">
      <c r="A3568" s="8">
        <v>11928</v>
      </c>
      <c r="B3568" s="10" t="s">
        <v>6125</v>
      </c>
      <c r="C3568" s="10" t="s">
        <v>13</v>
      </c>
      <c r="D3568" s="9" t="s">
        <v>190</v>
      </c>
      <c r="E3568" s="9" t="str">
        <f>_xlfn.TEXTAFTER(Condiciones_acumuladas[[#This Row],[Descripción]], " ", -2)</f>
        <v>Elvis Oliva</v>
      </c>
      <c r="F3568" s="21" t="s">
        <v>2530</v>
      </c>
      <c r="G3568" s="23">
        <v>46148</v>
      </c>
    </row>
    <row r="3569" spans="1:7" ht="24.5" hidden="1" x14ac:dyDescent="0.35">
      <c r="A3569" s="8">
        <v>11927</v>
      </c>
      <c r="B3569" s="10" t="s">
        <v>6126</v>
      </c>
      <c r="C3569" s="10" t="s">
        <v>13</v>
      </c>
      <c r="D3569" s="9" t="s">
        <v>190</v>
      </c>
      <c r="E3569" s="9" t="str">
        <f>_xlfn.TEXTAFTER(Condiciones_acumuladas[[#This Row],[Descripción]], " ", -2)</f>
        <v>German Orozco</v>
      </c>
      <c r="F3569" s="21" t="s">
        <v>2522</v>
      </c>
      <c r="G3569" s="23">
        <v>46148</v>
      </c>
    </row>
    <row r="3570" spans="1:7" ht="36.5" hidden="1" x14ac:dyDescent="0.35">
      <c r="A3570" s="8">
        <v>11926</v>
      </c>
      <c r="B3570" s="10" t="s">
        <v>6127</v>
      </c>
      <c r="C3570" s="10" t="s">
        <v>234</v>
      </c>
      <c r="D3570" s="9" t="s">
        <v>395</v>
      </c>
      <c r="E3570" s="9" t="str">
        <f>_xlfn.TEXTAFTER(Condiciones_acumuladas[[#This Row],[Descripción]], " ", -2)</f>
        <v>German Orozco</v>
      </c>
      <c r="F3570" s="21" t="s">
        <v>2516</v>
      </c>
      <c r="G3570" s="23">
        <v>46148</v>
      </c>
    </row>
    <row r="3571" spans="1:7" ht="48.5" hidden="1" x14ac:dyDescent="0.35">
      <c r="A3571" s="8">
        <v>11925</v>
      </c>
      <c r="B3571" s="10" t="s">
        <v>6128</v>
      </c>
      <c r="C3571" s="10" t="s">
        <v>96</v>
      </c>
      <c r="D3571" s="9" t="s">
        <v>96</v>
      </c>
      <c r="E3571" s="9" t="str">
        <f>_xlfn.TEXTAFTER(Condiciones_acumuladas[[#This Row],[Descripción]], " ", -2)</f>
        <v>Jimmy Velásquez</v>
      </c>
      <c r="F3571" s="21" t="s">
        <v>2559</v>
      </c>
      <c r="G3571" s="23">
        <v>46148</v>
      </c>
    </row>
    <row r="3572" spans="1:7" ht="24.5" hidden="1" x14ac:dyDescent="0.35">
      <c r="A3572" s="8">
        <v>11923</v>
      </c>
      <c r="B3572" s="10" t="s">
        <v>6129</v>
      </c>
      <c r="C3572" s="10" t="s">
        <v>134</v>
      </c>
      <c r="D3572" s="9" t="s">
        <v>395</v>
      </c>
      <c r="E3572" s="9" t="str">
        <f>_xlfn.TEXTAFTER(Condiciones_acumuladas[[#This Row],[Descripción]], " ", -2)</f>
        <v>Daniel Pineda</v>
      </c>
      <c r="F3572" s="21" t="s">
        <v>2540</v>
      </c>
      <c r="G3572" s="23">
        <v>46148</v>
      </c>
    </row>
    <row r="3573" spans="1:7" ht="24.5" hidden="1" x14ac:dyDescent="0.35">
      <c r="A3573" s="8">
        <v>11924</v>
      </c>
      <c r="B3573" s="10" t="s">
        <v>6130</v>
      </c>
      <c r="C3573" s="10" t="s">
        <v>371</v>
      </c>
      <c r="D3573" s="9" t="s">
        <v>371</v>
      </c>
      <c r="E3573" s="9" t="str">
        <f>_xlfn.TEXTAFTER(Condiciones_acumuladas[[#This Row],[Descripción]], " ", -2)</f>
        <v>Jessica Loarca</v>
      </c>
      <c r="F3573" s="21" t="s">
        <v>2522</v>
      </c>
      <c r="G3573" s="23">
        <v>46148</v>
      </c>
    </row>
    <row r="3574" spans="1:7" ht="48.5" hidden="1" x14ac:dyDescent="0.35">
      <c r="A3574" s="8">
        <v>11922</v>
      </c>
      <c r="B3574" s="10" t="s">
        <v>6131</v>
      </c>
      <c r="C3574" s="10" t="s">
        <v>96</v>
      </c>
      <c r="D3574" s="9" t="s">
        <v>96</v>
      </c>
      <c r="E3574" s="9" t="str">
        <f>_xlfn.TEXTAFTER(Condiciones_acumuladas[[#This Row],[Descripción]], " ", -2)</f>
        <v>Jimmy Velásquez</v>
      </c>
      <c r="F3574" s="21" t="s">
        <v>2559</v>
      </c>
      <c r="G3574" s="23">
        <v>46148</v>
      </c>
    </row>
    <row r="3575" spans="1:7" ht="24.5" hidden="1" x14ac:dyDescent="0.35">
      <c r="A3575" s="8">
        <v>11921</v>
      </c>
      <c r="B3575" s="10" t="s">
        <v>6132</v>
      </c>
      <c r="C3575" s="10" t="s">
        <v>34</v>
      </c>
      <c r="D3575" s="9" t="s">
        <v>26</v>
      </c>
      <c r="E3575" s="9" t="str">
        <f>_xlfn.TEXTAFTER(Condiciones_acumuladas[[#This Row],[Descripción]], " ", -2)</f>
        <v>Nilson Salam</v>
      </c>
      <c r="F3575" s="21" t="s">
        <v>2540</v>
      </c>
      <c r="G3575" s="23">
        <v>46146</v>
      </c>
    </row>
    <row r="3576" spans="1:7" ht="36.5" hidden="1" x14ac:dyDescent="0.35">
      <c r="A3576" s="8">
        <v>11919</v>
      </c>
      <c r="B3576" s="10" t="s">
        <v>6133</v>
      </c>
      <c r="C3576" s="10" t="s">
        <v>193</v>
      </c>
      <c r="D3576" s="9" t="s">
        <v>13</v>
      </c>
      <c r="E3576" s="9" t="str">
        <f>_xlfn.TEXTAFTER(Condiciones_acumuladas[[#This Row],[Descripción]], " ", -2)</f>
        <v>Oscar Ramírez</v>
      </c>
      <c r="F3576" s="21" t="s">
        <v>2516</v>
      </c>
      <c r="G3576" s="23">
        <v>46148</v>
      </c>
    </row>
    <row r="3577" spans="1:7" ht="48.5" hidden="1" x14ac:dyDescent="0.35">
      <c r="A3577" s="8">
        <v>11920</v>
      </c>
      <c r="B3577" s="10" t="s">
        <v>6134</v>
      </c>
      <c r="C3577" s="10" t="s">
        <v>220</v>
      </c>
      <c r="D3577" s="9" t="s">
        <v>220</v>
      </c>
      <c r="E3577" s="9" t="str">
        <f>_xlfn.TEXTAFTER(Condiciones_acumuladas[[#This Row],[Descripción]], " ", -2)</f>
        <v>Carlos Chávez</v>
      </c>
      <c r="F3577" s="21" t="s">
        <v>2559</v>
      </c>
      <c r="G3577" s="23">
        <v>46148</v>
      </c>
    </row>
    <row r="3578" spans="1:7" ht="48.5" hidden="1" x14ac:dyDescent="0.35">
      <c r="A3578" s="8">
        <v>11917</v>
      </c>
      <c r="B3578" s="10" t="s">
        <v>6135</v>
      </c>
      <c r="C3578" s="10" t="s">
        <v>220</v>
      </c>
      <c r="D3578" s="9" t="s">
        <v>220</v>
      </c>
      <c r="E3578" s="9" t="str">
        <f>_xlfn.TEXTAFTER(Condiciones_acumuladas[[#This Row],[Descripción]], " ", -2)</f>
        <v>Charly Coc</v>
      </c>
      <c r="F3578" s="21" t="s">
        <v>2559</v>
      </c>
      <c r="G3578" s="23">
        <v>46148</v>
      </c>
    </row>
    <row r="3579" spans="1:7" ht="24.5" hidden="1" x14ac:dyDescent="0.35">
      <c r="A3579" s="8">
        <v>11916</v>
      </c>
      <c r="B3579" s="10" t="s">
        <v>6136</v>
      </c>
      <c r="C3579" s="10" t="s">
        <v>21</v>
      </c>
      <c r="D3579" s="9" t="s">
        <v>21</v>
      </c>
      <c r="E3579" s="9" t="str">
        <f>_xlfn.TEXTAFTER(Condiciones_acumuladas[[#This Row],[Descripción]], " ", -2)</f>
        <v>Haydée Martínez</v>
      </c>
      <c r="F3579" s="21" t="s">
        <v>2540</v>
      </c>
      <c r="G3579" s="23">
        <v>46147</v>
      </c>
    </row>
    <row r="3580" spans="1:7" ht="48.5" hidden="1" x14ac:dyDescent="0.35">
      <c r="A3580" s="8">
        <v>11915</v>
      </c>
      <c r="B3580" s="10" t="s">
        <v>6137</v>
      </c>
      <c r="C3580" s="10" t="s">
        <v>96</v>
      </c>
      <c r="D3580" s="9" t="s">
        <v>395</v>
      </c>
      <c r="E3580" s="9" t="str">
        <f>_xlfn.TEXTAFTER(Condiciones_acumuladas[[#This Row],[Descripción]], " ", -2)</f>
        <v>Abraham Quiej</v>
      </c>
      <c r="F3580" s="21" t="s">
        <v>2559</v>
      </c>
      <c r="G3580" s="23">
        <v>46147</v>
      </c>
    </row>
    <row r="3581" spans="1:7" ht="48.5" hidden="1" x14ac:dyDescent="0.35">
      <c r="A3581" s="8">
        <v>11914</v>
      </c>
      <c r="B3581" s="10" t="s">
        <v>6138</v>
      </c>
      <c r="C3581" s="10" t="s">
        <v>96</v>
      </c>
      <c r="D3581" s="9" t="s">
        <v>395</v>
      </c>
      <c r="E3581" s="9" t="str">
        <f>_xlfn.TEXTAFTER(Condiciones_acumuladas[[#This Row],[Descripción]], " ", -2)</f>
        <v>Abraham Quiej</v>
      </c>
      <c r="F3581" s="21" t="s">
        <v>2559</v>
      </c>
      <c r="G3581" s="23">
        <v>46147</v>
      </c>
    </row>
    <row r="3582" spans="1:7" ht="48.5" hidden="1" x14ac:dyDescent="0.35">
      <c r="A3582" s="8">
        <v>11918</v>
      </c>
      <c r="B3582" s="10" t="s">
        <v>6139</v>
      </c>
      <c r="C3582" s="10" t="s">
        <v>220</v>
      </c>
      <c r="D3582" s="9" t="s">
        <v>220</v>
      </c>
      <c r="E3582" s="9" t="str">
        <f>_xlfn.TEXTAFTER(Condiciones_acumuladas[[#This Row],[Descripción]], " ", -2)</f>
        <v>Charly Coc</v>
      </c>
      <c r="F3582" s="21" t="s">
        <v>2559</v>
      </c>
      <c r="G3582" s="23">
        <v>46148</v>
      </c>
    </row>
    <row r="3583" spans="1:7" ht="36.5" hidden="1" x14ac:dyDescent="0.35">
      <c r="A3583" s="8">
        <v>11913</v>
      </c>
      <c r="B3583" s="10" t="s">
        <v>6140</v>
      </c>
      <c r="C3583" s="10" t="s">
        <v>250</v>
      </c>
      <c r="D3583" s="9" t="s">
        <v>395</v>
      </c>
      <c r="E3583" s="9" t="str">
        <f>_xlfn.TEXTAFTER(Condiciones_acumuladas[[#This Row],[Descripción]], " ", -2)</f>
        <v>Abraham Quiej</v>
      </c>
      <c r="F3583" s="21" t="s">
        <v>2516</v>
      </c>
      <c r="G3583" s="23">
        <v>46147</v>
      </c>
    </row>
    <row r="3584" spans="1:7" ht="36.5" hidden="1" x14ac:dyDescent="0.35">
      <c r="A3584" s="8">
        <v>11911</v>
      </c>
      <c r="B3584" s="10" t="s">
        <v>6141</v>
      </c>
      <c r="C3584" s="10" t="s">
        <v>21</v>
      </c>
      <c r="D3584" s="9" t="s">
        <v>21</v>
      </c>
      <c r="E3584" s="9" t="str">
        <f>_xlfn.TEXTAFTER(Condiciones_acumuladas[[#This Row],[Descripción]], " ", -2)</f>
        <v>Abel Aguilar</v>
      </c>
      <c r="F3584" s="21" t="s">
        <v>2572</v>
      </c>
      <c r="G3584" s="23">
        <v>46147</v>
      </c>
    </row>
    <row r="3585" spans="1:7" ht="24.5" hidden="1" x14ac:dyDescent="0.35">
      <c r="A3585" s="8">
        <v>11912</v>
      </c>
      <c r="B3585" s="10" t="s">
        <v>6142</v>
      </c>
      <c r="C3585" s="10" t="s">
        <v>13</v>
      </c>
      <c r="D3585" s="9" t="s">
        <v>13</v>
      </c>
      <c r="E3585" s="9" t="str">
        <f>_xlfn.TEXTAFTER(Condiciones_acumuladas[[#This Row],[Descripción]], " ", -2)</f>
        <v>Abel Aguilar</v>
      </c>
      <c r="F3585" s="21" t="s">
        <v>2540</v>
      </c>
      <c r="G3585" s="23">
        <v>46147</v>
      </c>
    </row>
    <row r="3586" spans="1:7" ht="48.5" hidden="1" x14ac:dyDescent="0.35">
      <c r="A3586" s="8">
        <v>11910</v>
      </c>
      <c r="B3586" s="10" t="s">
        <v>6143</v>
      </c>
      <c r="C3586" s="10" t="s">
        <v>96</v>
      </c>
      <c r="D3586" s="9" t="s">
        <v>395</v>
      </c>
      <c r="E3586" s="9" t="str">
        <f>_xlfn.TEXTAFTER(Condiciones_acumuladas[[#This Row],[Descripción]], " ", -2)</f>
        <v>Antony Ramos</v>
      </c>
      <c r="F3586" s="21" t="s">
        <v>2559</v>
      </c>
      <c r="G3586" s="23">
        <v>46146</v>
      </c>
    </row>
    <row r="3587" spans="1:7" ht="36.5" hidden="1" x14ac:dyDescent="0.35">
      <c r="A3587" s="8">
        <v>11908</v>
      </c>
      <c r="B3587" s="10" t="s">
        <v>6144</v>
      </c>
      <c r="C3587" s="10" t="s">
        <v>96</v>
      </c>
      <c r="D3587" s="9" t="s">
        <v>395</v>
      </c>
      <c r="E3587" s="9" t="str">
        <f>_xlfn.TEXTAFTER(Condiciones_acumuladas[[#This Row],[Descripción]], " ", -2)</f>
        <v>Antony Ramos</v>
      </c>
      <c r="F3587" s="21" t="s">
        <v>2525</v>
      </c>
      <c r="G3587" s="23">
        <v>46146</v>
      </c>
    </row>
    <row r="3588" spans="1:7" ht="36.5" hidden="1" x14ac:dyDescent="0.35">
      <c r="A3588" s="8">
        <v>11891</v>
      </c>
      <c r="B3588" s="10" t="s">
        <v>6145</v>
      </c>
      <c r="C3588" s="10" t="s">
        <v>95</v>
      </c>
      <c r="D3588" s="9" t="s">
        <v>395</v>
      </c>
      <c r="E3588" s="9" t="str">
        <f>_xlfn.TEXTAFTER(Condiciones_acumuladas[[#This Row],[Descripción]], " ", -2)</f>
        <v>Josué Vásquez</v>
      </c>
      <c r="F3588" s="21" t="s">
        <v>2530</v>
      </c>
      <c r="G3588" s="23">
        <v>46146</v>
      </c>
    </row>
    <row r="3589" spans="1:7" ht="24.5" hidden="1" x14ac:dyDescent="0.35">
      <c r="A3589" s="8">
        <v>11967</v>
      </c>
      <c r="B3589" s="10" t="s">
        <v>6146</v>
      </c>
      <c r="C3589" s="10" t="s">
        <v>371</v>
      </c>
      <c r="D3589" s="9" t="s">
        <v>371</v>
      </c>
      <c r="E3589" s="9" t="str">
        <f>_xlfn.TEXTAFTER(Condiciones_acumuladas[[#This Row],[Descripción]], " ", -2)</f>
        <v>Josué Lepe</v>
      </c>
      <c r="F3589" s="21" t="s">
        <v>2522</v>
      </c>
      <c r="G3589" s="23">
        <v>46152</v>
      </c>
    </row>
    <row r="3590" spans="1:7" ht="24.5" hidden="1" x14ac:dyDescent="0.35">
      <c r="A3590" s="8">
        <v>11975</v>
      </c>
      <c r="B3590" s="10" t="s">
        <v>6147</v>
      </c>
      <c r="C3590" s="10" t="s">
        <v>220</v>
      </c>
      <c r="D3590" s="9" t="s">
        <v>95</v>
      </c>
      <c r="E3590" s="9" t="str">
        <f>_xlfn.TEXTAFTER(Condiciones_acumuladas[[#This Row],[Descripción]], " ", -2)</f>
        <v>Andrea González</v>
      </c>
      <c r="F3590" s="21" t="s">
        <v>2540</v>
      </c>
      <c r="G3590" s="23">
        <v>46154</v>
      </c>
    </row>
    <row r="3591" spans="1:7" ht="36.5" hidden="1" x14ac:dyDescent="0.35">
      <c r="A3591" s="8">
        <v>11974</v>
      </c>
      <c r="B3591" s="10" t="s">
        <v>6148</v>
      </c>
      <c r="C3591" s="10" t="s">
        <v>104</v>
      </c>
      <c r="D3591" s="9" t="s">
        <v>95</v>
      </c>
      <c r="E3591" s="9" t="str">
        <f>_xlfn.TEXTAFTER(Condiciones_acumuladas[[#This Row],[Descripción]], " ", -2)</f>
        <v>Andrea González</v>
      </c>
      <c r="F3591" s="21" t="s">
        <v>2530</v>
      </c>
      <c r="G3591" s="23">
        <v>46154</v>
      </c>
    </row>
    <row r="3592" spans="1:7" ht="48.5" hidden="1" x14ac:dyDescent="0.35">
      <c r="A3592" s="8">
        <v>11973</v>
      </c>
      <c r="B3592" s="10" t="s">
        <v>6149</v>
      </c>
      <c r="C3592" s="10" t="s">
        <v>95</v>
      </c>
      <c r="D3592" s="9" t="s">
        <v>95</v>
      </c>
      <c r="E3592" s="9" t="str">
        <f>_xlfn.TEXTAFTER(Condiciones_acumuladas[[#This Row],[Descripción]], " ", -2)</f>
        <v>Andrea González</v>
      </c>
      <c r="F3592" s="21" t="s">
        <v>2559</v>
      </c>
      <c r="G3592" s="23">
        <v>46154</v>
      </c>
    </row>
    <row r="3593" spans="1:7" ht="24.5" hidden="1" x14ac:dyDescent="0.35">
      <c r="A3593" s="8">
        <v>11972</v>
      </c>
      <c r="B3593" s="10" t="s">
        <v>6150</v>
      </c>
      <c r="C3593" s="10" t="s">
        <v>104</v>
      </c>
      <c r="D3593" s="9" t="s">
        <v>104</v>
      </c>
      <c r="E3593" s="9" t="str">
        <f>_xlfn.TEXTAFTER(Condiciones_acumuladas[[#This Row],[Descripción]], " ", -2)</f>
        <v>Obdulio Saquic</v>
      </c>
      <c r="F3593" s="21" t="s">
        <v>2522</v>
      </c>
      <c r="G3593" s="23">
        <v>46154</v>
      </c>
    </row>
    <row r="3594" spans="1:7" ht="36.5" hidden="1" x14ac:dyDescent="0.35">
      <c r="A3594" s="8">
        <v>11971</v>
      </c>
      <c r="B3594" s="10" t="s">
        <v>6151</v>
      </c>
      <c r="C3594" s="10" t="s">
        <v>104</v>
      </c>
      <c r="D3594" s="9" t="s">
        <v>104</v>
      </c>
      <c r="E3594" s="9" t="str">
        <f>_xlfn.TEXTAFTER(Condiciones_acumuladas[[#This Row],[Descripción]], " ", -2)</f>
        <v>Obdulio Saquic</v>
      </c>
      <c r="F3594" s="21" t="s">
        <v>2572</v>
      </c>
      <c r="G3594" s="23">
        <v>46154</v>
      </c>
    </row>
    <row r="3595" spans="1:7" ht="24.5" hidden="1" x14ac:dyDescent="0.35">
      <c r="A3595" s="8">
        <v>11970</v>
      </c>
      <c r="B3595" s="10" t="s">
        <v>6152</v>
      </c>
      <c r="C3595" s="10" t="s">
        <v>395</v>
      </c>
      <c r="D3595" s="9" t="s">
        <v>95</v>
      </c>
      <c r="E3595" s="9" t="str">
        <f>_xlfn.TEXTAFTER(Condiciones_acumuladas[[#This Row],[Descripción]], " ", -2)</f>
        <v>Leidy Camey</v>
      </c>
      <c r="F3595" s="21" t="s">
        <v>2834</v>
      </c>
      <c r="G3595" s="23">
        <v>46154</v>
      </c>
    </row>
    <row r="3596" spans="1:7" ht="24.5" hidden="1" x14ac:dyDescent="0.35">
      <c r="A3596" s="8">
        <v>11969</v>
      </c>
      <c r="B3596" s="10" t="s">
        <v>6153</v>
      </c>
      <c r="C3596" s="10" t="s">
        <v>371</v>
      </c>
      <c r="D3596" s="9" t="s">
        <v>371</v>
      </c>
      <c r="E3596" s="9" t="str">
        <f>_xlfn.TEXTAFTER(Condiciones_acumuladas[[#This Row],[Descripción]], " ", -2)</f>
        <v>Josué Lepe</v>
      </c>
      <c r="F3596" s="21" t="s">
        <v>2522</v>
      </c>
      <c r="G3596" s="23">
        <v>46152</v>
      </c>
    </row>
    <row r="3597" spans="1:7" ht="36.5" hidden="1" x14ac:dyDescent="0.35">
      <c r="A3597" s="8">
        <v>11966</v>
      </c>
      <c r="B3597" s="10" t="s">
        <v>6154</v>
      </c>
      <c r="C3597" s="10" t="s">
        <v>26</v>
      </c>
      <c r="D3597" s="9" t="s">
        <v>95</v>
      </c>
      <c r="E3597" s="9" t="str">
        <f>_xlfn.TEXTAFTER(Condiciones_acumuladas[[#This Row],[Descripción]], " ", -2)</f>
        <v>Luis Angel</v>
      </c>
      <c r="F3597" s="21" t="s">
        <v>2530</v>
      </c>
      <c r="G3597" s="23">
        <v>46153</v>
      </c>
    </row>
    <row r="3598" spans="1:7" ht="36.5" hidden="1" x14ac:dyDescent="0.35">
      <c r="A3598" s="8">
        <v>11965</v>
      </c>
      <c r="B3598" s="10" t="s">
        <v>6155</v>
      </c>
      <c r="C3598" s="10" t="s">
        <v>26</v>
      </c>
      <c r="D3598" s="9" t="s">
        <v>95</v>
      </c>
      <c r="E3598" s="9" t="str">
        <f>_xlfn.TEXTAFTER(Condiciones_acumuladas[[#This Row],[Descripción]], " ", -2)</f>
        <v>Luis Angel</v>
      </c>
      <c r="F3598" s="21" t="s">
        <v>2530</v>
      </c>
      <c r="G3598" s="23">
        <v>46153</v>
      </c>
    </row>
    <row r="3599" spans="1:7" ht="24.5" hidden="1" x14ac:dyDescent="0.35">
      <c r="A3599" s="8">
        <v>11964</v>
      </c>
      <c r="B3599" s="10" t="s">
        <v>6156</v>
      </c>
      <c r="C3599" s="10" t="s">
        <v>13</v>
      </c>
      <c r="D3599" s="9" t="s">
        <v>95</v>
      </c>
      <c r="E3599" s="9" t="str">
        <f>_xlfn.TEXTAFTER(Condiciones_acumuladas[[#This Row],[Descripción]], " ", -2)</f>
        <v>Hellen Estrada</v>
      </c>
      <c r="F3599" s="21" t="s">
        <v>2522</v>
      </c>
      <c r="G3599" s="23">
        <v>46150</v>
      </c>
    </row>
    <row r="3600" spans="1:7" ht="48.5" hidden="1" x14ac:dyDescent="0.35">
      <c r="A3600" s="8">
        <v>11959</v>
      </c>
      <c r="B3600" s="10" t="s">
        <v>6157</v>
      </c>
      <c r="C3600" s="10" t="s">
        <v>13</v>
      </c>
      <c r="D3600" s="9" t="s">
        <v>95</v>
      </c>
      <c r="E3600" s="9" t="str">
        <f>_xlfn.TEXTAFTER(Condiciones_acumuladas[[#This Row],[Descripción]], " ", -2)</f>
        <v>Francisco Hernández</v>
      </c>
      <c r="F3600" s="21" t="s">
        <v>2559</v>
      </c>
      <c r="G3600" s="23">
        <v>46150</v>
      </c>
    </row>
    <row r="3601" spans="1:7" ht="24.5" hidden="1" x14ac:dyDescent="0.35">
      <c r="A3601" s="8">
        <v>11968</v>
      </c>
      <c r="B3601" s="10" t="s">
        <v>6158</v>
      </c>
      <c r="C3601" s="10" t="s">
        <v>371</v>
      </c>
      <c r="D3601" s="9" t="s">
        <v>371</v>
      </c>
      <c r="E3601" s="9" t="str">
        <f>_xlfn.TEXTAFTER(Condiciones_acumuladas[[#This Row],[Descripción]], " ", -2)</f>
        <v>Josué Lepe</v>
      </c>
      <c r="F3601" s="21" t="s">
        <v>2522</v>
      </c>
      <c r="G3601" s="23">
        <v>46152</v>
      </c>
    </row>
    <row r="3602" spans="1:7" ht="24.5" hidden="1" x14ac:dyDescent="0.35">
      <c r="A3602" s="8">
        <v>11909</v>
      </c>
      <c r="B3602" s="10" t="s">
        <v>6159</v>
      </c>
      <c r="C3602" s="10" t="s">
        <v>134</v>
      </c>
      <c r="D3602" s="9" t="s">
        <v>95</v>
      </c>
      <c r="E3602" s="9" t="str">
        <f>_xlfn.TEXTAFTER(Condiciones_acumuladas[[#This Row],[Descripción]], " ", -2)</f>
        <v>Nelson Godínez</v>
      </c>
      <c r="F3602" s="21" t="s">
        <v>2522</v>
      </c>
      <c r="G3602" s="23">
        <v>46148</v>
      </c>
    </row>
    <row r="3603" spans="1:7" ht="36.5" hidden="1" x14ac:dyDescent="0.35">
      <c r="A3603" s="8">
        <v>11904</v>
      </c>
      <c r="B3603" s="10" t="s">
        <v>6160</v>
      </c>
      <c r="C3603" s="10" t="s">
        <v>104</v>
      </c>
      <c r="D3603" s="9" t="s">
        <v>104</v>
      </c>
      <c r="E3603" s="9" t="str">
        <f>_xlfn.TEXTAFTER(Condiciones_acumuladas[[#This Row],[Descripción]], " ", -2)</f>
        <v>Obdulio Saquic</v>
      </c>
      <c r="F3603" s="21" t="s">
        <v>2530</v>
      </c>
      <c r="G3603" s="23">
        <v>46149</v>
      </c>
    </row>
    <row r="3604" spans="1:7" ht="36.5" hidden="1" x14ac:dyDescent="0.35">
      <c r="A3604" s="8">
        <v>11903</v>
      </c>
      <c r="B3604" s="10" t="s">
        <v>6161</v>
      </c>
      <c r="C3604" s="10" t="s">
        <v>134</v>
      </c>
      <c r="D3604" s="9" t="s">
        <v>134</v>
      </c>
      <c r="E3604" s="9" t="str">
        <f>_xlfn.TEXTAFTER(Condiciones_acumuladas[[#This Row],[Descripción]], " ", -2)</f>
        <v xml:space="preserve">Alfonso Guatzin
</v>
      </c>
      <c r="F3604" s="21" t="s">
        <v>2522</v>
      </c>
      <c r="G3604" s="23">
        <v>46149</v>
      </c>
    </row>
    <row r="3605" spans="1:7" ht="36.5" hidden="1" x14ac:dyDescent="0.35">
      <c r="A3605" s="8">
        <v>11899</v>
      </c>
      <c r="B3605" s="10" t="s">
        <v>6162</v>
      </c>
      <c r="C3605" s="10" t="s">
        <v>220</v>
      </c>
      <c r="D3605" s="9" t="s">
        <v>95</v>
      </c>
      <c r="E3605" s="9" t="str">
        <f>_xlfn.TEXTAFTER(Condiciones_acumuladas[[#This Row],[Descripción]], " ", -2)</f>
        <v>Hellen Estrada</v>
      </c>
      <c r="F3605" s="21" t="s">
        <v>2525</v>
      </c>
      <c r="G3605" s="23">
        <v>46147</v>
      </c>
    </row>
    <row r="3606" spans="1:7" ht="24.5" hidden="1" x14ac:dyDescent="0.35">
      <c r="A3606" s="8">
        <v>11994</v>
      </c>
      <c r="B3606" s="10" t="s">
        <v>6163</v>
      </c>
      <c r="C3606" s="10" t="s">
        <v>134</v>
      </c>
      <c r="D3606" s="9" t="s">
        <v>95</v>
      </c>
      <c r="E3606" s="9" t="str">
        <f>_xlfn.TEXTAFTER(Condiciones_acumuladas[[#This Row],[Descripción]], " ", -2)</f>
        <v>Nelson Godínez</v>
      </c>
      <c r="F3606" s="21" t="s">
        <v>2522</v>
      </c>
      <c r="G3606" s="23">
        <v>46155</v>
      </c>
    </row>
    <row r="3607" spans="1:7" ht="24.5" hidden="1" x14ac:dyDescent="0.35">
      <c r="A3607" s="8">
        <v>11991</v>
      </c>
      <c r="B3607" s="10" t="s">
        <v>6164</v>
      </c>
      <c r="C3607" s="10" t="s">
        <v>250</v>
      </c>
      <c r="D3607" s="9" t="s">
        <v>250</v>
      </c>
      <c r="E3607" s="9" t="str">
        <f>_xlfn.TEXTAFTER(Condiciones_acumuladas[[#This Row],[Descripción]], " ", -2)</f>
        <v>Edson Bonifacio</v>
      </c>
      <c r="F3607" s="21" t="s">
        <v>2522</v>
      </c>
      <c r="G3607" s="23">
        <v>46155</v>
      </c>
    </row>
    <row r="3608" spans="1:7" ht="24.5" hidden="1" x14ac:dyDescent="0.35">
      <c r="A3608" s="8">
        <v>11993</v>
      </c>
      <c r="B3608" s="10" t="s">
        <v>6165</v>
      </c>
      <c r="C3608" s="10" t="s">
        <v>21</v>
      </c>
      <c r="D3608" s="9" t="s">
        <v>21</v>
      </c>
      <c r="E3608" s="9" t="str">
        <f>_xlfn.TEXTAFTER(Condiciones_acumuladas[[#This Row],[Descripción]], " ", -2)</f>
        <v>Abel Aguilar</v>
      </c>
      <c r="F3608" s="21" t="s">
        <v>2522</v>
      </c>
      <c r="G3608" s="23">
        <v>46155</v>
      </c>
    </row>
    <row r="3609" spans="1:7" ht="24.5" hidden="1" x14ac:dyDescent="0.35">
      <c r="A3609" s="8">
        <v>11992</v>
      </c>
      <c r="B3609" s="10" t="s">
        <v>6166</v>
      </c>
      <c r="C3609" s="10" t="s">
        <v>21</v>
      </c>
      <c r="D3609" s="9" t="s">
        <v>21</v>
      </c>
      <c r="E3609" s="9" t="str">
        <f>_xlfn.TEXTAFTER(Condiciones_acumuladas[[#This Row],[Descripción]], " ", -2)</f>
        <v>Abel Aguilar</v>
      </c>
      <c r="F3609" s="21" t="s">
        <v>2522</v>
      </c>
      <c r="G3609" s="23">
        <v>46155</v>
      </c>
    </row>
    <row r="3610" spans="1:7" ht="48.5" hidden="1" x14ac:dyDescent="0.35">
      <c r="A3610" s="8">
        <v>11988</v>
      </c>
      <c r="B3610" s="10" t="s">
        <v>6167</v>
      </c>
      <c r="C3610" s="10" t="s">
        <v>371</v>
      </c>
      <c r="D3610" s="9" t="s">
        <v>371</v>
      </c>
      <c r="E3610" s="9" t="str">
        <f>_xlfn.TEXTAFTER(Condiciones_acumuladas[[#This Row],[Descripción]], " ", -2)</f>
        <v>Rodrigo Galindo</v>
      </c>
      <c r="F3610" s="21" t="s">
        <v>2559</v>
      </c>
      <c r="G3610" s="23">
        <v>46155</v>
      </c>
    </row>
    <row r="3611" spans="1:7" ht="36.5" hidden="1" x14ac:dyDescent="0.35">
      <c r="A3611" s="8">
        <v>11986</v>
      </c>
      <c r="B3611" s="10" t="s">
        <v>6168</v>
      </c>
      <c r="C3611" s="10" t="s">
        <v>220</v>
      </c>
      <c r="D3611" s="9" t="s">
        <v>395</v>
      </c>
      <c r="E3611" s="9" t="str">
        <f>_xlfn.TEXTAFTER(Condiciones_acumuladas[[#This Row],[Descripción]], " ", -2)</f>
        <v>Daniel Pineda</v>
      </c>
      <c r="F3611" s="21" t="s">
        <v>2516</v>
      </c>
      <c r="G3611" s="23">
        <v>46154</v>
      </c>
    </row>
    <row r="3612" spans="1:7" ht="48.5" hidden="1" x14ac:dyDescent="0.35">
      <c r="A3612" s="8">
        <v>11983</v>
      </c>
      <c r="B3612" s="10" t="s">
        <v>6169</v>
      </c>
      <c r="C3612" s="10" t="s">
        <v>96</v>
      </c>
      <c r="D3612" s="9" t="s">
        <v>96</v>
      </c>
      <c r="E3612" s="9" t="str">
        <f>_xlfn.TEXTAFTER(Condiciones_acumuladas[[#This Row],[Descripción]], " ", -2)</f>
        <v>Luis Pérez</v>
      </c>
      <c r="F3612" s="21" t="s">
        <v>2559</v>
      </c>
      <c r="G3612" s="23">
        <v>46153</v>
      </c>
    </row>
    <row r="3613" spans="1:7" ht="36.5" hidden="1" x14ac:dyDescent="0.35">
      <c r="A3613" s="8">
        <v>11977</v>
      </c>
      <c r="B3613" s="10" t="s">
        <v>6170</v>
      </c>
      <c r="C3613" s="10" t="s">
        <v>395</v>
      </c>
      <c r="D3613" s="9" t="s">
        <v>395</v>
      </c>
      <c r="E3613" s="9" t="str">
        <f>_xlfn.TEXTAFTER(Condiciones_acumuladas[[#This Row],[Descripción]], " ", -2)</f>
        <v>Antony Ramos</v>
      </c>
      <c r="F3613" s="21" t="s">
        <v>2516</v>
      </c>
      <c r="G3613" s="23">
        <v>46152</v>
      </c>
    </row>
    <row r="3614" spans="1:7" ht="36.5" hidden="1" x14ac:dyDescent="0.35">
      <c r="A3614" s="8">
        <v>11978</v>
      </c>
      <c r="B3614" s="10" t="s">
        <v>6171</v>
      </c>
      <c r="C3614" s="10" t="s">
        <v>220</v>
      </c>
      <c r="D3614" s="9" t="s">
        <v>371</v>
      </c>
      <c r="E3614" s="9" t="str">
        <f>_xlfn.TEXTAFTER(Condiciones_acumuladas[[#This Row],[Descripción]], " ", -2)</f>
        <v>Rodrigo Galindo</v>
      </c>
      <c r="F3614" s="21" t="s">
        <v>2516</v>
      </c>
      <c r="G3614" s="23">
        <v>46153</v>
      </c>
    </row>
    <row r="3615" spans="1:7" ht="48.5" hidden="1" x14ac:dyDescent="0.35">
      <c r="A3615" s="8">
        <v>11979</v>
      </c>
      <c r="B3615" s="10" t="s">
        <v>6172</v>
      </c>
      <c r="C3615" s="10" t="s">
        <v>371</v>
      </c>
      <c r="D3615" s="9" t="s">
        <v>371</v>
      </c>
      <c r="E3615" s="9" t="str">
        <f>_xlfn.TEXTAFTER(Condiciones_acumuladas[[#This Row],[Descripción]], " ", -2)</f>
        <v>Rodrigo Galindo</v>
      </c>
      <c r="F3615" s="21" t="s">
        <v>2559</v>
      </c>
      <c r="G3615" s="23">
        <v>46152</v>
      </c>
    </row>
    <row r="3616" spans="1:7" ht="36.5" hidden="1" x14ac:dyDescent="0.35">
      <c r="A3616" s="8">
        <v>11980</v>
      </c>
      <c r="B3616" s="10" t="s">
        <v>6173</v>
      </c>
      <c r="C3616" s="10" t="s">
        <v>250</v>
      </c>
      <c r="D3616" s="9" t="s">
        <v>250</v>
      </c>
      <c r="E3616" s="9" t="str">
        <f>_xlfn.TEXTAFTER(Condiciones_acumuladas[[#This Row],[Descripción]], " ", -2)</f>
        <v>Edson Bonifacio</v>
      </c>
      <c r="F3616" s="21" t="s">
        <v>2516</v>
      </c>
      <c r="G3616" s="23">
        <v>46153</v>
      </c>
    </row>
    <row r="3617" spans="1:7" ht="36.5" hidden="1" x14ac:dyDescent="0.35">
      <c r="A3617" s="8">
        <v>11990</v>
      </c>
      <c r="B3617" s="10" t="s">
        <v>6174</v>
      </c>
      <c r="C3617" s="10" t="s">
        <v>96</v>
      </c>
      <c r="D3617" s="9" t="s">
        <v>96</v>
      </c>
      <c r="E3617" s="9" t="str">
        <f>_xlfn.TEXTAFTER(Condiciones_acumuladas[[#This Row],[Descripción]], " ", -2)</f>
        <v>Bladimir López</v>
      </c>
      <c r="F3617" s="21" t="s">
        <v>2516</v>
      </c>
      <c r="G3617" s="23">
        <v>46155</v>
      </c>
    </row>
    <row r="3618" spans="1:7" ht="48.5" hidden="1" x14ac:dyDescent="0.35">
      <c r="A3618" s="8">
        <v>11984</v>
      </c>
      <c r="B3618" s="10" t="s">
        <v>6175</v>
      </c>
      <c r="C3618" s="10" t="s">
        <v>220</v>
      </c>
      <c r="D3618" s="9" t="s">
        <v>220</v>
      </c>
      <c r="E3618" s="9" t="str">
        <f>_xlfn.TEXTAFTER(Condiciones_acumuladas[[#This Row],[Descripción]], " ", -2)</f>
        <v>Charly Coc</v>
      </c>
      <c r="F3618" s="21" t="s">
        <v>2559</v>
      </c>
      <c r="G3618" s="23">
        <v>46154</v>
      </c>
    </row>
    <row r="3619" spans="1:7" ht="36.5" hidden="1" x14ac:dyDescent="0.35">
      <c r="A3619" s="8">
        <v>11981</v>
      </c>
      <c r="B3619" s="10" t="s">
        <v>6176</v>
      </c>
      <c r="C3619" s="10" t="s">
        <v>34</v>
      </c>
      <c r="D3619" s="9" t="s">
        <v>26</v>
      </c>
      <c r="E3619" s="9" t="str">
        <f>_xlfn.TEXTAFTER(Condiciones_acumuladas[[#This Row],[Descripción]], " ", -2)</f>
        <v>Adrián Santisteban</v>
      </c>
      <c r="F3619" s="21" t="s">
        <v>2516</v>
      </c>
      <c r="G3619" s="23">
        <v>46153</v>
      </c>
    </row>
    <row r="3620" spans="1:7" ht="48.5" hidden="1" x14ac:dyDescent="0.35">
      <c r="A3620" s="8">
        <v>11985</v>
      </c>
      <c r="B3620" s="10" t="s">
        <v>6177</v>
      </c>
      <c r="C3620" s="10" t="s">
        <v>234</v>
      </c>
      <c r="D3620" s="9" t="s">
        <v>250</v>
      </c>
      <c r="E3620" s="9" t="str">
        <f>_xlfn.TEXTAFTER(Condiciones_acumuladas[[#This Row],[Descripción]], " ", -2)</f>
        <v>Edson Bonifacio</v>
      </c>
      <c r="F3620" s="21" t="s">
        <v>2559</v>
      </c>
      <c r="G3620" s="23">
        <v>46154</v>
      </c>
    </row>
    <row r="3621" spans="1:7" ht="36.5" hidden="1" x14ac:dyDescent="0.35">
      <c r="A3621" s="8">
        <v>11982</v>
      </c>
      <c r="B3621" s="10" t="s">
        <v>6178</v>
      </c>
      <c r="C3621" s="10" t="s">
        <v>13</v>
      </c>
      <c r="D3621" s="9" t="s">
        <v>190</v>
      </c>
      <c r="E3621" s="9" t="str">
        <f>_xlfn.TEXTAFTER(Condiciones_acumuladas[[#This Row],[Descripción]], " ", -2)</f>
        <v>Roy Luarca</v>
      </c>
      <c r="F3621" s="21" t="s">
        <v>2516</v>
      </c>
      <c r="G3621" s="23">
        <v>46153</v>
      </c>
    </row>
    <row r="3622" spans="1:7" ht="24.5" hidden="1" x14ac:dyDescent="0.35">
      <c r="A3622" s="8">
        <v>11989</v>
      </c>
      <c r="B3622" s="10" t="s">
        <v>6179</v>
      </c>
      <c r="C3622" s="10" t="s">
        <v>371</v>
      </c>
      <c r="D3622" s="9" t="s">
        <v>371</v>
      </c>
      <c r="E3622" s="9" t="str">
        <f>_xlfn.TEXTAFTER(Condiciones_acumuladas[[#This Row],[Descripción]], " ", -2)</f>
        <v>Rodrigo Galindo</v>
      </c>
      <c r="F3622" s="21" t="s">
        <v>2522</v>
      </c>
      <c r="G3622" s="23">
        <v>46155</v>
      </c>
    </row>
    <row r="3623" spans="1:7" ht="24.5" hidden="1" x14ac:dyDescent="0.35">
      <c r="A3623" s="8">
        <v>11987</v>
      </c>
      <c r="B3623" s="10" t="s">
        <v>6180</v>
      </c>
      <c r="C3623" s="10" t="s">
        <v>371</v>
      </c>
      <c r="D3623" s="9" t="s">
        <v>395</v>
      </c>
      <c r="E3623" s="9" t="str">
        <f>_xlfn.TEXTAFTER(Condiciones_acumuladas[[#This Row],[Descripción]], " ", -2)</f>
        <v>Daniel Pineda</v>
      </c>
      <c r="F3623" s="21" t="s">
        <v>2540</v>
      </c>
      <c r="G3623" s="23">
        <v>46154</v>
      </c>
    </row>
    <row r="3624" spans="1:7" ht="24.5" hidden="1" x14ac:dyDescent="0.35">
      <c r="A3624" s="8">
        <v>12021</v>
      </c>
      <c r="B3624" s="10" t="s">
        <v>6181</v>
      </c>
      <c r="C3624" s="10" t="s">
        <v>134</v>
      </c>
      <c r="D3624" s="9" t="s">
        <v>220</v>
      </c>
      <c r="E3624" s="9" t="str">
        <f>_xlfn.TEXTAFTER(Condiciones_acumuladas[[#This Row],[Descripción]], " ", -2)</f>
        <v>Jaime Chilel</v>
      </c>
      <c r="F3624" s="21" t="s">
        <v>2522</v>
      </c>
      <c r="G3624" s="23">
        <v>46156</v>
      </c>
    </row>
    <row r="3625" spans="1:7" ht="36.5" hidden="1" x14ac:dyDescent="0.35">
      <c r="A3625" s="8">
        <v>12022</v>
      </c>
      <c r="B3625" s="10" t="s">
        <v>6182</v>
      </c>
      <c r="C3625" s="10" t="s">
        <v>234</v>
      </c>
      <c r="D3625" s="9" t="s">
        <v>234</v>
      </c>
      <c r="E3625" s="9" t="str">
        <f>_xlfn.TEXTAFTER(Condiciones_acumuladas[[#This Row],[Descripción]], " ", -2)</f>
        <v>Wilber López</v>
      </c>
      <c r="F3625" s="21" t="s">
        <v>2540</v>
      </c>
      <c r="G3625" s="23">
        <v>46156</v>
      </c>
    </row>
    <row r="3626" spans="1:7" ht="36.5" hidden="1" x14ac:dyDescent="0.35">
      <c r="A3626" s="8">
        <v>12020</v>
      </c>
      <c r="B3626" s="10" t="s">
        <v>6183</v>
      </c>
      <c r="C3626" s="10" t="s">
        <v>395</v>
      </c>
      <c r="D3626" s="9" t="s">
        <v>190</v>
      </c>
      <c r="E3626" s="9" t="str">
        <f>_xlfn.TEXTAFTER(Condiciones_acumuladas[[#This Row],[Descripción]], " ", -2)</f>
        <v>Elvis Oliva</v>
      </c>
      <c r="F3626" s="21" t="s">
        <v>2525</v>
      </c>
      <c r="G3626" s="23">
        <v>46156</v>
      </c>
    </row>
    <row r="3627" spans="1:7" ht="36.5" hidden="1" x14ac:dyDescent="0.35">
      <c r="A3627" s="8">
        <v>12019</v>
      </c>
      <c r="B3627" s="10" t="s">
        <v>6184</v>
      </c>
      <c r="C3627" s="10" t="s">
        <v>21</v>
      </c>
      <c r="D3627" s="9" t="s">
        <v>21</v>
      </c>
      <c r="E3627" s="9" t="str">
        <f>_xlfn.TEXTAFTER(Condiciones_acumuladas[[#This Row],[Descripción]], " ", -2)</f>
        <v>Abel Aguilar</v>
      </c>
      <c r="F3627" s="21" t="s">
        <v>2530</v>
      </c>
      <c r="G3627" s="23">
        <v>46156</v>
      </c>
    </row>
    <row r="3628" spans="1:7" ht="24.5" hidden="1" x14ac:dyDescent="0.35">
      <c r="A3628" s="8">
        <v>12017</v>
      </c>
      <c r="B3628" s="10" t="s">
        <v>6185</v>
      </c>
      <c r="C3628" s="10" t="s">
        <v>96</v>
      </c>
      <c r="D3628" s="9" t="s">
        <v>96</v>
      </c>
      <c r="E3628" s="9" t="str">
        <f>_xlfn.TEXTAFTER(Condiciones_acumuladas[[#This Row],[Descripción]], " ", -2)</f>
        <v>Jimmy Velásquez</v>
      </c>
      <c r="F3628" s="21" t="s">
        <v>2537</v>
      </c>
      <c r="G3628" s="23">
        <v>46156</v>
      </c>
    </row>
    <row r="3629" spans="1:7" ht="24.5" hidden="1" x14ac:dyDescent="0.35">
      <c r="A3629" s="8">
        <v>12015</v>
      </c>
      <c r="B3629" s="10" t="s">
        <v>6186</v>
      </c>
      <c r="C3629" s="10" t="s">
        <v>104</v>
      </c>
      <c r="D3629" s="9" t="s">
        <v>104</v>
      </c>
      <c r="E3629" s="9" t="str">
        <f>_xlfn.TEXTAFTER(Condiciones_acumuladas[[#This Row],[Descripción]], " ", -2)</f>
        <v>Wilber López</v>
      </c>
      <c r="F3629" s="21" t="s">
        <v>2522</v>
      </c>
      <c r="G3629" s="23">
        <v>46156</v>
      </c>
    </row>
    <row r="3630" spans="1:7" ht="36.5" hidden="1" x14ac:dyDescent="0.35">
      <c r="A3630" s="8">
        <v>12013</v>
      </c>
      <c r="B3630" s="10" t="s">
        <v>6187</v>
      </c>
      <c r="C3630" s="10" t="s">
        <v>96</v>
      </c>
      <c r="D3630" s="9" t="s">
        <v>395</v>
      </c>
      <c r="E3630" s="9" t="str">
        <f>_xlfn.TEXTAFTER(Condiciones_acumuladas[[#This Row],[Descripción]], " ", -2)</f>
        <v>Josué Vásquez</v>
      </c>
      <c r="F3630" s="21" t="s">
        <v>2516</v>
      </c>
      <c r="G3630" s="23">
        <v>46156</v>
      </c>
    </row>
    <row r="3631" spans="1:7" ht="24.5" hidden="1" x14ac:dyDescent="0.35">
      <c r="A3631" s="8">
        <v>12012</v>
      </c>
      <c r="B3631" s="10" t="s">
        <v>6188</v>
      </c>
      <c r="C3631" s="10" t="s">
        <v>134</v>
      </c>
      <c r="D3631" s="9" t="s">
        <v>220</v>
      </c>
      <c r="E3631" s="9" t="str">
        <f>_xlfn.TEXTAFTER(Condiciones_acumuladas[[#This Row],[Descripción]], " ", -2)</f>
        <v>Jaime Chilel</v>
      </c>
      <c r="F3631" s="21" t="s">
        <v>2540</v>
      </c>
      <c r="G3631" s="23">
        <v>46156</v>
      </c>
    </row>
    <row r="3632" spans="1:7" ht="24.5" hidden="1" x14ac:dyDescent="0.35">
      <c r="A3632" s="8">
        <v>12011</v>
      </c>
      <c r="B3632" s="10" t="s">
        <v>6189</v>
      </c>
      <c r="C3632" s="10" t="s">
        <v>96</v>
      </c>
      <c r="D3632" s="9" t="s">
        <v>96</v>
      </c>
      <c r="E3632" s="9" t="str">
        <f>_xlfn.TEXTAFTER(Condiciones_acumuladas[[#This Row],[Descripción]], " ", -2)</f>
        <v>Jimmy Velásquez</v>
      </c>
      <c r="F3632" s="21" t="s">
        <v>2522</v>
      </c>
      <c r="G3632" s="23">
        <v>46156</v>
      </c>
    </row>
    <row r="3633" spans="1:7" ht="24.5" hidden="1" x14ac:dyDescent="0.35">
      <c r="A3633" s="8">
        <v>12018</v>
      </c>
      <c r="B3633" s="10" t="s">
        <v>6190</v>
      </c>
      <c r="C3633" s="10" t="s">
        <v>134</v>
      </c>
      <c r="D3633" s="9" t="s">
        <v>134</v>
      </c>
      <c r="E3633" s="9" t="str">
        <f>_xlfn.TEXTAFTER(Condiciones_acumuladas[[#This Row],[Descripción]], " ", -2)</f>
        <v>Jaime Chilel</v>
      </c>
      <c r="F3633" s="21" t="s">
        <v>2540</v>
      </c>
      <c r="G3633" s="23">
        <v>46156</v>
      </c>
    </row>
    <row r="3634" spans="1:7" ht="36.5" hidden="1" x14ac:dyDescent="0.35">
      <c r="A3634" s="8">
        <v>12010</v>
      </c>
      <c r="B3634" s="10" t="s">
        <v>6191</v>
      </c>
      <c r="C3634" s="10" t="s">
        <v>104</v>
      </c>
      <c r="D3634" s="9" t="s">
        <v>104</v>
      </c>
      <c r="E3634" s="9" t="str">
        <f>_xlfn.TEXTAFTER(Condiciones_acumuladas[[#This Row],[Descripción]], " ", -2)</f>
        <v>Wilber López</v>
      </c>
      <c r="F3634" s="21" t="s">
        <v>2530</v>
      </c>
      <c r="G3634" s="23">
        <v>46156</v>
      </c>
    </row>
    <row r="3635" spans="1:7" ht="24.5" hidden="1" x14ac:dyDescent="0.35">
      <c r="A3635" s="8">
        <v>12009</v>
      </c>
      <c r="B3635" s="10" t="s">
        <v>6192</v>
      </c>
      <c r="C3635" s="10" t="s">
        <v>196</v>
      </c>
      <c r="D3635" s="9" t="s">
        <v>190</v>
      </c>
      <c r="E3635" s="9" t="str">
        <f>_xlfn.TEXTAFTER(Condiciones_acumuladas[[#This Row],[Descripción]], " ", -2)</f>
        <v>Elvis Oliva</v>
      </c>
      <c r="F3635" s="21" t="s">
        <v>2537</v>
      </c>
      <c r="G3635" s="23">
        <v>46156</v>
      </c>
    </row>
    <row r="3636" spans="1:7" ht="24.5" hidden="1" x14ac:dyDescent="0.35">
      <c r="A3636" s="8">
        <v>12006</v>
      </c>
      <c r="B3636" s="10" t="s">
        <v>6193</v>
      </c>
      <c r="C3636" s="10" t="s">
        <v>13</v>
      </c>
      <c r="D3636" s="9" t="s">
        <v>250</v>
      </c>
      <c r="E3636" s="9" t="str">
        <f>_xlfn.TEXTAFTER(Condiciones_acumuladas[[#This Row],[Descripción]], " ", -2)</f>
        <v>Edson Bonifacio</v>
      </c>
      <c r="F3636" s="21" t="s">
        <v>2522</v>
      </c>
      <c r="G3636" s="23">
        <v>46156</v>
      </c>
    </row>
    <row r="3637" spans="1:7" ht="24.5" hidden="1" x14ac:dyDescent="0.35">
      <c r="A3637" s="8">
        <v>12008</v>
      </c>
      <c r="B3637" s="10" t="s">
        <v>6194</v>
      </c>
      <c r="C3637" s="10" t="s">
        <v>104</v>
      </c>
      <c r="D3637" s="9" t="s">
        <v>104</v>
      </c>
      <c r="E3637" s="9" t="str">
        <f>_xlfn.TEXTAFTER(Condiciones_acumuladas[[#This Row],[Descripción]], " ", -2)</f>
        <v>Wilber López</v>
      </c>
      <c r="F3637" s="21" t="s">
        <v>2540</v>
      </c>
      <c r="G3637" s="23">
        <v>46156</v>
      </c>
    </row>
    <row r="3638" spans="1:7" ht="24.5" hidden="1" x14ac:dyDescent="0.35">
      <c r="A3638" s="8">
        <v>12014</v>
      </c>
      <c r="B3638" s="10" t="s">
        <v>6195</v>
      </c>
      <c r="C3638" s="10" t="s">
        <v>26</v>
      </c>
      <c r="D3638" s="9" t="s">
        <v>34</v>
      </c>
      <c r="E3638" s="9" t="str">
        <f>_xlfn.TEXTAFTER(Condiciones_acumuladas[[#This Row],[Descripción]], " ", -2)</f>
        <v>Oscar Ramos</v>
      </c>
      <c r="F3638" s="21" t="s">
        <v>2522</v>
      </c>
      <c r="G3638" s="23">
        <v>46156</v>
      </c>
    </row>
    <row r="3639" spans="1:7" ht="36.5" hidden="1" x14ac:dyDescent="0.35">
      <c r="A3639" s="8">
        <v>12005</v>
      </c>
      <c r="B3639" s="10" t="s">
        <v>6196</v>
      </c>
      <c r="C3639" s="10" t="s">
        <v>104</v>
      </c>
      <c r="D3639" s="9" t="s">
        <v>234</v>
      </c>
      <c r="E3639" s="9" t="str">
        <f>_xlfn.TEXTAFTER(Condiciones_acumuladas[[#This Row],[Descripción]], " ", -2)</f>
        <v>Wilber López</v>
      </c>
      <c r="F3639" s="21" t="s">
        <v>2516</v>
      </c>
      <c r="G3639" s="23">
        <v>46156</v>
      </c>
    </row>
    <row r="3640" spans="1:7" ht="24.5" hidden="1" x14ac:dyDescent="0.35">
      <c r="A3640" s="8">
        <v>12004</v>
      </c>
      <c r="B3640" s="10" t="s">
        <v>6197</v>
      </c>
      <c r="C3640" s="10" t="s">
        <v>13</v>
      </c>
      <c r="D3640" s="9" t="s">
        <v>250</v>
      </c>
      <c r="E3640" s="9" t="str">
        <f>_xlfn.TEXTAFTER(Condiciones_acumuladas[[#This Row],[Descripción]], " ", -2)</f>
        <v>Edson Bonifacio</v>
      </c>
      <c r="F3640" s="21" t="s">
        <v>2522</v>
      </c>
      <c r="G3640" s="23">
        <v>46156</v>
      </c>
    </row>
    <row r="3641" spans="1:7" ht="24.5" hidden="1" x14ac:dyDescent="0.35">
      <c r="A3641" s="8">
        <v>12003</v>
      </c>
      <c r="B3641" s="10" t="s">
        <v>6198</v>
      </c>
      <c r="C3641" s="10" t="s">
        <v>21</v>
      </c>
      <c r="D3641" s="9" t="s">
        <v>21</v>
      </c>
      <c r="E3641" s="9" t="str">
        <f>_xlfn.TEXTAFTER(Condiciones_acumuladas[[#This Row],[Descripción]], " ", -2)</f>
        <v>Abel Aguilar</v>
      </c>
      <c r="F3641" s="21" t="s">
        <v>2522</v>
      </c>
      <c r="G3641" s="23">
        <v>46156</v>
      </c>
    </row>
    <row r="3642" spans="1:7" ht="36.5" hidden="1" x14ac:dyDescent="0.35">
      <c r="A3642" s="8">
        <v>12002</v>
      </c>
      <c r="B3642" s="10" t="s">
        <v>6199</v>
      </c>
      <c r="C3642" s="10" t="s">
        <v>196</v>
      </c>
      <c r="D3642" s="9" t="s">
        <v>190</v>
      </c>
      <c r="E3642" s="9" t="str">
        <f>_xlfn.TEXTAFTER(Condiciones_acumuladas[[#This Row],[Descripción]], " ", -2)</f>
        <v>Elvis Oliva</v>
      </c>
      <c r="F3642" s="21" t="s">
        <v>2516</v>
      </c>
      <c r="G3642" s="23">
        <v>46156</v>
      </c>
    </row>
    <row r="3643" spans="1:7" ht="24.5" hidden="1" x14ac:dyDescent="0.35">
      <c r="A3643" s="8">
        <v>12001</v>
      </c>
      <c r="B3643" s="10" t="s">
        <v>6200</v>
      </c>
      <c r="C3643" s="10" t="s">
        <v>371</v>
      </c>
      <c r="D3643" s="9" t="s">
        <v>395</v>
      </c>
      <c r="E3643" s="9" t="str">
        <f>_xlfn.TEXTAFTER(Condiciones_acumuladas[[#This Row],[Descripción]], " ", -2)</f>
        <v>German Orozco</v>
      </c>
      <c r="F3643" s="21" t="s">
        <v>2522</v>
      </c>
      <c r="G3643" s="23">
        <v>46156</v>
      </c>
    </row>
    <row r="3644" spans="1:7" ht="48.5" hidden="1" x14ac:dyDescent="0.35">
      <c r="A3644" s="8">
        <v>11999</v>
      </c>
      <c r="B3644" s="10" t="s">
        <v>6201</v>
      </c>
      <c r="C3644" s="10" t="s">
        <v>96</v>
      </c>
      <c r="D3644" s="9" t="s">
        <v>395</v>
      </c>
      <c r="E3644" s="9" t="str">
        <f>_xlfn.TEXTAFTER(Condiciones_acumuladas[[#This Row],[Descripción]], " ", -2)</f>
        <v>Josué Vásquez</v>
      </c>
      <c r="F3644" s="21" t="s">
        <v>2559</v>
      </c>
      <c r="G3644" s="23">
        <v>46156</v>
      </c>
    </row>
    <row r="3645" spans="1:7" ht="36.5" hidden="1" x14ac:dyDescent="0.35">
      <c r="A3645" s="8">
        <v>12000</v>
      </c>
      <c r="B3645" s="10" t="s">
        <v>6202</v>
      </c>
      <c r="C3645" s="10" t="s">
        <v>134</v>
      </c>
      <c r="D3645" s="9" t="s">
        <v>220</v>
      </c>
      <c r="E3645" s="9" t="str">
        <f>_xlfn.TEXTAFTER(Condiciones_acumuladas[[#This Row],[Descripción]], " ", -2)</f>
        <v>Jaime Chilel</v>
      </c>
      <c r="F3645" s="21" t="s">
        <v>2540</v>
      </c>
      <c r="G3645" s="23">
        <v>46156</v>
      </c>
    </row>
    <row r="3646" spans="1:7" ht="24.5" hidden="1" x14ac:dyDescent="0.35">
      <c r="A3646" s="8">
        <v>11998</v>
      </c>
      <c r="B3646" s="10" t="s">
        <v>6203</v>
      </c>
      <c r="C3646" s="10" t="s">
        <v>371</v>
      </c>
      <c r="D3646" s="9" t="s">
        <v>371</v>
      </c>
      <c r="E3646" s="9" t="str">
        <f>_xlfn.TEXTAFTER(Condiciones_acumuladas[[#This Row],[Descripción]], " ", -2)</f>
        <v>German Orozco</v>
      </c>
      <c r="F3646" s="21" t="s">
        <v>2522</v>
      </c>
      <c r="G3646" s="23">
        <v>46156</v>
      </c>
    </row>
    <row r="3647" spans="1:7" ht="24.5" hidden="1" x14ac:dyDescent="0.35">
      <c r="A3647" s="8">
        <v>11996</v>
      </c>
      <c r="B3647" s="10" t="s">
        <v>6204</v>
      </c>
      <c r="C3647" s="10" t="s">
        <v>21</v>
      </c>
      <c r="D3647" s="9" t="s">
        <v>395</v>
      </c>
      <c r="E3647" s="9" t="str">
        <f>_xlfn.TEXTAFTER(Condiciones_acumuladas[[#This Row],[Descripción]], " ", -2)</f>
        <v>Abraham Quiej</v>
      </c>
      <c r="F3647" s="21" t="s">
        <v>2522</v>
      </c>
      <c r="G3647" s="23">
        <v>46156</v>
      </c>
    </row>
    <row r="3648" spans="1:7" ht="24.5" hidden="1" x14ac:dyDescent="0.35">
      <c r="A3648" s="8">
        <v>11995</v>
      </c>
      <c r="B3648" s="10" t="s">
        <v>6205</v>
      </c>
      <c r="C3648" s="10" t="s">
        <v>250</v>
      </c>
      <c r="D3648" s="9" t="s">
        <v>395</v>
      </c>
      <c r="E3648" s="9" t="str">
        <f>_xlfn.TEXTAFTER(Condiciones_acumuladas[[#This Row],[Descripción]], " ", -2)</f>
        <v>German Orozco</v>
      </c>
      <c r="F3648" s="21" t="s">
        <v>2540</v>
      </c>
      <c r="G3648" s="23">
        <v>46155</v>
      </c>
    </row>
    <row r="3649" spans="1:7" ht="48.5" hidden="1" x14ac:dyDescent="0.35">
      <c r="A3649" s="8">
        <v>12007</v>
      </c>
      <c r="B3649" s="10" t="s">
        <v>6206</v>
      </c>
      <c r="C3649" s="10" t="s">
        <v>13</v>
      </c>
      <c r="D3649" s="9" t="s">
        <v>250</v>
      </c>
      <c r="E3649" s="9" t="str">
        <f>_xlfn.TEXTAFTER(Condiciones_acumuladas[[#This Row],[Descripción]], " ", -2)</f>
        <v>Edson Bonifacio</v>
      </c>
      <c r="F3649" s="21" t="s">
        <v>2559</v>
      </c>
      <c r="G3649" s="23">
        <v>46156</v>
      </c>
    </row>
    <row r="3650" spans="1:7" ht="24.5" hidden="1" x14ac:dyDescent="0.35">
      <c r="A3650" s="8">
        <v>12016</v>
      </c>
      <c r="B3650" s="10" t="s">
        <v>6207</v>
      </c>
      <c r="C3650" s="10" t="s">
        <v>134</v>
      </c>
      <c r="D3650" s="9" t="s">
        <v>220</v>
      </c>
      <c r="E3650" s="9" t="str">
        <f>_xlfn.TEXTAFTER(Condiciones_acumuladas[[#This Row],[Descripción]], " ", -2)</f>
        <v>Jaime Chilel</v>
      </c>
      <c r="F3650" s="21" t="s">
        <v>2522</v>
      </c>
      <c r="G3650" s="23">
        <v>46156</v>
      </c>
    </row>
    <row r="3651" spans="1:7" ht="48.5" hidden="1" x14ac:dyDescent="0.35">
      <c r="A3651" s="8">
        <v>11997</v>
      </c>
      <c r="B3651" s="10" t="s">
        <v>6208</v>
      </c>
      <c r="C3651" s="10" t="s">
        <v>96</v>
      </c>
      <c r="D3651" s="9" t="s">
        <v>395</v>
      </c>
      <c r="E3651" s="9" t="str">
        <f>_xlfn.TEXTAFTER(Condiciones_acumuladas[[#This Row],[Descripción]], " ", -2)</f>
        <v>Abraham Quiej</v>
      </c>
      <c r="F3651" s="21" t="s">
        <v>2559</v>
      </c>
      <c r="G3651" s="23">
        <v>46156</v>
      </c>
    </row>
    <row r="3652" spans="1:7" ht="24.5" hidden="1" x14ac:dyDescent="0.35">
      <c r="A3652" s="8">
        <v>12037</v>
      </c>
      <c r="B3652" s="10" t="s">
        <v>6209</v>
      </c>
      <c r="C3652" s="10" t="s">
        <v>96</v>
      </c>
      <c r="D3652" s="9" t="s">
        <v>234</v>
      </c>
      <c r="E3652" s="9" t="str">
        <f>_xlfn.TEXTAFTER(Condiciones_acumuladas[[#This Row],[Descripción]], " ", -2)</f>
        <v>Bryan Rodas</v>
      </c>
      <c r="F3652" s="21" t="s">
        <v>2537</v>
      </c>
      <c r="G3652" s="23">
        <v>46157</v>
      </c>
    </row>
    <row r="3653" spans="1:7" ht="24.5" hidden="1" x14ac:dyDescent="0.35">
      <c r="A3653" s="8">
        <v>12038</v>
      </c>
      <c r="B3653" s="10" t="s">
        <v>6210</v>
      </c>
      <c r="C3653" s="10" t="s">
        <v>193</v>
      </c>
      <c r="D3653" s="9" t="s">
        <v>234</v>
      </c>
      <c r="E3653" s="9" t="str">
        <f>_xlfn.TEXTAFTER(Condiciones_acumuladas[[#This Row],[Descripción]], " ", -2)</f>
        <v>Bryan Rodas</v>
      </c>
      <c r="F3653" s="21" t="s">
        <v>2522</v>
      </c>
      <c r="G3653" s="23">
        <v>46157</v>
      </c>
    </row>
    <row r="3654" spans="1:7" ht="36.5" hidden="1" x14ac:dyDescent="0.35">
      <c r="A3654" s="8">
        <v>12034</v>
      </c>
      <c r="B3654" s="10" t="s">
        <v>6211</v>
      </c>
      <c r="C3654" s="10" t="s">
        <v>220</v>
      </c>
      <c r="D3654" s="9" t="s">
        <v>395</v>
      </c>
      <c r="E3654" s="9" t="str">
        <f>_xlfn.TEXTAFTER(Condiciones_acumuladas[[#This Row],[Descripción]], " ", -2)</f>
        <v>Josué Vásquez</v>
      </c>
      <c r="F3654" s="21" t="s">
        <v>2522</v>
      </c>
      <c r="G3654" s="23">
        <v>46157</v>
      </c>
    </row>
    <row r="3655" spans="1:7" ht="36.5" hidden="1" x14ac:dyDescent="0.35">
      <c r="A3655" s="8">
        <v>12033</v>
      </c>
      <c r="B3655" s="10" t="s">
        <v>6212</v>
      </c>
      <c r="C3655" s="10" t="s">
        <v>196</v>
      </c>
      <c r="D3655" s="9" t="s">
        <v>395</v>
      </c>
      <c r="E3655" s="9" t="str">
        <f>_xlfn.TEXTAFTER(Condiciones_acumuladas[[#This Row],[Descripción]], " ", -2)</f>
        <v>Daniel Pineda</v>
      </c>
      <c r="F3655" s="21" t="s">
        <v>2516</v>
      </c>
      <c r="G3655" s="23">
        <v>46157</v>
      </c>
    </row>
    <row r="3656" spans="1:7" ht="36.5" hidden="1" x14ac:dyDescent="0.35">
      <c r="A3656" s="8">
        <v>12032</v>
      </c>
      <c r="B3656" s="10" t="s">
        <v>6213</v>
      </c>
      <c r="C3656" s="10" t="s">
        <v>234</v>
      </c>
      <c r="D3656" s="9" t="s">
        <v>234</v>
      </c>
      <c r="E3656" s="9" t="str">
        <f>_xlfn.TEXTAFTER(Condiciones_acumuladas[[#This Row],[Descripción]], " ", -2)</f>
        <v>Gustavo Hernández</v>
      </c>
      <c r="F3656" s="21" t="s">
        <v>2516</v>
      </c>
      <c r="G3656" s="23">
        <v>46157</v>
      </c>
    </row>
    <row r="3657" spans="1:7" ht="36.5" hidden="1" x14ac:dyDescent="0.35">
      <c r="A3657" s="8">
        <v>12031</v>
      </c>
      <c r="B3657" s="10" t="s">
        <v>6214</v>
      </c>
      <c r="C3657" s="10" t="s">
        <v>220</v>
      </c>
      <c r="D3657" s="9" t="s">
        <v>395</v>
      </c>
      <c r="E3657" s="9" t="str">
        <f>_xlfn.TEXTAFTER(Condiciones_acumuladas[[#This Row],[Descripción]], " ", -2)</f>
        <v>Josué Vásquez</v>
      </c>
      <c r="F3657" s="21" t="s">
        <v>2530</v>
      </c>
      <c r="G3657" s="23">
        <v>46157</v>
      </c>
    </row>
    <row r="3658" spans="1:7" ht="36.5" hidden="1" x14ac:dyDescent="0.35">
      <c r="A3658" s="8">
        <v>12029</v>
      </c>
      <c r="B3658" s="10" t="s">
        <v>6215</v>
      </c>
      <c r="C3658" s="10" t="s">
        <v>193</v>
      </c>
      <c r="D3658" s="9" t="s">
        <v>250</v>
      </c>
      <c r="E3658" s="9" t="str">
        <f>_xlfn.TEXTAFTER(Condiciones_acumuladas[[#This Row],[Descripción]], " ", -2)</f>
        <v>Edson Bonifacio</v>
      </c>
      <c r="F3658" s="21" t="s">
        <v>2522</v>
      </c>
      <c r="G3658" s="23">
        <v>46156</v>
      </c>
    </row>
    <row r="3659" spans="1:7" ht="24.5" hidden="1" x14ac:dyDescent="0.35">
      <c r="A3659" s="8">
        <v>12028</v>
      </c>
      <c r="B3659" s="10" t="s">
        <v>6216</v>
      </c>
      <c r="C3659" s="10" t="s">
        <v>250</v>
      </c>
      <c r="D3659" s="9" t="s">
        <v>250</v>
      </c>
      <c r="E3659" s="9" t="str">
        <f>_xlfn.TEXTAFTER(Condiciones_acumuladas[[#This Row],[Descripción]], " ", -2)</f>
        <v>Edson Bonifacio</v>
      </c>
      <c r="F3659" s="21" t="s">
        <v>2522</v>
      </c>
      <c r="G3659" s="23">
        <v>46156</v>
      </c>
    </row>
    <row r="3660" spans="1:7" ht="36.5" hidden="1" x14ac:dyDescent="0.35">
      <c r="A3660" s="8">
        <v>12042</v>
      </c>
      <c r="B3660" s="10" t="s">
        <v>6217</v>
      </c>
      <c r="C3660" s="10" t="s">
        <v>134</v>
      </c>
      <c r="D3660" s="9" t="s">
        <v>134</v>
      </c>
      <c r="E3660" s="9" t="str">
        <f>_xlfn.TEXTAFTER(Condiciones_acumuladas[[#This Row],[Descripción]], " ", -2)</f>
        <v xml:space="preserve">Alfonso Guatzin
</v>
      </c>
      <c r="F3660" s="21" t="s">
        <v>2522</v>
      </c>
      <c r="G3660" s="23">
        <v>46156</v>
      </c>
    </row>
    <row r="3661" spans="1:7" ht="48.5" hidden="1" x14ac:dyDescent="0.35">
      <c r="A3661" s="8">
        <v>12045</v>
      </c>
      <c r="B3661" s="10" t="s">
        <v>6218</v>
      </c>
      <c r="C3661" s="10" t="s">
        <v>21</v>
      </c>
      <c r="D3661" s="9" t="s">
        <v>395</v>
      </c>
      <c r="E3661" s="9" t="str">
        <f>_xlfn.TEXTAFTER(Condiciones_acumuladas[[#This Row],[Descripción]], " ", -2)</f>
        <v xml:space="preserve">German Orozco
</v>
      </c>
      <c r="F3661" s="21" t="s">
        <v>2522</v>
      </c>
      <c r="G3661" s="23">
        <v>46161</v>
      </c>
    </row>
    <row r="3662" spans="1:7" ht="48.5" hidden="1" x14ac:dyDescent="0.35">
      <c r="A3662" s="8">
        <v>12046</v>
      </c>
      <c r="B3662" s="10" t="s">
        <v>6219</v>
      </c>
      <c r="C3662" s="10" t="s">
        <v>21</v>
      </c>
      <c r="D3662" s="9" t="s">
        <v>395</v>
      </c>
      <c r="E3662" s="9" t="str">
        <f>_xlfn.TEXTAFTER(Condiciones_acumuladas[[#This Row],[Descripción]], " ", -2)</f>
        <v xml:space="preserve">German Orozco
</v>
      </c>
      <c r="F3662" s="21" t="s">
        <v>2522</v>
      </c>
      <c r="G3662" s="23">
        <v>46161</v>
      </c>
    </row>
    <row r="3663" spans="1:7" ht="36.5" hidden="1" x14ac:dyDescent="0.35">
      <c r="A3663" s="8">
        <v>12047</v>
      </c>
      <c r="B3663" s="10" t="s">
        <v>6220</v>
      </c>
      <c r="C3663" s="10" t="s">
        <v>21</v>
      </c>
      <c r="D3663" s="9" t="s">
        <v>395</v>
      </c>
      <c r="E3663" s="9" t="str">
        <f>_xlfn.TEXTAFTER(Condiciones_acumuladas[[#This Row],[Descripción]], " ", -2)</f>
        <v>German Orozco</v>
      </c>
      <c r="F3663" s="21" t="s">
        <v>2522</v>
      </c>
      <c r="G3663" s="23">
        <v>46161</v>
      </c>
    </row>
    <row r="3664" spans="1:7" ht="36.5" hidden="1" x14ac:dyDescent="0.35">
      <c r="A3664" s="8">
        <v>12049</v>
      </c>
      <c r="B3664" s="10" t="s">
        <v>6221</v>
      </c>
      <c r="C3664" s="10" t="s">
        <v>21</v>
      </c>
      <c r="D3664" s="9" t="s">
        <v>395</v>
      </c>
      <c r="E3664" s="9" t="str">
        <f>_xlfn.TEXTAFTER(Condiciones_acumuladas[[#This Row],[Descripción]], " ", -2)</f>
        <v>German Orozco</v>
      </c>
      <c r="F3664" s="21" t="s">
        <v>2522</v>
      </c>
      <c r="G3664" s="23">
        <v>46161</v>
      </c>
    </row>
    <row r="3665" spans="1:7" ht="36.5" hidden="1" x14ac:dyDescent="0.35">
      <c r="A3665" s="8">
        <v>12050</v>
      </c>
      <c r="B3665" s="10" t="s">
        <v>6222</v>
      </c>
      <c r="C3665" s="10" t="s">
        <v>21</v>
      </c>
      <c r="D3665" s="9" t="s">
        <v>395</v>
      </c>
      <c r="E3665" s="9" t="str">
        <f>_xlfn.TEXTAFTER(Condiciones_acumuladas[[#This Row],[Descripción]], " ", -2)</f>
        <v xml:space="preserve">German Orozco
</v>
      </c>
      <c r="F3665" s="21" t="s">
        <v>2522</v>
      </c>
      <c r="G3665" s="23">
        <v>46161</v>
      </c>
    </row>
    <row r="3666" spans="1:7" ht="48.5" hidden="1" x14ac:dyDescent="0.35">
      <c r="A3666" s="8">
        <v>12048</v>
      </c>
      <c r="B3666" s="10" t="s">
        <v>6223</v>
      </c>
      <c r="C3666" s="10" t="s">
        <v>21</v>
      </c>
      <c r="D3666" s="9" t="s">
        <v>395</v>
      </c>
      <c r="E3666" s="9" t="str">
        <f>_xlfn.TEXTAFTER(Condiciones_acumuladas[[#This Row],[Descripción]], " ", -2)</f>
        <v xml:space="preserve">German Orozco
</v>
      </c>
      <c r="F3666" s="21" t="s">
        <v>2522</v>
      </c>
      <c r="G3666" s="23">
        <v>46161</v>
      </c>
    </row>
    <row r="3667" spans="1:7" ht="36.5" hidden="1" x14ac:dyDescent="0.35">
      <c r="A3667" s="8">
        <v>12051</v>
      </c>
      <c r="B3667" s="10" t="s">
        <v>6224</v>
      </c>
      <c r="C3667" s="10" t="s">
        <v>21</v>
      </c>
      <c r="D3667" s="9" t="s">
        <v>395</v>
      </c>
      <c r="E3667" s="9" t="str">
        <f>_xlfn.TEXTAFTER(Condiciones_acumuladas[[#This Row],[Descripción]], " ", -2)</f>
        <v>German Orozco</v>
      </c>
      <c r="F3667" s="21" t="s">
        <v>2530</v>
      </c>
      <c r="G3667" s="23">
        <v>46161</v>
      </c>
    </row>
    <row r="3668" spans="1:7" ht="48.5" hidden="1" x14ac:dyDescent="0.35">
      <c r="A3668" s="8">
        <v>12052</v>
      </c>
      <c r="B3668" s="10" t="s">
        <v>6225</v>
      </c>
      <c r="C3668" s="10" t="s">
        <v>21</v>
      </c>
      <c r="D3668" s="9" t="s">
        <v>395</v>
      </c>
      <c r="E3668" s="9" t="str">
        <f>_xlfn.TEXTAFTER(Condiciones_acumuladas[[#This Row],[Descripción]], " ", -2)</f>
        <v xml:space="preserve">German Orozco
</v>
      </c>
      <c r="F3668" s="21" t="s">
        <v>2537</v>
      </c>
      <c r="G3668" s="23">
        <v>46161</v>
      </c>
    </row>
    <row r="3669" spans="1:7" ht="36.5" hidden="1" x14ac:dyDescent="0.35">
      <c r="A3669" s="8">
        <v>12053</v>
      </c>
      <c r="B3669" s="10" t="s">
        <v>6226</v>
      </c>
      <c r="C3669" s="10" t="s">
        <v>21</v>
      </c>
      <c r="D3669" s="9" t="s">
        <v>395</v>
      </c>
      <c r="E3669" s="9" t="str">
        <f>_xlfn.TEXTAFTER(Condiciones_acumuladas[[#This Row],[Descripción]], " ", -2)</f>
        <v>German Orozco</v>
      </c>
      <c r="F3669" s="21" t="s">
        <v>2522</v>
      </c>
      <c r="G3669" s="23">
        <v>46161</v>
      </c>
    </row>
    <row r="3670" spans="1:7" ht="48.5" hidden="1" x14ac:dyDescent="0.35">
      <c r="A3670" s="8">
        <v>12054</v>
      </c>
      <c r="B3670" s="10" t="s">
        <v>6227</v>
      </c>
      <c r="C3670" s="10" t="s">
        <v>96</v>
      </c>
      <c r="D3670" s="9" t="s">
        <v>395</v>
      </c>
      <c r="E3670" s="9" t="str">
        <f>_xlfn.TEXTAFTER(Condiciones_acumuladas[[#This Row],[Descripción]], " ", -2)</f>
        <v xml:space="preserve">German Orozco
</v>
      </c>
      <c r="F3670" s="21" t="s">
        <v>2525</v>
      </c>
      <c r="G3670" s="23">
        <v>46161</v>
      </c>
    </row>
    <row r="3671" spans="1:7" ht="36.5" hidden="1" x14ac:dyDescent="0.35">
      <c r="A3671" s="8">
        <v>12055</v>
      </c>
      <c r="B3671" s="10" t="s">
        <v>6228</v>
      </c>
      <c r="C3671" s="10" t="s">
        <v>96</v>
      </c>
      <c r="D3671" s="9" t="s">
        <v>395</v>
      </c>
      <c r="E3671" s="9" t="str">
        <f>_xlfn.TEXTAFTER(Condiciones_acumuladas[[#This Row],[Descripción]], " ", -2)</f>
        <v>German Orozco</v>
      </c>
      <c r="F3671" s="21" t="s">
        <v>2522</v>
      </c>
      <c r="G3671" s="23">
        <v>46161</v>
      </c>
    </row>
    <row r="3672" spans="1:7" ht="36.5" hidden="1" x14ac:dyDescent="0.35">
      <c r="A3672" s="8">
        <v>12057</v>
      </c>
      <c r="B3672" s="10" t="s">
        <v>6229</v>
      </c>
      <c r="C3672" s="10" t="s">
        <v>96</v>
      </c>
      <c r="D3672" s="9" t="s">
        <v>395</v>
      </c>
      <c r="E3672" s="9" t="str">
        <f>_xlfn.TEXTAFTER(Condiciones_acumuladas[[#This Row],[Descripción]], " ", -2)</f>
        <v>German Orozco</v>
      </c>
      <c r="F3672" s="21" t="s">
        <v>2522</v>
      </c>
      <c r="G3672" s="23">
        <v>46161</v>
      </c>
    </row>
    <row r="3673" spans="1:7" ht="36.5" hidden="1" x14ac:dyDescent="0.35">
      <c r="A3673" s="8">
        <v>12056</v>
      </c>
      <c r="B3673" s="10" t="s">
        <v>6230</v>
      </c>
      <c r="C3673" s="10" t="s">
        <v>96</v>
      </c>
      <c r="D3673" s="9" t="s">
        <v>395</v>
      </c>
      <c r="E3673" s="9" t="str">
        <f>_xlfn.TEXTAFTER(Condiciones_acumuladas[[#This Row],[Descripción]], " ", -2)</f>
        <v>German Orozco</v>
      </c>
      <c r="F3673" s="21" t="s">
        <v>2525</v>
      </c>
      <c r="G3673" s="23">
        <v>46161</v>
      </c>
    </row>
    <row r="3674" spans="1:7" ht="36.5" hidden="1" x14ac:dyDescent="0.35">
      <c r="A3674" s="8">
        <v>12059</v>
      </c>
      <c r="B3674" s="10" t="s">
        <v>6231</v>
      </c>
      <c r="C3674" s="10" t="s">
        <v>96</v>
      </c>
      <c r="D3674" s="9" t="s">
        <v>395</v>
      </c>
      <c r="E3674" s="9" t="str">
        <f>_xlfn.TEXTAFTER(Condiciones_acumuladas[[#This Row],[Descripción]], " ", -2)</f>
        <v>German Orozco</v>
      </c>
      <c r="F3674" s="21" t="s">
        <v>2525</v>
      </c>
      <c r="G3674" s="23">
        <v>46161</v>
      </c>
    </row>
    <row r="3675" spans="1:7" ht="60.5" hidden="1" x14ac:dyDescent="0.35">
      <c r="A3675" s="8">
        <v>12058</v>
      </c>
      <c r="B3675" s="10" t="s">
        <v>6232</v>
      </c>
      <c r="C3675" s="10" t="s">
        <v>96</v>
      </c>
      <c r="D3675" s="9" t="s">
        <v>395</v>
      </c>
      <c r="E3675" s="9" t="str">
        <f>_xlfn.TEXTAFTER(Condiciones_acumuladas[[#This Row],[Descripción]], " ", -2)</f>
        <v xml:space="preserve">German Orozco
</v>
      </c>
      <c r="F3675" s="21" t="s">
        <v>2522</v>
      </c>
      <c r="G3675" s="23">
        <v>46161</v>
      </c>
    </row>
    <row r="3676" spans="1:7" ht="36.5" hidden="1" x14ac:dyDescent="0.35">
      <c r="A3676" s="8">
        <v>12060</v>
      </c>
      <c r="B3676" s="10" t="s">
        <v>6233</v>
      </c>
      <c r="C3676" s="10" t="s">
        <v>96</v>
      </c>
      <c r="D3676" s="9" t="s">
        <v>395</v>
      </c>
      <c r="E3676" s="9" t="str">
        <f>_xlfn.TEXTAFTER(Condiciones_acumuladas[[#This Row],[Descripción]], " ", -2)</f>
        <v>German Orozco</v>
      </c>
      <c r="F3676" s="21" t="s">
        <v>2522</v>
      </c>
      <c r="G3676" s="23">
        <v>46161</v>
      </c>
    </row>
    <row r="3677" spans="1:7" ht="36.5" hidden="1" x14ac:dyDescent="0.35">
      <c r="A3677" s="8">
        <v>12063</v>
      </c>
      <c r="B3677" s="10" t="s">
        <v>6234</v>
      </c>
      <c r="C3677" s="10" t="s">
        <v>95</v>
      </c>
      <c r="D3677" s="9" t="s">
        <v>395</v>
      </c>
      <c r="E3677" s="9" t="str">
        <f>_xlfn.TEXTAFTER(Condiciones_acumuladas[[#This Row],[Descripción]], " ", -2)</f>
        <v>German Orozco</v>
      </c>
      <c r="F3677" s="21" t="s">
        <v>2522</v>
      </c>
      <c r="G3677" s="23">
        <v>46161</v>
      </c>
    </row>
    <row r="3678" spans="1:7" ht="48.5" hidden="1" x14ac:dyDescent="0.35">
      <c r="A3678" s="8">
        <v>12064</v>
      </c>
      <c r="B3678" s="10" t="s">
        <v>6235</v>
      </c>
      <c r="C3678" s="10" t="s">
        <v>95</v>
      </c>
      <c r="D3678" s="9" t="s">
        <v>395</v>
      </c>
      <c r="E3678" s="9" t="str">
        <f>_xlfn.TEXTAFTER(Condiciones_acumuladas[[#This Row],[Descripción]], " ", -2)</f>
        <v>German Orozco</v>
      </c>
      <c r="F3678" s="21" t="s">
        <v>2516</v>
      </c>
      <c r="G3678" s="23">
        <v>46161</v>
      </c>
    </row>
    <row r="3679" spans="1:7" ht="60.5" hidden="1" x14ac:dyDescent="0.35">
      <c r="A3679" s="8">
        <v>12061</v>
      </c>
      <c r="B3679" s="10" t="s">
        <v>6236</v>
      </c>
      <c r="C3679" s="10" t="s">
        <v>95</v>
      </c>
      <c r="D3679" s="9" t="s">
        <v>395</v>
      </c>
      <c r="E3679" s="9" t="str">
        <f>_xlfn.TEXTAFTER(Condiciones_acumuladas[[#This Row],[Descripción]], " ", -2)</f>
        <v xml:space="preserve">German Orozco
</v>
      </c>
      <c r="F3679" s="21" t="s">
        <v>2522</v>
      </c>
      <c r="G3679" s="23">
        <v>46161</v>
      </c>
    </row>
    <row r="3680" spans="1:7" ht="48.5" hidden="1" x14ac:dyDescent="0.35">
      <c r="A3680" s="8">
        <v>12044</v>
      </c>
      <c r="B3680" s="10" t="s">
        <v>6237</v>
      </c>
      <c r="C3680" s="10" t="s">
        <v>234</v>
      </c>
      <c r="D3680" s="9" t="s">
        <v>95</v>
      </c>
      <c r="E3680" s="9" t="str">
        <f>_xlfn.TEXTAFTER(Condiciones_acumuladas[[#This Row],[Descripción]], " ", -2)</f>
        <v>Andrea González</v>
      </c>
      <c r="F3680" s="21" t="s">
        <v>2559</v>
      </c>
      <c r="G3680" s="23">
        <v>46161</v>
      </c>
    </row>
    <row r="3681" spans="1:7" ht="36.5" hidden="1" x14ac:dyDescent="0.35">
      <c r="A3681" s="8">
        <v>12062</v>
      </c>
      <c r="B3681" s="10" t="s">
        <v>6238</v>
      </c>
      <c r="C3681" s="10" t="s">
        <v>95</v>
      </c>
      <c r="D3681" s="9" t="s">
        <v>395</v>
      </c>
      <c r="E3681" s="9" t="str">
        <f>_xlfn.TEXTAFTER(Condiciones_acumuladas[[#This Row],[Descripción]], " ", -2)</f>
        <v>German Orozco</v>
      </c>
      <c r="F3681" s="21" t="s">
        <v>2516</v>
      </c>
      <c r="G3681" s="23">
        <v>46161</v>
      </c>
    </row>
    <row r="3682" spans="1:7" ht="24.5" hidden="1" x14ac:dyDescent="0.35">
      <c r="A3682" s="8">
        <v>12111</v>
      </c>
      <c r="B3682" s="10" t="s">
        <v>6239</v>
      </c>
      <c r="C3682" s="10" t="s">
        <v>371</v>
      </c>
      <c r="D3682" s="9" t="s">
        <v>220</v>
      </c>
      <c r="E3682" s="9" t="str">
        <f>_xlfn.TEXTAFTER(Condiciones_acumuladas[[#This Row],[Descripción]], " ", -2)</f>
        <v>Charly Coc</v>
      </c>
      <c r="F3682" s="21" t="s">
        <v>2522</v>
      </c>
      <c r="G3682" s="23">
        <v>46164</v>
      </c>
    </row>
    <row r="3683" spans="1:7" ht="36.5" hidden="1" x14ac:dyDescent="0.35">
      <c r="A3683" s="8">
        <v>12110</v>
      </c>
      <c r="B3683" s="10" t="s">
        <v>6240</v>
      </c>
      <c r="C3683" s="10" t="s">
        <v>104</v>
      </c>
      <c r="D3683" s="9" t="s">
        <v>250</v>
      </c>
      <c r="E3683" s="9" t="str">
        <f>_xlfn.TEXTAFTER(Condiciones_acumuladas[[#This Row],[Descripción]], " ", -2)</f>
        <v>Edson Bonifacio</v>
      </c>
      <c r="F3683" s="21" t="s">
        <v>2522</v>
      </c>
      <c r="G3683" s="23">
        <v>46164</v>
      </c>
    </row>
    <row r="3684" spans="1:7" ht="24.5" hidden="1" x14ac:dyDescent="0.35">
      <c r="A3684" s="8">
        <v>12108</v>
      </c>
      <c r="B3684" s="10" t="s">
        <v>6241</v>
      </c>
      <c r="C3684" s="10" t="s">
        <v>104</v>
      </c>
      <c r="D3684" s="9" t="s">
        <v>250</v>
      </c>
      <c r="E3684" s="9" t="str">
        <f>_xlfn.TEXTAFTER(Condiciones_acumuladas[[#This Row],[Descripción]], " ", -2)</f>
        <v>Edson Bonifacio</v>
      </c>
      <c r="F3684" s="21" t="s">
        <v>2522</v>
      </c>
      <c r="G3684" s="23">
        <v>46164</v>
      </c>
    </row>
    <row r="3685" spans="1:7" ht="24.5" hidden="1" x14ac:dyDescent="0.35">
      <c r="A3685" s="8">
        <v>12107</v>
      </c>
      <c r="B3685" s="10" t="s">
        <v>6242</v>
      </c>
      <c r="C3685" s="10" t="s">
        <v>234</v>
      </c>
      <c r="D3685" s="9" t="s">
        <v>250</v>
      </c>
      <c r="E3685" s="9" t="str">
        <f>_xlfn.TEXTAFTER(Condiciones_acumuladas[[#This Row],[Descripción]], " ", -2)</f>
        <v>Edson Bonifacio</v>
      </c>
      <c r="F3685" s="21" t="s">
        <v>2522</v>
      </c>
      <c r="G3685" s="23">
        <v>46164</v>
      </c>
    </row>
    <row r="3686" spans="1:7" ht="24.5" hidden="1" x14ac:dyDescent="0.35">
      <c r="A3686" s="8">
        <v>12106</v>
      </c>
      <c r="B3686" s="10" t="s">
        <v>6243</v>
      </c>
      <c r="C3686" s="10" t="s">
        <v>21</v>
      </c>
      <c r="D3686" s="9" t="s">
        <v>21</v>
      </c>
      <c r="E3686" s="9" t="str">
        <f>_xlfn.TEXTAFTER(Condiciones_acumuladas[[#This Row],[Descripción]], " ", -2)</f>
        <v xml:space="preserve">desentarimado, </v>
      </c>
      <c r="F3686" s="21" t="s">
        <v>2540</v>
      </c>
      <c r="G3686" s="23">
        <v>46164</v>
      </c>
    </row>
    <row r="3687" spans="1:7" ht="36.5" hidden="1" x14ac:dyDescent="0.35">
      <c r="A3687" s="8">
        <v>12105</v>
      </c>
      <c r="B3687" s="10" t="s">
        <v>6244</v>
      </c>
      <c r="C3687" s="10" t="s">
        <v>13</v>
      </c>
      <c r="D3687" s="9" t="s">
        <v>13</v>
      </c>
      <c r="E3687" s="9" t="str">
        <f>_xlfn.TEXTAFTER(Condiciones_acumuladas[[#This Row],[Descripción]], " ", -2)</f>
        <v>Gustavo Hernández</v>
      </c>
      <c r="F3687" s="21" t="s">
        <v>2522</v>
      </c>
      <c r="G3687" s="23">
        <v>46163</v>
      </c>
    </row>
    <row r="3688" spans="1:7" ht="36.5" hidden="1" x14ac:dyDescent="0.35">
      <c r="A3688" s="8">
        <v>12103</v>
      </c>
      <c r="B3688" s="10" t="s">
        <v>6245</v>
      </c>
      <c r="C3688" s="10" t="s">
        <v>234</v>
      </c>
      <c r="D3688" s="9" t="s">
        <v>371</v>
      </c>
      <c r="E3688" s="9" t="str">
        <f>_xlfn.TEXTAFTER(Condiciones_acumuladas[[#This Row],[Descripción]], " ", -2)</f>
        <v>Rodrigo Galindo</v>
      </c>
      <c r="F3688" s="21" t="s">
        <v>2525</v>
      </c>
      <c r="G3688" s="23">
        <v>46162</v>
      </c>
    </row>
    <row r="3689" spans="1:7" ht="24.5" hidden="1" x14ac:dyDescent="0.35">
      <c r="A3689" s="8">
        <v>12104</v>
      </c>
      <c r="B3689" s="10" t="s">
        <v>6246</v>
      </c>
      <c r="C3689" s="10" t="s">
        <v>13</v>
      </c>
      <c r="D3689" s="9" t="s">
        <v>13</v>
      </c>
      <c r="E3689" s="9" t="str">
        <f>_xlfn.TEXTAFTER(Condiciones_acumuladas[[#This Row],[Descripción]], " ", -2)</f>
        <v>Amilcar Ralda</v>
      </c>
      <c r="F3689" s="21" t="s">
        <v>2540</v>
      </c>
      <c r="G3689" s="23">
        <v>46163</v>
      </c>
    </row>
    <row r="3690" spans="1:7" ht="24.5" hidden="1" x14ac:dyDescent="0.35">
      <c r="A3690" s="8">
        <v>12102</v>
      </c>
      <c r="B3690" s="10" t="s">
        <v>6247</v>
      </c>
      <c r="C3690" s="10" t="s">
        <v>371</v>
      </c>
      <c r="D3690" s="9" t="s">
        <v>250</v>
      </c>
      <c r="E3690" s="9" t="str">
        <f>_xlfn.TEXTAFTER(Condiciones_acumuladas[[#This Row],[Descripción]], " ", -2)</f>
        <v>Edson Bonifacio</v>
      </c>
      <c r="F3690" s="21" t="s">
        <v>2540</v>
      </c>
      <c r="G3690" s="23">
        <v>46162</v>
      </c>
    </row>
    <row r="3691" spans="1:7" ht="36.5" hidden="1" x14ac:dyDescent="0.35">
      <c r="A3691" s="8">
        <v>12094</v>
      </c>
      <c r="B3691" s="10" t="s">
        <v>6248</v>
      </c>
      <c r="C3691" s="10" t="s">
        <v>21</v>
      </c>
      <c r="D3691" s="9" t="s">
        <v>134</v>
      </c>
      <c r="E3691" s="9" t="str">
        <f>_xlfn.TEXTAFTER(Condiciones_acumuladas[[#This Row],[Descripción]], " ", -2)</f>
        <v>Jaime Chilel</v>
      </c>
      <c r="F3691" s="21" t="s">
        <v>2516</v>
      </c>
      <c r="G3691" s="23">
        <v>46162</v>
      </c>
    </row>
    <row r="3692" spans="1:7" ht="36.5" hidden="1" x14ac:dyDescent="0.35">
      <c r="A3692" s="8">
        <v>12092</v>
      </c>
      <c r="B3692" s="10" t="s">
        <v>6249</v>
      </c>
      <c r="C3692" s="10" t="s">
        <v>26</v>
      </c>
      <c r="D3692" s="9" t="s">
        <v>395</v>
      </c>
      <c r="E3692" s="9" t="str">
        <f>_xlfn.TEXTAFTER(Condiciones_acumuladas[[#This Row],[Descripción]], " ", -2)</f>
        <v>Abraham Quiej</v>
      </c>
      <c r="F3692" s="21" t="s">
        <v>2522</v>
      </c>
      <c r="G3692" s="23">
        <v>46162</v>
      </c>
    </row>
    <row r="3693" spans="1:7" ht="24.5" hidden="1" x14ac:dyDescent="0.35">
      <c r="A3693" s="8">
        <v>12093</v>
      </c>
      <c r="B3693" s="10" t="s">
        <v>6250</v>
      </c>
      <c r="C3693" s="10" t="s">
        <v>104</v>
      </c>
      <c r="D3693" s="9" t="s">
        <v>395</v>
      </c>
      <c r="E3693" s="9" t="str">
        <f>_xlfn.TEXTAFTER(Condiciones_acumuladas[[#This Row],[Descripción]], " ", -2)</f>
        <v>German Orozco</v>
      </c>
      <c r="F3693" s="21" t="s">
        <v>2522</v>
      </c>
      <c r="G3693" s="23">
        <v>46162</v>
      </c>
    </row>
    <row r="3694" spans="1:7" ht="24.5" hidden="1" x14ac:dyDescent="0.35">
      <c r="A3694" s="8">
        <v>12090</v>
      </c>
      <c r="B3694" s="10" t="s">
        <v>6251</v>
      </c>
      <c r="C3694" s="10" t="s">
        <v>96</v>
      </c>
      <c r="D3694" s="9" t="s">
        <v>234</v>
      </c>
      <c r="E3694" s="9" t="str">
        <f>_xlfn.TEXTAFTER(Condiciones_acumuladas[[#This Row],[Descripción]], " ", -2)</f>
        <v>Bryan Rodas</v>
      </c>
      <c r="F3694" s="21" t="s">
        <v>2537</v>
      </c>
      <c r="G3694" s="23">
        <v>46162</v>
      </c>
    </row>
    <row r="3695" spans="1:7" ht="36.5" hidden="1" x14ac:dyDescent="0.35">
      <c r="A3695" s="8">
        <v>12091</v>
      </c>
      <c r="B3695" s="10" t="s">
        <v>6252</v>
      </c>
      <c r="C3695" s="10" t="s">
        <v>371</v>
      </c>
      <c r="D3695" s="9" t="s">
        <v>234</v>
      </c>
      <c r="E3695" s="9" t="str">
        <f>_xlfn.TEXTAFTER(Condiciones_acumuladas[[#This Row],[Descripción]], " ", -2)</f>
        <v>Bryan Rodas</v>
      </c>
      <c r="F3695" s="21" t="s">
        <v>2572</v>
      </c>
      <c r="G3695" s="23">
        <v>46162</v>
      </c>
    </row>
    <row r="3696" spans="1:7" ht="36.5" hidden="1" x14ac:dyDescent="0.35">
      <c r="A3696" s="8">
        <v>12089</v>
      </c>
      <c r="B3696" s="10" t="s">
        <v>6253</v>
      </c>
      <c r="C3696" s="10" t="s">
        <v>371</v>
      </c>
      <c r="D3696" s="9" t="s">
        <v>234</v>
      </c>
      <c r="E3696" s="9" t="str">
        <f>_xlfn.TEXTAFTER(Condiciones_acumuladas[[#This Row],[Descripción]], " ", -2)</f>
        <v>Bryan Rodas</v>
      </c>
      <c r="F3696" s="21" t="s">
        <v>2572</v>
      </c>
      <c r="G3696" s="23">
        <v>46162</v>
      </c>
    </row>
    <row r="3697" spans="1:7" ht="36.5" hidden="1" x14ac:dyDescent="0.35">
      <c r="A3697" s="8">
        <v>12088</v>
      </c>
      <c r="B3697" s="10" t="s">
        <v>6254</v>
      </c>
      <c r="C3697" s="10" t="s">
        <v>371</v>
      </c>
      <c r="D3697" s="9" t="s">
        <v>234</v>
      </c>
      <c r="E3697" s="9" t="str">
        <f>_xlfn.TEXTAFTER(Condiciones_acumuladas[[#This Row],[Descripción]], " ", -2)</f>
        <v>Bryan Rodas</v>
      </c>
      <c r="F3697" s="21" t="s">
        <v>2525</v>
      </c>
      <c r="G3697" s="23">
        <v>46162</v>
      </c>
    </row>
    <row r="3698" spans="1:7" ht="36.5" hidden="1" x14ac:dyDescent="0.35">
      <c r="A3698" s="8">
        <v>12087</v>
      </c>
      <c r="B3698" s="10" t="s">
        <v>6255</v>
      </c>
      <c r="C3698" s="10" t="s">
        <v>227</v>
      </c>
      <c r="D3698" s="9" t="s">
        <v>220</v>
      </c>
      <c r="E3698" s="9" t="str">
        <f>_xlfn.TEXTAFTER(Condiciones_acumuladas[[#This Row],[Descripción]], " ", -2)</f>
        <v>Charly Coc</v>
      </c>
      <c r="F3698" s="21" t="s">
        <v>2516</v>
      </c>
      <c r="G3698" s="23">
        <v>46162</v>
      </c>
    </row>
    <row r="3699" spans="1:7" ht="48.5" hidden="1" x14ac:dyDescent="0.35">
      <c r="A3699" s="8">
        <v>12086</v>
      </c>
      <c r="B3699" s="10" t="s">
        <v>6256</v>
      </c>
      <c r="C3699" s="10" t="s">
        <v>96</v>
      </c>
      <c r="D3699" s="9" t="s">
        <v>395</v>
      </c>
      <c r="E3699" s="9" t="str">
        <f>_xlfn.TEXTAFTER(Condiciones_acumuladas[[#This Row],[Descripción]], " ", -2)</f>
        <v>Josué Vásquez</v>
      </c>
      <c r="F3699" s="21" t="s">
        <v>2559</v>
      </c>
      <c r="G3699" s="23">
        <v>46162</v>
      </c>
    </row>
    <row r="3700" spans="1:7" ht="36.5" hidden="1" x14ac:dyDescent="0.35">
      <c r="A3700" s="8">
        <v>12085</v>
      </c>
      <c r="B3700" s="10" t="s">
        <v>6257</v>
      </c>
      <c r="C3700" s="10" t="s">
        <v>205</v>
      </c>
      <c r="D3700" s="9" t="s">
        <v>220</v>
      </c>
      <c r="E3700" s="9" t="str">
        <f>_xlfn.TEXTAFTER(Condiciones_acumuladas[[#This Row],[Descripción]], " ", -2)</f>
        <v>Carlos Chávez</v>
      </c>
      <c r="F3700" s="21" t="s">
        <v>2540</v>
      </c>
      <c r="G3700" s="23">
        <v>46162</v>
      </c>
    </row>
    <row r="3701" spans="1:7" ht="36.5" hidden="1" x14ac:dyDescent="0.35">
      <c r="A3701" s="8">
        <v>12084</v>
      </c>
      <c r="B3701" s="10" t="s">
        <v>6258</v>
      </c>
      <c r="C3701" s="10" t="s">
        <v>134</v>
      </c>
      <c r="D3701" s="9" t="s">
        <v>134</v>
      </c>
      <c r="E3701" s="9" t="str">
        <f>_xlfn.TEXTAFTER(Condiciones_acumuladas[[#This Row],[Descripción]], " ", -2)</f>
        <v>Jaime Chilel</v>
      </c>
      <c r="F3701" s="21" t="s">
        <v>2572</v>
      </c>
      <c r="G3701" s="23">
        <v>46162</v>
      </c>
    </row>
    <row r="3702" spans="1:7" ht="36.5" hidden="1" x14ac:dyDescent="0.35">
      <c r="A3702" s="8">
        <v>12083</v>
      </c>
      <c r="B3702" s="10" t="s">
        <v>6259</v>
      </c>
      <c r="C3702" s="10" t="s">
        <v>395</v>
      </c>
      <c r="D3702" s="9" t="s">
        <v>190</v>
      </c>
      <c r="E3702" s="9" t="str">
        <f>_xlfn.TEXTAFTER(Condiciones_acumuladas[[#This Row],[Descripción]], " ", -2)</f>
        <v>Elvis Oliva</v>
      </c>
      <c r="F3702" s="21" t="s">
        <v>2525</v>
      </c>
      <c r="G3702" s="23">
        <v>46162</v>
      </c>
    </row>
    <row r="3703" spans="1:7" ht="36.5" hidden="1" x14ac:dyDescent="0.35">
      <c r="A3703" s="8">
        <v>12082</v>
      </c>
      <c r="B3703" s="10" t="s">
        <v>6260</v>
      </c>
      <c r="C3703" s="10" t="s">
        <v>95</v>
      </c>
      <c r="D3703" s="9" t="s">
        <v>395</v>
      </c>
      <c r="E3703" s="9" t="str">
        <f>_xlfn.TEXTAFTER(Condiciones_acumuladas[[#This Row],[Descripción]], " ", -2)</f>
        <v>Josué Vásquez</v>
      </c>
      <c r="F3703" s="21" t="s">
        <v>2522</v>
      </c>
      <c r="G3703" s="23">
        <v>46162</v>
      </c>
    </row>
    <row r="3704" spans="1:7" ht="36.5" hidden="1" x14ac:dyDescent="0.35">
      <c r="A3704" s="8">
        <v>12081</v>
      </c>
      <c r="B3704" s="10" t="s">
        <v>6261</v>
      </c>
      <c r="C3704" s="10" t="s">
        <v>95</v>
      </c>
      <c r="D3704" s="9" t="s">
        <v>190</v>
      </c>
      <c r="E3704" s="9" t="str">
        <f>_xlfn.TEXTAFTER(Condiciones_acumuladas[[#This Row],[Descripción]], " ", -2)</f>
        <v>Elvis Oliva</v>
      </c>
      <c r="F3704" s="21" t="s">
        <v>2516</v>
      </c>
      <c r="G3704" s="23">
        <v>46162</v>
      </c>
    </row>
    <row r="3705" spans="1:7" ht="24.5" hidden="1" x14ac:dyDescent="0.35">
      <c r="A3705" s="8">
        <v>12080</v>
      </c>
      <c r="B3705" s="10" t="s">
        <v>6262</v>
      </c>
      <c r="C3705" s="10" t="s">
        <v>220</v>
      </c>
      <c r="D3705" s="9" t="s">
        <v>220</v>
      </c>
      <c r="E3705" s="9" t="str">
        <f>_xlfn.TEXTAFTER(Condiciones_acumuladas[[#This Row],[Descripción]], " ", -2)</f>
        <v>Charly Coc</v>
      </c>
      <c r="F3705" s="21" t="s">
        <v>2522</v>
      </c>
      <c r="G3705" s="23">
        <v>46162</v>
      </c>
    </row>
    <row r="3706" spans="1:7" ht="24.5" hidden="1" x14ac:dyDescent="0.35">
      <c r="A3706" s="8">
        <v>12079</v>
      </c>
      <c r="B3706" s="10" t="s">
        <v>6263</v>
      </c>
      <c r="C3706" s="10" t="s">
        <v>134</v>
      </c>
      <c r="D3706" s="9" t="s">
        <v>395</v>
      </c>
      <c r="E3706" s="9" t="str">
        <f>_xlfn.TEXTAFTER(Condiciones_acumuladas[[#This Row],[Descripción]], " ", -2)</f>
        <v>German Orozco</v>
      </c>
      <c r="F3706" s="21" t="s">
        <v>2522</v>
      </c>
      <c r="G3706" s="23">
        <v>46162</v>
      </c>
    </row>
    <row r="3707" spans="1:7" ht="24.5" hidden="1" x14ac:dyDescent="0.35">
      <c r="A3707" s="8">
        <v>12078</v>
      </c>
      <c r="B3707" s="10" t="s">
        <v>6264</v>
      </c>
      <c r="C3707" s="10" t="s">
        <v>21</v>
      </c>
      <c r="D3707" s="9" t="s">
        <v>21</v>
      </c>
      <c r="E3707" s="9" t="str">
        <f>_xlfn.TEXTAFTER(Condiciones_acumuladas[[#This Row],[Descripción]], " ", -2)</f>
        <v>Wilber López</v>
      </c>
      <c r="F3707" s="21" t="s">
        <v>2522</v>
      </c>
      <c r="G3707" s="23">
        <v>46162</v>
      </c>
    </row>
    <row r="3708" spans="1:7" ht="36.5" hidden="1" x14ac:dyDescent="0.35">
      <c r="A3708" s="8">
        <v>12077</v>
      </c>
      <c r="B3708" s="10" t="s">
        <v>6265</v>
      </c>
      <c r="C3708" s="10" t="s">
        <v>134</v>
      </c>
      <c r="D3708" s="9" t="s">
        <v>134</v>
      </c>
      <c r="E3708" s="9" t="str">
        <f>_xlfn.TEXTAFTER(Condiciones_acumuladas[[#This Row],[Descripción]], " ", -2)</f>
        <v>Jaime Chilel</v>
      </c>
      <c r="F3708" s="21" t="s">
        <v>2540</v>
      </c>
      <c r="G3708" s="23">
        <v>46162</v>
      </c>
    </row>
    <row r="3709" spans="1:7" ht="36.5" hidden="1" x14ac:dyDescent="0.35">
      <c r="A3709" s="8">
        <v>12076</v>
      </c>
      <c r="B3709" s="10" t="s">
        <v>6266</v>
      </c>
      <c r="C3709" s="10" t="s">
        <v>21</v>
      </c>
      <c r="D3709" s="9" t="s">
        <v>21</v>
      </c>
      <c r="E3709" s="9" t="str">
        <f>_xlfn.TEXTAFTER(Condiciones_acumuladas[[#This Row],[Descripción]], " ", -2)</f>
        <v>Wilber López</v>
      </c>
      <c r="F3709" s="21" t="s">
        <v>2530</v>
      </c>
      <c r="G3709" s="23">
        <v>46162</v>
      </c>
    </row>
    <row r="3710" spans="1:7" ht="24.5" hidden="1" x14ac:dyDescent="0.35">
      <c r="A3710" s="8">
        <v>12075</v>
      </c>
      <c r="B3710" s="10" t="s">
        <v>6267</v>
      </c>
      <c r="C3710" s="10" t="s">
        <v>95</v>
      </c>
      <c r="D3710" s="9" t="s">
        <v>395</v>
      </c>
      <c r="E3710" s="9" t="str">
        <f>_xlfn.TEXTAFTER(Condiciones_acumuladas[[#This Row],[Descripción]], " ", -2)</f>
        <v>Josué Vásquez</v>
      </c>
      <c r="F3710" s="21" t="s">
        <v>2540</v>
      </c>
      <c r="G3710" s="23">
        <v>46162</v>
      </c>
    </row>
    <row r="3711" spans="1:7" ht="36.5" hidden="1" x14ac:dyDescent="0.35">
      <c r="A3711" s="8">
        <v>12074</v>
      </c>
      <c r="B3711" s="10" t="s">
        <v>6268</v>
      </c>
      <c r="C3711" s="10" t="s">
        <v>134</v>
      </c>
      <c r="D3711" s="9" t="s">
        <v>395</v>
      </c>
      <c r="E3711" s="9" t="str">
        <f>_xlfn.TEXTAFTER(Condiciones_acumuladas[[#This Row],[Descripción]], " ", -2)</f>
        <v>German Orozco</v>
      </c>
      <c r="F3711" s="21" t="s">
        <v>2530</v>
      </c>
      <c r="G3711" s="23">
        <v>46162</v>
      </c>
    </row>
    <row r="3712" spans="1:7" ht="24.5" hidden="1" x14ac:dyDescent="0.35">
      <c r="A3712" s="8">
        <v>12073</v>
      </c>
      <c r="B3712" s="10" t="s">
        <v>6269</v>
      </c>
      <c r="C3712" s="10" t="s">
        <v>21</v>
      </c>
      <c r="D3712" s="9" t="s">
        <v>21</v>
      </c>
      <c r="E3712" s="9" t="str">
        <f>_xlfn.TEXTAFTER(Condiciones_acumuladas[[#This Row],[Descripción]], " ", -2)</f>
        <v>Wilber López</v>
      </c>
      <c r="F3712" s="21" t="s">
        <v>2522</v>
      </c>
      <c r="G3712" s="23">
        <v>46162</v>
      </c>
    </row>
    <row r="3713" spans="1:7" ht="24.5" hidden="1" x14ac:dyDescent="0.35">
      <c r="A3713" s="8">
        <v>12072</v>
      </c>
      <c r="B3713" s="10" t="s">
        <v>6270</v>
      </c>
      <c r="C3713" s="10" t="s">
        <v>21</v>
      </c>
      <c r="D3713" s="9" t="s">
        <v>21</v>
      </c>
      <c r="E3713" s="9" t="str">
        <f>_xlfn.TEXTAFTER(Condiciones_acumuladas[[#This Row],[Descripción]], " ", -2)</f>
        <v>Wilber López</v>
      </c>
      <c r="F3713" s="21" t="s">
        <v>2522</v>
      </c>
      <c r="G3713" s="23">
        <v>46162</v>
      </c>
    </row>
    <row r="3714" spans="1:7" ht="36.5" hidden="1" x14ac:dyDescent="0.35">
      <c r="A3714" s="8">
        <v>12071</v>
      </c>
      <c r="B3714" s="10" t="s">
        <v>6271</v>
      </c>
      <c r="C3714" s="10" t="s">
        <v>26</v>
      </c>
      <c r="D3714" s="9" t="s">
        <v>190</v>
      </c>
      <c r="E3714" s="9" t="str">
        <f>_xlfn.TEXTAFTER(Condiciones_acumuladas[[#This Row],[Descripción]], " ", -2)</f>
        <v>Edson Bonifacio</v>
      </c>
      <c r="F3714" s="21" t="s">
        <v>2525</v>
      </c>
      <c r="G3714" s="23">
        <v>46161</v>
      </c>
    </row>
    <row r="3715" spans="1:7" ht="24.5" hidden="1" x14ac:dyDescent="0.35">
      <c r="A3715" s="8">
        <v>12070</v>
      </c>
      <c r="B3715" s="10" t="s">
        <v>6272</v>
      </c>
      <c r="C3715" s="10" t="s">
        <v>220</v>
      </c>
      <c r="D3715" s="9" t="s">
        <v>371</v>
      </c>
      <c r="E3715" s="9" t="str">
        <f>_xlfn.TEXTAFTER(Condiciones_acumuladas[[#This Row],[Descripción]], " ", -2)</f>
        <v>Josué Lepe</v>
      </c>
      <c r="F3715" s="21" t="s">
        <v>2522</v>
      </c>
      <c r="G3715" s="23">
        <v>46161</v>
      </c>
    </row>
    <row r="3716" spans="1:7" ht="36.5" hidden="1" x14ac:dyDescent="0.35">
      <c r="A3716" s="8">
        <v>12069</v>
      </c>
      <c r="B3716" s="10" t="s">
        <v>6273</v>
      </c>
      <c r="C3716" s="10" t="s">
        <v>220</v>
      </c>
      <c r="D3716" s="9" t="s">
        <v>395</v>
      </c>
      <c r="E3716" s="9" t="str">
        <f>_xlfn.TEXTAFTER(Condiciones_acumuladas[[#This Row],[Descripción]], " ", -2)</f>
        <v>Daniel Pineda</v>
      </c>
      <c r="F3716" s="21" t="s">
        <v>2516</v>
      </c>
      <c r="G3716" s="23">
        <v>46160</v>
      </c>
    </row>
    <row r="3717" spans="1:7" ht="48.5" hidden="1" x14ac:dyDescent="0.35">
      <c r="A3717" s="8">
        <v>12068</v>
      </c>
      <c r="B3717" s="10" t="s">
        <v>6274</v>
      </c>
      <c r="C3717" s="10" t="s">
        <v>96</v>
      </c>
      <c r="D3717" s="9" t="s">
        <v>234</v>
      </c>
      <c r="E3717" s="9" t="str">
        <f>_xlfn.TEXTAFTER(Condiciones_acumuladas[[#This Row],[Descripción]], " ", -2)</f>
        <v>Wilber López</v>
      </c>
      <c r="F3717" s="21" t="s">
        <v>2559</v>
      </c>
      <c r="G3717" s="23">
        <v>46160</v>
      </c>
    </row>
    <row r="3718" spans="1:7" ht="24.5" hidden="1" x14ac:dyDescent="0.35">
      <c r="A3718" s="8">
        <v>12067</v>
      </c>
      <c r="B3718" s="10" t="s">
        <v>6275</v>
      </c>
      <c r="C3718" s="10" t="s">
        <v>21</v>
      </c>
      <c r="D3718" s="9" t="s">
        <v>21</v>
      </c>
      <c r="E3718" s="9" t="str">
        <f>_xlfn.TEXTAFTER(Condiciones_acumuladas[[#This Row],[Descripción]], " ", -2)</f>
        <v>Gustavo Hernández</v>
      </c>
      <c r="F3718" s="21" t="s">
        <v>2522</v>
      </c>
      <c r="G3718" s="23">
        <v>46159</v>
      </c>
    </row>
    <row r="3719" spans="1:7" ht="36.5" hidden="1" x14ac:dyDescent="0.35">
      <c r="A3719" s="8">
        <v>12066</v>
      </c>
      <c r="B3719" s="10" t="s">
        <v>6276</v>
      </c>
      <c r="C3719" s="10" t="s">
        <v>227</v>
      </c>
      <c r="D3719" s="9" t="s">
        <v>395</v>
      </c>
      <c r="E3719" s="9" t="str">
        <f>_xlfn.TEXTAFTER(Condiciones_acumuladas[[#This Row],[Descripción]], " ", -2)</f>
        <v>Bryan Rodas</v>
      </c>
      <c r="F3719" s="21" t="s">
        <v>2516</v>
      </c>
      <c r="G3719" s="23">
        <v>46158</v>
      </c>
    </row>
    <row r="3720" spans="1:7" ht="36.5" hidden="1" x14ac:dyDescent="0.35">
      <c r="A3720" s="8">
        <v>12095</v>
      </c>
      <c r="B3720" s="10" t="s">
        <v>6277</v>
      </c>
      <c r="C3720" s="10" t="s">
        <v>104</v>
      </c>
      <c r="D3720" s="9" t="s">
        <v>234</v>
      </c>
      <c r="E3720" s="9" t="str">
        <f>_xlfn.TEXTAFTER(Condiciones_acumuladas[[#This Row],[Descripción]], " ", -2)</f>
        <v>Bryan Rodas</v>
      </c>
      <c r="F3720" s="21" t="s">
        <v>2530</v>
      </c>
      <c r="G3720" s="23">
        <v>46163</v>
      </c>
    </row>
    <row r="3721" spans="1:7" ht="24.5" hidden="1" x14ac:dyDescent="0.35">
      <c r="A3721" s="8">
        <v>12109</v>
      </c>
      <c r="B3721" s="10" t="s">
        <v>6278</v>
      </c>
      <c r="C3721" s="10" t="s">
        <v>104</v>
      </c>
      <c r="D3721" s="9" t="s">
        <v>250</v>
      </c>
      <c r="E3721" s="9" t="str">
        <f>_xlfn.TEXTAFTER(Condiciones_acumuladas[[#This Row],[Descripción]], " ", -2)</f>
        <v>Edson Bonifacio</v>
      </c>
      <c r="F3721" s="21" t="s">
        <v>2522</v>
      </c>
      <c r="G3721" s="23">
        <v>46164</v>
      </c>
    </row>
    <row r="3722" spans="1:7" ht="36.5" hidden="1" x14ac:dyDescent="0.35">
      <c r="A3722" s="8">
        <v>12098</v>
      </c>
      <c r="B3722" s="10" t="s">
        <v>6279</v>
      </c>
      <c r="C3722" s="10" t="s">
        <v>104</v>
      </c>
      <c r="D3722" s="9" t="s">
        <v>104</v>
      </c>
      <c r="E3722" s="9" t="str">
        <f>_xlfn.TEXTAFTER(Condiciones_acumuladas[[#This Row],[Descripción]], " ", -2)</f>
        <v>Obdulio Saquic</v>
      </c>
      <c r="F3722" s="21" t="s">
        <v>2516</v>
      </c>
      <c r="G3722" s="23">
        <v>46163</v>
      </c>
    </row>
    <row r="3723" spans="1:7" ht="48.5" hidden="1" x14ac:dyDescent="0.35">
      <c r="A3723" s="8">
        <v>12099</v>
      </c>
      <c r="B3723" s="10" t="s">
        <v>6280</v>
      </c>
      <c r="C3723" s="10" t="s">
        <v>104</v>
      </c>
      <c r="D3723" s="9" t="s">
        <v>104</v>
      </c>
      <c r="E3723" s="9" t="str">
        <f>_xlfn.TEXTAFTER(Condiciones_acumuladas[[#This Row],[Descripción]], " ", -2)</f>
        <v>Obdulio Saquic</v>
      </c>
      <c r="F3723" s="21" t="s">
        <v>2559</v>
      </c>
      <c r="G3723" s="23">
        <v>46163</v>
      </c>
    </row>
    <row r="3724" spans="1:7" ht="48.5" hidden="1" x14ac:dyDescent="0.35">
      <c r="A3724" s="8">
        <v>12112</v>
      </c>
      <c r="B3724" s="10" t="s">
        <v>6281</v>
      </c>
      <c r="C3724" s="10" t="s">
        <v>96</v>
      </c>
      <c r="D3724" s="9" t="s">
        <v>395</v>
      </c>
      <c r="E3724" s="9" t="str">
        <f>_xlfn.TEXTAFTER(Condiciones_acumuladas[[#This Row],[Descripción]], " ", -2)</f>
        <v>Josué Vásquez</v>
      </c>
      <c r="F3724" s="21" t="s">
        <v>2525</v>
      </c>
      <c r="G3724" s="23">
        <v>46164</v>
      </c>
    </row>
    <row r="3725" spans="1:7" ht="36.5" hidden="1" x14ac:dyDescent="0.35">
      <c r="A3725" s="8">
        <v>12128</v>
      </c>
      <c r="B3725" s="10" t="s">
        <v>6282</v>
      </c>
      <c r="C3725" s="10" t="s">
        <v>250</v>
      </c>
      <c r="D3725" s="9" t="s">
        <v>395</v>
      </c>
      <c r="E3725" s="9" t="str">
        <f>_xlfn.TEXTAFTER(Condiciones_acumuladas[[#This Row],[Descripción]], " ", -2)</f>
        <v>Josué Vásquez</v>
      </c>
      <c r="F3725" s="21" t="s">
        <v>2522</v>
      </c>
      <c r="G3725" s="23">
        <v>46167</v>
      </c>
    </row>
    <row r="3726" spans="1:7" ht="48.5" hidden="1" x14ac:dyDescent="0.35">
      <c r="A3726" s="8">
        <v>12127</v>
      </c>
      <c r="B3726" s="10" t="s">
        <v>6283</v>
      </c>
      <c r="C3726" s="10" t="s">
        <v>227</v>
      </c>
      <c r="D3726" s="9" t="s">
        <v>395</v>
      </c>
      <c r="E3726" s="9" t="str">
        <f>_xlfn.TEXTAFTER(Condiciones_acumuladas[[#This Row],[Descripción]], " ", -2)</f>
        <v>Bryan Barahona</v>
      </c>
      <c r="F3726" s="21" t="s">
        <v>2540</v>
      </c>
      <c r="G3726" s="23">
        <v>46167</v>
      </c>
    </row>
    <row r="3727" spans="1:7" ht="24.5" hidden="1" x14ac:dyDescent="0.35">
      <c r="A3727" s="8">
        <v>12125</v>
      </c>
      <c r="B3727" s="10" t="s">
        <v>6284</v>
      </c>
      <c r="C3727" s="10" t="s">
        <v>227</v>
      </c>
      <c r="D3727" s="9" t="s">
        <v>395</v>
      </c>
      <c r="E3727" s="9" t="str">
        <f>_xlfn.TEXTAFTER(Condiciones_acumuladas[[#This Row],[Descripción]], " ", -2)</f>
        <v>Josué Vásquez</v>
      </c>
      <c r="F3727" s="21" t="s">
        <v>2522</v>
      </c>
      <c r="G3727" s="23">
        <v>46167</v>
      </c>
    </row>
    <row r="3728" spans="1:7" ht="24.5" hidden="1" x14ac:dyDescent="0.35">
      <c r="A3728" s="8">
        <v>12124</v>
      </c>
      <c r="B3728" s="10" t="s">
        <v>6285</v>
      </c>
      <c r="C3728" s="10" t="s">
        <v>227</v>
      </c>
      <c r="D3728" s="9" t="s">
        <v>395</v>
      </c>
      <c r="E3728" s="9" t="str">
        <f>_xlfn.TEXTAFTER(Condiciones_acumuladas[[#This Row],[Descripción]], " ", -2)</f>
        <v>Josué Vásquez</v>
      </c>
      <c r="F3728" s="21" t="s">
        <v>2540</v>
      </c>
      <c r="G3728" s="23">
        <v>46167</v>
      </c>
    </row>
    <row r="3729" spans="1:7" ht="36.5" hidden="1" x14ac:dyDescent="0.35">
      <c r="A3729" s="8">
        <v>12123</v>
      </c>
      <c r="B3729" s="10" t="s">
        <v>6286</v>
      </c>
      <c r="C3729" s="10" t="s">
        <v>220</v>
      </c>
      <c r="D3729" s="9" t="s">
        <v>371</v>
      </c>
      <c r="E3729" s="9" t="str">
        <f>_xlfn.TEXTAFTER(Condiciones_acumuladas[[#This Row],[Descripción]], " ", -2)</f>
        <v>Rodrigo Galindo</v>
      </c>
      <c r="F3729" s="21" t="s">
        <v>2516</v>
      </c>
      <c r="G3729" s="23">
        <v>46166</v>
      </c>
    </row>
    <row r="3730" spans="1:7" ht="24.5" hidden="1" x14ac:dyDescent="0.35">
      <c r="A3730" s="8">
        <v>12122</v>
      </c>
      <c r="B3730" s="10" t="s">
        <v>6287</v>
      </c>
      <c r="C3730" s="10" t="s">
        <v>96</v>
      </c>
      <c r="D3730" s="9" t="s">
        <v>96</v>
      </c>
      <c r="E3730" s="9" t="str">
        <f>_xlfn.TEXTAFTER(Condiciones_acumuladas[[#This Row],[Descripción]], " ", -2)</f>
        <v>Isabel Saquila</v>
      </c>
      <c r="F3730" s="21" t="s">
        <v>2522</v>
      </c>
      <c r="G3730" s="23">
        <v>46166</v>
      </c>
    </row>
    <row r="3731" spans="1:7" ht="36.5" hidden="1" x14ac:dyDescent="0.35">
      <c r="A3731" s="8">
        <v>12121</v>
      </c>
      <c r="B3731" s="10" t="s">
        <v>6288</v>
      </c>
      <c r="C3731" s="10" t="s">
        <v>134</v>
      </c>
      <c r="D3731" s="9" t="s">
        <v>134</v>
      </c>
      <c r="E3731" s="9" t="str">
        <f>_xlfn.TEXTAFTER(Condiciones_acumuladas[[#This Row],[Descripción]], " ", -2)</f>
        <v>Haydée Martínez</v>
      </c>
      <c r="F3731" s="21" t="s">
        <v>2834</v>
      </c>
      <c r="G3731" s="23">
        <v>46165</v>
      </c>
    </row>
    <row r="3732" spans="1:7" ht="24.5" hidden="1" x14ac:dyDescent="0.35">
      <c r="A3732" s="8">
        <v>12120</v>
      </c>
      <c r="B3732" s="10" t="s">
        <v>6289</v>
      </c>
      <c r="C3732" s="10" t="s">
        <v>21</v>
      </c>
      <c r="D3732" s="9" t="s">
        <v>21</v>
      </c>
      <c r="E3732" s="9" t="str">
        <f>_xlfn.TEXTAFTER(Condiciones_acumuladas[[#This Row],[Descripción]], " ", -2)</f>
        <v>Gustavo Hernández</v>
      </c>
      <c r="F3732" s="21" t="s">
        <v>2522</v>
      </c>
      <c r="G3732" s="23">
        <v>46165</v>
      </c>
    </row>
    <row r="3733" spans="1:7" ht="24.5" hidden="1" x14ac:dyDescent="0.35">
      <c r="A3733" s="8">
        <v>12119</v>
      </c>
      <c r="B3733" s="10" t="s">
        <v>6290</v>
      </c>
      <c r="C3733" s="10" t="s">
        <v>96</v>
      </c>
      <c r="D3733" s="9" t="s">
        <v>96</v>
      </c>
      <c r="E3733" s="9" t="str">
        <f>_xlfn.TEXTAFTER(Condiciones_acumuladas[[#This Row],[Descripción]], " ", -2)</f>
        <v>Isabel Saquila</v>
      </c>
      <c r="F3733" s="21" t="s">
        <v>2537</v>
      </c>
      <c r="G3733" s="23">
        <v>46164</v>
      </c>
    </row>
    <row r="3734" spans="1:7" ht="36.5" hidden="1" x14ac:dyDescent="0.35">
      <c r="A3734" s="8">
        <v>12117</v>
      </c>
      <c r="B3734" s="10" t="s">
        <v>6291</v>
      </c>
      <c r="C3734" s="10" t="s">
        <v>250</v>
      </c>
      <c r="D3734" s="9" t="s">
        <v>395</v>
      </c>
      <c r="E3734" s="9" t="str">
        <f>_xlfn.TEXTAFTER(Condiciones_acumuladas[[#This Row],[Descripción]], " ", -2)</f>
        <v>Josué Vásquez</v>
      </c>
      <c r="F3734" s="21" t="s">
        <v>2525</v>
      </c>
      <c r="G3734" s="23">
        <v>46167</v>
      </c>
    </row>
    <row r="3735" spans="1:7" ht="36.5" hidden="1" x14ac:dyDescent="0.35">
      <c r="A3735" s="8">
        <v>12116</v>
      </c>
      <c r="B3735" s="10" t="s">
        <v>6292</v>
      </c>
      <c r="C3735" s="10" t="s">
        <v>250</v>
      </c>
      <c r="D3735" s="9" t="s">
        <v>395</v>
      </c>
      <c r="E3735" s="9" t="str">
        <f>_xlfn.TEXTAFTER(Condiciones_acumuladas[[#This Row],[Descripción]], " ", -2)</f>
        <v>Josué Vásquez</v>
      </c>
      <c r="F3735" s="21" t="s">
        <v>2525</v>
      </c>
      <c r="G3735" s="23">
        <v>46167</v>
      </c>
    </row>
    <row r="3736" spans="1:7" ht="36.5" hidden="1" x14ac:dyDescent="0.35">
      <c r="A3736" s="8">
        <v>12115</v>
      </c>
      <c r="B3736" s="10" t="s">
        <v>6293</v>
      </c>
      <c r="C3736" s="10" t="s">
        <v>250</v>
      </c>
      <c r="D3736" s="9" t="s">
        <v>395</v>
      </c>
      <c r="E3736" s="9" t="str">
        <f>_xlfn.TEXTAFTER(Condiciones_acumuladas[[#This Row],[Descripción]], " ", -2)</f>
        <v>Josué Vásquez</v>
      </c>
      <c r="F3736" s="21" t="s">
        <v>2525</v>
      </c>
      <c r="G3736" s="23">
        <v>46167</v>
      </c>
    </row>
    <row r="3737" spans="1:7" ht="36.5" hidden="1" x14ac:dyDescent="0.35">
      <c r="A3737" s="8">
        <v>12114</v>
      </c>
      <c r="B3737" s="10" t="s">
        <v>6294</v>
      </c>
      <c r="C3737" s="10" t="s">
        <v>196</v>
      </c>
      <c r="D3737" s="9" t="s">
        <v>395</v>
      </c>
      <c r="E3737" s="9" t="str">
        <f>_xlfn.TEXTAFTER(Condiciones_acumuladas[[#This Row],[Descripción]], " ", -2)</f>
        <v>Josué Vásquez</v>
      </c>
      <c r="F3737" s="21" t="s">
        <v>2525</v>
      </c>
      <c r="G3737" s="23">
        <v>46167</v>
      </c>
    </row>
    <row r="3738" spans="1:7" ht="48.5" hidden="1" x14ac:dyDescent="0.35">
      <c r="A3738" s="8">
        <v>12159</v>
      </c>
      <c r="B3738" s="10" t="s">
        <v>6295</v>
      </c>
      <c r="C3738" s="10" t="s">
        <v>96</v>
      </c>
      <c r="D3738" s="9" t="s">
        <v>395</v>
      </c>
      <c r="E3738" s="9" t="str">
        <f>_xlfn.TEXTAFTER(Condiciones_acumuladas[[#This Row],[Descripción]], " ", -2)</f>
        <v>Daniel Pineda</v>
      </c>
      <c r="F3738" s="21" t="s">
        <v>2559</v>
      </c>
      <c r="G3738" s="23">
        <v>46169</v>
      </c>
    </row>
    <row r="3739" spans="1:7" ht="36.5" hidden="1" x14ac:dyDescent="0.35">
      <c r="A3739" s="8">
        <v>12160</v>
      </c>
      <c r="B3739" s="10" t="s">
        <v>6296</v>
      </c>
      <c r="C3739" s="10" t="s">
        <v>371</v>
      </c>
      <c r="D3739" s="9" t="s">
        <v>371</v>
      </c>
      <c r="E3739" s="9" t="str">
        <f>_xlfn.TEXTAFTER(Condiciones_acumuladas[[#This Row],[Descripción]], " ", -2)</f>
        <v>Josué Lepe</v>
      </c>
      <c r="F3739" s="21" t="s">
        <v>2516</v>
      </c>
      <c r="G3739" s="23">
        <v>46170</v>
      </c>
    </row>
    <row r="3740" spans="1:7" ht="36.5" hidden="1" x14ac:dyDescent="0.35">
      <c r="A3740" s="8">
        <v>12158</v>
      </c>
      <c r="B3740" s="10" t="s">
        <v>6297</v>
      </c>
      <c r="C3740" s="10" t="s">
        <v>190</v>
      </c>
      <c r="D3740" s="9" t="s">
        <v>395</v>
      </c>
      <c r="E3740" s="9" t="str">
        <f>_xlfn.TEXTAFTER(Condiciones_acumuladas[[#This Row],[Descripción]], " ", -2)</f>
        <v>Josué Vásquez</v>
      </c>
      <c r="F3740" s="21" t="s">
        <v>2516</v>
      </c>
      <c r="G3740" s="23">
        <v>46169</v>
      </c>
    </row>
    <row r="3741" spans="1:7" ht="24.5" hidden="1" x14ac:dyDescent="0.35">
      <c r="A3741" s="8">
        <v>12156</v>
      </c>
      <c r="B3741" s="10" t="s">
        <v>6298</v>
      </c>
      <c r="C3741" s="10" t="s">
        <v>96</v>
      </c>
      <c r="D3741" s="9" t="s">
        <v>96</v>
      </c>
      <c r="E3741" s="9" t="str">
        <f>_xlfn.TEXTAFTER(Condiciones_acumuladas[[#This Row],[Descripción]], " ", -2)</f>
        <v>Jimmy Velásquez</v>
      </c>
      <c r="F3741" s="21" t="s">
        <v>2537</v>
      </c>
      <c r="G3741" s="23">
        <v>46169</v>
      </c>
    </row>
    <row r="3742" spans="1:7" ht="48.5" hidden="1" x14ac:dyDescent="0.35">
      <c r="A3742" s="8">
        <v>12157</v>
      </c>
      <c r="B3742" s="10" t="s">
        <v>6299</v>
      </c>
      <c r="C3742" s="10" t="s">
        <v>278</v>
      </c>
      <c r="D3742" s="9" t="s">
        <v>190</v>
      </c>
      <c r="E3742" s="9" t="str">
        <f>_xlfn.TEXTAFTER(Condiciones_acumuladas[[#This Row],[Descripción]], " ", -2)</f>
        <v>Elvis Oliva</v>
      </c>
      <c r="F3742" s="21" t="s">
        <v>2559</v>
      </c>
      <c r="G3742" s="23">
        <v>46169</v>
      </c>
    </row>
    <row r="3743" spans="1:7" ht="24.5" hidden="1" x14ac:dyDescent="0.35">
      <c r="A3743" s="8">
        <v>12154</v>
      </c>
      <c r="B3743" s="10" t="s">
        <v>6300</v>
      </c>
      <c r="C3743" s="10" t="s">
        <v>96</v>
      </c>
      <c r="D3743" s="9" t="s">
        <v>96</v>
      </c>
      <c r="E3743" s="9" t="str">
        <f>_xlfn.TEXTAFTER(Condiciones_acumuladas[[#This Row],[Descripción]], " ", -2)</f>
        <v>Jimmy Velásquez</v>
      </c>
      <c r="F3743" s="21" t="s">
        <v>2537</v>
      </c>
      <c r="G3743" s="23">
        <v>46169</v>
      </c>
    </row>
    <row r="3744" spans="1:7" ht="24.5" hidden="1" x14ac:dyDescent="0.35">
      <c r="A3744" s="8">
        <v>12155</v>
      </c>
      <c r="B3744" s="10" t="s">
        <v>6301</v>
      </c>
      <c r="C3744" s="10" t="s">
        <v>13</v>
      </c>
      <c r="D3744" s="9" t="s">
        <v>395</v>
      </c>
      <c r="E3744" s="9" t="str">
        <f>_xlfn.TEXTAFTER(Condiciones_acumuladas[[#This Row],[Descripción]], " ", -2)</f>
        <v>Daniel Pineda</v>
      </c>
      <c r="F3744" s="21" t="s">
        <v>2540</v>
      </c>
      <c r="G3744" s="23">
        <v>46169</v>
      </c>
    </row>
    <row r="3745" spans="1:7" ht="48.5" hidden="1" x14ac:dyDescent="0.35">
      <c r="A3745" s="8">
        <v>12151</v>
      </c>
      <c r="B3745" s="10" t="s">
        <v>6302</v>
      </c>
      <c r="C3745" s="10" t="s">
        <v>96</v>
      </c>
      <c r="D3745" s="9" t="s">
        <v>96</v>
      </c>
      <c r="E3745" s="9" t="str">
        <f>_xlfn.TEXTAFTER(Condiciones_acumuladas[[#This Row],[Descripción]], " ", -2)</f>
        <v>Jimmy Velásquez</v>
      </c>
      <c r="F3745" s="21" t="s">
        <v>2559</v>
      </c>
      <c r="G3745" s="23">
        <v>46169</v>
      </c>
    </row>
    <row r="3746" spans="1:7" ht="36.5" hidden="1" x14ac:dyDescent="0.35">
      <c r="A3746" s="8">
        <v>12153</v>
      </c>
      <c r="B3746" s="10" t="s">
        <v>6303</v>
      </c>
      <c r="C3746" s="10" t="s">
        <v>96</v>
      </c>
      <c r="D3746" s="9" t="s">
        <v>96</v>
      </c>
      <c r="E3746" s="9" t="str">
        <f>_xlfn.TEXTAFTER(Condiciones_acumuladas[[#This Row],[Descripción]], " ", -2)</f>
        <v>Jimmy Velásquez</v>
      </c>
      <c r="F3746" s="21" t="s">
        <v>2516</v>
      </c>
      <c r="G3746" s="23">
        <v>46169</v>
      </c>
    </row>
    <row r="3747" spans="1:7" ht="24.5" hidden="1" x14ac:dyDescent="0.35">
      <c r="A3747" s="8">
        <v>12152</v>
      </c>
      <c r="B3747" s="10" t="s">
        <v>6304</v>
      </c>
      <c r="C3747" s="10" t="s">
        <v>104</v>
      </c>
      <c r="D3747" s="9" t="s">
        <v>371</v>
      </c>
      <c r="E3747" s="9" t="str">
        <f>_xlfn.TEXTAFTER(Condiciones_acumuladas[[#This Row],[Descripción]], " ", -2)</f>
        <v>Rodrigo Galindo</v>
      </c>
      <c r="F3747" s="21" t="s">
        <v>2522</v>
      </c>
      <c r="G3747" s="23">
        <v>46169</v>
      </c>
    </row>
    <row r="3748" spans="1:7" ht="24.5" hidden="1" x14ac:dyDescent="0.35">
      <c r="A3748" s="8">
        <v>12150</v>
      </c>
      <c r="B3748" s="10" t="s">
        <v>6305</v>
      </c>
      <c r="C3748" s="10" t="s">
        <v>13</v>
      </c>
      <c r="D3748" s="9" t="s">
        <v>395</v>
      </c>
      <c r="E3748" s="9" t="str">
        <f>_xlfn.TEXTAFTER(Condiciones_acumuladas[[#This Row],[Descripción]], " ", -2)</f>
        <v>Daniel Pineda</v>
      </c>
      <c r="F3748" s="21" t="s">
        <v>2540</v>
      </c>
      <c r="G3748" s="23">
        <v>46169</v>
      </c>
    </row>
    <row r="3749" spans="1:7" ht="36.5" hidden="1" x14ac:dyDescent="0.35">
      <c r="A3749" s="8">
        <v>12148</v>
      </c>
      <c r="B3749" s="10" t="s">
        <v>6306</v>
      </c>
      <c r="C3749" s="10" t="s">
        <v>395</v>
      </c>
      <c r="D3749" s="9" t="s">
        <v>96</v>
      </c>
      <c r="E3749" s="9" t="str">
        <f>_xlfn.TEXTAFTER(Condiciones_acumuladas[[#This Row],[Descripción]], " ", -2)</f>
        <v>Jimmy Velásquez</v>
      </c>
      <c r="F3749" s="21" t="s">
        <v>2525</v>
      </c>
      <c r="G3749" s="23">
        <v>46169</v>
      </c>
    </row>
    <row r="3750" spans="1:7" ht="24.5" hidden="1" x14ac:dyDescent="0.35">
      <c r="A3750" s="8">
        <v>12149</v>
      </c>
      <c r="B3750" s="10" t="s">
        <v>6307</v>
      </c>
      <c r="C3750" s="10" t="s">
        <v>104</v>
      </c>
      <c r="D3750" s="9" t="s">
        <v>395</v>
      </c>
      <c r="E3750" s="9" t="str">
        <f>_xlfn.TEXTAFTER(Condiciones_acumuladas[[#This Row],[Descripción]], " ", -2)</f>
        <v>German Orozco</v>
      </c>
      <c r="F3750" s="21" t="s">
        <v>2540</v>
      </c>
      <c r="G3750" s="23">
        <v>46169</v>
      </c>
    </row>
    <row r="3751" spans="1:7" ht="24.5" hidden="1" x14ac:dyDescent="0.35">
      <c r="A3751" s="8">
        <v>12145</v>
      </c>
      <c r="B3751" s="10" t="s">
        <v>6308</v>
      </c>
      <c r="C3751" s="10" t="s">
        <v>196</v>
      </c>
      <c r="D3751" s="9" t="s">
        <v>196</v>
      </c>
      <c r="E3751" s="9" t="str">
        <f>_xlfn.TEXTAFTER(Condiciones_acumuladas[[#This Row],[Descripción]], " ", -2)</f>
        <v>Kelly Calderón</v>
      </c>
      <c r="F3751" s="21" t="s">
        <v>2537</v>
      </c>
      <c r="G3751" s="23">
        <v>46169</v>
      </c>
    </row>
    <row r="3752" spans="1:7" ht="36.5" hidden="1" x14ac:dyDescent="0.35">
      <c r="A3752" s="8">
        <v>12147</v>
      </c>
      <c r="B3752" s="10" t="s">
        <v>6309</v>
      </c>
      <c r="C3752" s="10" t="s">
        <v>21</v>
      </c>
      <c r="D3752" s="9" t="s">
        <v>21</v>
      </c>
      <c r="E3752" s="9" t="str">
        <f>_xlfn.TEXTAFTER(Condiciones_acumuladas[[#This Row],[Descripción]], " ", -2)</f>
        <v>Oscar Ramírez</v>
      </c>
      <c r="F3752" s="21" t="s">
        <v>2516</v>
      </c>
      <c r="G3752" s="23">
        <v>46169</v>
      </c>
    </row>
    <row r="3753" spans="1:7" ht="24.5" hidden="1" x14ac:dyDescent="0.35">
      <c r="A3753" s="8">
        <v>12144</v>
      </c>
      <c r="B3753" s="10" t="s">
        <v>6310</v>
      </c>
      <c r="C3753" s="10" t="s">
        <v>21</v>
      </c>
      <c r="D3753" s="9" t="s">
        <v>395</v>
      </c>
      <c r="E3753" s="9" t="str">
        <f>_xlfn.TEXTAFTER(Condiciones_acumuladas[[#This Row],[Descripción]], " ", -2)</f>
        <v>Bryan Barahona</v>
      </c>
      <c r="F3753" s="21" t="s">
        <v>2522</v>
      </c>
      <c r="G3753" s="23">
        <v>46168</v>
      </c>
    </row>
    <row r="3754" spans="1:7" ht="24.5" hidden="1" x14ac:dyDescent="0.35">
      <c r="A3754" s="8">
        <v>12142</v>
      </c>
      <c r="B3754" s="10" t="s">
        <v>6311</v>
      </c>
      <c r="C3754" s="10" t="s">
        <v>21</v>
      </c>
      <c r="D3754" s="9" t="s">
        <v>21</v>
      </c>
      <c r="E3754" s="9" t="str">
        <f>_xlfn.TEXTAFTER(Condiciones_acumuladas[[#This Row],[Descripción]], " ", -2)</f>
        <v>Oscar Ramírez</v>
      </c>
      <c r="F3754" s="21" t="s">
        <v>2522</v>
      </c>
      <c r="G3754" s="23">
        <v>46168</v>
      </c>
    </row>
    <row r="3755" spans="1:7" ht="24.5" hidden="1" x14ac:dyDescent="0.35">
      <c r="A3755" s="8">
        <v>12146</v>
      </c>
      <c r="B3755" s="10" t="s">
        <v>6312</v>
      </c>
      <c r="C3755" s="10" t="s">
        <v>96</v>
      </c>
      <c r="D3755" s="9" t="s">
        <v>96</v>
      </c>
      <c r="E3755" s="9" t="str">
        <f>_xlfn.TEXTAFTER(Condiciones_acumuladas[[#This Row],[Descripción]], " ", -2)</f>
        <v>Bladimir López</v>
      </c>
      <c r="F3755" s="21" t="s">
        <v>2522</v>
      </c>
      <c r="G3755" s="23">
        <v>46169</v>
      </c>
    </row>
    <row r="3756" spans="1:7" ht="36.5" hidden="1" x14ac:dyDescent="0.35">
      <c r="A3756" s="8">
        <v>12143</v>
      </c>
      <c r="B3756" s="10" t="s">
        <v>6313</v>
      </c>
      <c r="C3756" s="10" t="s">
        <v>13</v>
      </c>
      <c r="D3756" s="9" t="s">
        <v>13</v>
      </c>
      <c r="E3756" s="9" t="str">
        <f>_xlfn.TEXTAFTER(Condiciones_acumuladas[[#This Row],[Descripción]], " ", -2)</f>
        <v>Oscar Ramírez</v>
      </c>
      <c r="F3756" s="21" t="s">
        <v>2530</v>
      </c>
      <c r="G3756" s="23">
        <v>46168</v>
      </c>
    </row>
    <row r="3757" spans="1:7" ht="24.5" hidden="1" x14ac:dyDescent="0.35">
      <c r="A3757" s="8">
        <v>12141</v>
      </c>
      <c r="B3757" s="10" t="s">
        <v>6314</v>
      </c>
      <c r="C3757" s="10" t="s">
        <v>220</v>
      </c>
      <c r="D3757" s="9" t="s">
        <v>190</v>
      </c>
      <c r="E3757" s="9" t="str">
        <f>_xlfn.TEXTAFTER(Condiciones_acumuladas[[#This Row],[Descripción]], " ", -2)</f>
        <v>Roy Luarca</v>
      </c>
      <c r="F3757" s="21" t="s">
        <v>2522</v>
      </c>
      <c r="G3757" s="23">
        <v>46168</v>
      </c>
    </row>
    <row r="3758" spans="1:7" ht="48.5" hidden="1" x14ac:dyDescent="0.35">
      <c r="A3758" s="8">
        <v>12140</v>
      </c>
      <c r="B3758" s="10" t="s">
        <v>6315</v>
      </c>
      <c r="C3758" s="10" t="s">
        <v>234</v>
      </c>
      <c r="D3758" s="9" t="s">
        <v>234</v>
      </c>
      <c r="E3758" s="9" t="str">
        <f>_xlfn.TEXTAFTER(Condiciones_acumuladas[[#This Row],[Descripción]], " ", -2)</f>
        <v>Bryan Rodas</v>
      </c>
      <c r="F3758" s="21" t="s">
        <v>2559</v>
      </c>
      <c r="G3758" s="23">
        <v>46168</v>
      </c>
    </row>
    <row r="3759" spans="1:7" ht="36.5" hidden="1" x14ac:dyDescent="0.35">
      <c r="A3759" s="8">
        <v>12161</v>
      </c>
      <c r="B3759" s="10" t="s">
        <v>6316</v>
      </c>
      <c r="C3759" s="10" t="s">
        <v>234</v>
      </c>
      <c r="D3759" s="9" t="s">
        <v>95</v>
      </c>
      <c r="E3759" s="9" t="str">
        <f>_xlfn.TEXTAFTER(Condiciones_acumuladas[[#This Row],[Descripción]], " ", -2)</f>
        <v>Diana Pérez</v>
      </c>
      <c r="F3759" s="21" t="s">
        <v>2516</v>
      </c>
      <c r="G3759" s="23">
        <v>46170</v>
      </c>
    </row>
    <row r="3760" spans="1:7" ht="36.5" hidden="1" x14ac:dyDescent="0.35">
      <c r="A3760" s="8">
        <v>12138</v>
      </c>
      <c r="B3760" s="10" t="s">
        <v>6317</v>
      </c>
      <c r="C3760" s="10" t="s">
        <v>104</v>
      </c>
      <c r="D3760" s="9" t="s">
        <v>104</v>
      </c>
      <c r="E3760" s="9" t="str">
        <f>_xlfn.TEXTAFTER(Condiciones_acumuladas[[#This Row],[Descripción]], " ", -2)</f>
        <v>Obdulio Saquic</v>
      </c>
      <c r="F3760" s="21" t="s">
        <v>2530</v>
      </c>
      <c r="G3760" s="23">
        <v>46169</v>
      </c>
    </row>
    <row r="3761" spans="1:7" ht="36.5" hidden="1" x14ac:dyDescent="0.35">
      <c r="A3761" s="8">
        <v>12135</v>
      </c>
      <c r="B3761" s="10" t="s">
        <v>6318</v>
      </c>
      <c r="C3761" s="10" t="s">
        <v>193</v>
      </c>
      <c r="D3761" s="9" t="s">
        <v>234</v>
      </c>
      <c r="E3761" s="9" t="str">
        <f>_xlfn.TEXTAFTER(Condiciones_acumuladas[[#This Row],[Descripción]], " ", -2)</f>
        <v>Bryan Rodas</v>
      </c>
      <c r="F3761" s="21" t="s">
        <v>2525</v>
      </c>
      <c r="G3761" s="23">
        <v>46169</v>
      </c>
    </row>
    <row r="3762" spans="1:7" ht="36.5" hidden="1" x14ac:dyDescent="0.35">
      <c r="A3762" s="8">
        <v>12134</v>
      </c>
      <c r="B3762" s="10" t="s">
        <v>6319</v>
      </c>
      <c r="C3762" s="10" t="s">
        <v>104</v>
      </c>
      <c r="D3762" s="9" t="s">
        <v>104</v>
      </c>
      <c r="E3762" s="9" t="str">
        <f>_xlfn.TEXTAFTER(Condiciones_acumuladas[[#This Row],[Descripción]], " ", -2)</f>
        <v>Obdulio Saquic</v>
      </c>
      <c r="F3762" s="21" t="s">
        <v>2572</v>
      </c>
      <c r="G3762" s="23">
        <v>46169</v>
      </c>
    </row>
    <row r="3763" spans="1:7" ht="36.5" hidden="1" x14ac:dyDescent="0.35">
      <c r="A3763" s="8">
        <v>12131</v>
      </c>
      <c r="B3763" s="10" t="s">
        <v>6320</v>
      </c>
      <c r="C3763" s="10" t="s">
        <v>134</v>
      </c>
      <c r="D3763" s="9" t="s">
        <v>134</v>
      </c>
      <c r="E3763" s="9" t="str">
        <f>_xlfn.TEXTAFTER(Condiciones_acumuladas[[#This Row],[Descripción]], " ", -2)</f>
        <v xml:space="preserve">Alfonso Guatzin
</v>
      </c>
      <c r="F3763" s="21" t="s">
        <v>2516</v>
      </c>
      <c r="G3763" s="23">
        <v>46163</v>
      </c>
    </row>
    <row r="3764" spans="1:7" ht="48.5" hidden="1" x14ac:dyDescent="0.35">
      <c r="A3764" s="8">
        <v>12187</v>
      </c>
      <c r="B3764" s="10" t="s">
        <v>6321</v>
      </c>
      <c r="C3764" s="10" t="s">
        <v>21</v>
      </c>
      <c r="D3764" s="9" t="s">
        <v>278</v>
      </c>
      <c r="E3764" s="9" t="str">
        <f>_xlfn.TEXTAFTER(Condiciones_acumuladas[[#This Row],[Descripción]], " ", -2)</f>
        <v>Fredy Fuentes</v>
      </c>
      <c r="F3764" s="21" t="s">
        <v>2522</v>
      </c>
      <c r="G3764" s="23">
        <v>46163</v>
      </c>
    </row>
    <row r="3765" spans="1:7" ht="24.5" hidden="1" x14ac:dyDescent="0.35">
      <c r="A3765" s="8">
        <v>12186</v>
      </c>
      <c r="B3765" s="10" t="s">
        <v>6322</v>
      </c>
      <c r="C3765" s="10" t="s">
        <v>21</v>
      </c>
      <c r="D3765" s="9" t="s">
        <v>278</v>
      </c>
      <c r="E3765" s="9" t="str">
        <f>_xlfn.TEXTAFTER(Condiciones_acumuladas[[#This Row],[Descripción]], " ", -2)</f>
        <v>Fredy Fuentes</v>
      </c>
      <c r="F3765" s="21" t="s">
        <v>2522</v>
      </c>
      <c r="G3765" s="23">
        <v>46163</v>
      </c>
    </row>
    <row r="3766" spans="1:7" ht="24.5" hidden="1" x14ac:dyDescent="0.35">
      <c r="A3766" s="8">
        <v>12185</v>
      </c>
      <c r="B3766" s="10" t="s">
        <v>6323</v>
      </c>
      <c r="C3766" s="10" t="s">
        <v>21</v>
      </c>
      <c r="D3766" s="9" t="s">
        <v>278</v>
      </c>
      <c r="E3766" s="9" t="str">
        <f>_xlfn.TEXTAFTER(Condiciones_acumuladas[[#This Row],[Descripción]], " ", -2)</f>
        <v>Fredy Fuentes</v>
      </c>
      <c r="F3766" s="21" t="s">
        <v>2522</v>
      </c>
      <c r="G3766" s="23">
        <v>46163</v>
      </c>
    </row>
    <row r="3767" spans="1:7" ht="48.5" hidden="1" x14ac:dyDescent="0.35">
      <c r="A3767" s="8">
        <v>12184</v>
      </c>
      <c r="B3767" s="10" t="s">
        <v>6324</v>
      </c>
      <c r="C3767" s="10" t="s">
        <v>21</v>
      </c>
      <c r="D3767" s="9" t="s">
        <v>278</v>
      </c>
      <c r="E3767" s="9" t="str">
        <f>_xlfn.TEXTAFTER(Condiciones_acumuladas[[#This Row],[Descripción]], " ", -2)</f>
        <v>Fredy Fuentes</v>
      </c>
      <c r="F3767" s="21" t="s">
        <v>2540</v>
      </c>
      <c r="G3767" s="23">
        <v>46163</v>
      </c>
    </row>
    <row r="3768" spans="1:7" ht="24.5" hidden="1" x14ac:dyDescent="0.35">
      <c r="A3768" s="8">
        <v>12183</v>
      </c>
      <c r="B3768" s="10" t="s">
        <v>6325</v>
      </c>
      <c r="C3768" s="10" t="s">
        <v>21</v>
      </c>
      <c r="D3768" s="9" t="s">
        <v>278</v>
      </c>
      <c r="E3768" s="9" t="str">
        <f>_xlfn.TEXTAFTER(Condiciones_acumuladas[[#This Row],[Descripción]], " ", -2)</f>
        <v>Fredy Fuentes</v>
      </c>
      <c r="F3768" s="21" t="s">
        <v>2834</v>
      </c>
      <c r="G3768" s="23">
        <v>46163</v>
      </c>
    </row>
    <row r="3769" spans="1:7" ht="36.5" hidden="1" x14ac:dyDescent="0.35">
      <c r="A3769" s="8">
        <v>12182</v>
      </c>
      <c r="B3769" s="10" t="s">
        <v>6326</v>
      </c>
      <c r="C3769" s="10" t="s">
        <v>21</v>
      </c>
      <c r="D3769" s="9" t="s">
        <v>278</v>
      </c>
      <c r="E3769" s="9" t="str">
        <f>_xlfn.TEXTAFTER(Condiciones_acumuladas[[#This Row],[Descripción]], " ", -2)</f>
        <v>Fredy Fuentes</v>
      </c>
      <c r="F3769" s="21" t="s">
        <v>2525</v>
      </c>
      <c r="G3769" s="23">
        <v>46163</v>
      </c>
    </row>
    <row r="3770" spans="1:7" ht="36.5" hidden="1" x14ac:dyDescent="0.35">
      <c r="A3770" s="8">
        <v>12181</v>
      </c>
      <c r="B3770" s="10" t="s">
        <v>6327</v>
      </c>
      <c r="C3770" s="10" t="s">
        <v>21</v>
      </c>
      <c r="D3770" s="9" t="s">
        <v>278</v>
      </c>
      <c r="E3770" s="9" t="str">
        <f>_xlfn.TEXTAFTER(Condiciones_acumuladas[[#This Row],[Descripción]], " ", -2)</f>
        <v>Fredy Fuentes</v>
      </c>
      <c r="F3770" s="21" t="s">
        <v>2522</v>
      </c>
      <c r="G3770" s="23">
        <v>46163</v>
      </c>
    </row>
    <row r="3771" spans="1:7" ht="36.5" hidden="1" x14ac:dyDescent="0.35">
      <c r="A3771" s="8">
        <v>12180</v>
      </c>
      <c r="B3771" s="10" t="s">
        <v>6328</v>
      </c>
      <c r="C3771" s="10" t="s">
        <v>21</v>
      </c>
      <c r="D3771" s="9" t="s">
        <v>278</v>
      </c>
      <c r="E3771" s="9" t="str">
        <f>_xlfn.TEXTAFTER(Condiciones_acumuladas[[#This Row],[Descripción]], " ", -2)</f>
        <v>Fredy Fuentes</v>
      </c>
      <c r="F3771" s="21" t="s">
        <v>2530</v>
      </c>
      <c r="G3771" s="23">
        <v>46163</v>
      </c>
    </row>
    <row r="3772" spans="1:7" ht="24.5" hidden="1" x14ac:dyDescent="0.35">
      <c r="A3772" s="8">
        <v>12179</v>
      </c>
      <c r="B3772" s="10" t="s">
        <v>6329</v>
      </c>
      <c r="C3772" s="10" t="s">
        <v>21</v>
      </c>
      <c r="D3772" s="9" t="s">
        <v>278</v>
      </c>
      <c r="E3772" s="9" t="str">
        <f>_xlfn.TEXTAFTER(Condiciones_acumuladas[[#This Row],[Descripción]], " ", -2)</f>
        <v>Fredy Fuentes</v>
      </c>
      <c r="F3772" s="21" t="s">
        <v>2522</v>
      </c>
      <c r="G3772" s="23">
        <v>46163</v>
      </c>
    </row>
    <row r="3773" spans="1:7" ht="24.5" hidden="1" x14ac:dyDescent="0.35">
      <c r="A3773" s="8">
        <v>12178</v>
      </c>
      <c r="B3773" s="10" t="s">
        <v>6330</v>
      </c>
      <c r="C3773" s="10" t="s">
        <v>21</v>
      </c>
      <c r="D3773" s="9" t="s">
        <v>278</v>
      </c>
      <c r="E3773" s="9" t="str">
        <f>_xlfn.TEXTAFTER(Condiciones_acumuladas[[#This Row],[Descripción]], " ", -2)</f>
        <v>Fredy Fuentes</v>
      </c>
      <c r="F3773" s="21" t="s">
        <v>2540</v>
      </c>
      <c r="G3773" s="23">
        <v>46163</v>
      </c>
    </row>
    <row r="3774" spans="1:7" ht="36.5" hidden="1" x14ac:dyDescent="0.35">
      <c r="A3774" s="8">
        <v>12177</v>
      </c>
      <c r="B3774" s="10" t="s">
        <v>6331</v>
      </c>
      <c r="C3774" s="10" t="s">
        <v>21</v>
      </c>
      <c r="D3774" s="9" t="s">
        <v>278</v>
      </c>
      <c r="E3774" s="9" t="str">
        <f>_xlfn.TEXTAFTER(Condiciones_acumuladas[[#This Row],[Descripción]], " ", -2)</f>
        <v>Fredy Fuentes</v>
      </c>
      <c r="F3774" s="21" t="s">
        <v>2540</v>
      </c>
      <c r="G3774" s="23">
        <v>46163</v>
      </c>
    </row>
    <row r="3775" spans="1:7" ht="24.5" hidden="1" x14ac:dyDescent="0.35">
      <c r="A3775" s="8">
        <v>12176</v>
      </c>
      <c r="B3775" s="10" t="s">
        <v>6332</v>
      </c>
      <c r="C3775" s="10" t="s">
        <v>21</v>
      </c>
      <c r="D3775" s="9" t="s">
        <v>278</v>
      </c>
      <c r="E3775" s="9" t="str">
        <f>_xlfn.TEXTAFTER(Condiciones_acumuladas[[#This Row],[Descripción]], " ", -2)</f>
        <v>Fredy Fuentes</v>
      </c>
      <c r="F3775" s="21" t="s">
        <v>2522</v>
      </c>
      <c r="G3775" s="23">
        <v>46163</v>
      </c>
    </row>
    <row r="3776" spans="1:7" ht="24.5" hidden="1" x14ac:dyDescent="0.35">
      <c r="A3776" s="8">
        <v>12174</v>
      </c>
      <c r="B3776" s="10" t="s">
        <v>6333</v>
      </c>
      <c r="C3776" s="10" t="s">
        <v>21</v>
      </c>
      <c r="D3776" s="9" t="s">
        <v>278</v>
      </c>
      <c r="E3776" s="9" t="str">
        <f>_xlfn.TEXTAFTER(Condiciones_acumuladas[[#This Row],[Descripción]], " ", -2)</f>
        <v>Fredy Fuentes</v>
      </c>
      <c r="F3776" s="21" t="s">
        <v>2522</v>
      </c>
      <c r="G3776" s="23">
        <v>46163</v>
      </c>
    </row>
    <row r="3777" spans="1:7" ht="24.5" hidden="1" x14ac:dyDescent="0.35">
      <c r="A3777" s="8">
        <v>12173</v>
      </c>
      <c r="B3777" s="10" t="s">
        <v>6334</v>
      </c>
      <c r="C3777" s="10" t="s">
        <v>21</v>
      </c>
      <c r="D3777" s="9" t="s">
        <v>278</v>
      </c>
      <c r="E3777" s="9" t="str">
        <f>_xlfn.TEXTAFTER(Condiciones_acumuladas[[#This Row],[Descripción]], " ", -2)</f>
        <v>Fredy Fuentes</v>
      </c>
      <c r="F3777" s="21" t="s">
        <v>2537</v>
      </c>
      <c r="G3777" s="23">
        <v>46163</v>
      </c>
    </row>
    <row r="3778" spans="1:7" ht="36.5" hidden="1" x14ac:dyDescent="0.35">
      <c r="A3778" s="8">
        <v>12172</v>
      </c>
      <c r="B3778" s="10" t="s">
        <v>6335</v>
      </c>
      <c r="C3778" s="10" t="s">
        <v>220</v>
      </c>
      <c r="D3778" s="9" t="s">
        <v>278</v>
      </c>
      <c r="E3778" s="9" t="str">
        <f>_xlfn.TEXTAFTER(Condiciones_acumuladas[[#This Row],[Descripción]], " ", -2)</f>
        <v>Fredy Fuentes</v>
      </c>
      <c r="F3778" s="21" t="s">
        <v>2522</v>
      </c>
      <c r="G3778" s="23">
        <v>46149</v>
      </c>
    </row>
    <row r="3779" spans="1:7" ht="48.5" hidden="1" x14ac:dyDescent="0.35">
      <c r="A3779" s="8">
        <v>12200</v>
      </c>
      <c r="B3779" s="10" t="s">
        <v>6336</v>
      </c>
      <c r="C3779" s="10" t="s">
        <v>134</v>
      </c>
      <c r="D3779" s="9" t="s">
        <v>395</v>
      </c>
      <c r="E3779" s="9" t="str">
        <f>_xlfn.TEXTAFTER(Condiciones_acumuladas[[#This Row],[Descripción]], " ", -2)</f>
        <v xml:space="preserve">German Orozco
</v>
      </c>
      <c r="F3779" s="21" t="s">
        <v>2540</v>
      </c>
      <c r="G3779" s="23">
        <v>46171</v>
      </c>
    </row>
    <row r="3780" spans="1:7" ht="36.5" hidden="1" x14ac:dyDescent="0.35">
      <c r="A3780" s="8">
        <v>12202</v>
      </c>
      <c r="B3780" s="10" t="s">
        <v>6337</v>
      </c>
      <c r="C3780" s="10" t="s">
        <v>134</v>
      </c>
      <c r="D3780" s="9" t="s">
        <v>395</v>
      </c>
      <c r="E3780" s="9" t="str">
        <f>_xlfn.TEXTAFTER(Condiciones_acumuladas[[#This Row],[Descripción]], " ", -2)</f>
        <v>German Orozco</v>
      </c>
      <c r="F3780" s="21" t="s">
        <v>2540</v>
      </c>
      <c r="G3780" s="23">
        <v>46171</v>
      </c>
    </row>
    <row r="3781" spans="1:7" ht="36.5" hidden="1" x14ac:dyDescent="0.35">
      <c r="A3781" s="8">
        <v>12201</v>
      </c>
      <c r="B3781" s="10" t="s">
        <v>6338</v>
      </c>
      <c r="C3781" s="10" t="s">
        <v>134</v>
      </c>
      <c r="D3781" s="9" t="s">
        <v>395</v>
      </c>
      <c r="E3781" s="9" t="str">
        <f>_xlfn.TEXTAFTER(Condiciones_acumuladas[[#This Row],[Descripción]], " ", -2)</f>
        <v>German Orozco</v>
      </c>
      <c r="F3781" s="21" t="s">
        <v>2530</v>
      </c>
      <c r="G3781" s="23">
        <v>46171</v>
      </c>
    </row>
    <row r="3782" spans="1:7" ht="36.5" hidden="1" x14ac:dyDescent="0.35">
      <c r="A3782" s="8">
        <v>12203</v>
      </c>
      <c r="B3782" s="10" t="s">
        <v>6339</v>
      </c>
      <c r="C3782" s="10" t="s">
        <v>26</v>
      </c>
      <c r="D3782" s="9" t="s">
        <v>395</v>
      </c>
      <c r="E3782" s="9" t="str">
        <f>_xlfn.TEXTAFTER(Condiciones_acumuladas[[#This Row],[Descripción]], " ", -2)</f>
        <v>German Orozco</v>
      </c>
      <c r="F3782" s="21" t="s">
        <v>2522</v>
      </c>
      <c r="G3782" s="23">
        <v>46171</v>
      </c>
    </row>
    <row r="3783" spans="1:7" ht="48.5" hidden="1" x14ac:dyDescent="0.35">
      <c r="A3783" s="8">
        <v>12204</v>
      </c>
      <c r="B3783" s="10" t="s">
        <v>6340</v>
      </c>
      <c r="C3783" s="10" t="s">
        <v>26</v>
      </c>
      <c r="D3783" s="9" t="s">
        <v>395</v>
      </c>
      <c r="E3783" s="9" t="str">
        <f>_xlfn.TEXTAFTER(Condiciones_acumuladas[[#This Row],[Descripción]], " ", -2)</f>
        <v>German Orozco</v>
      </c>
      <c r="F3783" s="21" t="s">
        <v>2522</v>
      </c>
      <c r="G3783" s="23">
        <v>46171</v>
      </c>
    </row>
    <row r="3784" spans="1:7" ht="60.5" hidden="1" x14ac:dyDescent="0.35">
      <c r="A3784" s="8">
        <v>12205</v>
      </c>
      <c r="B3784" s="10" t="s">
        <v>6341</v>
      </c>
      <c r="C3784" s="10" t="s">
        <v>26</v>
      </c>
      <c r="D3784" s="9" t="s">
        <v>395</v>
      </c>
      <c r="E3784" s="9" t="str">
        <f>_xlfn.TEXTAFTER(Condiciones_acumuladas[[#This Row],[Descripción]], " ", -2)</f>
        <v xml:space="preserve">German Orozco
</v>
      </c>
      <c r="F3784" s="21" t="s">
        <v>2522</v>
      </c>
      <c r="G3784" s="23">
        <v>46171</v>
      </c>
    </row>
    <row r="3785" spans="1:7" ht="48.5" hidden="1" x14ac:dyDescent="0.35">
      <c r="A3785" s="8">
        <v>12206</v>
      </c>
      <c r="B3785" s="10" t="s">
        <v>6342</v>
      </c>
      <c r="C3785" s="10" t="s">
        <v>26</v>
      </c>
      <c r="D3785" s="9" t="s">
        <v>395</v>
      </c>
      <c r="E3785" s="9" t="str">
        <f>_xlfn.TEXTAFTER(Condiciones_acumuladas[[#This Row],[Descripción]], " ", -2)</f>
        <v>German Orozco</v>
      </c>
      <c r="F3785" s="21" t="s">
        <v>2522</v>
      </c>
      <c r="G3785" s="23">
        <v>46171</v>
      </c>
    </row>
    <row r="3786" spans="1:7" ht="36.5" hidden="1" x14ac:dyDescent="0.35">
      <c r="A3786" s="8">
        <v>12218</v>
      </c>
      <c r="B3786" s="10" t="s">
        <v>6343</v>
      </c>
      <c r="C3786" s="10" t="s">
        <v>196</v>
      </c>
      <c r="D3786" s="9" t="s">
        <v>395</v>
      </c>
      <c r="E3786" s="9" t="str">
        <f>_xlfn.TEXTAFTER(Condiciones_acumuladas[[#This Row],[Descripción]], " ", -2)</f>
        <v>Daniel Pineda</v>
      </c>
      <c r="F3786" s="21" t="s">
        <v>2516</v>
      </c>
      <c r="G3786" s="23">
        <v>46172</v>
      </c>
    </row>
    <row r="3787" spans="1:7" ht="36.5" hidden="1" x14ac:dyDescent="0.35">
      <c r="A3787" s="8">
        <v>12219</v>
      </c>
      <c r="B3787" s="10" t="s">
        <v>6344</v>
      </c>
      <c r="C3787" s="10" t="s">
        <v>190</v>
      </c>
      <c r="D3787" s="9" t="s">
        <v>190</v>
      </c>
      <c r="E3787" s="9" t="str">
        <f>_xlfn.TEXTAFTER(Condiciones_acumuladas[[#This Row],[Descripción]], " ", -2)</f>
        <v>Elvis Oliva</v>
      </c>
      <c r="F3787" s="21" t="s">
        <v>2522</v>
      </c>
      <c r="G3787" s="23">
        <v>46173</v>
      </c>
    </row>
    <row r="3788" spans="1:7" ht="24.5" hidden="1" x14ac:dyDescent="0.35">
      <c r="A3788" s="8">
        <v>12217</v>
      </c>
      <c r="B3788" s="10" t="s">
        <v>6345</v>
      </c>
      <c r="C3788" s="10" t="s">
        <v>13</v>
      </c>
      <c r="D3788" s="9" t="s">
        <v>13</v>
      </c>
      <c r="E3788" s="9" t="str">
        <f>_xlfn.TEXTAFTER(Condiciones_acumuladas[[#This Row],[Descripción]], " ", -2)</f>
        <v>Hugo Oliva</v>
      </c>
      <c r="F3788" s="21" t="s">
        <v>2540</v>
      </c>
      <c r="G3788" s="23">
        <v>46172</v>
      </c>
    </row>
    <row r="3789" spans="1:7" ht="24.5" hidden="1" x14ac:dyDescent="0.35">
      <c r="A3789" s="8">
        <v>12215</v>
      </c>
      <c r="B3789" s="10" t="s">
        <v>6346</v>
      </c>
      <c r="C3789" s="10" t="s">
        <v>134</v>
      </c>
      <c r="D3789" s="9" t="s">
        <v>95</v>
      </c>
      <c r="E3789" s="9" t="str">
        <f>_xlfn.TEXTAFTER(Condiciones_acumuladas[[#This Row],[Descripción]], " ", -2)</f>
        <v>Gerson Castañeda</v>
      </c>
      <c r="F3789" s="21" t="s">
        <v>2540</v>
      </c>
      <c r="G3789" s="23">
        <v>46171</v>
      </c>
    </row>
    <row r="3790" spans="1:7" ht="24.5" hidden="1" x14ac:dyDescent="0.35">
      <c r="A3790" s="8">
        <v>12216</v>
      </c>
      <c r="B3790" s="10" t="s">
        <v>6347</v>
      </c>
      <c r="C3790" s="10" t="s">
        <v>134</v>
      </c>
      <c r="D3790" s="9" t="s">
        <v>95</v>
      </c>
      <c r="E3790" s="9" t="str">
        <f>_xlfn.TEXTAFTER(Condiciones_acumuladas[[#This Row],[Descripción]], " ", -2)</f>
        <v>Gerson Castañeda</v>
      </c>
      <c r="F3790" s="21" t="s">
        <v>2522</v>
      </c>
      <c r="G3790" s="23">
        <v>46171</v>
      </c>
    </row>
    <row r="3791" spans="1:7" ht="36.5" hidden="1" x14ac:dyDescent="0.35">
      <c r="A3791" s="8">
        <v>12213</v>
      </c>
      <c r="B3791" s="10" t="s">
        <v>6348</v>
      </c>
      <c r="C3791" s="10" t="s">
        <v>21</v>
      </c>
      <c r="D3791" s="9" t="s">
        <v>21</v>
      </c>
      <c r="E3791" s="9" t="str">
        <f>_xlfn.TEXTAFTER(Condiciones_acumuladas[[#This Row],[Descripción]], " ", -2)</f>
        <v>Oscar Ramírez</v>
      </c>
      <c r="F3791" s="21" t="s">
        <v>2516</v>
      </c>
      <c r="G3791" s="23">
        <v>46171</v>
      </c>
    </row>
    <row r="3792" spans="1:7" ht="24.5" hidden="1" x14ac:dyDescent="0.35">
      <c r="A3792" s="8">
        <v>12214</v>
      </c>
      <c r="B3792" s="10" t="s">
        <v>6349</v>
      </c>
      <c r="C3792" s="10" t="s">
        <v>96</v>
      </c>
      <c r="D3792" s="9" t="s">
        <v>96</v>
      </c>
      <c r="E3792" s="9" t="str">
        <f>_xlfn.TEXTAFTER(Condiciones_acumuladas[[#This Row],[Descripción]], " ", -2)</f>
        <v>Jimmy Velásquez</v>
      </c>
      <c r="F3792" s="21" t="s">
        <v>2537</v>
      </c>
      <c r="G3792" s="23">
        <v>46171</v>
      </c>
    </row>
    <row r="3793" spans="1:7" ht="36.5" hidden="1" x14ac:dyDescent="0.35">
      <c r="A3793" s="8">
        <v>12211</v>
      </c>
      <c r="B3793" s="10" t="s">
        <v>6350</v>
      </c>
      <c r="C3793" s="10" t="s">
        <v>220</v>
      </c>
      <c r="D3793" s="9" t="s">
        <v>395</v>
      </c>
      <c r="E3793" s="9" t="str">
        <f>_xlfn.TEXTAFTER(Condiciones_acumuladas[[#This Row],[Descripción]], " ", -2)</f>
        <v>Josué Vásquez</v>
      </c>
      <c r="F3793" s="21" t="s">
        <v>2516</v>
      </c>
      <c r="G3793" s="23">
        <v>46171</v>
      </c>
    </row>
    <row r="3794" spans="1:7" ht="24.5" hidden="1" x14ac:dyDescent="0.35">
      <c r="A3794" s="8">
        <v>12212</v>
      </c>
      <c r="B3794" s="10" t="s">
        <v>6351</v>
      </c>
      <c r="C3794" s="10" t="s">
        <v>193</v>
      </c>
      <c r="D3794" s="9" t="s">
        <v>134</v>
      </c>
      <c r="E3794" s="9" t="str">
        <f>_xlfn.TEXTAFTER(Condiciones_acumuladas[[#This Row],[Descripción]], " ", -2)</f>
        <v>Jaime Chilel</v>
      </c>
      <c r="F3794" s="21" t="s">
        <v>2522</v>
      </c>
      <c r="G3794" s="23">
        <v>46171</v>
      </c>
    </row>
    <row r="3795" spans="1:7" ht="48.5" hidden="1" x14ac:dyDescent="0.35">
      <c r="A3795" s="8">
        <v>12208</v>
      </c>
      <c r="B3795" s="10" t="s">
        <v>6352</v>
      </c>
      <c r="C3795" s="10" t="s">
        <v>13</v>
      </c>
      <c r="D3795" s="9" t="s">
        <v>95</v>
      </c>
      <c r="E3795" s="9" t="str">
        <f>_xlfn.TEXTAFTER(Condiciones_acumuladas[[#This Row],[Descripción]], " ", -2)</f>
        <v>Benedicto Barrios</v>
      </c>
      <c r="F3795" s="21" t="s">
        <v>2559</v>
      </c>
      <c r="G3795" s="23">
        <v>46173</v>
      </c>
    </row>
    <row r="3796" spans="1:7" ht="48.5" hidden="1" x14ac:dyDescent="0.35">
      <c r="A3796" s="8">
        <v>12224</v>
      </c>
      <c r="B3796" s="10" t="s">
        <v>6353</v>
      </c>
      <c r="C3796" s="10" t="s">
        <v>26</v>
      </c>
      <c r="D3796" s="9" t="s">
        <v>26</v>
      </c>
      <c r="E3796" s="9" t="str">
        <f>_xlfn.TEXTAFTER(Condiciones_acumuladas[[#This Row],[Descripción]], " ", -2)</f>
        <v>Adrián Santisteban</v>
      </c>
      <c r="F3796" s="21" t="s">
        <v>2559</v>
      </c>
      <c r="G3796" s="23">
        <v>46171</v>
      </c>
    </row>
    <row r="3797" spans="1:7" ht="36.5" hidden="1" x14ac:dyDescent="0.35">
      <c r="A3797" s="8">
        <v>12223</v>
      </c>
      <c r="B3797" s="10" t="s">
        <v>6354</v>
      </c>
      <c r="C3797" s="10" t="s">
        <v>26</v>
      </c>
      <c r="D3797" s="9" t="s">
        <v>26</v>
      </c>
      <c r="E3797" s="9" t="str">
        <f>_xlfn.TEXTAFTER(Condiciones_acumuladas[[#This Row],[Descripción]], " ", -2)</f>
        <v>Adrián Santisteban</v>
      </c>
      <c r="F3797" s="21" t="s">
        <v>2516</v>
      </c>
      <c r="G3797" s="23">
        <v>46170</v>
      </c>
    </row>
    <row r="3798" spans="1:7" ht="36.5" hidden="1" x14ac:dyDescent="0.35">
      <c r="A3798" s="8">
        <v>12222</v>
      </c>
      <c r="B3798" s="10" t="s">
        <v>6355</v>
      </c>
      <c r="C3798" s="10" t="s">
        <v>34</v>
      </c>
      <c r="D3798" s="9" t="s">
        <v>34</v>
      </c>
      <c r="E3798" s="9" t="str">
        <f>_xlfn.TEXTAFTER(Condiciones_acumuladas[[#This Row],[Descripción]], " ", -2)</f>
        <v>Adrián Santisteban</v>
      </c>
      <c r="F3798" s="21" t="s">
        <v>2530</v>
      </c>
      <c r="G3798" s="23">
        <v>46170</v>
      </c>
    </row>
    <row r="3799" spans="1:7" ht="36.5" hidden="1" x14ac:dyDescent="0.35">
      <c r="A3799" s="8">
        <v>12221</v>
      </c>
      <c r="B3799" s="10" t="s">
        <v>6356</v>
      </c>
      <c r="C3799" s="10" t="s">
        <v>34</v>
      </c>
      <c r="D3799" s="9" t="s">
        <v>34</v>
      </c>
      <c r="E3799" s="9" t="str">
        <f>_xlfn.TEXTAFTER(Condiciones_acumuladas[[#This Row],[Descripción]], " ", -2)</f>
        <v>Adrián Santisteban</v>
      </c>
      <c r="F3799" s="21" t="s">
        <v>2516</v>
      </c>
      <c r="G3799" s="23">
        <v>46171</v>
      </c>
    </row>
    <row r="3800" spans="1:7" ht="24.5" hidden="1" x14ac:dyDescent="0.35">
      <c r="A3800" s="8">
        <v>12220</v>
      </c>
      <c r="B3800" s="10" t="s">
        <v>6357</v>
      </c>
      <c r="C3800" s="10" t="s">
        <v>34</v>
      </c>
      <c r="D3800" s="9" t="s">
        <v>34</v>
      </c>
      <c r="E3800" s="9" t="str">
        <f>_xlfn.TEXTAFTER(Condiciones_acumuladas[[#This Row],[Descripción]], " ", -2)</f>
        <v>Adrián Santisteban</v>
      </c>
      <c r="F3800" s="21" t="s">
        <v>2540</v>
      </c>
      <c r="G3800" s="23">
        <v>46170</v>
      </c>
    </row>
    <row r="3801" spans="1:7" ht="36.5" hidden="1" x14ac:dyDescent="0.35">
      <c r="A3801" s="8">
        <v>12250</v>
      </c>
      <c r="B3801" s="10" t="s">
        <v>6358</v>
      </c>
      <c r="C3801" s="10" t="s">
        <v>34</v>
      </c>
      <c r="D3801" s="9" t="s">
        <v>395</v>
      </c>
      <c r="E3801" s="9" t="str">
        <f>_xlfn.TEXTAFTER(Condiciones_acumuladas[[#This Row],[Descripción]], " ", -2)</f>
        <v>Abraham Quiej</v>
      </c>
      <c r="F3801" s="21" t="s">
        <v>2715</v>
      </c>
      <c r="G3801" s="23">
        <v>46174</v>
      </c>
    </row>
    <row r="3802" spans="1:7" ht="36.5" hidden="1" x14ac:dyDescent="0.35">
      <c r="A3802" s="8">
        <v>12443</v>
      </c>
      <c r="B3802" s="10" t="s">
        <v>6359</v>
      </c>
      <c r="C3802" s="10" t="s">
        <v>21</v>
      </c>
      <c r="D3802" s="9" t="s">
        <v>395</v>
      </c>
      <c r="E3802" s="9" t="str">
        <f>_xlfn.TEXTAFTER(Condiciones_acumuladas[[#This Row],[Descripción]], " ", -2)</f>
        <v>Abraham Quiej</v>
      </c>
      <c r="F3802" s="21" t="s">
        <v>2530</v>
      </c>
      <c r="G3802" s="23">
        <v>46198</v>
      </c>
    </row>
    <row r="3803" spans="1:7" ht="36.5" hidden="1" x14ac:dyDescent="0.35">
      <c r="A3803" s="8">
        <v>12414</v>
      </c>
      <c r="B3803" s="10" t="s">
        <v>6360</v>
      </c>
      <c r="C3803" s="10" t="s">
        <v>250</v>
      </c>
      <c r="D3803" s="9" t="s">
        <v>395</v>
      </c>
      <c r="E3803" s="9" t="str">
        <f>_xlfn.TEXTAFTER(Condiciones_acumuladas[[#This Row],[Descripción]], " ", -2)</f>
        <v>Abraham Quiej</v>
      </c>
      <c r="F3803" s="21" t="s">
        <v>2540</v>
      </c>
      <c r="G3803" s="23">
        <v>46192</v>
      </c>
    </row>
    <row r="3804" spans="1:7" ht="48.5" hidden="1" x14ac:dyDescent="0.35">
      <c r="A3804" s="8">
        <v>12466</v>
      </c>
      <c r="B3804" s="10" t="s">
        <v>6361</v>
      </c>
      <c r="C3804" s="10" t="s">
        <v>26</v>
      </c>
      <c r="D3804" s="9" t="s">
        <v>26</v>
      </c>
      <c r="E3804" s="9" t="str">
        <f>_xlfn.TEXTAFTER(Condiciones_acumuladas[[#This Row],[Descripción]], " ", -2)</f>
        <v>Adrian Santisteban</v>
      </c>
      <c r="F3804" s="21" t="s">
        <v>2559</v>
      </c>
      <c r="G3804" s="23">
        <v>46200</v>
      </c>
    </row>
    <row r="3805" spans="1:7" ht="36.5" hidden="1" x14ac:dyDescent="0.35">
      <c r="A3805" s="8">
        <v>12467</v>
      </c>
      <c r="B3805" s="10" t="s">
        <v>6362</v>
      </c>
      <c r="C3805" s="10" t="s">
        <v>26</v>
      </c>
      <c r="D3805" s="9" t="s">
        <v>26</v>
      </c>
      <c r="E3805" s="9" t="str">
        <f>_xlfn.TEXTAFTER(Condiciones_acumuladas[[#This Row],[Descripción]], " ", -2)</f>
        <v>Adrian Santisteban</v>
      </c>
      <c r="F3805" s="21" t="s">
        <v>2516</v>
      </c>
      <c r="G3805" s="23">
        <v>46200</v>
      </c>
    </row>
    <row r="3806" spans="1:7" ht="24.5" hidden="1" x14ac:dyDescent="0.35">
      <c r="A3806" s="8">
        <v>12468</v>
      </c>
      <c r="B3806" s="10" t="s">
        <v>6363</v>
      </c>
      <c r="C3806" s="10" t="s">
        <v>26</v>
      </c>
      <c r="D3806" s="9" t="s">
        <v>26</v>
      </c>
      <c r="E3806" s="9" t="str">
        <f>_xlfn.TEXTAFTER(Condiciones_acumuladas[[#This Row],[Descripción]], " ", -2)</f>
        <v>Adrian Santisteban</v>
      </c>
      <c r="F3806" s="21" t="s">
        <v>2522</v>
      </c>
      <c r="G3806" s="23">
        <v>46199</v>
      </c>
    </row>
    <row r="3807" spans="1:7" ht="36.5" hidden="1" x14ac:dyDescent="0.35">
      <c r="A3807" s="8">
        <v>12469</v>
      </c>
      <c r="B3807" s="10" t="s">
        <v>6364</v>
      </c>
      <c r="C3807" s="10" t="s">
        <v>26</v>
      </c>
      <c r="D3807" s="9" t="s">
        <v>26</v>
      </c>
      <c r="E3807" s="9" t="str">
        <f>_xlfn.TEXTAFTER(Condiciones_acumuladas[[#This Row],[Descripción]], " ", -2)</f>
        <v>Adrian Santisteban</v>
      </c>
      <c r="F3807" s="21" t="s">
        <v>2516</v>
      </c>
      <c r="G3807" s="23">
        <v>46201</v>
      </c>
    </row>
    <row r="3808" spans="1:7" ht="36.5" hidden="1" x14ac:dyDescent="0.35">
      <c r="A3808" s="8">
        <v>12470</v>
      </c>
      <c r="B3808" s="10" t="s">
        <v>6365</v>
      </c>
      <c r="C3808" s="10" t="s">
        <v>34</v>
      </c>
      <c r="D3808" s="9" t="s">
        <v>34</v>
      </c>
      <c r="E3808" s="9" t="str">
        <f>_xlfn.TEXTAFTER(Condiciones_acumuladas[[#This Row],[Descripción]], " ", -2)</f>
        <v>Adrian Santisteban</v>
      </c>
      <c r="F3808" s="21" t="s">
        <v>2516</v>
      </c>
      <c r="G3808" s="23">
        <v>46199</v>
      </c>
    </row>
    <row r="3809" spans="1:7" ht="36.5" hidden="1" x14ac:dyDescent="0.35">
      <c r="A3809" s="8">
        <v>12471</v>
      </c>
      <c r="B3809" s="10" t="s">
        <v>6366</v>
      </c>
      <c r="C3809" s="10" t="s">
        <v>34</v>
      </c>
      <c r="D3809" s="9" t="s">
        <v>34</v>
      </c>
      <c r="E3809" s="9" t="str">
        <f>_xlfn.TEXTAFTER(Condiciones_acumuladas[[#This Row],[Descripción]], " ", -2)</f>
        <v>Adrian Santisteban</v>
      </c>
      <c r="F3809" s="21" t="s">
        <v>2516</v>
      </c>
      <c r="G3809" s="23">
        <v>46200</v>
      </c>
    </row>
    <row r="3810" spans="1:7" ht="36.5" hidden="1" x14ac:dyDescent="0.35">
      <c r="A3810" s="8">
        <v>12472</v>
      </c>
      <c r="B3810" s="10" t="s">
        <v>6367</v>
      </c>
      <c r="C3810" s="10" t="s">
        <v>34</v>
      </c>
      <c r="D3810" s="9" t="s">
        <v>34</v>
      </c>
      <c r="E3810" s="9" t="str">
        <f>_xlfn.TEXTAFTER(Condiciones_acumuladas[[#This Row],[Descripción]], " ", -2)</f>
        <v>Adrian Santisteban</v>
      </c>
      <c r="F3810" s="21" t="s">
        <v>2516</v>
      </c>
      <c r="G3810" s="23">
        <v>46199</v>
      </c>
    </row>
    <row r="3811" spans="1:7" ht="36.5" hidden="1" x14ac:dyDescent="0.35">
      <c r="A3811" s="8">
        <v>12348</v>
      </c>
      <c r="B3811" s="10" t="s">
        <v>6368</v>
      </c>
      <c r="C3811" s="10" t="s">
        <v>34</v>
      </c>
      <c r="D3811" s="9" t="s">
        <v>95</v>
      </c>
      <c r="E3811" s="9" t="str">
        <f>_xlfn.TEXTAFTER(Condiciones_acumuladas[[#This Row],[Descripción]], " ", -2)</f>
        <v>Alejandro Martínez</v>
      </c>
      <c r="F3811" s="21" t="s">
        <v>2516</v>
      </c>
      <c r="G3811" s="23">
        <v>46184</v>
      </c>
    </row>
    <row r="3812" spans="1:7" ht="24.5" hidden="1" x14ac:dyDescent="0.35">
      <c r="A3812" s="8">
        <v>12349</v>
      </c>
      <c r="B3812" s="10" t="s">
        <v>6369</v>
      </c>
      <c r="C3812" s="10" t="s">
        <v>34</v>
      </c>
      <c r="D3812" s="9" t="s">
        <v>95</v>
      </c>
      <c r="E3812" s="9" t="str">
        <f>_xlfn.TEXTAFTER(Condiciones_acumuladas[[#This Row],[Descripción]], " ", -2)</f>
        <v>Alejandro Martínez</v>
      </c>
      <c r="F3812" s="21" t="s">
        <v>2522</v>
      </c>
      <c r="G3812" s="23">
        <v>46185</v>
      </c>
    </row>
    <row r="3813" spans="1:7" ht="36.5" hidden="1" x14ac:dyDescent="0.35">
      <c r="A3813" s="8">
        <v>12367</v>
      </c>
      <c r="B3813" s="10" t="s">
        <v>6370</v>
      </c>
      <c r="C3813" s="10" t="s">
        <v>34</v>
      </c>
      <c r="D3813" s="9" t="s">
        <v>95</v>
      </c>
      <c r="E3813" s="9" t="str">
        <f>_xlfn.TEXTAFTER(Condiciones_acumuladas[[#This Row],[Descripción]], " ", -2)</f>
        <v>Alejandro Martínez</v>
      </c>
      <c r="F3813" s="21" t="s">
        <v>2516</v>
      </c>
      <c r="G3813" s="23">
        <v>46185</v>
      </c>
    </row>
    <row r="3814" spans="1:7" ht="36.5" hidden="1" x14ac:dyDescent="0.35">
      <c r="A3814" s="8">
        <v>12293</v>
      </c>
      <c r="B3814" s="10" t="s">
        <v>6371</v>
      </c>
      <c r="C3814" s="10" t="s">
        <v>134</v>
      </c>
      <c r="D3814" s="9" t="s">
        <v>134</v>
      </c>
      <c r="E3814" s="9" t="str">
        <f>_xlfn.TEXTAFTER(Condiciones_acumuladas[[#This Row],[Descripción]], " ", -2)</f>
        <v xml:space="preserve">Alfonso Guatzin
</v>
      </c>
      <c r="F3814" s="21" t="s">
        <v>2516</v>
      </c>
      <c r="G3814" s="23">
        <v>46178</v>
      </c>
    </row>
    <row r="3815" spans="1:7" ht="36.5" hidden="1" x14ac:dyDescent="0.35">
      <c r="A3815" s="8">
        <v>12351</v>
      </c>
      <c r="B3815" s="10" t="s">
        <v>6372</v>
      </c>
      <c r="C3815" s="10" t="s">
        <v>134</v>
      </c>
      <c r="D3815" s="9" t="s">
        <v>134</v>
      </c>
      <c r="E3815" s="9" t="str">
        <f>_xlfn.TEXTAFTER(Condiciones_acumuladas[[#This Row],[Descripción]], " ", -2)</f>
        <v xml:space="preserve">Alfonso Guatzin
</v>
      </c>
      <c r="F3815" s="21" t="s">
        <v>2522</v>
      </c>
      <c r="G3815" s="23">
        <v>46184</v>
      </c>
    </row>
    <row r="3816" spans="1:7" ht="36.5" hidden="1" x14ac:dyDescent="0.35">
      <c r="A3816" s="8">
        <v>12406</v>
      </c>
      <c r="B3816" s="10" t="s">
        <v>6373</v>
      </c>
      <c r="C3816" s="10" t="s">
        <v>104</v>
      </c>
      <c r="D3816" s="9" t="s">
        <v>134</v>
      </c>
      <c r="E3816" s="9" t="str">
        <f>_xlfn.TEXTAFTER(Condiciones_acumuladas[[#This Row],[Descripción]], " ", -2)</f>
        <v xml:space="preserve">Alfonso Guatzin
</v>
      </c>
      <c r="F3816" s="21" t="s">
        <v>2522</v>
      </c>
      <c r="G3816" s="23">
        <v>46192</v>
      </c>
    </row>
    <row r="3817" spans="1:7" ht="24.5" hidden="1" x14ac:dyDescent="0.35">
      <c r="A3817" s="8">
        <v>12316</v>
      </c>
      <c r="B3817" s="10" t="s">
        <v>6374</v>
      </c>
      <c r="C3817" s="10" t="s">
        <v>13</v>
      </c>
      <c r="D3817" s="9" t="s">
        <v>13</v>
      </c>
      <c r="E3817" s="9" t="str">
        <f>_xlfn.TEXTAFTER(Condiciones_acumuladas[[#This Row],[Descripción]], " ", -2)</f>
        <v>Amilcar Ralda</v>
      </c>
      <c r="F3817" s="21" t="s">
        <v>2540</v>
      </c>
      <c r="G3817" s="23">
        <v>46184</v>
      </c>
    </row>
    <row r="3818" spans="1:7" ht="24.5" hidden="1" x14ac:dyDescent="0.35">
      <c r="A3818" s="8">
        <v>12439</v>
      </c>
      <c r="B3818" s="10" t="s">
        <v>6375</v>
      </c>
      <c r="C3818" s="10" t="s">
        <v>21</v>
      </c>
      <c r="D3818" s="9" t="s">
        <v>21</v>
      </c>
      <c r="E3818" s="9" t="str">
        <f>_xlfn.TEXTAFTER(Condiciones_acumuladas[[#This Row],[Descripción]], " ", -2)</f>
        <v>Amilcar Ralda</v>
      </c>
      <c r="F3818" s="21" t="s">
        <v>2522</v>
      </c>
      <c r="G3818" s="23">
        <v>46198</v>
      </c>
    </row>
    <row r="3819" spans="1:7" ht="36.5" hidden="1" x14ac:dyDescent="0.35">
      <c r="A3819" s="8">
        <v>12300</v>
      </c>
      <c r="B3819" s="10" t="s">
        <v>6376</v>
      </c>
      <c r="C3819" s="10" t="s">
        <v>26</v>
      </c>
      <c r="D3819" s="9" t="s">
        <v>95</v>
      </c>
      <c r="E3819" s="9" t="str">
        <f>_xlfn.TEXTAFTER(Condiciones_acumuladas[[#This Row],[Descripción]], " ", -2)</f>
        <v>Andrea González</v>
      </c>
      <c r="F3819" s="21" t="s">
        <v>2572</v>
      </c>
      <c r="G3819" s="23">
        <v>46183</v>
      </c>
    </row>
    <row r="3820" spans="1:7" ht="24.5" hidden="1" x14ac:dyDescent="0.35">
      <c r="A3820" s="8">
        <v>12299</v>
      </c>
      <c r="B3820" s="10" t="s">
        <v>6377</v>
      </c>
      <c r="C3820" s="10" t="s">
        <v>26</v>
      </c>
      <c r="D3820" s="9" t="s">
        <v>95</v>
      </c>
      <c r="E3820" s="9" t="str">
        <f>_xlfn.TEXTAFTER(Condiciones_acumuladas[[#This Row],[Descripción]], " ", -2)</f>
        <v>Andrea González</v>
      </c>
      <c r="F3820" s="21" t="s">
        <v>2540</v>
      </c>
      <c r="G3820" s="23">
        <v>46183</v>
      </c>
    </row>
    <row r="3821" spans="1:7" ht="36.5" hidden="1" x14ac:dyDescent="0.35">
      <c r="A3821" s="8">
        <v>12297</v>
      </c>
      <c r="B3821" s="10" t="s">
        <v>6378</v>
      </c>
      <c r="C3821" s="10" t="s">
        <v>220</v>
      </c>
      <c r="D3821" s="9" t="s">
        <v>95</v>
      </c>
      <c r="E3821" s="9" t="str">
        <f>_xlfn.TEXTAFTER(Condiciones_acumuladas[[#This Row],[Descripción]], " ", -2)</f>
        <v>Andrea González</v>
      </c>
      <c r="F3821" s="21" t="s">
        <v>2572</v>
      </c>
      <c r="G3821" s="23">
        <v>46183</v>
      </c>
    </row>
    <row r="3822" spans="1:7" ht="36.5" hidden="1" x14ac:dyDescent="0.35">
      <c r="A3822" s="8">
        <v>12320</v>
      </c>
      <c r="B3822" s="10" t="s">
        <v>6379</v>
      </c>
      <c r="C3822" s="10" t="s">
        <v>13</v>
      </c>
      <c r="D3822" s="9" t="s">
        <v>95</v>
      </c>
      <c r="E3822" s="9" t="str">
        <f>_xlfn.TEXTAFTER(Condiciones_acumuladas[[#This Row],[Descripción]], " ", -2)</f>
        <v>Andrea González</v>
      </c>
      <c r="F3822" s="21" t="s">
        <v>2516</v>
      </c>
      <c r="G3822" s="23">
        <v>46188</v>
      </c>
    </row>
    <row r="3823" spans="1:7" ht="24.5" hidden="1" x14ac:dyDescent="0.35">
      <c r="A3823" s="8">
        <v>12410</v>
      </c>
      <c r="B3823" s="10" t="s">
        <v>6380</v>
      </c>
      <c r="C3823" s="10" t="s">
        <v>26</v>
      </c>
      <c r="D3823" s="9" t="s">
        <v>95</v>
      </c>
      <c r="E3823" s="9" t="str">
        <f>_xlfn.TEXTAFTER(Condiciones_acumuladas[[#This Row],[Descripción]], " ", -2)</f>
        <v>Andrea González</v>
      </c>
      <c r="F3823" s="21" t="s">
        <v>2540</v>
      </c>
      <c r="G3823" s="23">
        <v>46191</v>
      </c>
    </row>
    <row r="3824" spans="1:7" ht="24.5" hidden="1" x14ac:dyDescent="0.35">
      <c r="A3824" s="8">
        <v>12285</v>
      </c>
      <c r="B3824" s="10" t="s">
        <v>6381</v>
      </c>
      <c r="C3824" s="10" t="s">
        <v>34</v>
      </c>
      <c r="D3824" s="9" t="s">
        <v>395</v>
      </c>
      <c r="E3824" s="9" t="str">
        <f>_xlfn.TEXTAFTER(Condiciones_acumuladas[[#This Row],[Descripción]], " ", -2)</f>
        <v>Antony Ramos</v>
      </c>
      <c r="F3824" s="21" t="s">
        <v>2834</v>
      </c>
      <c r="G3824" s="23">
        <v>46179</v>
      </c>
    </row>
    <row r="3825" spans="1:7" ht="24.5" hidden="1" x14ac:dyDescent="0.35">
      <c r="A3825" s="8">
        <v>12393</v>
      </c>
      <c r="B3825" s="10" t="s">
        <v>6382</v>
      </c>
      <c r="C3825" s="10" t="s">
        <v>34</v>
      </c>
      <c r="D3825" s="9" t="s">
        <v>395</v>
      </c>
      <c r="E3825" s="9" t="str">
        <f>_xlfn.TEXTAFTER(Condiciones_acumuladas[[#This Row],[Descripción]], " ", -2)</f>
        <v>Antony Ramos</v>
      </c>
      <c r="F3825" s="21" t="s">
        <v>2522</v>
      </c>
      <c r="G3825" s="23">
        <v>46191</v>
      </c>
    </row>
    <row r="3826" spans="1:7" ht="36.5" hidden="1" x14ac:dyDescent="0.35">
      <c r="A3826" s="8">
        <v>12394</v>
      </c>
      <c r="B3826" s="10" t="s">
        <v>6383</v>
      </c>
      <c r="C3826" s="10" t="s">
        <v>220</v>
      </c>
      <c r="D3826" s="9" t="s">
        <v>395</v>
      </c>
      <c r="E3826" s="9" t="str">
        <f>_xlfn.TEXTAFTER(Condiciones_acumuladas[[#This Row],[Descripción]], " ", -2)</f>
        <v>Antony Ramos</v>
      </c>
      <c r="F3826" s="21" t="s">
        <v>2516</v>
      </c>
      <c r="G3826" s="23">
        <v>46191</v>
      </c>
    </row>
    <row r="3827" spans="1:7" ht="36.5" hidden="1" x14ac:dyDescent="0.35">
      <c r="A3827" s="8">
        <v>12368</v>
      </c>
      <c r="B3827" s="10" t="s">
        <v>6384</v>
      </c>
      <c r="C3827" s="10" t="s">
        <v>227</v>
      </c>
      <c r="D3827" s="9" t="s">
        <v>395</v>
      </c>
      <c r="E3827" s="9" t="str">
        <f>_xlfn.TEXTAFTER(Condiciones_acumuladas[[#This Row],[Descripción]], " ", -2)</f>
        <v>Antony Ramos</v>
      </c>
      <c r="F3827" s="21" t="s">
        <v>2715</v>
      </c>
      <c r="G3827" s="23">
        <v>46186</v>
      </c>
    </row>
    <row r="3828" spans="1:7" ht="36.5" hidden="1" x14ac:dyDescent="0.35">
      <c r="A3828" s="8">
        <v>12416</v>
      </c>
      <c r="B3828" s="10" t="s">
        <v>6385</v>
      </c>
      <c r="C3828" s="10" t="s">
        <v>134</v>
      </c>
      <c r="D3828" s="9" t="s">
        <v>395</v>
      </c>
      <c r="E3828" s="9" t="str">
        <f>_xlfn.TEXTAFTER(Condiciones_acumuladas[[#This Row],[Descripción]], " ", -2)</f>
        <v>Antony Ramos</v>
      </c>
      <c r="F3828" s="21" t="s">
        <v>2572</v>
      </c>
      <c r="G3828" s="23">
        <v>46194</v>
      </c>
    </row>
    <row r="3829" spans="1:7" ht="36.5" hidden="1" x14ac:dyDescent="0.35">
      <c r="A3829" s="8">
        <v>12444</v>
      </c>
      <c r="B3829" s="10" t="s">
        <v>6386</v>
      </c>
      <c r="C3829" s="10" t="s">
        <v>250</v>
      </c>
      <c r="D3829" s="9" t="s">
        <v>190</v>
      </c>
      <c r="E3829" s="9" t="str">
        <f>_xlfn.TEXTAFTER(Condiciones_acumuladas[[#This Row],[Descripción]], " ", -2)</f>
        <v>Ariel Cua</v>
      </c>
      <c r="F3829" s="21" t="s">
        <v>2572</v>
      </c>
      <c r="G3829" s="23">
        <v>46198</v>
      </c>
    </row>
    <row r="3830" spans="1:7" ht="24.5" hidden="1" x14ac:dyDescent="0.35">
      <c r="A3830" s="8">
        <v>12330</v>
      </c>
      <c r="B3830" s="10" t="s">
        <v>6387</v>
      </c>
      <c r="C3830" s="10" t="s">
        <v>190</v>
      </c>
      <c r="D3830" s="9" t="s">
        <v>227</v>
      </c>
      <c r="E3830" s="9" t="str">
        <f>_xlfn.TEXTAFTER(Condiciones_acumuladas[[#This Row],[Descripción]], " ", -2)</f>
        <v>Astrid Macario</v>
      </c>
      <c r="F3830" s="21" t="s">
        <v>2522</v>
      </c>
      <c r="G3830" s="23">
        <v>46184</v>
      </c>
    </row>
    <row r="3831" spans="1:7" ht="48.5" hidden="1" x14ac:dyDescent="0.35">
      <c r="A3831" s="8">
        <v>12432</v>
      </c>
      <c r="B3831" s="10" t="s">
        <v>6388</v>
      </c>
      <c r="C3831" s="10" t="s">
        <v>21</v>
      </c>
      <c r="D3831" s="9" t="s">
        <v>95</v>
      </c>
      <c r="E3831" s="9" t="str">
        <f>_xlfn.TEXTAFTER(Condiciones_acumuladas[[#This Row],[Descripción]], " ", -2)</f>
        <v>Benedicto Barrios</v>
      </c>
      <c r="F3831" s="21" t="s">
        <v>2559</v>
      </c>
      <c r="G3831" s="23">
        <v>46201</v>
      </c>
    </row>
    <row r="3832" spans="1:7" ht="36.5" hidden="1" x14ac:dyDescent="0.35">
      <c r="A3832" s="8">
        <v>12307</v>
      </c>
      <c r="B3832" s="10" t="s">
        <v>6389</v>
      </c>
      <c r="C3832" s="10" t="s">
        <v>13</v>
      </c>
      <c r="D3832" s="9" t="s">
        <v>395</v>
      </c>
      <c r="E3832" s="9" t="str">
        <f>_xlfn.TEXTAFTER(Condiciones_acumuladas[[#This Row],[Descripción]], " ", -2)</f>
        <v>Bryan Barahona</v>
      </c>
      <c r="F3832" s="21" t="s">
        <v>2516</v>
      </c>
      <c r="G3832" s="23">
        <v>46181</v>
      </c>
    </row>
    <row r="3833" spans="1:7" ht="36.5" hidden="1" x14ac:dyDescent="0.35">
      <c r="A3833" s="8">
        <v>12303</v>
      </c>
      <c r="B3833" s="10" t="s">
        <v>6390</v>
      </c>
      <c r="C3833" s="10" t="s">
        <v>220</v>
      </c>
      <c r="D3833" s="9" t="s">
        <v>395</v>
      </c>
      <c r="E3833" s="9" t="str">
        <f>_xlfn.TEXTAFTER(Condiciones_acumuladas[[#This Row],[Descripción]], " ", -2)</f>
        <v>Bryan Barahona</v>
      </c>
      <c r="F3833" s="21" t="s">
        <v>2516</v>
      </c>
      <c r="G3833" s="23">
        <v>46181</v>
      </c>
    </row>
    <row r="3834" spans="1:7" ht="36.5" hidden="1" x14ac:dyDescent="0.35">
      <c r="A3834" s="8">
        <v>12391</v>
      </c>
      <c r="B3834" s="10" t="s">
        <v>6391</v>
      </c>
      <c r="C3834" s="10" t="s">
        <v>96</v>
      </c>
      <c r="D3834" s="9" t="s">
        <v>395</v>
      </c>
      <c r="E3834" s="9" t="str">
        <f>_xlfn.TEXTAFTER(Condiciones_acumuladas[[#This Row],[Descripción]], " ", -2)</f>
        <v>Bryan Barahona</v>
      </c>
      <c r="F3834" s="21" t="s">
        <v>2516</v>
      </c>
      <c r="G3834" s="23">
        <v>46190</v>
      </c>
    </row>
    <row r="3835" spans="1:7" ht="36.5" hidden="1" x14ac:dyDescent="0.35">
      <c r="A3835" s="8">
        <v>12446</v>
      </c>
      <c r="B3835" s="10" t="s">
        <v>6392</v>
      </c>
      <c r="C3835" s="10" t="s">
        <v>220</v>
      </c>
      <c r="D3835" s="9" t="s">
        <v>395</v>
      </c>
      <c r="E3835" s="9" t="str">
        <f>_xlfn.TEXTAFTER(Condiciones_acumuladas[[#This Row],[Descripción]], " ", -2)</f>
        <v>Bryan Barahona</v>
      </c>
      <c r="F3835" s="21" t="s">
        <v>2572</v>
      </c>
      <c r="G3835" s="23">
        <v>46199</v>
      </c>
    </row>
    <row r="3836" spans="1:7" ht="48.5" hidden="1" x14ac:dyDescent="0.35">
      <c r="A3836" s="8">
        <v>12371</v>
      </c>
      <c r="B3836" s="10" t="s">
        <v>6393</v>
      </c>
      <c r="C3836" s="10" t="s">
        <v>196</v>
      </c>
      <c r="D3836" s="9" t="s">
        <v>234</v>
      </c>
      <c r="E3836" s="9" t="str">
        <f>_xlfn.TEXTAFTER(Condiciones_acumuladas[[#This Row],[Descripción]], " ", -2)</f>
        <v>Bryan Rodas</v>
      </c>
      <c r="F3836" s="21" t="s">
        <v>2559</v>
      </c>
      <c r="G3836" s="23">
        <v>46188</v>
      </c>
    </row>
    <row r="3837" spans="1:7" ht="48.5" hidden="1" x14ac:dyDescent="0.35">
      <c r="A3837" s="8">
        <v>12450</v>
      </c>
      <c r="B3837" s="10" t="s">
        <v>6394</v>
      </c>
      <c r="C3837" s="10" t="s">
        <v>196</v>
      </c>
      <c r="D3837" s="9" t="s">
        <v>234</v>
      </c>
      <c r="E3837" s="9" t="str">
        <f>_xlfn.TEXTAFTER(Condiciones_acumuladas[[#This Row],[Descripción]], " ", -2)</f>
        <v>Bryan Rodas</v>
      </c>
      <c r="F3837" s="21" t="s">
        <v>2559</v>
      </c>
      <c r="G3837" s="23">
        <v>46203</v>
      </c>
    </row>
    <row r="3838" spans="1:7" ht="48.5" hidden="1" x14ac:dyDescent="0.35">
      <c r="A3838" s="8">
        <v>12426</v>
      </c>
      <c r="B3838" s="10" t="s">
        <v>6395</v>
      </c>
      <c r="C3838" s="10" t="s">
        <v>234</v>
      </c>
      <c r="D3838" s="9" t="s">
        <v>234</v>
      </c>
      <c r="E3838" s="9" t="str">
        <f>_xlfn.TEXTAFTER(Condiciones_acumuladas[[#This Row],[Descripción]], " ", -2)</f>
        <v>Bryan Rodas</v>
      </c>
      <c r="F3838" s="21" t="s">
        <v>2559</v>
      </c>
      <c r="G3838" s="23">
        <v>46199</v>
      </c>
    </row>
    <row r="3839" spans="1:7" ht="36.5" hidden="1" x14ac:dyDescent="0.35">
      <c r="A3839" s="8">
        <v>12408</v>
      </c>
      <c r="B3839" s="10" t="s">
        <v>6396</v>
      </c>
      <c r="C3839" s="10" t="s">
        <v>104</v>
      </c>
      <c r="D3839" s="9" t="s">
        <v>234</v>
      </c>
      <c r="E3839" s="9" t="str">
        <f>_xlfn.TEXTAFTER(Condiciones_acumuladas[[#This Row],[Descripción]], " ", -2)</f>
        <v>Bryan Rodas</v>
      </c>
      <c r="F3839" s="21" t="s">
        <v>2516</v>
      </c>
      <c r="G3839" s="23">
        <v>46197</v>
      </c>
    </row>
    <row r="3840" spans="1:7" ht="48.5" hidden="1" x14ac:dyDescent="0.35">
      <c r="A3840" s="8">
        <v>12485</v>
      </c>
      <c r="B3840" s="10" t="s">
        <v>6397</v>
      </c>
      <c r="C3840" s="10" t="s">
        <v>220</v>
      </c>
      <c r="D3840" s="9" t="s">
        <v>278</v>
      </c>
      <c r="E3840" s="9" t="str">
        <f>_xlfn.TEXTAFTER(Condiciones_acumuladas[[#This Row],[Descripción]], " ", -2)</f>
        <v>Byron Valux</v>
      </c>
      <c r="F3840" s="21" t="s">
        <v>2559</v>
      </c>
      <c r="G3840" s="23">
        <v>46203</v>
      </c>
    </row>
    <row r="3841" spans="1:7" ht="36.5" hidden="1" x14ac:dyDescent="0.35">
      <c r="A3841" s="8">
        <v>12257</v>
      </c>
      <c r="B3841" s="10" t="s">
        <v>6398</v>
      </c>
      <c r="C3841" s="10" t="s">
        <v>190</v>
      </c>
      <c r="D3841" s="9" t="s">
        <v>220</v>
      </c>
      <c r="E3841" s="9" t="str">
        <f>_xlfn.TEXTAFTER(Condiciones_acumuladas[[#This Row],[Descripción]], " ", -2)</f>
        <v>Carlos Chávez</v>
      </c>
      <c r="F3841" s="21" t="s">
        <v>2522</v>
      </c>
      <c r="G3841" s="23">
        <v>46176</v>
      </c>
    </row>
    <row r="3842" spans="1:7" ht="24.5" hidden="1" x14ac:dyDescent="0.35">
      <c r="A3842" s="8">
        <v>12343</v>
      </c>
      <c r="B3842" s="10" t="s">
        <v>5623</v>
      </c>
      <c r="C3842" s="10" t="s">
        <v>220</v>
      </c>
      <c r="D3842" s="9" t="s">
        <v>220</v>
      </c>
      <c r="E3842" s="9" t="str">
        <f>_xlfn.TEXTAFTER(Condiciones_acumuladas[[#This Row],[Descripción]], " ", -2)</f>
        <v>Carlos Chávez</v>
      </c>
      <c r="F3842" s="21" t="s">
        <v>2522</v>
      </c>
      <c r="G3842" s="23">
        <v>46184</v>
      </c>
    </row>
    <row r="3843" spans="1:7" ht="48.5" hidden="1" x14ac:dyDescent="0.35">
      <c r="A3843" s="8">
        <v>12341</v>
      </c>
      <c r="B3843" s="10" t="s">
        <v>6399</v>
      </c>
      <c r="C3843" s="10" t="s">
        <v>220</v>
      </c>
      <c r="D3843" s="9" t="s">
        <v>220</v>
      </c>
      <c r="E3843" s="9" t="str">
        <f>_xlfn.TEXTAFTER(Condiciones_acumuladas[[#This Row],[Descripción]], " ", -2)</f>
        <v>Carlos Chávez</v>
      </c>
      <c r="F3843" s="21" t="s">
        <v>2559</v>
      </c>
      <c r="G3843" s="23">
        <v>46184</v>
      </c>
    </row>
    <row r="3844" spans="1:7" ht="24.5" hidden="1" x14ac:dyDescent="0.35">
      <c r="A3844" s="8">
        <v>12329</v>
      </c>
      <c r="B3844" s="10" t="s">
        <v>6400</v>
      </c>
      <c r="C3844" s="10" t="s">
        <v>205</v>
      </c>
      <c r="D3844" s="9" t="s">
        <v>220</v>
      </c>
      <c r="E3844" s="9" t="str">
        <f>_xlfn.TEXTAFTER(Condiciones_acumuladas[[#This Row],[Descripción]], " ", -2)</f>
        <v>Carlos Chávez</v>
      </c>
      <c r="F3844" s="21" t="s">
        <v>2540</v>
      </c>
      <c r="G3844" s="23">
        <v>46184</v>
      </c>
    </row>
    <row r="3845" spans="1:7" ht="48.5" hidden="1" x14ac:dyDescent="0.35">
      <c r="A3845" s="8">
        <v>12378</v>
      </c>
      <c r="B3845" s="10" t="s">
        <v>6401</v>
      </c>
      <c r="C3845" s="10" t="s">
        <v>96</v>
      </c>
      <c r="D3845" s="9" t="s">
        <v>220</v>
      </c>
      <c r="E3845" s="9" t="str">
        <f>_xlfn.TEXTAFTER(Condiciones_acumuladas[[#This Row],[Descripción]], " ", -2)</f>
        <v>Carlos Chávez</v>
      </c>
      <c r="F3845" s="21" t="s">
        <v>2559</v>
      </c>
      <c r="G3845" s="23">
        <v>46190</v>
      </c>
    </row>
    <row r="3846" spans="1:7" ht="24.5" hidden="1" x14ac:dyDescent="0.35">
      <c r="A3846" s="8">
        <v>12377</v>
      </c>
      <c r="B3846" s="10" t="s">
        <v>6402</v>
      </c>
      <c r="C3846" s="10" t="s">
        <v>220</v>
      </c>
      <c r="D3846" s="9" t="s">
        <v>220</v>
      </c>
      <c r="E3846" s="9" t="str">
        <f>_xlfn.TEXTAFTER(Condiciones_acumuladas[[#This Row],[Descripción]], " ", -2)</f>
        <v>Carlos Chávez</v>
      </c>
      <c r="F3846" s="21" t="s">
        <v>2522</v>
      </c>
      <c r="G3846" s="23">
        <v>46189</v>
      </c>
    </row>
    <row r="3847" spans="1:7" ht="48.5" hidden="1" x14ac:dyDescent="0.35">
      <c r="A3847" s="8">
        <v>12376</v>
      </c>
      <c r="B3847" s="10" t="s">
        <v>6403</v>
      </c>
      <c r="C3847" s="10" t="s">
        <v>220</v>
      </c>
      <c r="D3847" s="9" t="s">
        <v>220</v>
      </c>
      <c r="E3847" s="9" t="str">
        <f>_xlfn.TEXTAFTER(Condiciones_acumuladas[[#This Row],[Descripción]], " ", -2)</f>
        <v>Carlos Chávez</v>
      </c>
      <c r="F3847" s="21" t="s">
        <v>2559</v>
      </c>
      <c r="G3847" s="23">
        <v>46190</v>
      </c>
    </row>
    <row r="3848" spans="1:7" ht="36.5" hidden="1" x14ac:dyDescent="0.35">
      <c r="A3848" s="8">
        <v>12262</v>
      </c>
      <c r="B3848" s="10" t="s">
        <v>6404</v>
      </c>
      <c r="C3848" s="10" t="s">
        <v>220</v>
      </c>
      <c r="D3848" s="9" t="s">
        <v>220</v>
      </c>
      <c r="E3848" s="9" t="str">
        <f>_xlfn.TEXTAFTER(Condiciones_acumuladas[[#This Row],[Descripción]], " ", -2)</f>
        <v>Charly Coc</v>
      </c>
      <c r="F3848" s="21" t="s">
        <v>2516</v>
      </c>
      <c r="G3848" s="23">
        <v>46176</v>
      </c>
    </row>
    <row r="3849" spans="1:7" ht="48.5" hidden="1" x14ac:dyDescent="0.35">
      <c r="A3849" s="8">
        <v>12433</v>
      </c>
      <c r="B3849" s="10" t="s">
        <v>6405</v>
      </c>
      <c r="C3849" s="10" t="s">
        <v>220</v>
      </c>
      <c r="D3849" s="9" t="s">
        <v>220</v>
      </c>
      <c r="E3849" s="9" t="str">
        <f>_xlfn.TEXTAFTER(Condiciones_acumuladas[[#This Row],[Descripción]], " ", -2)</f>
        <v>Charly Coc</v>
      </c>
      <c r="F3849" s="21" t="s">
        <v>2559</v>
      </c>
      <c r="G3849" s="23">
        <v>46198</v>
      </c>
    </row>
    <row r="3850" spans="1:7" ht="24.5" hidden="1" x14ac:dyDescent="0.35">
      <c r="A3850" s="8">
        <v>12417</v>
      </c>
      <c r="B3850" s="10" t="s">
        <v>6406</v>
      </c>
      <c r="C3850" s="10" t="s">
        <v>220</v>
      </c>
      <c r="D3850" s="9" t="s">
        <v>190</v>
      </c>
      <c r="E3850" s="9" t="str">
        <f>_xlfn.TEXTAFTER(Condiciones_acumuladas[[#This Row],[Descripción]], " ", -2)</f>
        <v>Denni DeLeón</v>
      </c>
      <c r="F3850" s="21" t="s">
        <v>2540</v>
      </c>
      <c r="G3850" s="23">
        <v>46195</v>
      </c>
    </row>
    <row r="3851" spans="1:7" ht="36.5" hidden="1" x14ac:dyDescent="0.35">
      <c r="A3851" s="8">
        <v>12235</v>
      </c>
      <c r="B3851" s="10" t="s">
        <v>6316</v>
      </c>
      <c r="C3851" s="10" t="s">
        <v>234</v>
      </c>
      <c r="D3851" s="9" t="s">
        <v>95</v>
      </c>
      <c r="E3851" s="9" t="str">
        <f>_xlfn.TEXTAFTER(Condiciones_acumuladas[[#This Row],[Descripción]], " ", -2)</f>
        <v>Diana Pérez</v>
      </c>
      <c r="F3851" s="21" t="s">
        <v>2516</v>
      </c>
      <c r="G3851" s="23">
        <v>46174</v>
      </c>
    </row>
    <row r="3852" spans="1:7" ht="36.5" hidden="1" x14ac:dyDescent="0.35">
      <c r="A3852" s="8">
        <v>12241</v>
      </c>
      <c r="B3852" s="10" t="s">
        <v>6407</v>
      </c>
      <c r="C3852" s="10" t="s">
        <v>220</v>
      </c>
      <c r="D3852" s="9" t="s">
        <v>95</v>
      </c>
      <c r="E3852" s="9" t="str">
        <f>_xlfn.TEXTAFTER(Condiciones_acumuladas[[#This Row],[Descripción]], " ", -2)</f>
        <v>Diana Pérez</v>
      </c>
      <c r="F3852" s="21" t="s">
        <v>2516</v>
      </c>
      <c r="G3852" s="23">
        <v>46176</v>
      </c>
    </row>
    <row r="3853" spans="1:7" ht="36.5" hidden="1" x14ac:dyDescent="0.35">
      <c r="A3853" s="8">
        <v>12242</v>
      </c>
      <c r="B3853" s="10" t="s">
        <v>6408</v>
      </c>
      <c r="C3853" s="10" t="s">
        <v>34</v>
      </c>
      <c r="D3853" s="9" t="s">
        <v>95</v>
      </c>
      <c r="E3853" s="9" t="str">
        <f>_xlfn.TEXTAFTER(Condiciones_acumuladas[[#This Row],[Descripción]], " ", -2)</f>
        <v>Diana Pérez</v>
      </c>
      <c r="F3853" s="21" t="s">
        <v>2530</v>
      </c>
      <c r="G3853" s="23">
        <v>46176</v>
      </c>
    </row>
    <row r="3854" spans="1:7" ht="36.5" hidden="1" x14ac:dyDescent="0.35">
      <c r="A3854" s="8">
        <v>12356</v>
      </c>
      <c r="B3854" s="10" t="s">
        <v>6409</v>
      </c>
      <c r="C3854" s="10" t="s">
        <v>234</v>
      </c>
      <c r="D3854" s="9" t="s">
        <v>95</v>
      </c>
      <c r="E3854" s="9" t="str">
        <f>_xlfn.TEXTAFTER(Condiciones_acumuladas[[#This Row],[Descripción]], " ", -2)</f>
        <v>Diana Pérez</v>
      </c>
      <c r="F3854" s="21" t="s">
        <v>2516</v>
      </c>
      <c r="G3854" s="23">
        <v>46190</v>
      </c>
    </row>
    <row r="3855" spans="1:7" ht="24.5" hidden="1" x14ac:dyDescent="0.35">
      <c r="A3855" s="8">
        <v>12398</v>
      </c>
      <c r="B3855" s="10" t="s">
        <v>6410</v>
      </c>
      <c r="C3855" s="10" t="s">
        <v>13</v>
      </c>
      <c r="D3855" s="9" t="s">
        <v>95</v>
      </c>
      <c r="E3855" s="9" t="str">
        <f>_xlfn.TEXTAFTER(Condiciones_acumuladas[[#This Row],[Descripción]], " ", -2)</f>
        <v>Domingo Yac</v>
      </c>
      <c r="F3855" s="21" t="s">
        <v>2522</v>
      </c>
      <c r="G3855" s="23">
        <v>46194</v>
      </c>
    </row>
    <row r="3856" spans="1:7" ht="36.5" hidden="1" x14ac:dyDescent="0.35">
      <c r="A3856" s="8">
        <v>12353</v>
      </c>
      <c r="B3856" s="10" t="s">
        <v>6411</v>
      </c>
      <c r="C3856" s="10" t="s">
        <v>13</v>
      </c>
      <c r="D3856" s="9" t="s">
        <v>95</v>
      </c>
      <c r="E3856" s="9" t="str">
        <f>_xlfn.TEXTAFTER(Condiciones_acumuladas[[#This Row],[Descripción]], " ", -2)</f>
        <v>Edgar Coti</v>
      </c>
      <c r="F3856" s="21" t="s">
        <v>2572</v>
      </c>
      <c r="G3856" s="23">
        <v>46185</v>
      </c>
    </row>
    <row r="3857" spans="1:7" ht="24.5" hidden="1" x14ac:dyDescent="0.35">
      <c r="A3857" s="8">
        <v>12388</v>
      </c>
      <c r="B3857" s="10" t="s">
        <v>6412</v>
      </c>
      <c r="C3857" s="10" t="s">
        <v>196</v>
      </c>
      <c r="D3857" s="9" t="s">
        <v>196</v>
      </c>
      <c r="E3857" s="9" t="str">
        <f>_xlfn.TEXTAFTER(Condiciones_acumuladas[[#This Row],[Descripción]], " ", -2)</f>
        <v>Edgar Coti</v>
      </c>
      <c r="F3857" s="21" t="s">
        <v>2522</v>
      </c>
      <c r="G3857" s="23">
        <v>46190</v>
      </c>
    </row>
    <row r="3858" spans="1:7" ht="24.5" hidden="1" x14ac:dyDescent="0.35">
      <c r="A3858" s="8">
        <v>12270</v>
      </c>
      <c r="B3858" s="10" t="s">
        <v>6413</v>
      </c>
      <c r="C3858" s="10" t="s">
        <v>134</v>
      </c>
      <c r="D3858" s="9" t="s">
        <v>250</v>
      </c>
      <c r="E3858" s="9" t="str">
        <f>_xlfn.TEXTAFTER(Condiciones_acumuladas[[#This Row],[Descripción]], " ", -2)</f>
        <v>Edson Bonifacio</v>
      </c>
      <c r="F3858" s="21" t="s">
        <v>2522</v>
      </c>
      <c r="G3858" s="23">
        <v>46176</v>
      </c>
    </row>
    <row r="3859" spans="1:7" ht="24.5" hidden="1" x14ac:dyDescent="0.35">
      <c r="A3859" s="8">
        <v>12265</v>
      </c>
      <c r="B3859" s="10" t="s">
        <v>6414</v>
      </c>
      <c r="C3859" s="10" t="s">
        <v>104</v>
      </c>
      <c r="D3859" s="9" t="s">
        <v>250</v>
      </c>
      <c r="E3859" s="9" t="str">
        <f>_xlfn.TEXTAFTER(Condiciones_acumuladas[[#This Row],[Descripción]], " ", -2)</f>
        <v>Edson Bonifacio</v>
      </c>
      <c r="F3859" s="21" t="s">
        <v>2522</v>
      </c>
      <c r="G3859" s="23">
        <v>46176</v>
      </c>
    </row>
    <row r="3860" spans="1:7" ht="24.5" hidden="1" x14ac:dyDescent="0.35">
      <c r="A3860" s="8">
        <v>12260</v>
      </c>
      <c r="B3860" s="10" t="s">
        <v>6415</v>
      </c>
      <c r="C3860" s="10" t="s">
        <v>104</v>
      </c>
      <c r="D3860" s="9" t="s">
        <v>250</v>
      </c>
      <c r="E3860" s="9" t="str">
        <f>_xlfn.TEXTAFTER(Condiciones_acumuladas[[#This Row],[Descripción]], " ", -2)</f>
        <v>Edson Bonifacio</v>
      </c>
      <c r="F3860" s="21" t="s">
        <v>2522</v>
      </c>
      <c r="G3860" s="23">
        <v>46176</v>
      </c>
    </row>
    <row r="3861" spans="1:7" ht="48.5" hidden="1" x14ac:dyDescent="0.35">
      <c r="A3861" s="8">
        <v>12247</v>
      </c>
      <c r="B3861" s="10" t="s">
        <v>6416</v>
      </c>
      <c r="C3861" s="10" t="s">
        <v>220</v>
      </c>
      <c r="D3861" s="9" t="s">
        <v>250</v>
      </c>
      <c r="E3861" s="9" t="str">
        <f>_xlfn.TEXTAFTER(Condiciones_acumuladas[[#This Row],[Descripción]], " ", -2)</f>
        <v>Edson Bonifacio</v>
      </c>
      <c r="F3861" s="21" t="s">
        <v>2559</v>
      </c>
      <c r="G3861" s="23">
        <v>46174</v>
      </c>
    </row>
    <row r="3862" spans="1:7" ht="24.5" hidden="1" x14ac:dyDescent="0.35">
      <c r="A3862" s="8">
        <v>12449</v>
      </c>
      <c r="B3862" s="10" t="s">
        <v>6417</v>
      </c>
      <c r="C3862" s="10" t="s">
        <v>250</v>
      </c>
      <c r="D3862" s="9" t="s">
        <v>250</v>
      </c>
      <c r="E3862" s="9" t="str">
        <f>_xlfn.TEXTAFTER(Condiciones_acumuladas[[#This Row],[Descripción]], " ", -2)</f>
        <v>Edson Bonifacio</v>
      </c>
      <c r="F3862" s="21" t="s">
        <v>2522</v>
      </c>
      <c r="G3862" s="23">
        <v>46202</v>
      </c>
    </row>
    <row r="3863" spans="1:7" ht="24.5" hidden="1" x14ac:dyDescent="0.35">
      <c r="A3863" s="8">
        <v>12345</v>
      </c>
      <c r="B3863" s="10" t="s">
        <v>6418</v>
      </c>
      <c r="C3863" s="10" t="s">
        <v>34</v>
      </c>
      <c r="D3863" s="9" t="s">
        <v>190</v>
      </c>
      <c r="E3863" s="9" t="str">
        <f>_xlfn.TEXTAFTER(Condiciones_acumuladas[[#This Row],[Descripción]], " ", -2)</f>
        <v>Elvis Oliva</v>
      </c>
      <c r="F3863" s="21" t="s">
        <v>2540</v>
      </c>
      <c r="G3863" s="23">
        <v>46184</v>
      </c>
    </row>
    <row r="3864" spans="1:7" ht="36.5" hidden="1" x14ac:dyDescent="0.35">
      <c r="A3864" s="8">
        <v>12338</v>
      </c>
      <c r="B3864" s="10" t="s">
        <v>6419</v>
      </c>
      <c r="C3864" s="10" t="s">
        <v>34</v>
      </c>
      <c r="D3864" s="9" t="s">
        <v>190</v>
      </c>
      <c r="E3864" s="9" t="str">
        <f>_xlfn.TEXTAFTER(Condiciones_acumuladas[[#This Row],[Descripción]], " ", -2)</f>
        <v>Elvis Oliva</v>
      </c>
      <c r="F3864" s="21" t="s">
        <v>2516</v>
      </c>
      <c r="G3864" s="23">
        <v>46184</v>
      </c>
    </row>
    <row r="3865" spans="1:7" ht="24.5" hidden="1" x14ac:dyDescent="0.35">
      <c r="A3865" s="8">
        <v>12339</v>
      </c>
      <c r="B3865" s="10" t="s">
        <v>6420</v>
      </c>
      <c r="C3865" s="10" t="s">
        <v>34</v>
      </c>
      <c r="D3865" s="9" t="s">
        <v>190</v>
      </c>
      <c r="E3865" s="9" t="str">
        <f>_xlfn.TEXTAFTER(Condiciones_acumuladas[[#This Row],[Descripción]], " ", -2)</f>
        <v>Elvis Oliva</v>
      </c>
      <c r="F3865" s="21" t="s">
        <v>2522</v>
      </c>
      <c r="G3865" s="23">
        <v>46184</v>
      </c>
    </row>
    <row r="3866" spans="1:7" ht="36.5" hidden="1" x14ac:dyDescent="0.35">
      <c r="A3866" s="8">
        <v>12331</v>
      </c>
      <c r="B3866" s="10" t="s">
        <v>6421</v>
      </c>
      <c r="C3866" s="10" t="s">
        <v>34</v>
      </c>
      <c r="D3866" s="9" t="s">
        <v>190</v>
      </c>
      <c r="E3866" s="9" t="str">
        <f>_xlfn.TEXTAFTER(Condiciones_acumuladas[[#This Row],[Descripción]], " ", -2)</f>
        <v>Elvis Oliva</v>
      </c>
      <c r="F3866" s="21" t="s">
        <v>2516</v>
      </c>
      <c r="G3866" s="23">
        <v>46184</v>
      </c>
    </row>
    <row r="3867" spans="1:7" ht="36.5" hidden="1" x14ac:dyDescent="0.35">
      <c r="A3867" s="8">
        <v>12333</v>
      </c>
      <c r="B3867" s="10" t="s">
        <v>6422</v>
      </c>
      <c r="C3867" s="10" t="s">
        <v>34</v>
      </c>
      <c r="D3867" s="9" t="s">
        <v>190</v>
      </c>
      <c r="E3867" s="9" t="str">
        <f>_xlfn.TEXTAFTER(Condiciones_acumuladas[[#This Row],[Descripción]], " ", -2)</f>
        <v>Elvis Oliva</v>
      </c>
      <c r="F3867" s="21" t="s">
        <v>2525</v>
      </c>
      <c r="G3867" s="23">
        <v>46184</v>
      </c>
    </row>
    <row r="3868" spans="1:7" ht="24.5" hidden="1" x14ac:dyDescent="0.35">
      <c r="A3868" s="8">
        <v>12324</v>
      </c>
      <c r="B3868" s="10" t="s">
        <v>6423</v>
      </c>
      <c r="C3868" s="10" t="s">
        <v>34</v>
      </c>
      <c r="D3868" s="9" t="s">
        <v>190</v>
      </c>
      <c r="E3868" s="9" t="str">
        <f>_xlfn.TEXTAFTER(Condiciones_acumuladas[[#This Row],[Descripción]], " ", -2)</f>
        <v>Elvis Oliva</v>
      </c>
      <c r="F3868" s="21" t="s">
        <v>2522</v>
      </c>
      <c r="G3868" s="23">
        <v>46184</v>
      </c>
    </row>
    <row r="3869" spans="1:7" ht="36.5" hidden="1" x14ac:dyDescent="0.35">
      <c r="A3869" s="8">
        <v>12326</v>
      </c>
      <c r="B3869" s="10" t="s">
        <v>6424</v>
      </c>
      <c r="C3869" s="10" t="s">
        <v>34</v>
      </c>
      <c r="D3869" s="9" t="s">
        <v>190</v>
      </c>
      <c r="E3869" s="9" t="str">
        <f>_xlfn.TEXTAFTER(Condiciones_acumuladas[[#This Row],[Descripción]], " ", -2)</f>
        <v>Elvis Oliva</v>
      </c>
      <c r="F3869" s="21" t="s">
        <v>2530</v>
      </c>
      <c r="G3869" s="23">
        <v>46184</v>
      </c>
    </row>
    <row r="3870" spans="1:7" ht="48.5" hidden="1" x14ac:dyDescent="0.35">
      <c r="A3870" s="8">
        <v>12392</v>
      </c>
      <c r="B3870" s="10" t="s">
        <v>6425</v>
      </c>
      <c r="C3870" s="10" t="s">
        <v>234</v>
      </c>
      <c r="D3870" s="9" t="s">
        <v>190</v>
      </c>
      <c r="E3870" s="9" t="str">
        <f>_xlfn.TEXTAFTER(Condiciones_acumuladas[[#This Row],[Descripción]], " ", -2)</f>
        <v>Elvis Oliva</v>
      </c>
      <c r="F3870" s="21" t="s">
        <v>2559</v>
      </c>
      <c r="G3870" s="23">
        <v>46191</v>
      </c>
    </row>
    <row r="3871" spans="1:7" ht="24.5" hidden="1" x14ac:dyDescent="0.35">
      <c r="A3871" s="8">
        <v>12386</v>
      </c>
      <c r="B3871" s="10" t="s">
        <v>6426</v>
      </c>
      <c r="C3871" s="10" t="s">
        <v>104</v>
      </c>
      <c r="D3871" s="9" t="s">
        <v>190</v>
      </c>
      <c r="E3871" s="9" t="str">
        <f>_xlfn.TEXTAFTER(Condiciones_acumuladas[[#This Row],[Descripción]], " ", -2)</f>
        <v>Elvis Oliva</v>
      </c>
      <c r="F3871" s="21" t="s">
        <v>2540</v>
      </c>
      <c r="G3871" s="23">
        <v>46190</v>
      </c>
    </row>
    <row r="3872" spans="1:7" ht="36.5" hidden="1" x14ac:dyDescent="0.35">
      <c r="A3872" s="8">
        <v>12385</v>
      </c>
      <c r="B3872" s="10" t="s">
        <v>6427</v>
      </c>
      <c r="C3872" s="10" t="s">
        <v>104</v>
      </c>
      <c r="D3872" s="9" t="s">
        <v>190</v>
      </c>
      <c r="E3872" s="9" t="str">
        <f>_xlfn.TEXTAFTER(Condiciones_acumuladas[[#This Row],[Descripción]], " ", -2)</f>
        <v>Elvis Oliva</v>
      </c>
      <c r="F3872" s="21" t="s">
        <v>2516</v>
      </c>
      <c r="G3872" s="23">
        <v>46190</v>
      </c>
    </row>
    <row r="3873" spans="1:7" ht="36.5" hidden="1" x14ac:dyDescent="0.35">
      <c r="A3873" s="8">
        <v>12383</v>
      </c>
      <c r="B3873" s="10" t="s">
        <v>6428</v>
      </c>
      <c r="C3873" s="10" t="s">
        <v>104</v>
      </c>
      <c r="D3873" s="9" t="s">
        <v>190</v>
      </c>
      <c r="E3873" s="9" t="str">
        <f>_xlfn.TEXTAFTER(Condiciones_acumuladas[[#This Row],[Descripción]], " ", -2)</f>
        <v>Elvis Oliva</v>
      </c>
      <c r="F3873" s="21" t="s">
        <v>2530</v>
      </c>
      <c r="G3873" s="23">
        <v>46190</v>
      </c>
    </row>
    <row r="3874" spans="1:7" ht="24.5" hidden="1" x14ac:dyDescent="0.35">
      <c r="A3874" s="8">
        <v>12381</v>
      </c>
      <c r="B3874" s="10" t="s">
        <v>6429</v>
      </c>
      <c r="C3874" s="10" t="s">
        <v>234</v>
      </c>
      <c r="D3874" s="9" t="s">
        <v>190</v>
      </c>
      <c r="E3874" s="9" t="str">
        <f>_xlfn.TEXTAFTER(Condiciones_acumuladas[[#This Row],[Descripción]], " ", -2)</f>
        <v>Elvis Oliva</v>
      </c>
      <c r="F3874" s="21" t="s">
        <v>2522</v>
      </c>
      <c r="G3874" s="23">
        <v>46190</v>
      </c>
    </row>
    <row r="3875" spans="1:7" ht="36.5" hidden="1" x14ac:dyDescent="0.35">
      <c r="A3875" s="8">
        <v>12436</v>
      </c>
      <c r="B3875" s="10" t="s">
        <v>6430</v>
      </c>
      <c r="C3875" s="10" t="s">
        <v>196</v>
      </c>
      <c r="D3875" s="9" t="s">
        <v>190</v>
      </c>
      <c r="E3875" s="9" t="str">
        <f>_xlfn.TEXTAFTER(Condiciones_acumuladas[[#This Row],[Descripción]], " ", -2)</f>
        <v>Elvis Oliva</v>
      </c>
      <c r="F3875" s="21" t="s">
        <v>2530</v>
      </c>
      <c r="G3875" s="23">
        <v>46198</v>
      </c>
    </row>
    <row r="3876" spans="1:7" ht="48.5" hidden="1" x14ac:dyDescent="0.35">
      <c r="A3876" s="8">
        <v>12435</v>
      </c>
      <c r="B3876" s="10" t="s">
        <v>6431</v>
      </c>
      <c r="C3876" s="10" t="s">
        <v>196</v>
      </c>
      <c r="D3876" s="9" t="s">
        <v>190</v>
      </c>
      <c r="E3876" s="9" t="str">
        <f>_xlfn.TEXTAFTER(Condiciones_acumuladas[[#This Row],[Descripción]], " ", -2)</f>
        <v>Elvis Oliva</v>
      </c>
      <c r="F3876" s="21" t="s">
        <v>2559</v>
      </c>
      <c r="G3876" s="23">
        <v>46198</v>
      </c>
    </row>
    <row r="3877" spans="1:7" ht="36.5" hidden="1" x14ac:dyDescent="0.35">
      <c r="A3877" s="8">
        <v>12421</v>
      </c>
      <c r="B3877" s="10" t="s">
        <v>6432</v>
      </c>
      <c r="C3877" s="10" t="s">
        <v>220</v>
      </c>
      <c r="D3877" s="9" t="s">
        <v>190</v>
      </c>
      <c r="E3877" s="9" t="str">
        <f>_xlfn.TEXTAFTER(Condiciones_acumuladas[[#This Row],[Descripción]], " ", -2)</f>
        <v>Elvis Oliva</v>
      </c>
      <c r="F3877" s="21" t="s">
        <v>2516</v>
      </c>
      <c r="G3877" s="23">
        <v>46196</v>
      </c>
    </row>
    <row r="3878" spans="1:7" ht="36.5" hidden="1" x14ac:dyDescent="0.35">
      <c r="A3878" s="8">
        <v>12280</v>
      </c>
      <c r="B3878" s="10" t="s">
        <v>6433</v>
      </c>
      <c r="C3878" s="10" t="s">
        <v>196</v>
      </c>
      <c r="D3878" s="9" t="s">
        <v>395</v>
      </c>
      <c r="E3878" s="9" t="str">
        <f>_xlfn.TEXTAFTER(Condiciones_acumuladas[[#This Row],[Descripción]], " ", -2)</f>
        <v>German Orozco</v>
      </c>
      <c r="F3878" s="21" t="s">
        <v>2522</v>
      </c>
      <c r="G3878" s="23">
        <v>46177</v>
      </c>
    </row>
    <row r="3879" spans="1:7" ht="36.5" hidden="1" x14ac:dyDescent="0.35">
      <c r="A3879" s="8">
        <v>12269</v>
      </c>
      <c r="B3879" s="10" t="s">
        <v>6434</v>
      </c>
      <c r="C3879" s="10" t="s">
        <v>395</v>
      </c>
      <c r="D3879" s="9" t="s">
        <v>395</v>
      </c>
      <c r="E3879" s="9" t="str">
        <f>_xlfn.TEXTAFTER(Condiciones_acumuladas[[#This Row],[Descripción]], " ", -2)</f>
        <v>German Orozco</v>
      </c>
      <c r="F3879" s="21" t="s">
        <v>2525</v>
      </c>
      <c r="G3879" s="23">
        <v>46176</v>
      </c>
    </row>
    <row r="3880" spans="1:7" ht="36.5" hidden="1" x14ac:dyDescent="0.35">
      <c r="A3880" s="8">
        <v>12264</v>
      </c>
      <c r="B3880" s="10" t="s">
        <v>6435</v>
      </c>
      <c r="C3880" s="10" t="s">
        <v>395</v>
      </c>
      <c r="D3880" s="9" t="s">
        <v>395</v>
      </c>
      <c r="E3880" s="9" t="str">
        <f>_xlfn.TEXTAFTER(Condiciones_acumuladas[[#This Row],[Descripción]], " ", -2)</f>
        <v>German Orozco</v>
      </c>
      <c r="F3880" s="21" t="s">
        <v>2525</v>
      </c>
      <c r="G3880" s="23">
        <v>46176</v>
      </c>
    </row>
    <row r="3881" spans="1:7" ht="36.5" hidden="1" x14ac:dyDescent="0.35">
      <c r="A3881" s="8">
        <v>12261</v>
      </c>
      <c r="B3881" s="10" t="s">
        <v>6436</v>
      </c>
      <c r="C3881" s="10" t="s">
        <v>371</v>
      </c>
      <c r="D3881" s="9" t="s">
        <v>395</v>
      </c>
      <c r="E3881" s="9" t="str">
        <f>_xlfn.TEXTAFTER(Condiciones_acumuladas[[#This Row],[Descripción]], " ", -2)</f>
        <v>German Orozco</v>
      </c>
      <c r="F3881" s="21" t="s">
        <v>2525</v>
      </c>
      <c r="G3881" s="23">
        <v>46176</v>
      </c>
    </row>
    <row r="3882" spans="1:7" ht="36.5" hidden="1" x14ac:dyDescent="0.35">
      <c r="A3882" s="8">
        <v>12332</v>
      </c>
      <c r="B3882" s="10" t="s">
        <v>6437</v>
      </c>
      <c r="C3882" s="10" t="s">
        <v>250</v>
      </c>
      <c r="D3882" s="9" t="s">
        <v>395</v>
      </c>
      <c r="E3882" s="9" t="str">
        <f>_xlfn.TEXTAFTER(Condiciones_acumuladas[[#This Row],[Descripción]], " ", -2)</f>
        <v>German Orozco</v>
      </c>
      <c r="F3882" s="21" t="s">
        <v>2516</v>
      </c>
      <c r="G3882" s="23">
        <v>46184</v>
      </c>
    </row>
    <row r="3883" spans="1:7" ht="36.5" hidden="1" x14ac:dyDescent="0.35">
      <c r="A3883" s="8">
        <v>12337</v>
      </c>
      <c r="B3883" s="10" t="s">
        <v>6438</v>
      </c>
      <c r="C3883" s="10" t="s">
        <v>395</v>
      </c>
      <c r="D3883" s="9" t="s">
        <v>395</v>
      </c>
      <c r="E3883" s="9" t="str">
        <f>_xlfn.TEXTAFTER(Condiciones_acumuladas[[#This Row],[Descripción]], " ", -2)</f>
        <v>German Orozco</v>
      </c>
      <c r="F3883" s="21" t="s">
        <v>2525</v>
      </c>
      <c r="G3883" s="23">
        <v>46184</v>
      </c>
    </row>
    <row r="3884" spans="1:7" ht="36.5" hidden="1" x14ac:dyDescent="0.35">
      <c r="A3884" s="8">
        <v>12325</v>
      </c>
      <c r="B3884" s="10" t="s">
        <v>6439</v>
      </c>
      <c r="C3884" s="10" t="s">
        <v>395</v>
      </c>
      <c r="D3884" s="9" t="s">
        <v>395</v>
      </c>
      <c r="E3884" s="9" t="str">
        <f>_xlfn.TEXTAFTER(Condiciones_acumuladas[[#This Row],[Descripción]], " ", -2)</f>
        <v>German Orozco</v>
      </c>
      <c r="F3884" s="21" t="s">
        <v>2525</v>
      </c>
      <c r="G3884" s="23">
        <v>46184</v>
      </c>
    </row>
    <row r="3885" spans="1:7" ht="36.5" hidden="1" x14ac:dyDescent="0.35">
      <c r="A3885" s="8">
        <v>12327</v>
      </c>
      <c r="B3885" s="10" t="s">
        <v>6440</v>
      </c>
      <c r="C3885" s="10" t="s">
        <v>250</v>
      </c>
      <c r="D3885" s="9" t="s">
        <v>395</v>
      </c>
      <c r="E3885" s="9" t="str">
        <f>_xlfn.TEXTAFTER(Condiciones_acumuladas[[#This Row],[Descripción]], " ", -2)</f>
        <v>German Orozco</v>
      </c>
      <c r="F3885" s="21" t="s">
        <v>2516</v>
      </c>
      <c r="G3885" s="23">
        <v>46184</v>
      </c>
    </row>
    <row r="3886" spans="1:7" ht="36.5" hidden="1" x14ac:dyDescent="0.35">
      <c r="A3886" s="8">
        <v>12358</v>
      </c>
      <c r="B3886" s="10" t="s">
        <v>6441</v>
      </c>
      <c r="C3886" s="10" t="s">
        <v>395</v>
      </c>
      <c r="D3886" s="9" t="s">
        <v>395</v>
      </c>
      <c r="E3886" s="9" t="str">
        <f>_xlfn.TEXTAFTER(Condiciones_acumuladas[[#This Row],[Descripción]], " ", -2)</f>
        <v>German Orozco</v>
      </c>
      <c r="F3886" s="21" t="s">
        <v>2525</v>
      </c>
      <c r="G3886" s="23">
        <v>46189</v>
      </c>
    </row>
    <row r="3887" spans="1:7" ht="24.5" hidden="1" x14ac:dyDescent="0.35">
      <c r="A3887" s="8">
        <v>12442</v>
      </c>
      <c r="B3887" s="10" t="s">
        <v>6442</v>
      </c>
      <c r="C3887" s="10" t="s">
        <v>21</v>
      </c>
      <c r="D3887" s="9" t="s">
        <v>395</v>
      </c>
      <c r="E3887" s="9" t="str">
        <f>_xlfn.TEXTAFTER(Condiciones_acumuladas[[#This Row],[Descripción]], " ", -2)</f>
        <v>German Orozco</v>
      </c>
      <c r="F3887" s="21" t="s">
        <v>2540</v>
      </c>
      <c r="G3887" s="23">
        <v>46198</v>
      </c>
    </row>
    <row r="3888" spans="1:7" ht="36.5" hidden="1" x14ac:dyDescent="0.35">
      <c r="A3888" s="8">
        <v>12418</v>
      </c>
      <c r="B3888" s="10" t="s">
        <v>6443</v>
      </c>
      <c r="C3888" s="10" t="s">
        <v>134</v>
      </c>
      <c r="D3888" s="9" t="s">
        <v>395</v>
      </c>
      <c r="E3888" s="9" t="str">
        <f>_xlfn.TEXTAFTER(Condiciones_acumuladas[[#This Row],[Descripción]], " ", -2)</f>
        <v>German Orozco</v>
      </c>
      <c r="F3888" s="21" t="s">
        <v>2530</v>
      </c>
      <c r="G3888" s="23">
        <v>46195</v>
      </c>
    </row>
    <row r="3889" spans="1:7" ht="36.5" hidden="1" x14ac:dyDescent="0.35">
      <c r="A3889" s="8">
        <v>12291</v>
      </c>
      <c r="B3889" s="10" t="s">
        <v>6444</v>
      </c>
      <c r="C3889" s="10" t="s">
        <v>134</v>
      </c>
      <c r="D3889" s="9" t="s">
        <v>95</v>
      </c>
      <c r="E3889" s="9" t="str">
        <f>_xlfn.TEXTAFTER(Condiciones_acumuladas[[#This Row],[Descripción]], " ", -2)</f>
        <v>Gerson Castañeda</v>
      </c>
      <c r="F3889" s="21" t="s">
        <v>2530</v>
      </c>
      <c r="G3889" s="23">
        <v>46181</v>
      </c>
    </row>
    <row r="3890" spans="1:7" ht="24.5" hidden="1" x14ac:dyDescent="0.35">
      <c r="A3890" s="8">
        <v>12290</v>
      </c>
      <c r="B3890" s="10" t="s">
        <v>6445</v>
      </c>
      <c r="C3890" s="10" t="s">
        <v>134</v>
      </c>
      <c r="D3890" s="9" t="s">
        <v>95</v>
      </c>
      <c r="E3890" s="9" t="str">
        <f>_xlfn.TEXTAFTER(Condiciones_acumuladas[[#This Row],[Descripción]], " ", -2)</f>
        <v>Gerson Castañeda</v>
      </c>
      <c r="F3890" s="21" t="s">
        <v>2522</v>
      </c>
      <c r="G3890" s="23">
        <v>46181</v>
      </c>
    </row>
    <row r="3891" spans="1:7" ht="24.5" hidden="1" x14ac:dyDescent="0.35">
      <c r="A3891" s="8">
        <v>12289</v>
      </c>
      <c r="B3891" s="10" t="s">
        <v>6446</v>
      </c>
      <c r="C3891" s="10" t="s">
        <v>13</v>
      </c>
      <c r="D3891" s="9" t="s">
        <v>95</v>
      </c>
      <c r="E3891" s="9" t="str">
        <f>_xlfn.TEXTAFTER(Condiciones_acumuladas[[#This Row],[Descripción]], " ", -2)</f>
        <v>Gerson Castañeda</v>
      </c>
      <c r="F3891" s="21" t="s">
        <v>2540</v>
      </c>
      <c r="G3891" s="23">
        <v>46181</v>
      </c>
    </row>
    <row r="3892" spans="1:7" ht="36.5" hidden="1" x14ac:dyDescent="0.35">
      <c r="A3892" s="8">
        <v>12283</v>
      </c>
      <c r="B3892" s="10" t="s">
        <v>6447</v>
      </c>
      <c r="C3892" s="10" t="s">
        <v>13</v>
      </c>
      <c r="D3892" s="9" t="s">
        <v>95</v>
      </c>
      <c r="E3892" s="9" t="str">
        <f>_xlfn.TEXTAFTER(Condiciones_acumuladas[[#This Row],[Descripción]], " ", -2)</f>
        <v>Gerson Castañeda</v>
      </c>
      <c r="F3892" s="21" t="s">
        <v>2516</v>
      </c>
      <c r="G3892" s="23">
        <v>46178</v>
      </c>
    </row>
    <row r="3893" spans="1:7" ht="36.5" hidden="1" x14ac:dyDescent="0.35">
      <c r="A3893" s="8">
        <v>12282</v>
      </c>
      <c r="B3893" s="10" t="s">
        <v>6448</v>
      </c>
      <c r="C3893" s="10" t="s">
        <v>134</v>
      </c>
      <c r="D3893" s="9" t="s">
        <v>95</v>
      </c>
      <c r="E3893" s="9" t="str">
        <f>_xlfn.TEXTAFTER(Condiciones_acumuladas[[#This Row],[Descripción]], " ", -2)</f>
        <v>Gerson Castañeda</v>
      </c>
      <c r="F3893" s="21" t="s">
        <v>2516</v>
      </c>
      <c r="G3893" s="23">
        <v>46178</v>
      </c>
    </row>
    <row r="3894" spans="1:7" ht="24.5" hidden="1" x14ac:dyDescent="0.35">
      <c r="A3894" s="8">
        <v>12310</v>
      </c>
      <c r="B3894" s="10" t="s">
        <v>6449</v>
      </c>
      <c r="C3894" s="10" t="s">
        <v>13</v>
      </c>
      <c r="D3894" s="9" t="s">
        <v>95</v>
      </c>
      <c r="E3894" s="9" t="str">
        <f>_xlfn.TEXTAFTER(Condiciones_acumuladas[[#This Row],[Descripción]], " ", -2)</f>
        <v>Gerson Castañeda</v>
      </c>
      <c r="F3894" s="21" t="s">
        <v>2540</v>
      </c>
      <c r="G3894" s="23">
        <v>46182</v>
      </c>
    </row>
    <row r="3895" spans="1:7" ht="48.5" hidden="1" x14ac:dyDescent="0.35">
      <c r="A3895" s="8">
        <v>12362</v>
      </c>
      <c r="B3895" s="10" t="s">
        <v>6450</v>
      </c>
      <c r="C3895" s="10" t="s">
        <v>234</v>
      </c>
      <c r="D3895" s="9" t="s">
        <v>234</v>
      </c>
      <c r="E3895" s="9" t="str">
        <f>_xlfn.TEXTAFTER(Condiciones_acumuladas[[#This Row],[Descripción]], " ", -2)</f>
        <v>Gustavo Hernández</v>
      </c>
      <c r="F3895" s="21" t="s">
        <v>2540</v>
      </c>
      <c r="G3895" s="23">
        <v>46190</v>
      </c>
    </row>
    <row r="3896" spans="1:7" ht="36.5" hidden="1" x14ac:dyDescent="0.35">
      <c r="A3896" s="8">
        <v>12445</v>
      </c>
      <c r="B3896" s="10" t="s">
        <v>6451</v>
      </c>
      <c r="C3896" s="10" t="s">
        <v>21</v>
      </c>
      <c r="D3896" s="9" t="s">
        <v>21</v>
      </c>
      <c r="E3896" s="9" t="str">
        <f>_xlfn.TEXTAFTER(Condiciones_acumuladas[[#This Row],[Descripción]], " ", -2)</f>
        <v>Gustavo Hernández</v>
      </c>
      <c r="F3896" s="21" t="s">
        <v>2572</v>
      </c>
      <c r="G3896" s="23">
        <v>46199</v>
      </c>
    </row>
    <row r="3897" spans="1:7" ht="24.5" hidden="1" x14ac:dyDescent="0.35">
      <c r="A3897" s="8">
        <v>12411</v>
      </c>
      <c r="B3897" s="10" t="s">
        <v>6452</v>
      </c>
      <c r="C3897" s="10" t="s">
        <v>21</v>
      </c>
      <c r="D3897" s="9" t="s">
        <v>21</v>
      </c>
      <c r="E3897" s="9" t="str">
        <f>_xlfn.TEXTAFTER(Condiciones_acumuladas[[#This Row],[Descripción]], " ", -2)</f>
        <v>Gustavo Oliva</v>
      </c>
      <c r="F3897" s="21" t="s">
        <v>2522</v>
      </c>
      <c r="G3897" s="23">
        <v>46196</v>
      </c>
    </row>
    <row r="3898" spans="1:7" ht="24.5" hidden="1" x14ac:dyDescent="0.35">
      <c r="A3898" s="8">
        <v>12237</v>
      </c>
      <c r="B3898" s="10" t="s">
        <v>6453</v>
      </c>
      <c r="C3898" s="10" t="s">
        <v>250</v>
      </c>
      <c r="D3898" s="9" t="s">
        <v>95</v>
      </c>
      <c r="E3898" s="9" t="str">
        <f>_xlfn.TEXTAFTER(Condiciones_acumuladas[[#This Row],[Descripción]], " ", -2)</f>
        <v>Hellen Estrada</v>
      </c>
      <c r="F3898" s="21" t="s">
        <v>2522</v>
      </c>
      <c r="G3898" s="23">
        <v>46176</v>
      </c>
    </row>
    <row r="3899" spans="1:7" ht="24.5" hidden="1" x14ac:dyDescent="0.35">
      <c r="A3899" s="8">
        <v>12318</v>
      </c>
      <c r="B3899" s="10" t="s">
        <v>6454</v>
      </c>
      <c r="C3899" s="10" t="s">
        <v>104</v>
      </c>
      <c r="D3899" s="9" t="s">
        <v>95</v>
      </c>
      <c r="E3899" s="9" t="str">
        <f>_xlfn.TEXTAFTER(Condiciones_acumuladas[[#This Row],[Descripción]], " ", -2)</f>
        <v>Hellen Estrada</v>
      </c>
      <c r="F3899" s="21" t="s">
        <v>2522</v>
      </c>
      <c r="G3899" s="23">
        <v>46185</v>
      </c>
    </row>
    <row r="3900" spans="1:7" ht="24.5" hidden="1" x14ac:dyDescent="0.35">
      <c r="A3900" s="8">
        <v>12319</v>
      </c>
      <c r="B3900" s="10" t="s">
        <v>6455</v>
      </c>
      <c r="C3900" s="10" t="s">
        <v>104</v>
      </c>
      <c r="D3900" s="9" t="s">
        <v>95</v>
      </c>
      <c r="E3900" s="9" t="str">
        <f>_xlfn.TEXTAFTER(Condiciones_acumuladas[[#This Row],[Descripción]], " ", -2)</f>
        <v>Hellen Estrada</v>
      </c>
      <c r="F3900" s="21" t="s">
        <v>2522</v>
      </c>
      <c r="G3900" s="23">
        <v>46185</v>
      </c>
    </row>
    <row r="3901" spans="1:7" ht="24.5" hidden="1" x14ac:dyDescent="0.35">
      <c r="A3901" s="8">
        <v>12251</v>
      </c>
      <c r="B3901" s="10" t="s">
        <v>6456</v>
      </c>
      <c r="C3901" s="10" t="s">
        <v>234</v>
      </c>
      <c r="D3901" s="9" t="s">
        <v>234</v>
      </c>
      <c r="E3901" s="9" t="str">
        <f>_xlfn.TEXTAFTER(Condiciones_acumuladas[[#This Row],[Descripción]], " ", -2)</f>
        <v>Hugo Oliva</v>
      </c>
      <c r="F3901" s="21" t="s">
        <v>2540</v>
      </c>
      <c r="G3901" s="23">
        <v>46175</v>
      </c>
    </row>
    <row r="3902" spans="1:7" ht="24.5" hidden="1" x14ac:dyDescent="0.35">
      <c r="A3902" s="8">
        <v>12276</v>
      </c>
      <c r="B3902" s="10" t="s">
        <v>6457</v>
      </c>
      <c r="C3902" s="10" t="s">
        <v>96</v>
      </c>
      <c r="D3902" s="9" t="s">
        <v>96</v>
      </c>
      <c r="E3902" s="9" t="str">
        <f>_xlfn.TEXTAFTER(Condiciones_acumuladas[[#This Row],[Descripción]], " ", -2)</f>
        <v>Isabel Saquila</v>
      </c>
      <c r="F3902" s="21" t="s">
        <v>2537</v>
      </c>
      <c r="G3902" s="23">
        <v>46177</v>
      </c>
    </row>
    <row r="3903" spans="1:7" ht="24.5" hidden="1" x14ac:dyDescent="0.35">
      <c r="A3903" s="8">
        <v>12448</v>
      </c>
      <c r="B3903" s="10" t="s">
        <v>6458</v>
      </c>
      <c r="C3903" s="10" t="s">
        <v>96</v>
      </c>
      <c r="D3903" s="9" t="s">
        <v>96</v>
      </c>
      <c r="E3903" s="9" t="str">
        <f>_xlfn.TEXTAFTER(Condiciones_acumuladas[[#This Row],[Descripción]], " ", -2)</f>
        <v>Isabel Saquila</v>
      </c>
      <c r="F3903" s="21" t="s">
        <v>2537</v>
      </c>
      <c r="G3903" s="23">
        <v>46201</v>
      </c>
    </row>
    <row r="3904" spans="1:7" ht="24.5" hidden="1" x14ac:dyDescent="0.35">
      <c r="A3904" s="8">
        <v>12447</v>
      </c>
      <c r="B3904" s="10" t="s">
        <v>6459</v>
      </c>
      <c r="C3904" s="10" t="s">
        <v>196</v>
      </c>
      <c r="D3904" s="9" t="s">
        <v>96</v>
      </c>
      <c r="E3904" s="9" t="str">
        <f>_xlfn.TEXTAFTER(Condiciones_acumuladas[[#This Row],[Descripción]], " ", -2)</f>
        <v>Isabel Saquila</v>
      </c>
      <c r="F3904" s="21" t="s">
        <v>2537</v>
      </c>
      <c r="G3904" s="23">
        <v>46201</v>
      </c>
    </row>
    <row r="3905" spans="1:7" ht="48.5" hidden="1" x14ac:dyDescent="0.35">
      <c r="A3905" s="8">
        <v>12434</v>
      </c>
      <c r="B3905" s="10" t="s">
        <v>6460</v>
      </c>
      <c r="C3905" s="10" t="s">
        <v>220</v>
      </c>
      <c r="D3905" s="9" t="s">
        <v>196</v>
      </c>
      <c r="E3905" s="9" t="str">
        <f>_xlfn.TEXTAFTER(Condiciones_acumuladas[[#This Row],[Descripción]], " ", -2)</f>
        <v>Jaime Chex</v>
      </c>
      <c r="F3905" s="21" t="s">
        <v>2559</v>
      </c>
      <c r="G3905" s="23">
        <v>46198</v>
      </c>
    </row>
    <row r="3906" spans="1:7" ht="24.5" hidden="1" x14ac:dyDescent="0.35">
      <c r="A3906" s="8">
        <v>12422</v>
      </c>
      <c r="B3906" s="10" t="s">
        <v>6461</v>
      </c>
      <c r="C3906" s="10" t="s">
        <v>196</v>
      </c>
      <c r="D3906" s="9" t="s">
        <v>196</v>
      </c>
      <c r="E3906" s="9" t="str">
        <f>_xlfn.TEXTAFTER(Condiciones_acumuladas[[#This Row],[Descripción]], " ", -2)</f>
        <v>Jaime Chex</v>
      </c>
      <c r="F3906" s="21" t="s">
        <v>2537</v>
      </c>
      <c r="G3906" s="23">
        <v>46197</v>
      </c>
    </row>
    <row r="3907" spans="1:7" ht="36.5" hidden="1" x14ac:dyDescent="0.35">
      <c r="A3907" s="8">
        <v>12273</v>
      </c>
      <c r="B3907" s="10" t="s">
        <v>6462</v>
      </c>
      <c r="C3907" s="10" t="s">
        <v>134</v>
      </c>
      <c r="D3907" s="9" t="s">
        <v>134</v>
      </c>
      <c r="E3907" s="9" t="str">
        <f>_xlfn.TEXTAFTER(Condiciones_acumuladas[[#This Row],[Descripción]], " ", -2)</f>
        <v>Jaime Chilel</v>
      </c>
      <c r="F3907" s="21" t="s">
        <v>2540</v>
      </c>
      <c r="G3907" s="23">
        <v>46176</v>
      </c>
    </row>
    <row r="3908" spans="1:7" ht="24.5" hidden="1" x14ac:dyDescent="0.35">
      <c r="A3908" s="8">
        <v>12298</v>
      </c>
      <c r="B3908" s="10" t="s">
        <v>6463</v>
      </c>
      <c r="C3908" s="10" t="s">
        <v>278</v>
      </c>
      <c r="D3908" s="9" t="s">
        <v>278</v>
      </c>
      <c r="E3908" s="9" t="str">
        <f>_xlfn.TEXTAFTER(Condiciones_acumuladas[[#This Row],[Descripción]], " ", -2)</f>
        <v>Jason Calderón</v>
      </c>
      <c r="F3908" s="21" t="s">
        <v>2522</v>
      </c>
      <c r="G3908" s="23">
        <v>46183</v>
      </c>
    </row>
    <row r="3909" spans="1:7" ht="48.5" hidden="1" x14ac:dyDescent="0.35">
      <c r="A3909" s="8">
        <v>12431</v>
      </c>
      <c r="B3909" s="10" t="s">
        <v>6464</v>
      </c>
      <c r="C3909" s="10" t="s">
        <v>278</v>
      </c>
      <c r="D3909" s="9" t="s">
        <v>278</v>
      </c>
      <c r="E3909" s="9" t="str">
        <f>_xlfn.TEXTAFTER(Condiciones_acumuladas[[#This Row],[Descripción]], " ", -2)</f>
        <v>Jason Calderón</v>
      </c>
      <c r="F3909" s="21" t="s">
        <v>2559</v>
      </c>
      <c r="G3909" s="23">
        <v>46197</v>
      </c>
    </row>
    <row r="3910" spans="1:7" ht="24.5" hidden="1" x14ac:dyDescent="0.35">
      <c r="A3910" s="8">
        <v>12267</v>
      </c>
      <c r="B3910" s="10" t="s">
        <v>6465</v>
      </c>
      <c r="C3910" s="10" t="s">
        <v>21</v>
      </c>
      <c r="D3910" s="9" t="s">
        <v>96</v>
      </c>
      <c r="E3910" s="9" t="str">
        <f>_xlfn.TEXTAFTER(Condiciones_acumuladas[[#This Row],[Descripción]], " ", -2)</f>
        <v>Jimmy Velásquez</v>
      </c>
      <c r="F3910" s="21" t="s">
        <v>2522</v>
      </c>
      <c r="G3910" s="23">
        <v>46176</v>
      </c>
    </row>
    <row r="3911" spans="1:7" ht="36.5" hidden="1" x14ac:dyDescent="0.35">
      <c r="A3911" s="8">
        <v>12266</v>
      </c>
      <c r="B3911" s="10" t="s">
        <v>6466</v>
      </c>
      <c r="C3911" s="10" t="s">
        <v>13</v>
      </c>
      <c r="D3911" s="9" t="s">
        <v>96</v>
      </c>
      <c r="E3911" s="9" t="str">
        <f>_xlfn.TEXTAFTER(Condiciones_acumuladas[[#This Row],[Descripción]], " ", -2)</f>
        <v>Jimmy Velásquez</v>
      </c>
      <c r="F3911" s="21" t="s">
        <v>2516</v>
      </c>
      <c r="G3911" s="23">
        <v>46176</v>
      </c>
    </row>
    <row r="3912" spans="1:7" ht="24.5" hidden="1" x14ac:dyDescent="0.35">
      <c r="A3912" s="8">
        <v>12259</v>
      </c>
      <c r="B3912" s="10" t="s">
        <v>6467</v>
      </c>
      <c r="C3912" s="10" t="s">
        <v>13</v>
      </c>
      <c r="D3912" s="9" t="s">
        <v>96</v>
      </c>
      <c r="E3912" s="9" t="str">
        <f>_xlfn.TEXTAFTER(Condiciones_acumuladas[[#This Row],[Descripción]], " ", -2)</f>
        <v>Jimmy Velásquez</v>
      </c>
      <c r="F3912" s="21" t="s">
        <v>2522</v>
      </c>
      <c r="G3912" s="23">
        <v>46176</v>
      </c>
    </row>
    <row r="3913" spans="1:7" ht="36.5" hidden="1" x14ac:dyDescent="0.35">
      <c r="A3913" s="8">
        <v>12254</v>
      </c>
      <c r="B3913" s="10" t="s">
        <v>6468</v>
      </c>
      <c r="C3913" s="10" t="s">
        <v>13</v>
      </c>
      <c r="D3913" s="9" t="s">
        <v>190</v>
      </c>
      <c r="E3913" s="9" t="str">
        <f>_xlfn.TEXTAFTER(Condiciones_acumuladas[[#This Row],[Descripción]], " ", -2)</f>
        <v>Jorge Ixtacuy</v>
      </c>
      <c r="F3913" s="21" t="s">
        <v>2572</v>
      </c>
      <c r="G3913" s="23">
        <v>46175</v>
      </c>
    </row>
    <row r="3914" spans="1:7" ht="36.5" hidden="1" x14ac:dyDescent="0.35">
      <c r="A3914" s="8">
        <v>12253</v>
      </c>
      <c r="B3914" s="10" t="s">
        <v>6469</v>
      </c>
      <c r="C3914" s="10" t="s">
        <v>13</v>
      </c>
      <c r="D3914" s="9" t="s">
        <v>190</v>
      </c>
      <c r="E3914" s="9" t="str">
        <f>_xlfn.TEXTAFTER(Condiciones_acumuladas[[#This Row],[Descripción]], " ", -2)</f>
        <v>Jorge Ixtacuy</v>
      </c>
      <c r="F3914" s="21" t="s">
        <v>2572</v>
      </c>
      <c r="G3914" s="23">
        <v>46175</v>
      </c>
    </row>
    <row r="3915" spans="1:7" ht="36.5" hidden="1" x14ac:dyDescent="0.35">
      <c r="A3915" s="8">
        <v>12288</v>
      </c>
      <c r="B3915" s="10" t="s">
        <v>6470</v>
      </c>
      <c r="C3915" s="10" t="s">
        <v>220</v>
      </c>
      <c r="D3915" s="9" t="s">
        <v>395</v>
      </c>
      <c r="E3915" s="9" t="str">
        <f>_xlfn.TEXTAFTER(Condiciones_acumuladas[[#This Row],[Descripción]], " ", -2)</f>
        <v>Josué Vásquez</v>
      </c>
      <c r="F3915" s="21" t="s">
        <v>2516</v>
      </c>
      <c r="G3915" s="23">
        <v>46181</v>
      </c>
    </row>
    <row r="3916" spans="1:7" ht="24.5" hidden="1" x14ac:dyDescent="0.35">
      <c r="A3916" s="8">
        <v>12275</v>
      </c>
      <c r="B3916" s="10" t="s">
        <v>6471</v>
      </c>
      <c r="C3916" s="10" t="s">
        <v>96</v>
      </c>
      <c r="D3916" s="9" t="s">
        <v>395</v>
      </c>
      <c r="E3916" s="9" t="str">
        <f>_xlfn.TEXTAFTER(Condiciones_acumuladas[[#This Row],[Descripción]], " ", -2)</f>
        <v>Josué Vásquez</v>
      </c>
      <c r="F3916" s="21" t="s">
        <v>2540</v>
      </c>
      <c r="G3916" s="23">
        <v>46176</v>
      </c>
    </row>
    <row r="3917" spans="1:7" ht="24.5" hidden="1" x14ac:dyDescent="0.35">
      <c r="A3917" s="8">
        <v>12274</v>
      </c>
      <c r="B3917" s="10" t="s">
        <v>6472</v>
      </c>
      <c r="C3917" s="10" t="s">
        <v>96</v>
      </c>
      <c r="D3917" s="9" t="s">
        <v>395</v>
      </c>
      <c r="E3917" s="9" t="str">
        <f>_xlfn.TEXTAFTER(Condiciones_acumuladas[[#This Row],[Descripción]], " ", -2)</f>
        <v>Josué Vásquez</v>
      </c>
      <c r="F3917" s="21" t="s">
        <v>2540</v>
      </c>
      <c r="G3917" s="23">
        <v>46176</v>
      </c>
    </row>
    <row r="3918" spans="1:7" ht="24.5" hidden="1" x14ac:dyDescent="0.35">
      <c r="A3918" s="8">
        <v>12272</v>
      </c>
      <c r="B3918" s="10" t="s">
        <v>6473</v>
      </c>
      <c r="C3918" s="10" t="s">
        <v>227</v>
      </c>
      <c r="D3918" s="9" t="s">
        <v>395</v>
      </c>
      <c r="E3918" s="9" t="str">
        <f>_xlfn.TEXTAFTER(Condiciones_acumuladas[[#This Row],[Descripción]], " ", -2)</f>
        <v>Josué Vásquez</v>
      </c>
      <c r="F3918" s="21" t="s">
        <v>2540</v>
      </c>
      <c r="G3918" s="23">
        <v>46176</v>
      </c>
    </row>
    <row r="3919" spans="1:7" ht="24.5" hidden="1" x14ac:dyDescent="0.35">
      <c r="A3919" s="8">
        <v>12271</v>
      </c>
      <c r="B3919" s="10" t="s">
        <v>6474</v>
      </c>
      <c r="C3919" s="10" t="s">
        <v>190</v>
      </c>
      <c r="D3919" s="9" t="s">
        <v>395</v>
      </c>
      <c r="E3919" s="9" t="str">
        <f>_xlfn.TEXTAFTER(Condiciones_acumuladas[[#This Row],[Descripción]], " ", -2)</f>
        <v>Josué Vásquez</v>
      </c>
      <c r="F3919" s="21" t="s">
        <v>2540</v>
      </c>
      <c r="G3919" s="23">
        <v>46176</v>
      </c>
    </row>
    <row r="3920" spans="1:7" ht="24.5" hidden="1" x14ac:dyDescent="0.35">
      <c r="A3920" s="8">
        <v>12263</v>
      </c>
      <c r="B3920" s="10" t="s">
        <v>6475</v>
      </c>
      <c r="C3920" s="10" t="s">
        <v>227</v>
      </c>
      <c r="D3920" s="9" t="s">
        <v>395</v>
      </c>
      <c r="E3920" s="9" t="str">
        <f>_xlfn.TEXTAFTER(Condiciones_acumuladas[[#This Row],[Descripción]], " ", -2)</f>
        <v>Josué Vásquez</v>
      </c>
      <c r="F3920" s="21" t="s">
        <v>2540</v>
      </c>
      <c r="G3920" s="23">
        <v>46176</v>
      </c>
    </row>
    <row r="3921" spans="1:7" ht="36.5" hidden="1" x14ac:dyDescent="0.35">
      <c r="A3921" s="8">
        <v>12258</v>
      </c>
      <c r="B3921" s="10" t="s">
        <v>6476</v>
      </c>
      <c r="C3921" s="10" t="s">
        <v>227</v>
      </c>
      <c r="D3921" s="9" t="s">
        <v>395</v>
      </c>
      <c r="E3921" s="9" t="str">
        <f>_xlfn.TEXTAFTER(Condiciones_acumuladas[[#This Row],[Descripción]], " ", -2)</f>
        <v>Josué Vásquez</v>
      </c>
      <c r="F3921" s="21" t="s">
        <v>2540</v>
      </c>
      <c r="G3921" s="23">
        <v>46176</v>
      </c>
    </row>
    <row r="3922" spans="1:7" ht="36.5" hidden="1" x14ac:dyDescent="0.35">
      <c r="A3922" s="8">
        <v>12256</v>
      </c>
      <c r="B3922" s="10" t="s">
        <v>6477</v>
      </c>
      <c r="C3922" s="10" t="s">
        <v>13</v>
      </c>
      <c r="D3922" s="9" t="s">
        <v>395</v>
      </c>
      <c r="E3922" s="9" t="str">
        <f>_xlfn.TEXTAFTER(Condiciones_acumuladas[[#This Row],[Descripción]], " ", -2)</f>
        <v>Josué Vásquez</v>
      </c>
      <c r="F3922" s="21" t="s">
        <v>2572</v>
      </c>
      <c r="G3922" s="23">
        <v>46175</v>
      </c>
    </row>
    <row r="3923" spans="1:7" ht="36.5" hidden="1" x14ac:dyDescent="0.35">
      <c r="A3923" s="8">
        <v>12255</v>
      </c>
      <c r="B3923" s="10" t="s">
        <v>6478</v>
      </c>
      <c r="C3923" s="10" t="s">
        <v>13</v>
      </c>
      <c r="D3923" s="9" t="s">
        <v>395</v>
      </c>
      <c r="E3923" s="9" t="str">
        <f>_xlfn.TEXTAFTER(Condiciones_acumuladas[[#This Row],[Descripción]], " ", -2)</f>
        <v>Josué Vásquez</v>
      </c>
      <c r="F3923" s="21" t="s">
        <v>2572</v>
      </c>
      <c r="G3923" s="23">
        <v>46175</v>
      </c>
    </row>
    <row r="3924" spans="1:7" ht="24.5" hidden="1" x14ac:dyDescent="0.35">
      <c r="A3924" s="8">
        <v>12315</v>
      </c>
      <c r="B3924" s="10" t="s">
        <v>6479</v>
      </c>
      <c r="C3924" s="10" t="s">
        <v>34</v>
      </c>
      <c r="D3924" s="9" t="s">
        <v>395</v>
      </c>
      <c r="E3924" s="9" t="str">
        <f>_xlfn.TEXTAFTER(Condiciones_acumuladas[[#This Row],[Descripción]], " ", -2)</f>
        <v>Josué Vásquez</v>
      </c>
      <c r="F3924" s="21" t="s">
        <v>2540</v>
      </c>
      <c r="G3924" s="23">
        <v>46182</v>
      </c>
    </row>
    <row r="3925" spans="1:7" ht="24.5" hidden="1" x14ac:dyDescent="0.35">
      <c r="A3925" s="8">
        <v>12314</v>
      </c>
      <c r="B3925" s="10" t="s">
        <v>6480</v>
      </c>
      <c r="C3925" s="10" t="s">
        <v>34</v>
      </c>
      <c r="D3925" s="9" t="s">
        <v>395</v>
      </c>
      <c r="E3925" s="9" t="str">
        <f>_xlfn.TEXTAFTER(Condiciones_acumuladas[[#This Row],[Descripción]], " ", -2)</f>
        <v>Josué Vásquez</v>
      </c>
      <c r="F3925" s="21" t="s">
        <v>2540</v>
      </c>
      <c r="G3925" s="23">
        <v>46182</v>
      </c>
    </row>
    <row r="3926" spans="1:7" ht="24.5" hidden="1" x14ac:dyDescent="0.35">
      <c r="A3926" s="8">
        <v>12313</v>
      </c>
      <c r="B3926" s="10" t="s">
        <v>6481</v>
      </c>
      <c r="C3926" s="10" t="s">
        <v>34</v>
      </c>
      <c r="D3926" s="9" t="s">
        <v>34</v>
      </c>
      <c r="E3926" s="9" t="str">
        <f>_xlfn.TEXTAFTER(Condiciones_acumuladas[[#This Row],[Descripción]], " ", -2)</f>
        <v>Josué Vásquez</v>
      </c>
      <c r="F3926" s="21" t="s">
        <v>2540</v>
      </c>
      <c r="G3926" s="23">
        <v>46182</v>
      </c>
    </row>
    <row r="3927" spans="1:7" ht="36.5" hidden="1" x14ac:dyDescent="0.35">
      <c r="A3927" s="8">
        <v>12311</v>
      </c>
      <c r="B3927" s="10" t="s">
        <v>6482</v>
      </c>
      <c r="C3927" s="10" t="s">
        <v>21</v>
      </c>
      <c r="D3927" s="9" t="s">
        <v>395</v>
      </c>
      <c r="E3927" s="9" t="str">
        <f>_xlfn.TEXTAFTER(Condiciones_acumuladas[[#This Row],[Descripción]], " ", -2)</f>
        <v>Josué Vásquez</v>
      </c>
      <c r="F3927" s="21" t="s">
        <v>2525</v>
      </c>
      <c r="G3927" s="23">
        <v>46182</v>
      </c>
    </row>
    <row r="3928" spans="1:7" ht="36.5" hidden="1" x14ac:dyDescent="0.35">
      <c r="A3928" s="8">
        <v>12309</v>
      </c>
      <c r="B3928" s="10" t="s">
        <v>6483</v>
      </c>
      <c r="C3928" s="10" t="s">
        <v>220</v>
      </c>
      <c r="D3928" s="9" t="s">
        <v>395</v>
      </c>
      <c r="E3928" s="9" t="str">
        <f>_xlfn.TEXTAFTER(Condiciones_acumuladas[[#This Row],[Descripción]], " ", -2)</f>
        <v>Josué Vásquez</v>
      </c>
      <c r="F3928" s="21" t="s">
        <v>2522</v>
      </c>
      <c r="G3928" s="23">
        <v>46182</v>
      </c>
    </row>
    <row r="3929" spans="1:7" ht="24.5" hidden="1" x14ac:dyDescent="0.35">
      <c r="A3929" s="8">
        <v>12306</v>
      </c>
      <c r="B3929" s="10" t="s">
        <v>6484</v>
      </c>
      <c r="C3929" s="10" t="s">
        <v>26</v>
      </c>
      <c r="D3929" s="9" t="s">
        <v>395</v>
      </c>
      <c r="E3929" s="9" t="str">
        <f>_xlfn.TEXTAFTER(Condiciones_acumuladas[[#This Row],[Descripción]], " ", -2)</f>
        <v>Josué Vásquez</v>
      </c>
      <c r="F3929" s="21" t="s">
        <v>2540</v>
      </c>
      <c r="G3929" s="23">
        <v>46181</v>
      </c>
    </row>
    <row r="3930" spans="1:7" ht="24.5" hidden="1" x14ac:dyDescent="0.35">
      <c r="A3930" s="8">
        <v>12305</v>
      </c>
      <c r="B3930" s="10" t="s">
        <v>6485</v>
      </c>
      <c r="C3930" s="10" t="s">
        <v>104</v>
      </c>
      <c r="D3930" s="9" t="s">
        <v>395</v>
      </c>
      <c r="E3930" s="9" t="str">
        <f>_xlfn.TEXTAFTER(Condiciones_acumuladas[[#This Row],[Descripción]], " ", -2)</f>
        <v>Josué Vásquez</v>
      </c>
      <c r="F3930" s="21" t="s">
        <v>2540</v>
      </c>
      <c r="G3930" s="23">
        <v>46181</v>
      </c>
    </row>
    <row r="3931" spans="1:7" ht="36.5" hidden="1" x14ac:dyDescent="0.35">
      <c r="A3931" s="8">
        <v>12295</v>
      </c>
      <c r="B3931" s="10" t="s">
        <v>6486</v>
      </c>
      <c r="C3931" s="10" t="s">
        <v>96</v>
      </c>
      <c r="D3931" s="9" t="s">
        <v>395</v>
      </c>
      <c r="E3931" s="9" t="str">
        <f>_xlfn.TEXTAFTER(Condiciones_acumuladas[[#This Row],[Descripción]], " ", -2)</f>
        <v>Josué Vásquez</v>
      </c>
      <c r="F3931" s="21" t="s">
        <v>2530</v>
      </c>
      <c r="G3931" s="23">
        <v>46182</v>
      </c>
    </row>
    <row r="3932" spans="1:7" ht="24.5" hidden="1" x14ac:dyDescent="0.35">
      <c r="A3932" s="8">
        <v>12317</v>
      </c>
      <c r="B3932" s="10" t="s">
        <v>6487</v>
      </c>
      <c r="C3932" s="10" t="s">
        <v>26</v>
      </c>
      <c r="D3932" s="9" t="s">
        <v>395</v>
      </c>
      <c r="E3932" s="9" t="str">
        <f>_xlfn.TEXTAFTER(Condiciones_acumuladas[[#This Row],[Descripción]], " ", -2)</f>
        <v>Josué Vásquez</v>
      </c>
      <c r="F3932" s="21" t="s">
        <v>2540</v>
      </c>
      <c r="G3932" s="23">
        <v>46181</v>
      </c>
    </row>
    <row r="3933" spans="1:7" ht="24.5" hidden="1" x14ac:dyDescent="0.35">
      <c r="A3933" s="8">
        <v>12336</v>
      </c>
      <c r="B3933" s="10" t="s">
        <v>6488</v>
      </c>
      <c r="C3933" s="10" t="s">
        <v>34</v>
      </c>
      <c r="D3933" s="9" t="s">
        <v>395</v>
      </c>
      <c r="E3933" s="9" t="str">
        <f>_xlfn.TEXTAFTER(Condiciones_acumuladas[[#This Row],[Descripción]], " ", -2)</f>
        <v>Josué Vásquez</v>
      </c>
      <c r="F3933" s="21" t="s">
        <v>2522</v>
      </c>
      <c r="G3933" s="23">
        <v>46184</v>
      </c>
    </row>
    <row r="3934" spans="1:7" ht="36.5" hidden="1" x14ac:dyDescent="0.35">
      <c r="A3934" s="8">
        <v>12342</v>
      </c>
      <c r="B3934" s="10" t="s">
        <v>6489</v>
      </c>
      <c r="C3934" s="10" t="s">
        <v>371</v>
      </c>
      <c r="D3934" s="9" t="s">
        <v>395</v>
      </c>
      <c r="E3934" s="9" t="str">
        <f>_xlfn.TEXTAFTER(Condiciones_acumuladas[[#This Row],[Descripción]], " ", -2)</f>
        <v>Josué Vásquez</v>
      </c>
      <c r="F3934" s="21" t="s">
        <v>2516</v>
      </c>
      <c r="G3934" s="23">
        <v>46184</v>
      </c>
    </row>
    <row r="3935" spans="1:7" ht="36.5" hidden="1" x14ac:dyDescent="0.35">
      <c r="A3935" s="8">
        <v>12357</v>
      </c>
      <c r="B3935" s="10" t="s">
        <v>6490</v>
      </c>
      <c r="C3935" s="10" t="s">
        <v>104</v>
      </c>
      <c r="D3935" s="9" t="s">
        <v>395</v>
      </c>
      <c r="E3935" s="9" t="str">
        <f>_xlfn.TEXTAFTER(Condiciones_acumuladas[[#This Row],[Descripción]], " ", -2)</f>
        <v>Josué Vásquez</v>
      </c>
      <c r="F3935" s="21" t="s">
        <v>2525</v>
      </c>
      <c r="G3935" s="23">
        <v>46189</v>
      </c>
    </row>
    <row r="3936" spans="1:7" ht="36.5" hidden="1" x14ac:dyDescent="0.35">
      <c r="A3936" s="8">
        <v>12372</v>
      </c>
      <c r="B3936" s="10" t="s">
        <v>6491</v>
      </c>
      <c r="C3936" s="10" t="s">
        <v>21</v>
      </c>
      <c r="D3936" s="9" t="s">
        <v>395</v>
      </c>
      <c r="E3936" s="9" t="str">
        <f>_xlfn.TEXTAFTER(Condiciones_acumuladas[[#This Row],[Descripción]], " ", -2)</f>
        <v>Josué Vásquez</v>
      </c>
      <c r="F3936" s="21" t="s">
        <v>2572</v>
      </c>
      <c r="G3936" s="23">
        <v>46189</v>
      </c>
    </row>
    <row r="3937" spans="1:7" ht="24.5" hidden="1" x14ac:dyDescent="0.35">
      <c r="A3937" s="8">
        <v>12441</v>
      </c>
      <c r="B3937" s="10" t="s">
        <v>6492</v>
      </c>
      <c r="C3937" s="10" t="s">
        <v>34</v>
      </c>
      <c r="D3937" s="9" t="s">
        <v>395</v>
      </c>
      <c r="E3937" s="9" t="str">
        <f>_xlfn.TEXTAFTER(Condiciones_acumuladas[[#This Row],[Descripción]], " ", -2)</f>
        <v>Josué Vásquez</v>
      </c>
      <c r="F3937" s="21" t="s">
        <v>2522</v>
      </c>
      <c r="G3937" s="23">
        <v>46198</v>
      </c>
    </row>
    <row r="3938" spans="1:7" ht="24.5" hidden="1" x14ac:dyDescent="0.35">
      <c r="A3938" s="8">
        <v>12437</v>
      </c>
      <c r="B3938" s="10" t="s">
        <v>6493</v>
      </c>
      <c r="C3938" s="10" t="s">
        <v>34</v>
      </c>
      <c r="D3938" s="9" t="s">
        <v>395</v>
      </c>
      <c r="E3938" s="9" t="str">
        <f>_xlfn.TEXTAFTER(Condiciones_acumuladas[[#This Row],[Descripción]], " ", -2)</f>
        <v>Josué Vásquez</v>
      </c>
      <c r="F3938" s="21" t="s">
        <v>2522</v>
      </c>
      <c r="G3938" s="23">
        <v>46198</v>
      </c>
    </row>
    <row r="3939" spans="1:7" ht="48.5" hidden="1" x14ac:dyDescent="0.35">
      <c r="A3939" s="8">
        <v>12248</v>
      </c>
      <c r="B3939" s="10" t="s">
        <v>6494</v>
      </c>
      <c r="C3939" s="10" t="s">
        <v>13</v>
      </c>
      <c r="D3939" s="9" t="s">
        <v>95</v>
      </c>
      <c r="E3939" s="9" t="str">
        <f>_xlfn.TEXTAFTER(Condiciones_acumuladas[[#This Row],[Descripción]], " ", -2)</f>
        <v>Juan Hernández</v>
      </c>
      <c r="F3939" s="21" t="s">
        <v>2559</v>
      </c>
      <c r="G3939" s="23">
        <v>46174</v>
      </c>
    </row>
    <row r="3940" spans="1:7" ht="48.5" hidden="1" x14ac:dyDescent="0.35">
      <c r="A3940" s="8">
        <v>12375</v>
      </c>
      <c r="B3940" s="10" t="s">
        <v>6495</v>
      </c>
      <c r="C3940" s="10" t="s">
        <v>96</v>
      </c>
      <c r="D3940" s="9" t="s">
        <v>95</v>
      </c>
      <c r="E3940" s="9" t="str">
        <f>_xlfn.TEXTAFTER(Condiciones_acumuladas[[#This Row],[Descripción]], " ", -2)</f>
        <v>Juan Hernández</v>
      </c>
      <c r="F3940" s="21" t="s">
        <v>2559</v>
      </c>
      <c r="G3940" s="23">
        <v>46190</v>
      </c>
    </row>
    <row r="3941" spans="1:7" ht="24.5" hidden="1" x14ac:dyDescent="0.35">
      <c r="A3941" s="8">
        <v>12287</v>
      </c>
      <c r="B3941" s="10" t="s">
        <v>6496</v>
      </c>
      <c r="C3941" s="10" t="s">
        <v>196</v>
      </c>
      <c r="D3941" s="9" t="s">
        <v>196</v>
      </c>
      <c r="E3941" s="9" t="str">
        <f>_xlfn.TEXTAFTER(Condiciones_acumuladas[[#This Row],[Descripción]], " ", -2)</f>
        <v>Kelly Calderón</v>
      </c>
      <c r="F3941" s="21" t="s">
        <v>2537</v>
      </c>
      <c r="G3941" s="23">
        <v>46181</v>
      </c>
    </row>
    <row r="3942" spans="1:7" ht="24.5" hidden="1" x14ac:dyDescent="0.35">
      <c r="A3942" s="8">
        <v>12286</v>
      </c>
      <c r="B3942" s="10" t="s">
        <v>6497</v>
      </c>
      <c r="C3942" s="10" t="s">
        <v>196</v>
      </c>
      <c r="D3942" s="9" t="s">
        <v>196</v>
      </c>
      <c r="E3942" s="9" t="str">
        <f>_xlfn.TEXTAFTER(Condiciones_acumuladas[[#This Row],[Descripción]], " ", -2)</f>
        <v>Kelly Calderón</v>
      </c>
      <c r="F3942" s="21" t="s">
        <v>2537</v>
      </c>
      <c r="G3942" s="23">
        <v>46180</v>
      </c>
    </row>
    <row r="3943" spans="1:7" ht="24.5" hidden="1" x14ac:dyDescent="0.35">
      <c r="A3943" s="8">
        <v>12438</v>
      </c>
      <c r="B3943" s="10" t="s">
        <v>6498</v>
      </c>
      <c r="C3943" s="10" t="s">
        <v>196</v>
      </c>
      <c r="D3943" s="9" t="s">
        <v>196</v>
      </c>
      <c r="E3943" s="9" t="str">
        <f>_xlfn.TEXTAFTER(Condiciones_acumuladas[[#This Row],[Descripción]], " ", -2)</f>
        <v>Kelly Calderón</v>
      </c>
      <c r="F3943" s="21" t="s">
        <v>2537</v>
      </c>
      <c r="G3943" s="23">
        <v>46198</v>
      </c>
    </row>
    <row r="3944" spans="1:7" ht="24.5" hidden="1" x14ac:dyDescent="0.35">
      <c r="A3944" s="8">
        <v>12427</v>
      </c>
      <c r="B3944" s="10" t="s">
        <v>6499</v>
      </c>
      <c r="C3944" s="10" t="s">
        <v>134</v>
      </c>
      <c r="D3944" s="9" t="s">
        <v>95</v>
      </c>
      <c r="E3944" s="9" t="str">
        <f>_xlfn.TEXTAFTER(Condiciones_acumuladas[[#This Row],[Descripción]], " ", -2)</f>
        <v>Leidy Camey</v>
      </c>
      <c r="F3944" s="21" t="s">
        <v>2537</v>
      </c>
      <c r="G3944" s="23">
        <v>46200</v>
      </c>
    </row>
    <row r="3945" spans="1:7" ht="24.5" hidden="1" x14ac:dyDescent="0.35">
      <c r="A3945" s="8">
        <v>12279</v>
      </c>
      <c r="B3945" s="10" t="s">
        <v>6500</v>
      </c>
      <c r="C3945" s="10" t="s">
        <v>234</v>
      </c>
      <c r="D3945" s="9" t="s">
        <v>95</v>
      </c>
      <c r="E3945" s="9" t="str">
        <f>_xlfn.TEXTAFTER(Condiciones_acumuladas[[#This Row],[Descripción]], " ", -2)</f>
        <v>Luis Angel</v>
      </c>
      <c r="F3945" s="21" t="s">
        <v>2522</v>
      </c>
      <c r="G3945" s="23">
        <v>46177</v>
      </c>
    </row>
    <row r="3946" spans="1:7" ht="36.5" hidden="1" x14ac:dyDescent="0.35">
      <c r="A3946" s="8">
        <v>12278</v>
      </c>
      <c r="B3946" s="10" t="s">
        <v>6501</v>
      </c>
      <c r="C3946" s="10" t="s">
        <v>234</v>
      </c>
      <c r="D3946" s="9" t="s">
        <v>95</v>
      </c>
      <c r="E3946" s="9" t="str">
        <f>_xlfn.TEXTAFTER(Condiciones_acumuladas[[#This Row],[Descripción]], " ", -2)</f>
        <v>Luis Angel</v>
      </c>
      <c r="F3946" s="21" t="s">
        <v>2572</v>
      </c>
      <c r="G3946" s="23">
        <v>46177</v>
      </c>
    </row>
    <row r="3947" spans="1:7" ht="36.5" hidden="1" x14ac:dyDescent="0.35">
      <c r="A3947" s="8">
        <v>12233</v>
      </c>
      <c r="B3947" s="10" t="s">
        <v>6502</v>
      </c>
      <c r="C3947" s="10" t="s">
        <v>95</v>
      </c>
      <c r="D3947" s="9" t="s">
        <v>95</v>
      </c>
      <c r="E3947" s="9" t="str">
        <f>_xlfn.TEXTAFTER(Condiciones_acumuladas[[#This Row],[Descripción]], " ", -2)</f>
        <v>Luis Cabrera</v>
      </c>
      <c r="F3947" s="21" t="s">
        <v>2522</v>
      </c>
      <c r="G3947" s="23">
        <v>46174</v>
      </c>
    </row>
    <row r="3948" spans="1:7" ht="24.5" hidden="1" x14ac:dyDescent="0.35">
      <c r="A3948" s="8">
        <v>12322</v>
      </c>
      <c r="B3948" s="10" t="s">
        <v>6503</v>
      </c>
      <c r="C3948" s="10" t="s">
        <v>234</v>
      </c>
      <c r="D3948" s="9" t="s">
        <v>95</v>
      </c>
      <c r="E3948" s="9" t="str">
        <f>_xlfn.TEXTAFTER(Condiciones_acumuladas[[#This Row],[Descripción]], " ", -2)</f>
        <v>Luis Cabrera</v>
      </c>
      <c r="F3948" s="21" t="s">
        <v>2522</v>
      </c>
      <c r="G3948" s="23">
        <v>46189</v>
      </c>
    </row>
    <row r="3949" spans="1:7" ht="48.5" hidden="1" x14ac:dyDescent="0.35">
      <c r="A3949" s="8">
        <v>12395</v>
      </c>
      <c r="B3949" s="10" t="s">
        <v>6504</v>
      </c>
      <c r="C3949" s="10" t="s">
        <v>234</v>
      </c>
      <c r="D3949" s="9" t="s">
        <v>95</v>
      </c>
      <c r="E3949" s="9" t="str">
        <f>_xlfn.TEXTAFTER(Condiciones_acumuladas[[#This Row],[Descripción]], " ", -2)</f>
        <v>Luis Cabrera</v>
      </c>
      <c r="F3949" s="21" t="s">
        <v>2559</v>
      </c>
      <c r="G3949" s="23">
        <v>46192</v>
      </c>
    </row>
    <row r="3950" spans="1:7" ht="36.5" hidden="1" x14ac:dyDescent="0.35">
      <c r="A3950" s="8">
        <v>12252</v>
      </c>
      <c r="B3950" s="10" t="s">
        <v>6505</v>
      </c>
      <c r="C3950" s="10" t="s">
        <v>96</v>
      </c>
      <c r="D3950" s="9" t="s">
        <v>96</v>
      </c>
      <c r="E3950" s="9" t="str">
        <f>_xlfn.TEXTAFTER(Condiciones_acumuladas[[#This Row],[Descripción]], " ", -2)</f>
        <v>Luis Pérez</v>
      </c>
      <c r="F3950" s="21" t="s">
        <v>2516</v>
      </c>
      <c r="G3950" s="23">
        <v>46175</v>
      </c>
    </row>
    <row r="3951" spans="1:7" ht="48.5" hidden="1" x14ac:dyDescent="0.35">
      <c r="A3951" s="8">
        <v>12370</v>
      </c>
      <c r="B3951" s="10" t="s">
        <v>6506</v>
      </c>
      <c r="C3951" s="10" t="s">
        <v>96</v>
      </c>
      <c r="D3951" s="9" t="s">
        <v>96</v>
      </c>
      <c r="E3951" s="9" t="str">
        <f>_xlfn.TEXTAFTER(Condiciones_acumuladas[[#This Row],[Descripción]], " ", -2)</f>
        <v>Luis Pérez</v>
      </c>
      <c r="F3951" s="21" t="s">
        <v>2559</v>
      </c>
      <c r="G3951" s="23">
        <v>46188</v>
      </c>
    </row>
    <row r="3952" spans="1:7" ht="24.5" hidden="1" x14ac:dyDescent="0.35">
      <c r="A3952" s="8">
        <v>12419</v>
      </c>
      <c r="B3952" s="10" t="s">
        <v>6507</v>
      </c>
      <c r="C3952" s="10" t="s">
        <v>96</v>
      </c>
      <c r="D3952" s="9" t="s">
        <v>96</v>
      </c>
      <c r="E3952" s="9" t="str">
        <f>_xlfn.TEXTAFTER(Condiciones_acumuladas[[#This Row],[Descripción]], " ", -2)</f>
        <v>Luis Pérez</v>
      </c>
      <c r="F3952" s="21" t="s">
        <v>2540</v>
      </c>
      <c r="G3952" s="23">
        <v>46196</v>
      </c>
    </row>
    <row r="3953" spans="1:7" ht="24.5" hidden="1" x14ac:dyDescent="0.35">
      <c r="A3953" s="8">
        <v>12412</v>
      </c>
      <c r="B3953" s="10" t="s">
        <v>6508</v>
      </c>
      <c r="C3953" s="10" t="s">
        <v>96</v>
      </c>
      <c r="D3953" s="9" t="s">
        <v>96</v>
      </c>
      <c r="E3953" s="9" t="str">
        <f>_xlfn.TEXTAFTER(Condiciones_acumuladas[[#This Row],[Descripción]], " ", -2)</f>
        <v>Luis Pérez</v>
      </c>
      <c r="F3953" s="21" t="s">
        <v>2522</v>
      </c>
      <c r="G3953" s="23">
        <v>46192</v>
      </c>
    </row>
    <row r="3954" spans="1:7" ht="24.5" hidden="1" x14ac:dyDescent="0.35">
      <c r="A3954" s="8">
        <v>12413</v>
      </c>
      <c r="B3954" s="10" t="s">
        <v>6509</v>
      </c>
      <c r="C3954" s="10" t="s">
        <v>96</v>
      </c>
      <c r="D3954" s="9" t="s">
        <v>96</v>
      </c>
      <c r="E3954" s="9" t="str">
        <f>_xlfn.TEXTAFTER(Condiciones_acumuladas[[#This Row],[Descripción]], " ", -2)</f>
        <v>Luis Pérez</v>
      </c>
      <c r="F3954" s="21" t="s">
        <v>2522</v>
      </c>
      <c r="G3954" s="23">
        <v>46192</v>
      </c>
    </row>
    <row r="3955" spans="1:7" ht="36.5" hidden="1" x14ac:dyDescent="0.35">
      <c r="A3955" s="8">
        <v>12236</v>
      </c>
      <c r="B3955" s="10" t="s">
        <v>6510</v>
      </c>
      <c r="C3955" s="10" t="s">
        <v>134</v>
      </c>
      <c r="D3955" s="9" t="s">
        <v>95</v>
      </c>
      <c r="E3955" s="9" t="str">
        <f>_xlfn.TEXTAFTER(Condiciones_acumuladas[[#This Row],[Descripción]], " ", -2)</f>
        <v>Nelson Godínez</v>
      </c>
      <c r="F3955" s="21" t="s">
        <v>2516</v>
      </c>
      <c r="G3955" s="23">
        <v>46174</v>
      </c>
    </row>
    <row r="3956" spans="1:7" ht="24.5" hidden="1" x14ac:dyDescent="0.35">
      <c r="A3956" s="8">
        <v>12281</v>
      </c>
      <c r="B3956" s="10" t="s">
        <v>6511</v>
      </c>
      <c r="C3956" s="10" t="s">
        <v>96</v>
      </c>
      <c r="D3956" s="9" t="s">
        <v>95</v>
      </c>
      <c r="E3956" s="9" t="str">
        <f>_xlfn.TEXTAFTER(Condiciones_acumuladas[[#This Row],[Descripción]], " ", -2)</f>
        <v>Nelson Godínez</v>
      </c>
      <c r="F3956" s="21" t="s">
        <v>2834</v>
      </c>
      <c r="G3956" s="23">
        <v>46178</v>
      </c>
    </row>
    <row r="3957" spans="1:7" ht="48.5" hidden="1" x14ac:dyDescent="0.35">
      <c r="A3957" s="8">
        <v>12420</v>
      </c>
      <c r="B3957" s="10" t="s">
        <v>6512</v>
      </c>
      <c r="C3957" s="10" t="s">
        <v>196</v>
      </c>
      <c r="D3957" s="9" t="s">
        <v>95</v>
      </c>
      <c r="E3957" s="9" t="str">
        <f>_xlfn.TEXTAFTER(Condiciones_acumuladas[[#This Row],[Descripción]], " ", -2)</f>
        <v>Nelson Godínez</v>
      </c>
      <c r="F3957" s="21" t="s">
        <v>2559</v>
      </c>
      <c r="G3957" s="23">
        <v>46196</v>
      </c>
    </row>
    <row r="3958" spans="1:7" ht="48.5" hidden="1" x14ac:dyDescent="0.35">
      <c r="A3958" s="8">
        <v>12238</v>
      </c>
      <c r="B3958" s="10" t="s">
        <v>6513</v>
      </c>
      <c r="C3958" s="10" t="s">
        <v>104</v>
      </c>
      <c r="D3958" s="9" t="s">
        <v>104</v>
      </c>
      <c r="E3958" s="9" t="str">
        <f>_xlfn.TEXTAFTER(Condiciones_acumuladas[[#This Row],[Descripción]], " ", -2)</f>
        <v>Obdulio Saquic</v>
      </c>
      <c r="F3958" s="21" t="s">
        <v>2559</v>
      </c>
      <c r="G3958" s="23">
        <v>46176</v>
      </c>
    </row>
    <row r="3959" spans="1:7" ht="24.5" hidden="1" x14ac:dyDescent="0.35">
      <c r="A3959" s="8">
        <v>12239</v>
      </c>
      <c r="B3959" s="10" t="s">
        <v>6514</v>
      </c>
      <c r="C3959" s="10" t="s">
        <v>104</v>
      </c>
      <c r="D3959" s="9" t="s">
        <v>104</v>
      </c>
      <c r="E3959" s="9" t="str">
        <f>_xlfn.TEXTAFTER(Condiciones_acumuladas[[#This Row],[Descripción]], " ", -2)</f>
        <v>Obdulio Saquic</v>
      </c>
      <c r="F3959" s="21" t="s">
        <v>2522</v>
      </c>
      <c r="G3959" s="23">
        <v>46176</v>
      </c>
    </row>
    <row r="3960" spans="1:7" ht="48.5" hidden="1" x14ac:dyDescent="0.35">
      <c r="A3960" s="8">
        <v>12240</v>
      </c>
      <c r="B3960" s="10" t="s">
        <v>6515</v>
      </c>
      <c r="C3960" s="10" t="s">
        <v>104</v>
      </c>
      <c r="D3960" s="9" t="s">
        <v>104</v>
      </c>
      <c r="E3960" s="9" t="str">
        <f>_xlfn.TEXTAFTER(Condiciones_acumuladas[[#This Row],[Descripción]], " ", -2)</f>
        <v>Obdulio Saquic</v>
      </c>
      <c r="F3960" s="21" t="s">
        <v>2559</v>
      </c>
      <c r="G3960" s="23">
        <v>46176</v>
      </c>
    </row>
    <row r="3961" spans="1:7" ht="48.5" hidden="1" x14ac:dyDescent="0.35">
      <c r="A3961" s="8">
        <v>12301</v>
      </c>
      <c r="B3961" s="10" t="s">
        <v>6516</v>
      </c>
      <c r="C3961" s="10" t="s">
        <v>196</v>
      </c>
      <c r="D3961" s="9" t="s">
        <v>104</v>
      </c>
      <c r="E3961" s="9" t="s">
        <v>1381</v>
      </c>
      <c r="F3961" s="21" t="s">
        <v>2559</v>
      </c>
      <c r="G3961" s="23">
        <v>46183</v>
      </c>
    </row>
    <row r="3962" spans="1:7" ht="48.5" hidden="1" x14ac:dyDescent="0.35">
      <c r="A3962" s="8">
        <v>12296</v>
      </c>
      <c r="B3962" s="10" t="s">
        <v>6517</v>
      </c>
      <c r="C3962" s="10" t="s">
        <v>196</v>
      </c>
      <c r="D3962" s="9" t="s">
        <v>104</v>
      </c>
      <c r="E3962" s="9" t="str">
        <f>_xlfn.TEXTAFTER(Condiciones_acumuladas[[#This Row],[Descripción]], " ", -2)</f>
        <v>Obdulio Saquic</v>
      </c>
      <c r="F3962" s="21" t="s">
        <v>2559</v>
      </c>
      <c r="G3962" s="23">
        <v>46182</v>
      </c>
    </row>
    <row r="3963" spans="1:7" ht="48.5" hidden="1" x14ac:dyDescent="0.35">
      <c r="A3963" s="8">
        <v>12354</v>
      </c>
      <c r="B3963" s="10" t="s">
        <v>6518</v>
      </c>
      <c r="C3963" s="10" t="s">
        <v>196</v>
      </c>
      <c r="D3963" s="9" t="s">
        <v>104</v>
      </c>
      <c r="E3963" s="9" t="str">
        <f>_xlfn.TEXTAFTER(Condiciones_acumuladas[[#This Row],[Descripción]], " ", -2)</f>
        <v>Obdulio Saquic</v>
      </c>
      <c r="F3963" s="21" t="s">
        <v>2559</v>
      </c>
      <c r="G3963" s="23">
        <v>46190</v>
      </c>
    </row>
    <row r="3964" spans="1:7" ht="36.5" hidden="1" x14ac:dyDescent="0.35">
      <c r="A3964" s="8">
        <v>12366</v>
      </c>
      <c r="B3964" s="10" t="s">
        <v>6519</v>
      </c>
      <c r="C3964" s="10" t="s">
        <v>104</v>
      </c>
      <c r="D3964" s="9" t="s">
        <v>104</v>
      </c>
      <c r="E3964" s="9" t="str">
        <f>_xlfn.TEXTAFTER(Condiciones_acumuladas[[#This Row],[Descripción]], " ", -2)</f>
        <v>Obdulio Saquic</v>
      </c>
      <c r="F3964" s="21" t="s">
        <v>2530</v>
      </c>
      <c r="G3964" s="23">
        <v>46191</v>
      </c>
    </row>
    <row r="3965" spans="1:7" ht="24.5" hidden="1" x14ac:dyDescent="0.35">
      <c r="A3965" s="8">
        <v>12365</v>
      </c>
      <c r="B3965" s="10" t="s">
        <v>6520</v>
      </c>
      <c r="C3965" s="10" t="s">
        <v>104</v>
      </c>
      <c r="D3965" s="9" t="s">
        <v>104</v>
      </c>
      <c r="E3965" s="9" t="str">
        <f>_xlfn.TEXTAFTER(Condiciones_acumuladas[[#This Row],[Descripción]], " ", -2)</f>
        <v>Obdulio Saquic</v>
      </c>
      <c r="F3965" s="21" t="s">
        <v>2522</v>
      </c>
      <c r="G3965" s="23">
        <v>46191</v>
      </c>
    </row>
    <row r="3966" spans="1:7" ht="48.5" hidden="1" x14ac:dyDescent="0.35">
      <c r="A3966" s="8">
        <v>12403</v>
      </c>
      <c r="B3966" s="10" t="s">
        <v>6521</v>
      </c>
      <c r="C3966" s="10" t="s">
        <v>104</v>
      </c>
      <c r="D3966" s="9" t="s">
        <v>104</v>
      </c>
      <c r="E3966" s="9" t="str">
        <f>_xlfn.TEXTAFTER(Condiciones_acumuladas[[#This Row],[Descripción]], " ", -2)</f>
        <v>Obdulio Saquic</v>
      </c>
      <c r="F3966" s="21" t="s">
        <v>2559</v>
      </c>
      <c r="G3966" s="23">
        <v>46196</v>
      </c>
    </row>
    <row r="3967" spans="1:7" ht="36.5" hidden="1" x14ac:dyDescent="0.35">
      <c r="A3967" s="8">
        <v>12284</v>
      </c>
      <c r="B3967" s="10" t="s">
        <v>6522</v>
      </c>
      <c r="C3967" s="10" t="s">
        <v>21</v>
      </c>
      <c r="D3967" s="9" t="s">
        <v>21</v>
      </c>
      <c r="E3967" s="9" t="str">
        <f>_xlfn.TEXTAFTER(Condiciones_acumuladas[[#This Row],[Descripción]], " ", -2)</f>
        <v>Oscar Ramírez</v>
      </c>
      <c r="F3967" s="21" t="s">
        <v>2530</v>
      </c>
      <c r="G3967" s="23">
        <v>46178</v>
      </c>
    </row>
    <row r="3968" spans="1:7" ht="24.5" hidden="1" x14ac:dyDescent="0.35">
      <c r="A3968" s="8">
        <v>12277</v>
      </c>
      <c r="B3968" s="10" t="s">
        <v>6523</v>
      </c>
      <c r="C3968" s="10" t="s">
        <v>21</v>
      </c>
      <c r="D3968" s="9" t="s">
        <v>21</v>
      </c>
      <c r="E3968" s="9" t="str">
        <f>_xlfn.TEXTAFTER(Condiciones_acumuladas[[#This Row],[Descripción]], " ", -2)</f>
        <v>Oscar Ramírez</v>
      </c>
      <c r="F3968" s="21" t="s">
        <v>2522</v>
      </c>
      <c r="G3968" s="23">
        <v>46177</v>
      </c>
    </row>
    <row r="3969" spans="1:7" ht="36.5" hidden="1" x14ac:dyDescent="0.35">
      <c r="A3969" s="8">
        <v>12249</v>
      </c>
      <c r="B3969" s="10" t="s">
        <v>6524</v>
      </c>
      <c r="C3969" s="10" t="s">
        <v>13</v>
      </c>
      <c r="D3969" s="9" t="s">
        <v>13</v>
      </c>
      <c r="E3969" s="9" t="str">
        <f>_xlfn.TEXTAFTER(Condiciones_acumuladas[[#This Row],[Descripción]], " ", -2)</f>
        <v>Oscar Ramírez</v>
      </c>
      <c r="F3969" s="21" t="s">
        <v>2530</v>
      </c>
      <c r="G3969" s="23">
        <v>46174</v>
      </c>
    </row>
    <row r="3970" spans="1:7" ht="36.5" hidden="1" x14ac:dyDescent="0.35">
      <c r="A3970" s="8">
        <v>12246</v>
      </c>
      <c r="B3970" s="10" t="s">
        <v>6525</v>
      </c>
      <c r="C3970" s="10" t="s">
        <v>205</v>
      </c>
      <c r="D3970" s="9" t="s">
        <v>21</v>
      </c>
      <c r="E3970" s="9" t="str">
        <f>_xlfn.TEXTAFTER(Condiciones_acumuladas[[#This Row],[Descripción]], " ", -2)</f>
        <v>Oscar Ramírez</v>
      </c>
      <c r="F3970" s="21" t="s">
        <v>2516</v>
      </c>
      <c r="G3970" s="23">
        <v>46174</v>
      </c>
    </row>
    <row r="3971" spans="1:7" ht="36.5" hidden="1" x14ac:dyDescent="0.35">
      <c r="A3971" s="8">
        <v>12312</v>
      </c>
      <c r="B3971" s="10" t="s">
        <v>6526</v>
      </c>
      <c r="C3971" s="10" t="s">
        <v>21</v>
      </c>
      <c r="D3971" s="9" t="s">
        <v>21</v>
      </c>
      <c r="E3971" s="9" t="str">
        <f>_xlfn.TEXTAFTER(Condiciones_acumuladas[[#This Row],[Descripción]], " ", -2)</f>
        <v>Oscar Ramírez</v>
      </c>
      <c r="F3971" s="21" t="s">
        <v>2516</v>
      </c>
      <c r="G3971" s="23">
        <v>46182</v>
      </c>
    </row>
    <row r="3972" spans="1:7" ht="36.5" hidden="1" x14ac:dyDescent="0.35">
      <c r="A3972" s="8">
        <v>12308</v>
      </c>
      <c r="B3972" s="10" t="s">
        <v>6527</v>
      </c>
      <c r="C3972" s="10" t="s">
        <v>21</v>
      </c>
      <c r="D3972" s="9" t="s">
        <v>21</v>
      </c>
      <c r="E3972" s="9" t="str">
        <f>_xlfn.TEXTAFTER(Condiciones_acumuladas[[#This Row],[Descripción]], " ", -2)</f>
        <v>Oscar Ramírez</v>
      </c>
      <c r="F3972" s="21" t="s">
        <v>2572</v>
      </c>
      <c r="G3972" s="23">
        <v>46182</v>
      </c>
    </row>
    <row r="3973" spans="1:7" ht="24.5" hidden="1" x14ac:dyDescent="0.35">
      <c r="A3973" s="8">
        <v>12347</v>
      </c>
      <c r="B3973" s="10" t="s">
        <v>6528</v>
      </c>
      <c r="C3973" s="10" t="s">
        <v>21</v>
      </c>
      <c r="D3973" s="9" t="s">
        <v>21</v>
      </c>
      <c r="E3973" s="9" t="str">
        <f>_xlfn.TEXTAFTER(Condiciones_acumuladas[[#This Row],[Descripción]], " ", -2)</f>
        <v>Oscar Ramírez</v>
      </c>
      <c r="F3973" s="21" t="s">
        <v>2522</v>
      </c>
      <c r="G3973" s="23">
        <v>46184</v>
      </c>
    </row>
    <row r="3974" spans="1:7" ht="36.5" hidden="1" x14ac:dyDescent="0.35">
      <c r="A3974" s="8">
        <v>12346</v>
      </c>
      <c r="B3974" s="10" t="s">
        <v>6529</v>
      </c>
      <c r="C3974" s="10" t="s">
        <v>13</v>
      </c>
      <c r="D3974" s="9" t="s">
        <v>13</v>
      </c>
      <c r="E3974" s="9" t="str">
        <f>_xlfn.TEXTAFTER(Condiciones_acumuladas[[#This Row],[Descripción]], " ", -2)</f>
        <v>Oscar Ramírez</v>
      </c>
      <c r="F3974" s="21" t="s">
        <v>2516</v>
      </c>
      <c r="G3974" s="23">
        <v>46184</v>
      </c>
    </row>
    <row r="3975" spans="1:7" ht="36.5" hidden="1" x14ac:dyDescent="0.35">
      <c r="A3975" s="8">
        <v>12344</v>
      </c>
      <c r="B3975" s="10" t="s">
        <v>6530</v>
      </c>
      <c r="C3975" s="10" t="s">
        <v>13</v>
      </c>
      <c r="D3975" s="9" t="s">
        <v>13</v>
      </c>
      <c r="E3975" s="9" t="str">
        <f>_xlfn.TEXTAFTER(Condiciones_acumuladas[[#This Row],[Descripción]], " ", -2)</f>
        <v>Oscar Ramírez</v>
      </c>
      <c r="F3975" s="21" t="s">
        <v>2572</v>
      </c>
      <c r="G3975" s="23">
        <v>46184</v>
      </c>
    </row>
    <row r="3976" spans="1:7" ht="36.5" hidden="1" x14ac:dyDescent="0.35">
      <c r="A3976" s="8">
        <v>12340</v>
      </c>
      <c r="B3976" s="10" t="s">
        <v>6531</v>
      </c>
      <c r="C3976" s="10" t="s">
        <v>21</v>
      </c>
      <c r="D3976" s="9" t="s">
        <v>21</v>
      </c>
      <c r="E3976" s="9" t="str">
        <f>_xlfn.TEXTAFTER(Condiciones_acumuladas[[#This Row],[Descripción]], " ", -2)</f>
        <v>Oscar Ramírez</v>
      </c>
      <c r="F3976" s="21" t="s">
        <v>2516</v>
      </c>
      <c r="G3976" s="23">
        <v>46184</v>
      </c>
    </row>
    <row r="3977" spans="1:7" ht="36.5" hidden="1" x14ac:dyDescent="0.35">
      <c r="A3977" s="8">
        <v>12334</v>
      </c>
      <c r="B3977" s="10" t="s">
        <v>6532</v>
      </c>
      <c r="C3977" s="10" t="s">
        <v>13</v>
      </c>
      <c r="D3977" s="9" t="s">
        <v>13</v>
      </c>
      <c r="E3977" s="9" t="str">
        <f>_xlfn.TEXTAFTER(Condiciones_acumuladas[[#This Row],[Descripción]], " ", -2)</f>
        <v>Oscar Ramírez</v>
      </c>
      <c r="F3977" s="21" t="s">
        <v>2530</v>
      </c>
      <c r="G3977" s="23">
        <v>46184</v>
      </c>
    </row>
    <row r="3978" spans="1:7" ht="36.5" hidden="1" x14ac:dyDescent="0.35">
      <c r="A3978" s="8">
        <v>12335</v>
      </c>
      <c r="B3978" s="10" t="s">
        <v>6533</v>
      </c>
      <c r="C3978" s="10" t="s">
        <v>13</v>
      </c>
      <c r="D3978" s="9" t="s">
        <v>13</v>
      </c>
      <c r="E3978" s="9" t="str">
        <f>_xlfn.TEXTAFTER(Condiciones_acumuladas[[#This Row],[Descripción]], " ", -2)</f>
        <v>Oscar Ramírez</v>
      </c>
      <c r="F3978" s="21" t="s">
        <v>2516</v>
      </c>
      <c r="G3978" s="23">
        <v>46184</v>
      </c>
    </row>
    <row r="3979" spans="1:7" ht="36.5" hidden="1" x14ac:dyDescent="0.35">
      <c r="A3979" s="8">
        <v>12328</v>
      </c>
      <c r="B3979" s="10" t="s">
        <v>6534</v>
      </c>
      <c r="C3979" s="10" t="s">
        <v>21</v>
      </c>
      <c r="D3979" s="9" t="s">
        <v>21</v>
      </c>
      <c r="E3979" s="9" t="str">
        <f>_xlfn.TEXTAFTER(Condiciones_acumuladas[[#This Row],[Descripción]], " ", -2)</f>
        <v>Oscar Ramírez</v>
      </c>
      <c r="F3979" s="21" t="s">
        <v>2516</v>
      </c>
      <c r="G3979" s="23">
        <v>46184</v>
      </c>
    </row>
    <row r="3980" spans="1:7" ht="24.5" hidden="1" x14ac:dyDescent="0.35">
      <c r="A3980" s="8">
        <v>12323</v>
      </c>
      <c r="B3980" s="10" t="s">
        <v>6535</v>
      </c>
      <c r="C3980" s="10" t="s">
        <v>13</v>
      </c>
      <c r="D3980" s="9" t="s">
        <v>13</v>
      </c>
      <c r="E3980" s="9" t="str">
        <f>_xlfn.TEXTAFTER(Condiciones_acumuladas[[#This Row],[Descripción]], " ", -2)</f>
        <v>Oscar Ramírez</v>
      </c>
      <c r="F3980" s="21" t="s">
        <v>2540</v>
      </c>
      <c r="G3980" s="23">
        <v>46184</v>
      </c>
    </row>
    <row r="3981" spans="1:7" ht="36.5" hidden="1" x14ac:dyDescent="0.35">
      <c r="A3981" s="8">
        <v>12390</v>
      </c>
      <c r="B3981" s="10" t="s">
        <v>6536</v>
      </c>
      <c r="C3981" s="10" t="s">
        <v>34</v>
      </c>
      <c r="D3981" s="9" t="s">
        <v>13</v>
      </c>
      <c r="E3981" s="9" t="str">
        <f>_xlfn.TEXTAFTER(Condiciones_acumuladas[[#This Row],[Descripción]], " ", -2)</f>
        <v>Oscar Ramírez</v>
      </c>
      <c r="F3981" s="21" t="s">
        <v>2572</v>
      </c>
      <c r="G3981" s="23">
        <v>46190</v>
      </c>
    </row>
    <row r="3982" spans="1:7" ht="24.5" hidden="1" x14ac:dyDescent="0.35">
      <c r="A3982" s="8">
        <v>12384</v>
      </c>
      <c r="B3982" s="10" t="s">
        <v>6537</v>
      </c>
      <c r="C3982" s="10" t="s">
        <v>26</v>
      </c>
      <c r="D3982" s="9" t="s">
        <v>13</v>
      </c>
      <c r="E3982" s="9" t="str">
        <f>_xlfn.TEXTAFTER(Condiciones_acumuladas[[#This Row],[Descripción]], " ", -2)</f>
        <v>Oscar Ramírez</v>
      </c>
      <c r="F3982" s="21" t="s">
        <v>2522</v>
      </c>
      <c r="G3982" s="23">
        <v>46190</v>
      </c>
    </row>
    <row r="3983" spans="1:7" ht="24.5" hidden="1" x14ac:dyDescent="0.35">
      <c r="A3983" s="8">
        <v>12382</v>
      </c>
      <c r="B3983" s="10" t="s">
        <v>6538</v>
      </c>
      <c r="C3983" s="10" t="s">
        <v>13</v>
      </c>
      <c r="D3983" s="9" t="s">
        <v>13</v>
      </c>
      <c r="E3983" s="9" t="str">
        <f>_xlfn.TEXTAFTER(Condiciones_acumuladas[[#This Row],[Descripción]], " ", -2)</f>
        <v>Oscar Ramírez</v>
      </c>
      <c r="F3983" s="21" t="s">
        <v>2834</v>
      </c>
      <c r="G3983" s="23">
        <v>46190</v>
      </c>
    </row>
    <row r="3984" spans="1:7" ht="36.5" hidden="1" x14ac:dyDescent="0.35">
      <c r="A3984" s="8">
        <v>12389</v>
      </c>
      <c r="B3984" s="10" t="s">
        <v>6539</v>
      </c>
      <c r="C3984" s="10" t="s">
        <v>21</v>
      </c>
      <c r="D3984" s="9" t="s">
        <v>21</v>
      </c>
      <c r="E3984" s="9" t="str">
        <f>_xlfn.TEXTAFTER(Condiciones_acumuladas[[#This Row],[Descripción]], " ", -2)</f>
        <v>Oscar Ramírez</v>
      </c>
      <c r="F3984" s="21" t="s">
        <v>2530</v>
      </c>
      <c r="G3984" s="23">
        <v>46190</v>
      </c>
    </row>
    <row r="3985" spans="1:7" ht="36.5" hidden="1" x14ac:dyDescent="0.35">
      <c r="A3985" s="8">
        <v>12387</v>
      </c>
      <c r="B3985" s="10" t="s">
        <v>6540</v>
      </c>
      <c r="C3985" s="10" t="s">
        <v>13</v>
      </c>
      <c r="D3985" s="9" t="s">
        <v>13</v>
      </c>
      <c r="E3985" s="9" t="str">
        <f>_xlfn.TEXTAFTER(Condiciones_acumuladas[[#This Row],[Descripción]], " ", -2)</f>
        <v>Oscar Ramírez</v>
      </c>
      <c r="F3985" s="21" t="s">
        <v>2540</v>
      </c>
      <c r="G3985" s="23">
        <v>46190</v>
      </c>
    </row>
    <row r="3986" spans="1:7" ht="36.5" hidden="1" x14ac:dyDescent="0.35">
      <c r="A3986" s="8">
        <v>12380</v>
      </c>
      <c r="B3986" s="10" t="s">
        <v>6541</v>
      </c>
      <c r="C3986" s="10" t="s">
        <v>21</v>
      </c>
      <c r="D3986" s="9" t="s">
        <v>21</v>
      </c>
      <c r="E3986" s="9" t="str">
        <f>_xlfn.TEXTAFTER(Condiciones_acumuladas[[#This Row],[Descripción]], " ", -2)</f>
        <v>Oscar Ramírez</v>
      </c>
      <c r="F3986" s="21" t="s">
        <v>2572</v>
      </c>
      <c r="G3986" s="23">
        <v>46190</v>
      </c>
    </row>
    <row r="3987" spans="1:7" ht="24.5" hidden="1" x14ac:dyDescent="0.35">
      <c r="A3987" s="8">
        <v>12374</v>
      </c>
      <c r="B3987" s="10" t="s">
        <v>6542</v>
      </c>
      <c r="C3987" s="10" t="s">
        <v>21</v>
      </c>
      <c r="D3987" s="9" t="s">
        <v>21</v>
      </c>
      <c r="E3987" s="9" t="str">
        <f>_xlfn.TEXTAFTER(Condiciones_acumuladas[[#This Row],[Descripción]], " ", -2)</f>
        <v>Oscar Ramírez</v>
      </c>
      <c r="F3987" s="21" t="s">
        <v>2522</v>
      </c>
      <c r="G3987" s="23">
        <v>46189</v>
      </c>
    </row>
    <row r="3988" spans="1:7" ht="24.5" hidden="1" x14ac:dyDescent="0.35">
      <c r="A3988" s="8">
        <v>12373</v>
      </c>
      <c r="B3988" s="10" t="s">
        <v>6543</v>
      </c>
      <c r="C3988" s="10" t="s">
        <v>13</v>
      </c>
      <c r="D3988" s="9" t="s">
        <v>13</v>
      </c>
      <c r="E3988" s="9" t="str">
        <f>_xlfn.TEXTAFTER(Condiciones_acumuladas[[#This Row],[Descripción]], " ", -2)</f>
        <v>Oscar Ramírez</v>
      </c>
      <c r="F3988" s="21" t="s">
        <v>2834</v>
      </c>
      <c r="G3988" s="23">
        <v>46189</v>
      </c>
    </row>
    <row r="3989" spans="1:7" ht="24.5" hidden="1" x14ac:dyDescent="0.35">
      <c r="A3989" s="8">
        <v>12369</v>
      </c>
      <c r="B3989" s="10" t="s">
        <v>6544</v>
      </c>
      <c r="C3989" s="10" t="s">
        <v>21</v>
      </c>
      <c r="D3989" s="9" t="s">
        <v>21</v>
      </c>
      <c r="E3989" s="9" t="str">
        <f>_xlfn.TEXTAFTER(Condiciones_acumuladas[[#This Row],[Descripción]], " ", -2)</f>
        <v>Oscar Ramírez</v>
      </c>
      <c r="F3989" s="21" t="s">
        <v>2522</v>
      </c>
      <c r="G3989" s="23">
        <v>46188</v>
      </c>
    </row>
    <row r="3990" spans="1:7" ht="36.5" hidden="1" x14ac:dyDescent="0.35">
      <c r="A3990" s="8">
        <v>12415</v>
      </c>
      <c r="B3990" s="10" t="s">
        <v>6545</v>
      </c>
      <c r="C3990" s="10" t="s">
        <v>21</v>
      </c>
      <c r="D3990" s="9" t="s">
        <v>13</v>
      </c>
      <c r="E3990" s="9" t="str">
        <f>_xlfn.TEXTAFTER(Condiciones_acumuladas[[#This Row],[Descripción]], " ", -2)</f>
        <v>Oscar Ramírez</v>
      </c>
      <c r="F3990" s="21" t="s">
        <v>2572</v>
      </c>
      <c r="G3990" s="23">
        <v>46192</v>
      </c>
    </row>
    <row r="3991" spans="1:7" ht="36.5" hidden="1" x14ac:dyDescent="0.35">
      <c r="A3991" s="8">
        <v>12473</v>
      </c>
      <c r="B3991" s="10" t="s">
        <v>6546</v>
      </c>
      <c r="C3991" s="10" t="s">
        <v>34</v>
      </c>
      <c r="D3991" s="9" t="s">
        <v>34</v>
      </c>
      <c r="E3991" s="9" t="str">
        <f>_xlfn.TEXTAFTER(Condiciones_acumuladas[[#This Row],[Descripción]], " ", -2)</f>
        <v>Oscar Ramos</v>
      </c>
      <c r="F3991" s="21" t="s">
        <v>2522</v>
      </c>
      <c r="G3991" s="23">
        <v>46203</v>
      </c>
    </row>
    <row r="3992" spans="1:7" ht="36.5" hidden="1" x14ac:dyDescent="0.35">
      <c r="A3992" s="8">
        <v>12268</v>
      </c>
      <c r="B3992" s="10" t="s">
        <v>6547</v>
      </c>
      <c r="C3992" s="10" t="s">
        <v>371</v>
      </c>
      <c r="D3992" s="9" t="s">
        <v>371</v>
      </c>
      <c r="E3992" s="9" t="str">
        <f>_xlfn.TEXTAFTER(Condiciones_acumuladas[[#This Row],[Descripción]], " ", -2)</f>
        <v>Rodrigo Galindo</v>
      </c>
      <c r="F3992" s="21" t="s">
        <v>2572</v>
      </c>
      <c r="G3992" s="23">
        <v>46176</v>
      </c>
    </row>
    <row r="3993" spans="1:7" ht="36.5" hidden="1" x14ac:dyDescent="0.35">
      <c r="A3993" s="8">
        <v>12304</v>
      </c>
      <c r="B3993" s="10" t="s">
        <v>6548</v>
      </c>
      <c r="C3993" s="10" t="s">
        <v>190</v>
      </c>
      <c r="D3993" s="9" t="s">
        <v>371</v>
      </c>
      <c r="E3993" s="9" t="str">
        <f>_xlfn.TEXTAFTER(Condiciones_acumuladas[[#This Row],[Descripción]], " ", -2)</f>
        <v>Rodrigo Galindo</v>
      </c>
      <c r="F3993" s="21" t="s">
        <v>2516</v>
      </c>
      <c r="G3993" s="23">
        <v>46181</v>
      </c>
    </row>
    <row r="3994" spans="1:7" ht="36.5" hidden="1" x14ac:dyDescent="0.35">
      <c r="A3994" s="8">
        <v>12302</v>
      </c>
      <c r="B3994" s="10" t="s">
        <v>6549</v>
      </c>
      <c r="C3994" s="10" t="s">
        <v>220</v>
      </c>
      <c r="D3994" s="9" t="s">
        <v>371</v>
      </c>
      <c r="E3994" s="9" t="str">
        <f>_xlfn.TEXTAFTER(Condiciones_acumuladas[[#This Row],[Descripción]], " ", -2)</f>
        <v>Rodrigo Galindo</v>
      </c>
      <c r="F3994" s="21" t="s">
        <v>2516</v>
      </c>
      <c r="G3994" s="23">
        <v>46181</v>
      </c>
    </row>
    <row r="3995" spans="1:7" ht="48.5" hidden="1" x14ac:dyDescent="0.35">
      <c r="A3995" s="8">
        <v>12430</v>
      </c>
      <c r="B3995" s="10" t="s">
        <v>6550</v>
      </c>
      <c r="C3995" s="10" t="s">
        <v>234</v>
      </c>
      <c r="D3995" s="9" t="s">
        <v>371</v>
      </c>
      <c r="E3995" s="9" t="str">
        <f>_xlfn.TEXTAFTER(Condiciones_acumuladas[[#This Row],[Descripción]], " ", -2)</f>
        <v>Rodrigo Galindo</v>
      </c>
      <c r="F3995" s="21" t="s">
        <v>2559</v>
      </c>
      <c r="G3995" s="23">
        <v>46197</v>
      </c>
    </row>
    <row r="3996" spans="1:7" ht="24.5" hidden="1" x14ac:dyDescent="0.35">
      <c r="A3996" s="8">
        <v>12292</v>
      </c>
      <c r="B3996" s="10" t="s">
        <v>6551</v>
      </c>
      <c r="C3996" s="10" t="s">
        <v>250</v>
      </c>
      <c r="D3996" s="9" t="s">
        <v>190</v>
      </c>
      <c r="E3996" s="9" t="str">
        <f>_xlfn.TEXTAFTER(Condiciones_acumuladas[[#This Row],[Descripción]], " ", -2)</f>
        <v>Roy Luarca</v>
      </c>
      <c r="F3996" s="21" t="s">
        <v>2522</v>
      </c>
      <c r="G3996" s="23">
        <v>46181</v>
      </c>
    </row>
    <row r="3997" spans="1:7" ht="36.5" hidden="1" x14ac:dyDescent="0.35">
      <c r="A3997" s="8">
        <v>12440</v>
      </c>
      <c r="B3997" s="10" t="s">
        <v>6552</v>
      </c>
      <c r="C3997" s="10" t="s">
        <v>134</v>
      </c>
      <c r="D3997" s="9" t="s">
        <v>134</v>
      </c>
      <c r="E3997" s="9" t="str">
        <f>_xlfn.TEXTAFTER(Condiciones_acumuladas[[#This Row],[Descripción]], " ", -2)</f>
        <v>Wilber López</v>
      </c>
      <c r="F3997" s="21" t="s">
        <v>2572</v>
      </c>
      <c r="G3997" s="23">
        <v>46198</v>
      </c>
    </row>
    <row r="3998" spans="1:7" ht="24.5" hidden="1" x14ac:dyDescent="0.35">
      <c r="A3998" s="8">
        <v>12488</v>
      </c>
      <c r="B3998" s="10" t="s">
        <v>6553</v>
      </c>
      <c r="C3998" s="10" t="s">
        <v>96</v>
      </c>
      <c r="D3998" s="9" t="s">
        <v>96</v>
      </c>
      <c r="E3998" s="9" t="str">
        <f>_xlfn.TEXTAFTER(Condiciones_acumuladas[[#This Row],[Descripción]], " ", -2)</f>
        <v>Bladimir López</v>
      </c>
      <c r="F3998" s="21" t="s">
        <v>2537</v>
      </c>
      <c r="G3998" s="23">
        <v>46203</v>
      </c>
    </row>
    <row r="3999" spans="1:7" ht="36.5" hidden="1" x14ac:dyDescent="0.35">
      <c r="A3999" s="8">
        <v>12486</v>
      </c>
      <c r="B3999" s="10" t="s">
        <v>6554</v>
      </c>
      <c r="C3999" s="10" t="s">
        <v>134</v>
      </c>
      <c r="D3999" s="9" t="s">
        <v>395</v>
      </c>
      <c r="E3999" s="9" t="str">
        <f>_xlfn.TEXTAFTER(Condiciones_acumuladas[[#This Row],[Descripción]], " ", -2)</f>
        <v>Bryan Barahona</v>
      </c>
      <c r="F3999" s="21" t="s">
        <v>2530</v>
      </c>
      <c r="G3999" s="23">
        <v>46202</v>
      </c>
    </row>
    <row r="4000" spans="1:7" ht="48.5" hidden="1" x14ac:dyDescent="0.35">
      <c r="A4000" s="8">
        <v>12487</v>
      </c>
      <c r="B4000" s="10" t="s">
        <v>6555</v>
      </c>
      <c r="C4000" s="10" t="s">
        <v>227</v>
      </c>
      <c r="D4000" s="9" t="s">
        <v>395</v>
      </c>
      <c r="E4000" s="9" t="str">
        <f>_xlfn.TEXTAFTER(Condiciones_acumuladas[[#This Row],[Descripción]], " ", -2)</f>
        <v>Bryan Barahona</v>
      </c>
      <c r="F4000" s="21" t="s">
        <v>2516</v>
      </c>
      <c r="G4000" s="23">
        <v>46200</v>
      </c>
    </row>
    <row r="4001" spans="1:7" ht="36.5" hidden="1" x14ac:dyDescent="0.35">
      <c r="A4001" s="8">
        <v>12489</v>
      </c>
      <c r="B4001" s="10" t="s">
        <v>6556</v>
      </c>
      <c r="C4001" s="10" t="s">
        <v>21</v>
      </c>
      <c r="D4001" s="9" t="s">
        <v>395</v>
      </c>
      <c r="E4001" s="9" t="str">
        <f>_xlfn.TEXTAFTER(Condiciones_acumuladas[[#This Row],[Descripción]], " ", -2)</f>
        <v>Antony Ramos</v>
      </c>
      <c r="F4001" s="21" t="s">
        <v>2516</v>
      </c>
      <c r="G4001" s="23">
        <v>46203</v>
      </c>
    </row>
    <row r="4002" spans="1:7" ht="24.5" hidden="1" x14ac:dyDescent="0.35">
      <c r="A4002" s="8">
        <v>12490</v>
      </c>
      <c r="B4002" s="10" t="s">
        <v>6557</v>
      </c>
      <c r="C4002" s="10" t="s">
        <v>220</v>
      </c>
      <c r="D4002" s="9" t="s">
        <v>278</v>
      </c>
      <c r="E4002" s="9" t="str">
        <f>_xlfn.TEXTAFTER(Condiciones_acumuladas[[#This Row],[Descripción]], " ", -2)</f>
        <v>Fredy Fuentes</v>
      </c>
      <c r="F4002" s="21" t="s">
        <v>2522</v>
      </c>
      <c r="G4002" s="23">
        <v>46203</v>
      </c>
    </row>
    <row r="4003" spans="1:7" ht="24.5" hidden="1" x14ac:dyDescent="0.35">
      <c r="A4003" s="8">
        <v>12495</v>
      </c>
      <c r="B4003" s="10" t="s">
        <v>6558</v>
      </c>
      <c r="C4003" s="10" t="s">
        <v>104</v>
      </c>
      <c r="D4003" s="9" t="s">
        <v>104</v>
      </c>
      <c r="E4003" s="9" t="str">
        <f>_xlfn.TEXTAFTER(Condiciones_acumuladas[[#This Row],[Descripción]], " ", -2)</f>
        <v>Obdulio Saquic</v>
      </c>
      <c r="F4003" s="21" t="s">
        <v>2522</v>
      </c>
      <c r="G4003" s="23">
        <v>46202</v>
      </c>
    </row>
    <row r="4004" spans="1:7" ht="24.5" hidden="1" x14ac:dyDescent="0.35">
      <c r="A4004" s="8">
        <v>12498</v>
      </c>
      <c r="B4004" s="10" t="s">
        <v>6559</v>
      </c>
      <c r="C4004" s="10" t="s">
        <v>104</v>
      </c>
      <c r="D4004" s="9" t="s">
        <v>104</v>
      </c>
      <c r="E4004" s="9" t="str">
        <f>_xlfn.TEXTAFTER(Condiciones_acumuladas[[#This Row],[Descripción]], " ", -2)</f>
        <v>Obdulio Saquic</v>
      </c>
      <c r="F4004" s="21" t="s">
        <v>2522</v>
      </c>
      <c r="G4004" s="23">
        <v>46202</v>
      </c>
    </row>
    <row r="4005" spans="1:7" ht="36.5" hidden="1" x14ac:dyDescent="0.35">
      <c r="A4005" s="8">
        <v>12500</v>
      </c>
      <c r="B4005" s="10" t="s">
        <v>6560</v>
      </c>
      <c r="C4005" s="10" t="s">
        <v>134</v>
      </c>
      <c r="D4005" s="9" t="s">
        <v>134</v>
      </c>
      <c r="E4005" s="9" t="str">
        <f>_xlfn.TEXTAFTER(Condiciones_acumuladas[[#This Row],[Descripción]], " ", -2)</f>
        <v xml:space="preserve">Alfonso Guatzin
</v>
      </c>
      <c r="F4005" s="21" t="s">
        <v>2522</v>
      </c>
      <c r="G4005" s="23">
        <v>46203</v>
      </c>
    </row>
    <row r="4006" spans="1:7" ht="48.5" hidden="1" x14ac:dyDescent="0.35">
      <c r="A4006" s="8">
        <v>12494</v>
      </c>
      <c r="B4006" s="10" t="s">
        <v>6561</v>
      </c>
      <c r="C4006" s="10" t="s">
        <v>205</v>
      </c>
      <c r="D4006" s="9" t="s">
        <v>234</v>
      </c>
      <c r="E4006" s="9" t="str">
        <f>_xlfn.TEXTAFTER(Condiciones_acumuladas[[#This Row],[Descripción]], " ", -2)</f>
        <v>Bryan Rodas</v>
      </c>
      <c r="F4006" s="21" t="s">
        <v>2559</v>
      </c>
      <c r="G4006" s="23">
        <v>46203</v>
      </c>
    </row>
    <row r="4007" spans="1:7" ht="36.5" hidden="1" x14ac:dyDescent="0.35">
      <c r="A4007" s="8">
        <v>12492</v>
      </c>
      <c r="B4007" s="10" t="s">
        <v>6562</v>
      </c>
      <c r="C4007" s="10" t="s">
        <v>371</v>
      </c>
      <c r="D4007" s="9" t="s">
        <v>395</v>
      </c>
      <c r="E4007" s="9" t="str">
        <f>_xlfn.TEXTAFTER(Condiciones_acumuladas[[#This Row],[Descripción]], " ", -2)</f>
        <v>Josué Vásquez</v>
      </c>
      <c r="F4007" s="21" t="s">
        <v>2516</v>
      </c>
      <c r="G4007" s="23">
        <v>46203</v>
      </c>
    </row>
    <row r="4008" spans="1:7" ht="48.5" hidden="1" x14ac:dyDescent="0.35">
      <c r="A4008" s="8">
        <v>12504</v>
      </c>
      <c r="B4008" s="10" t="s">
        <v>6563</v>
      </c>
      <c r="C4008" s="10" t="s">
        <v>234</v>
      </c>
      <c r="D4008" s="9" t="s">
        <v>234</v>
      </c>
      <c r="E4008" s="9" t="str">
        <f>_xlfn.TEXTAFTER(Condiciones_acumuladas[[#This Row],[Descripción]], " ", -2)</f>
        <v>Bryan Rodas</v>
      </c>
      <c r="F4008" s="21" t="s">
        <v>2559</v>
      </c>
      <c r="G4008" s="23">
        <v>46203</v>
      </c>
    </row>
    <row r="4009" spans="1:7" ht="36.5" hidden="1" x14ac:dyDescent="0.35">
      <c r="A4009" s="8">
        <v>12502</v>
      </c>
      <c r="B4009" s="10" t="s">
        <v>6564</v>
      </c>
      <c r="C4009" s="10" t="s">
        <v>13</v>
      </c>
      <c r="D4009" s="9" t="s">
        <v>95</v>
      </c>
      <c r="E4009" s="9" t="str">
        <f>_xlfn.TEXTAFTER(Condiciones_acumuladas[[#This Row],[Descripción]], " ", -2)</f>
        <v>Maria Obregón</v>
      </c>
      <c r="F4009" s="21" t="s">
        <v>2516</v>
      </c>
      <c r="G4009" s="23">
        <v>46203</v>
      </c>
    </row>
    <row r="4010" spans="1:7" ht="24.5" hidden="1" x14ac:dyDescent="0.35">
      <c r="A4010" s="8">
        <v>12501</v>
      </c>
      <c r="B4010" s="10" t="s">
        <v>6565</v>
      </c>
      <c r="C4010" s="10" t="s">
        <v>134</v>
      </c>
      <c r="D4010" s="9" t="s">
        <v>95</v>
      </c>
      <c r="E4010" s="9" t="str">
        <f>_xlfn.TEXTAFTER(Condiciones_acumuladas[[#This Row],[Descripción]], " ", -2)</f>
        <v>en L3</v>
      </c>
      <c r="F4010" s="21" t="s">
        <v>2522</v>
      </c>
      <c r="G4010" s="23">
        <v>46203</v>
      </c>
    </row>
    <row r="4011" spans="1:7" ht="36.5" hidden="1" x14ac:dyDescent="0.35">
      <c r="A4011" s="8">
        <v>12522</v>
      </c>
      <c r="B4011" s="10" t="s">
        <v>6566</v>
      </c>
      <c r="C4011" s="10" t="s">
        <v>21</v>
      </c>
      <c r="D4011" s="9" t="s">
        <v>395</v>
      </c>
      <c r="E4011" s="9" t="str">
        <f>_xlfn.TEXTAFTER(Condiciones_acumuladas[[#This Row],[Descripción]], " ", -2)</f>
        <v>Abraham Quiej</v>
      </c>
      <c r="F4011" s="21" t="s">
        <v>2530</v>
      </c>
      <c r="G4011" s="23">
        <v>46205</v>
      </c>
    </row>
    <row r="4012" spans="1:7" ht="36.5" hidden="1" x14ac:dyDescent="0.35">
      <c r="A4012" s="8">
        <v>12542</v>
      </c>
      <c r="B4012" s="10" t="s">
        <v>6567</v>
      </c>
      <c r="C4012" s="10" t="s">
        <v>13</v>
      </c>
      <c r="D4012" s="9" t="s">
        <v>395</v>
      </c>
      <c r="E4012" s="9" t="str">
        <f>_xlfn.TEXTAFTER(Condiciones_acumuladas[[#This Row],[Descripción]], " ", -2)</f>
        <v>Abraham Quiej</v>
      </c>
      <c r="F4012" s="21" t="s">
        <v>2530</v>
      </c>
      <c r="G4012" s="23">
        <v>46210</v>
      </c>
    </row>
    <row r="4013" spans="1:7" ht="36.5" hidden="1" x14ac:dyDescent="0.35">
      <c r="A4013" s="8">
        <v>12541</v>
      </c>
      <c r="B4013" s="10" t="s">
        <v>6568</v>
      </c>
      <c r="C4013" s="10" t="s">
        <v>21</v>
      </c>
      <c r="D4013" s="9" t="s">
        <v>395</v>
      </c>
      <c r="E4013" s="9" t="str">
        <f>_xlfn.TEXTAFTER(Condiciones_acumuladas[[#This Row],[Descripción]], " ", -2)</f>
        <v>Abraham Quiej</v>
      </c>
      <c r="F4013" s="21" t="s">
        <v>2530</v>
      </c>
      <c r="G4013" s="23">
        <v>46210</v>
      </c>
    </row>
    <row r="4014" spans="1:7" ht="48.5" hidden="1" x14ac:dyDescent="0.35">
      <c r="A4014" s="8">
        <v>12802</v>
      </c>
      <c r="B4014" s="10" t="s">
        <v>6569</v>
      </c>
      <c r="C4014" s="10" t="s">
        <v>26</v>
      </c>
      <c r="D4014" s="9" t="s">
        <v>26</v>
      </c>
      <c r="E4014" s="9" t="str">
        <f>_xlfn.TEXTAFTER(Condiciones_acumuladas[[#This Row],[Descripción]], " ", -2)</f>
        <v>Adrian Santisteban</v>
      </c>
      <c r="F4014" s="21" t="s">
        <v>2559</v>
      </c>
      <c r="G4014" s="23">
        <v>46228</v>
      </c>
    </row>
    <row r="4015" spans="1:7" ht="48.5" hidden="1" x14ac:dyDescent="0.35">
      <c r="A4015" s="8">
        <v>12803</v>
      </c>
      <c r="B4015" s="10" t="s">
        <v>6570</v>
      </c>
      <c r="C4015" s="10" t="s">
        <v>26</v>
      </c>
      <c r="D4015" s="9" t="s">
        <v>26</v>
      </c>
      <c r="E4015" s="9" t="str">
        <f>_xlfn.TEXTAFTER(Condiciones_acumuladas[[#This Row],[Descripción]], " ", -2)</f>
        <v>Adrian Santisteban</v>
      </c>
      <c r="F4015" s="21" t="s">
        <v>2559</v>
      </c>
      <c r="G4015" s="23">
        <v>46227</v>
      </c>
    </row>
    <row r="4016" spans="1:7" ht="48.5" hidden="1" x14ac:dyDescent="0.35">
      <c r="A4016" s="8">
        <v>12804</v>
      </c>
      <c r="B4016" s="10" t="s">
        <v>6571</v>
      </c>
      <c r="C4016" s="10" t="s">
        <v>26</v>
      </c>
      <c r="D4016" s="9" t="s">
        <v>26</v>
      </c>
      <c r="E4016" s="9" t="str">
        <f>_xlfn.TEXTAFTER(Condiciones_acumuladas[[#This Row],[Descripción]], " ", -2)</f>
        <v>Adrian Santisteban</v>
      </c>
      <c r="F4016" s="21" t="s">
        <v>2559</v>
      </c>
      <c r="G4016" s="23">
        <v>46226</v>
      </c>
    </row>
    <row r="4017" spans="1:7" ht="24.5" hidden="1" x14ac:dyDescent="0.35">
      <c r="A4017" s="8">
        <v>12805</v>
      </c>
      <c r="B4017" s="10" t="s">
        <v>6572</v>
      </c>
      <c r="C4017" s="10" t="s">
        <v>26</v>
      </c>
      <c r="D4017" s="9" t="s">
        <v>26</v>
      </c>
      <c r="E4017" s="9" t="str">
        <f>_xlfn.TEXTAFTER(Condiciones_acumuladas[[#This Row],[Descripción]], " ", -2)</f>
        <v>Adrian Santisteban</v>
      </c>
      <c r="F4017" s="21" t="s">
        <v>2522</v>
      </c>
      <c r="G4017" s="23">
        <v>46227</v>
      </c>
    </row>
    <row r="4018" spans="1:7" ht="36.5" hidden="1" x14ac:dyDescent="0.35">
      <c r="A4018" s="8">
        <v>12806</v>
      </c>
      <c r="B4018" s="10" t="s">
        <v>6573</v>
      </c>
      <c r="C4018" s="10" t="s">
        <v>34</v>
      </c>
      <c r="D4018" s="9" t="s">
        <v>34</v>
      </c>
      <c r="E4018" s="9" t="str">
        <f>_xlfn.TEXTAFTER(Condiciones_acumuladas[[#This Row],[Descripción]], " ", -2)</f>
        <v>Adrian Santisteban</v>
      </c>
      <c r="F4018" s="21" t="s">
        <v>2530</v>
      </c>
      <c r="G4018" s="23">
        <v>46228</v>
      </c>
    </row>
    <row r="4019" spans="1:7" ht="24.5" hidden="1" x14ac:dyDescent="0.35">
      <c r="A4019" s="8">
        <v>12807</v>
      </c>
      <c r="B4019" s="10" t="s">
        <v>6574</v>
      </c>
      <c r="C4019" s="10" t="s">
        <v>34</v>
      </c>
      <c r="D4019" s="9" t="s">
        <v>34</v>
      </c>
      <c r="E4019" s="9" t="str">
        <f>_xlfn.TEXTAFTER(Condiciones_acumuladas[[#This Row],[Descripción]], " ", -2)</f>
        <v>Adrian Santisteban</v>
      </c>
      <c r="F4019" s="21" t="s">
        <v>2540</v>
      </c>
      <c r="G4019" s="23">
        <v>46227</v>
      </c>
    </row>
    <row r="4020" spans="1:7" ht="48.5" hidden="1" x14ac:dyDescent="0.35">
      <c r="A4020" s="8">
        <v>12808</v>
      </c>
      <c r="B4020" s="10" t="s">
        <v>6575</v>
      </c>
      <c r="C4020" s="10" t="s">
        <v>34</v>
      </c>
      <c r="D4020" s="9" t="s">
        <v>34</v>
      </c>
      <c r="E4020" s="9" t="str">
        <f>_xlfn.TEXTAFTER(Condiciones_acumuladas[[#This Row],[Descripción]], " ", -2)</f>
        <v>Adrian Santisteban</v>
      </c>
      <c r="F4020" s="21" t="s">
        <v>2559</v>
      </c>
      <c r="G4020" s="23">
        <v>46226</v>
      </c>
    </row>
    <row r="4021" spans="1:7" ht="48.5" hidden="1" x14ac:dyDescent="0.35">
      <c r="A4021" s="8">
        <v>12809</v>
      </c>
      <c r="B4021" s="10" t="s">
        <v>6576</v>
      </c>
      <c r="C4021" s="10" t="s">
        <v>34</v>
      </c>
      <c r="D4021" s="9" t="s">
        <v>34</v>
      </c>
      <c r="E4021" s="9" t="str">
        <f>_xlfn.TEXTAFTER(Condiciones_acumuladas[[#This Row],[Descripción]], " ", -2)</f>
        <v>Adrian Santisteban</v>
      </c>
      <c r="F4021" s="21" t="s">
        <v>2559</v>
      </c>
      <c r="G4021" s="23">
        <v>46225</v>
      </c>
    </row>
    <row r="4022" spans="1:7" ht="24.5" hidden="1" x14ac:dyDescent="0.35">
      <c r="A4022" s="8">
        <v>12514</v>
      </c>
      <c r="B4022" s="10" t="s">
        <v>6577</v>
      </c>
      <c r="C4022" s="10" t="s">
        <v>26</v>
      </c>
      <c r="D4022" s="9" t="s">
        <v>26</v>
      </c>
      <c r="E4022" s="9" t="str">
        <f>_xlfn.TEXTAFTER(Condiciones_acumuladas[[#This Row],[Descripción]], " ", -2)</f>
        <v>Adrian Santisteban</v>
      </c>
      <c r="F4022" s="21" t="s">
        <v>2522</v>
      </c>
      <c r="G4022" s="23">
        <v>46204</v>
      </c>
    </row>
    <row r="4023" spans="1:7" ht="36.5" hidden="1" x14ac:dyDescent="0.35">
      <c r="A4023" s="8">
        <v>12551</v>
      </c>
      <c r="B4023" s="10" t="s">
        <v>6578</v>
      </c>
      <c r="C4023" s="10" t="s">
        <v>26</v>
      </c>
      <c r="D4023" s="9" t="s">
        <v>26</v>
      </c>
      <c r="E4023" s="9" t="str">
        <f>_xlfn.TEXTAFTER(Condiciones_acumuladas[[#This Row],[Descripción]], " ", -2)</f>
        <v>Adrian Santisteban</v>
      </c>
      <c r="F4023" s="21" t="s">
        <v>2516</v>
      </c>
      <c r="G4023" s="23">
        <v>46211</v>
      </c>
    </row>
    <row r="4024" spans="1:7" ht="48.5" hidden="1" x14ac:dyDescent="0.35">
      <c r="A4024" s="8">
        <v>12928</v>
      </c>
      <c r="B4024" s="10" t="s">
        <v>6579</v>
      </c>
      <c r="C4024" s="10" t="s">
        <v>96</v>
      </c>
      <c r="D4024" s="9" t="s">
        <v>395</v>
      </c>
      <c r="E4024" s="9" t="str">
        <f>_xlfn.TEXTAFTER(Condiciones_acumuladas[[#This Row],[Descripción]], " ", -2)</f>
        <v>Abraham Quiej</v>
      </c>
      <c r="F4024" s="21" t="s">
        <v>2559</v>
      </c>
      <c r="G4024" s="23">
        <v>46246</v>
      </c>
    </row>
    <row r="4025" spans="1:7" ht="24.5" hidden="1" x14ac:dyDescent="0.35">
      <c r="A4025" s="8">
        <v>12777</v>
      </c>
      <c r="B4025" s="10" t="s">
        <v>6580</v>
      </c>
      <c r="C4025" s="10" t="s">
        <v>196</v>
      </c>
      <c r="D4025" s="9" t="s">
        <v>95</v>
      </c>
      <c r="E4025" s="9" t="str">
        <f>_xlfn.TEXTAFTER(Condiciones_acumuladas[[#This Row],[Descripción]], " ", -2)</f>
        <v>Alejandro Martínez</v>
      </c>
      <c r="F4025" s="21" t="s">
        <v>2522</v>
      </c>
      <c r="G4025" s="23">
        <v>46233</v>
      </c>
    </row>
    <row r="4026" spans="1:7" ht="24.5" hidden="1" x14ac:dyDescent="0.35">
      <c r="A4026" s="8">
        <v>12587</v>
      </c>
      <c r="B4026" s="10" t="s">
        <v>6581</v>
      </c>
      <c r="C4026" s="10" t="s">
        <v>134</v>
      </c>
      <c r="D4026" s="9" t="s">
        <v>134</v>
      </c>
      <c r="E4026" s="9" t="str">
        <f>_xlfn.TEXTAFTER(Condiciones_acumuladas[[#This Row],[Descripción]], " ", -2)</f>
        <v>Alfonso Guatzin</v>
      </c>
      <c r="F4026" s="21" t="s">
        <v>2522</v>
      </c>
      <c r="G4026" s="23">
        <v>46209</v>
      </c>
    </row>
    <row r="4027" spans="1:7" ht="24.5" hidden="1" x14ac:dyDescent="0.35">
      <c r="A4027" s="8">
        <v>12609</v>
      </c>
      <c r="B4027" s="10" t="s">
        <v>6582</v>
      </c>
      <c r="C4027" s="10" t="s">
        <v>134</v>
      </c>
      <c r="D4027" s="9" t="s">
        <v>134</v>
      </c>
      <c r="E4027" s="9" t="str">
        <f>_xlfn.TEXTAFTER(Condiciones_acumuladas[[#This Row],[Descripción]], " ", -2)</f>
        <v>Alfonso Guatzin</v>
      </c>
      <c r="F4027" s="21" t="s">
        <v>2522</v>
      </c>
      <c r="G4027" s="23">
        <v>46216</v>
      </c>
    </row>
    <row r="4028" spans="1:7" ht="24.5" hidden="1" x14ac:dyDescent="0.35">
      <c r="A4028" s="8">
        <v>12651</v>
      </c>
      <c r="B4028" s="10" t="s">
        <v>6583</v>
      </c>
      <c r="C4028" s="10" t="s">
        <v>196</v>
      </c>
      <c r="D4028" s="9" t="s">
        <v>104</v>
      </c>
      <c r="E4028" s="9" t="str">
        <f>_xlfn.TEXTAFTER(Condiciones_acumuladas[[#This Row],[Descripción]], " ", -2)</f>
        <v>Alfonso Guatzin</v>
      </c>
      <c r="F4028" s="21" t="s">
        <v>2537</v>
      </c>
      <c r="G4028" s="23">
        <v>46220</v>
      </c>
    </row>
    <row r="4029" spans="1:7" ht="24.5" hidden="1" x14ac:dyDescent="0.35">
      <c r="A4029" s="8">
        <v>12744</v>
      </c>
      <c r="B4029" s="10" t="s">
        <v>6584</v>
      </c>
      <c r="C4029" s="10" t="s">
        <v>104</v>
      </c>
      <c r="D4029" s="9" t="s">
        <v>134</v>
      </c>
      <c r="E4029" s="9" t="str">
        <f>_xlfn.TEXTAFTER(Condiciones_acumuladas[[#This Row],[Descripción]], " ", -2)</f>
        <v>Alfonso Guatzin</v>
      </c>
      <c r="F4029" s="21" t="s">
        <v>2522</v>
      </c>
      <c r="G4029" s="23">
        <v>46231</v>
      </c>
    </row>
    <row r="4030" spans="1:7" ht="36.5" hidden="1" x14ac:dyDescent="0.35">
      <c r="A4030" s="8">
        <v>12550</v>
      </c>
      <c r="B4030" s="10" t="s">
        <v>6585</v>
      </c>
      <c r="C4030" s="10" t="s">
        <v>13</v>
      </c>
      <c r="D4030" s="9" t="s">
        <v>13</v>
      </c>
      <c r="E4030" s="9" t="str">
        <f>_xlfn.TEXTAFTER(Condiciones_acumuladas[[#This Row],[Descripción]], " ", -2)</f>
        <v>Amilcar Ralda</v>
      </c>
      <c r="F4030" s="21" t="s">
        <v>2572</v>
      </c>
      <c r="G4030" s="23">
        <v>46211</v>
      </c>
    </row>
    <row r="4031" spans="1:7" ht="24.5" hidden="1" x14ac:dyDescent="0.35">
      <c r="A4031" s="8">
        <v>12548</v>
      </c>
      <c r="B4031" s="10" t="s">
        <v>6586</v>
      </c>
      <c r="C4031" s="10" t="s">
        <v>13</v>
      </c>
      <c r="D4031" s="9" t="s">
        <v>13</v>
      </c>
      <c r="E4031" s="9" t="str">
        <f>_xlfn.TEXTAFTER(Condiciones_acumuladas[[#This Row],[Descripción]], " ", -2)</f>
        <v>Amilcar Ralda</v>
      </c>
      <c r="F4031" s="21" t="s">
        <v>2522</v>
      </c>
      <c r="G4031" s="23">
        <v>46211</v>
      </c>
    </row>
    <row r="4032" spans="1:7" ht="24.5" hidden="1" x14ac:dyDescent="0.35">
      <c r="A4032" s="8">
        <v>12544</v>
      </c>
      <c r="B4032" s="10" t="s">
        <v>6587</v>
      </c>
      <c r="C4032" s="10" t="s">
        <v>21</v>
      </c>
      <c r="D4032" s="9" t="s">
        <v>21</v>
      </c>
      <c r="E4032" s="9" t="str">
        <f>_xlfn.TEXTAFTER(Condiciones_acumuladas[[#This Row],[Descripción]], " ", -2)</f>
        <v>Amilcar Ralda</v>
      </c>
      <c r="F4032" s="21" t="s">
        <v>2540</v>
      </c>
      <c r="G4032" s="23">
        <v>46210</v>
      </c>
    </row>
    <row r="4033" spans="1:7" ht="24.5" hidden="1" x14ac:dyDescent="0.35">
      <c r="A4033" s="8">
        <v>12590</v>
      </c>
      <c r="B4033" s="10" t="s">
        <v>6588</v>
      </c>
      <c r="C4033" s="10" t="s">
        <v>190</v>
      </c>
      <c r="D4033" s="9" t="s">
        <v>13</v>
      </c>
      <c r="E4033" s="9" t="str">
        <f>_xlfn.TEXTAFTER(Condiciones_acumuladas[[#This Row],[Descripción]], " ", -2)</f>
        <v>Amilcar Ralda</v>
      </c>
      <c r="F4033" s="21" t="s">
        <v>2540</v>
      </c>
      <c r="G4033" s="23">
        <v>46213</v>
      </c>
    </row>
    <row r="4034" spans="1:7" ht="24.5" hidden="1" x14ac:dyDescent="0.35">
      <c r="A4034" s="8">
        <v>12648</v>
      </c>
      <c r="B4034" s="10" t="s">
        <v>6589</v>
      </c>
      <c r="C4034" s="10" t="s">
        <v>96</v>
      </c>
      <c r="D4034" s="9" t="s">
        <v>21</v>
      </c>
      <c r="E4034" s="9" t="str">
        <f>_xlfn.TEXTAFTER(Condiciones_acumuladas[[#This Row],[Descripción]], " ", -2)</f>
        <v>Amilcar Ralda</v>
      </c>
      <c r="F4034" s="21" t="s">
        <v>2522</v>
      </c>
      <c r="G4034" s="23">
        <v>46220</v>
      </c>
    </row>
    <row r="4035" spans="1:7" ht="24.5" hidden="1" x14ac:dyDescent="0.35">
      <c r="A4035" s="8">
        <v>12635</v>
      </c>
      <c r="B4035" s="10" t="s">
        <v>6590</v>
      </c>
      <c r="C4035" s="10" t="s">
        <v>13</v>
      </c>
      <c r="D4035" s="9" t="s">
        <v>13</v>
      </c>
      <c r="E4035" s="9" t="str">
        <f>_xlfn.TEXTAFTER(Condiciones_acumuladas[[#This Row],[Descripción]], " ", -2)</f>
        <v>Amilcar Ralda</v>
      </c>
      <c r="F4035" s="21" t="s">
        <v>2540</v>
      </c>
      <c r="G4035" s="23">
        <v>46219</v>
      </c>
    </row>
    <row r="4036" spans="1:7" ht="24.5" hidden="1" x14ac:dyDescent="0.35">
      <c r="A4036" s="8">
        <v>12737</v>
      </c>
      <c r="B4036" s="10" t="s">
        <v>6591</v>
      </c>
      <c r="C4036" s="10" t="s">
        <v>21</v>
      </c>
      <c r="D4036" s="9" t="s">
        <v>21</v>
      </c>
      <c r="E4036" s="9" t="str">
        <f>_xlfn.TEXTAFTER(Condiciones_acumuladas[[#This Row],[Descripción]], " ", -2)</f>
        <v>Amilcar Ralda</v>
      </c>
      <c r="F4036" s="21" t="s">
        <v>2522</v>
      </c>
      <c r="G4036" s="23">
        <v>46231</v>
      </c>
    </row>
    <row r="4037" spans="1:7" ht="36.5" hidden="1" x14ac:dyDescent="0.35">
      <c r="A4037" s="8">
        <v>12738</v>
      </c>
      <c r="B4037" s="10" t="s">
        <v>6592</v>
      </c>
      <c r="C4037" s="10" t="s">
        <v>21</v>
      </c>
      <c r="D4037" s="9" t="s">
        <v>21</v>
      </c>
      <c r="E4037" s="9" t="str">
        <f>_xlfn.TEXTAFTER(Condiciones_acumuladas[[#This Row],[Descripción]], " ", -2)</f>
        <v>Amilcar Ralda</v>
      </c>
      <c r="F4037" s="21" t="s">
        <v>2522</v>
      </c>
      <c r="G4037" s="23">
        <v>46231</v>
      </c>
    </row>
    <row r="4038" spans="1:7" ht="36.5" hidden="1" x14ac:dyDescent="0.35">
      <c r="A4038" s="8">
        <v>12739</v>
      </c>
      <c r="B4038" s="10" t="s">
        <v>6593</v>
      </c>
      <c r="C4038" s="10" t="s">
        <v>21</v>
      </c>
      <c r="D4038" s="9" t="s">
        <v>21</v>
      </c>
      <c r="E4038" s="9" t="str">
        <f>_xlfn.TEXTAFTER(Condiciones_acumuladas[[#This Row],[Descripción]], " ", -2)</f>
        <v>Amilcar Ralda</v>
      </c>
      <c r="F4038" s="21" t="s">
        <v>2522</v>
      </c>
      <c r="G4038" s="23">
        <v>46231</v>
      </c>
    </row>
    <row r="4039" spans="1:7" ht="24.5" hidden="1" x14ac:dyDescent="0.35">
      <c r="A4039" s="8">
        <v>12758</v>
      </c>
      <c r="B4039" s="10" t="s">
        <v>6594</v>
      </c>
      <c r="C4039" s="10" t="s">
        <v>13</v>
      </c>
      <c r="D4039" s="9" t="s">
        <v>13</v>
      </c>
      <c r="E4039" s="9" t="str">
        <f>_xlfn.TEXTAFTER(Condiciones_acumuladas[[#This Row],[Descripción]], " ", -2)</f>
        <v>Amilcar Ralda</v>
      </c>
      <c r="F4039" s="21" t="s">
        <v>2540</v>
      </c>
      <c r="G4039" s="23">
        <v>46233</v>
      </c>
    </row>
    <row r="4040" spans="1:7" ht="24.5" hidden="1" x14ac:dyDescent="0.35">
      <c r="A4040" s="8">
        <v>12755</v>
      </c>
      <c r="B4040" s="10" t="s">
        <v>6595</v>
      </c>
      <c r="C4040" s="10" t="s">
        <v>13</v>
      </c>
      <c r="D4040" s="9" t="s">
        <v>13</v>
      </c>
      <c r="E4040" s="9" t="str">
        <f>_xlfn.TEXTAFTER(Condiciones_acumuladas[[#This Row],[Descripción]], " ", -2)</f>
        <v>Amilcar Ralda</v>
      </c>
      <c r="F4040" s="21" t="s">
        <v>2540</v>
      </c>
      <c r="G4040" s="23">
        <v>46231</v>
      </c>
    </row>
    <row r="4041" spans="1:7" ht="48.5" hidden="1" x14ac:dyDescent="0.35">
      <c r="A4041" s="8">
        <v>12509</v>
      </c>
      <c r="B4041" s="10" t="s">
        <v>6596</v>
      </c>
      <c r="C4041" s="10" t="s">
        <v>96</v>
      </c>
      <c r="D4041" s="9" t="s">
        <v>95</v>
      </c>
      <c r="E4041" s="9" t="str">
        <f>_xlfn.TEXTAFTER(Condiciones_acumuladas[[#This Row],[Descripción]], " ", -2)</f>
        <v>Andrea González</v>
      </c>
      <c r="F4041" s="21" t="s">
        <v>2559</v>
      </c>
      <c r="G4041" s="23">
        <v>46206</v>
      </c>
    </row>
    <row r="4042" spans="1:7" ht="24.5" hidden="1" x14ac:dyDescent="0.35">
      <c r="A4042" s="8">
        <v>12530</v>
      </c>
      <c r="B4042" s="10" t="s">
        <v>6597</v>
      </c>
      <c r="C4042" s="10" t="s">
        <v>96</v>
      </c>
      <c r="D4042" s="9" t="s">
        <v>95</v>
      </c>
      <c r="E4042" s="9" t="str">
        <f>_xlfn.TEXTAFTER(Condiciones_acumuladas[[#This Row],[Descripción]], " ", -2)</f>
        <v>Andrea González</v>
      </c>
      <c r="F4042" s="21" t="s">
        <v>2540</v>
      </c>
      <c r="G4042" s="23">
        <v>46211</v>
      </c>
    </row>
    <row r="4043" spans="1:7" ht="24.5" hidden="1" x14ac:dyDescent="0.35">
      <c r="A4043" s="8">
        <v>12539</v>
      </c>
      <c r="B4043" s="10" t="s">
        <v>6598</v>
      </c>
      <c r="C4043" s="10" t="s">
        <v>96</v>
      </c>
      <c r="D4043" s="9" t="s">
        <v>395</v>
      </c>
      <c r="E4043" s="9" t="str">
        <f>_xlfn.TEXTAFTER(Condiciones_acumuladas[[#This Row],[Descripción]], " ", -2)</f>
        <v>Antony Ramos</v>
      </c>
      <c r="F4043" s="21" t="s">
        <v>2834</v>
      </c>
      <c r="G4043" s="23">
        <v>46209</v>
      </c>
    </row>
    <row r="4044" spans="1:7" ht="24.5" hidden="1" x14ac:dyDescent="0.35">
      <c r="A4044" s="8">
        <v>12538</v>
      </c>
      <c r="B4044" s="10" t="s">
        <v>6599</v>
      </c>
      <c r="C4044" s="10" t="s">
        <v>96</v>
      </c>
      <c r="D4044" s="9" t="s">
        <v>395</v>
      </c>
      <c r="E4044" s="9" t="str">
        <f>_xlfn.TEXTAFTER(Condiciones_acumuladas[[#This Row],[Descripción]], " ", -2)</f>
        <v>Antony Ramos</v>
      </c>
      <c r="F4044" s="21" t="s">
        <v>2834</v>
      </c>
      <c r="G4044" s="23">
        <v>46209</v>
      </c>
    </row>
    <row r="4045" spans="1:7" ht="24.5" hidden="1" x14ac:dyDescent="0.35">
      <c r="A4045" s="8">
        <v>12537</v>
      </c>
      <c r="B4045" s="10" t="s">
        <v>6600</v>
      </c>
      <c r="C4045" s="10" t="s">
        <v>278</v>
      </c>
      <c r="D4045" s="9" t="s">
        <v>395</v>
      </c>
      <c r="E4045" s="9" t="str">
        <f>_xlfn.TEXTAFTER(Condiciones_acumuladas[[#This Row],[Descripción]], " ", -2)</f>
        <v>Antony Ramos</v>
      </c>
      <c r="F4045" s="21" t="s">
        <v>2834</v>
      </c>
      <c r="G4045" s="23">
        <v>46209</v>
      </c>
    </row>
    <row r="4046" spans="1:7" ht="36.5" hidden="1" x14ac:dyDescent="0.35">
      <c r="A4046" s="8">
        <v>12534</v>
      </c>
      <c r="B4046" s="10" t="s">
        <v>6601</v>
      </c>
      <c r="C4046" s="10" t="s">
        <v>134</v>
      </c>
      <c r="D4046" s="9" t="s">
        <v>395</v>
      </c>
      <c r="E4046" s="9" t="str">
        <f>_xlfn.TEXTAFTER(Condiciones_acumuladas[[#This Row],[Descripción]], " ", -2)</f>
        <v>Antony Ramos</v>
      </c>
      <c r="F4046" s="21" t="s">
        <v>2516</v>
      </c>
      <c r="G4046" s="23">
        <v>46206</v>
      </c>
    </row>
    <row r="4047" spans="1:7" ht="24.5" hidden="1" x14ac:dyDescent="0.35">
      <c r="A4047" s="8">
        <v>12623</v>
      </c>
      <c r="B4047" s="10" t="s">
        <v>6602</v>
      </c>
      <c r="C4047" s="10" t="s">
        <v>234</v>
      </c>
      <c r="D4047" s="9" t="s">
        <v>395</v>
      </c>
      <c r="E4047" s="9" t="str">
        <f>_xlfn.TEXTAFTER(Condiciones_acumuladas[[#This Row],[Descripción]], " ", -2)</f>
        <v>Antony Ramos</v>
      </c>
      <c r="F4047" s="21" t="s">
        <v>2522</v>
      </c>
      <c r="G4047" s="23">
        <v>46218</v>
      </c>
    </row>
    <row r="4048" spans="1:7" ht="24.5" hidden="1" x14ac:dyDescent="0.35">
      <c r="A4048" s="8">
        <v>12624</v>
      </c>
      <c r="B4048" s="10" t="s">
        <v>6603</v>
      </c>
      <c r="C4048" s="10" t="s">
        <v>234</v>
      </c>
      <c r="D4048" s="9" t="s">
        <v>395</v>
      </c>
      <c r="E4048" s="9" t="str">
        <f>_xlfn.TEXTAFTER(Condiciones_acumuladas[[#This Row],[Descripción]], " ", -2)</f>
        <v>Antony Ramos</v>
      </c>
      <c r="F4048" s="21" t="s">
        <v>2522</v>
      </c>
      <c r="G4048" s="23">
        <v>46218</v>
      </c>
    </row>
    <row r="4049" spans="1:7" ht="36.5" hidden="1" x14ac:dyDescent="0.35">
      <c r="A4049" s="8">
        <v>12626</v>
      </c>
      <c r="B4049" s="10" t="s">
        <v>6604</v>
      </c>
      <c r="C4049" s="10" t="s">
        <v>26</v>
      </c>
      <c r="D4049" s="9" t="s">
        <v>395</v>
      </c>
      <c r="E4049" s="9" t="str">
        <f>_xlfn.TEXTAFTER(Condiciones_acumuladas[[#This Row],[Descripción]], " ", -2)</f>
        <v>Antony Ramos</v>
      </c>
      <c r="F4049" s="21" t="s">
        <v>2530</v>
      </c>
      <c r="G4049" s="23">
        <v>46218</v>
      </c>
    </row>
    <row r="4050" spans="1:7" ht="36.5" hidden="1" x14ac:dyDescent="0.35">
      <c r="A4050" s="8">
        <v>12625</v>
      </c>
      <c r="B4050" s="10" t="s">
        <v>6605</v>
      </c>
      <c r="C4050" s="10" t="s">
        <v>134</v>
      </c>
      <c r="D4050" s="9" t="s">
        <v>395</v>
      </c>
      <c r="E4050" s="9" t="str">
        <f>_xlfn.TEXTAFTER(Condiciones_acumuladas[[#This Row],[Descripción]], " ", -2)</f>
        <v>Antony Ramos</v>
      </c>
      <c r="F4050" s="21" t="s">
        <v>2715</v>
      </c>
      <c r="G4050" s="23">
        <v>46218</v>
      </c>
    </row>
    <row r="4051" spans="1:7" ht="36.5" hidden="1" x14ac:dyDescent="0.35">
      <c r="A4051" s="8">
        <v>12618</v>
      </c>
      <c r="B4051" s="10" t="s">
        <v>6606</v>
      </c>
      <c r="C4051" s="10" t="s">
        <v>96</v>
      </c>
      <c r="D4051" s="9" t="s">
        <v>395</v>
      </c>
      <c r="E4051" s="9" t="str">
        <f>_xlfn.TEXTAFTER(Condiciones_acumuladas[[#This Row],[Descripción]], " ", -2)</f>
        <v>Antony Ramos</v>
      </c>
      <c r="F4051" s="21" t="s">
        <v>2530</v>
      </c>
      <c r="G4051" s="23">
        <v>46216</v>
      </c>
    </row>
    <row r="4052" spans="1:7" ht="48.5" hidden="1" x14ac:dyDescent="0.35">
      <c r="A4052" s="8">
        <v>12617</v>
      </c>
      <c r="B4052" s="10" t="s">
        <v>6607</v>
      </c>
      <c r="C4052" s="10" t="s">
        <v>196</v>
      </c>
      <c r="D4052" s="9" t="s">
        <v>395</v>
      </c>
      <c r="E4052" s="9" t="str">
        <f>_xlfn.TEXTAFTER(Condiciones_acumuladas[[#This Row],[Descripción]], " ", -2)</f>
        <v>Antony Ramos</v>
      </c>
      <c r="F4052" s="21" t="s">
        <v>2559</v>
      </c>
      <c r="G4052" s="23">
        <v>46216</v>
      </c>
    </row>
    <row r="4053" spans="1:7" ht="36.5" hidden="1" x14ac:dyDescent="0.35">
      <c r="A4053" s="8">
        <v>12616</v>
      </c>
      <c r="B4053" s="10" t="s">
        <v>6608</v>
      </c>
      <c r="C4053" s="10" t="s">
        <v>21</v>
      </c>
      <c r="D4053" s="9" t="s">
        <v>395</v>
      </c>
      <c r="E4053" s="9" t="str">
        <f>_xlfn.TEXTAFTER(Condiciones_acumuladas[[#This Row],[Descripción]], " ", -2)</f>
        <v>Antony Ramos</v>
      </c>
      <c r="F4053" s="21" t="s">
        <v>2572</v>
      </c>
      <c r="G4053" s="23">
        <v>46216</v>
      </c>
    </row>
    <row r="4054" spans="1:7" ht="24.5" hidden="1" x14ac:dyDescent="0.35">
      <c r="A4054" s="8">
        <v>12615</v>
      </c>
      <c r="B4054" s="10" t="s">
        <v>6609</v>
      </c>
      <c r="C4054" s="10" t="s">
        <v>21</v>
      </c>
      <c r="D4054" s="9" t="s">
        <v>395</v>
      </c>
      <c r="E4054" s="9" t="str">
        <f>_xlfn.TEXTAFTER(Condiciones_acumuladas[[#This Row],[Descripción]], " ", -2)</f>
        <v>Antony Ramos</v>
      </c>
      <c r="F4054" s="21" t="s">
        <v>2540</v>
      </c>
      <c r="G4054" s="23">
        <v>46216</v>
      </c>
    </row>
    <row r="4055" spans="1:7" ht="36.5" hidden="1" x14ac:dyDescent="0.35">
      <c r="A4055" s="8">
        <v>12701</v>
      </c>
      <c r="B4055" s="10" t="s">
        <v>6610</v>
      </c>
      <c r="C4055" s="10" t="s">
        <v>26</v>
      </c>
      <c r="D4055" s="9" t="s">
        <v>395</v>
      </c>
      <c r="E4055" s="9" t="str">
        <f>_xlfn.TEXTAFTER(Condiciones_acumuladas[[#This Row],[Descripción]], " ", -2)</f>
        <v>Antony Ramos</v>
      </c>
      <c r="F4055" s="21" t="s">
        <v>2540</v>
      </c>
      <c r="G4055" s="23">
        <v>46225</v>
      </c>
    </row>
    <row r="4056" spans="1:7" ht="36.5" hidden="1" x14ac:dyDescent="0.35">
      <c r="A4056" s="8">
        <v>12683</v>
      </c>
      <c r="B4056" s="10" t="s">
        <v>6611</v>
      </c>
      <c r="C4056" s="10" t="s">
        <v>395</v>
      </c>
      <c r="D4056" s="9" t="s">
        <v>395</v>
      </c>
      <c r="E4056" s="9" t="str">
        <f>_xlfn.TEXTAFTER(Condiciones_acumuladas[[#This Row],[Descripción]], " ", -2)</f>
        <v>Antony Ramos</v>
      </c>
      <c r="F4056" s="21" t="s">
        <v>2525</v>
      </c>
      <c r="G4056" s="23">
        <v>46224</v>
      </c>
    </row>
    <row r="4057" spans="1:7" ht="24.5" hidden="1" x14ac:dyDescent="0.35">
      <c r="A4057" s="8">
        <v>12679</v>
      </c>
      <c r="B4057" s="10" t="s">
        <v>6612</v>
      </c>
      <c r="C4057" s="10" t="s">
        <v>104</v>
      </c>
      <c r="D4057" s="9" t="s">
        <v>395</v>
      </c>
      <c r="E4057" s="9" t="str">
        <f>_xlfn.TEXTAFTER(Condiciones_acumuladas[[#This Row],[Descripción]], " ", -2)</f>
        <v>Antony Ramos</v>
      </c>
      <c r="F4057" s="21" t="s">
        <v>2522</v>
      </c>
      <c r="G4057" s="23">
        <v>46224</v>
      </c>
    </row>
    <row r="4058" spans="1:7" ht="48.5" hidden="1" x14ac:dyDescent="0.35">
      <c r="A4058" s="8">
        <v>12660</v>
      </c>
      <c r="B4058" s="10" t="s">
        <v>6613</v>
      </c>
      <c r="C4058" s="10" t="s">
        <v>104</v>
      </c>
      <c r="D4058" s="9" t="s">
        <v>395</v>
      </c>
      <c r="E4058" s="9" t="str">
        <f>_xlfn.TEXTAFTER(Condiciones_acumuladas[[#This Row],[Descripción]], " ", -2)</f>
        <v>Antony Ramos</v>
      </c>
      <c r="F4058" s="21" t="s">
        <v>2715</v>
      </c>
      <c r="G4058" s="23">
        <v>46224</v>
      </c>
    </row>
    <row r="4059" spans="1:7" ht="36.5" hidden="1" x14ac:dyDescent="0.35">
      <c r="A4059" s="8">
        <v>12678</v>
      </c>
      <c r="B4059" s="10" t="s">
        <v>6614</v>
      </c>
      <c r="C4059" s="10" t="s">
        <v>21</v>
      </c>
      <c r="D4059" s="9" t="s">
        <v>395</v>
      </c>
      <c r="E4059" s="9" t="str">
        <f>_xlfn.TEXTAFTER(Condiciones_acumuladas[[#This Row],[Descripción]], " ", -2)</f>
        <v>Antony Ramos</v>
      </c>
      <c r="F4059" s="21" t="s">
        <v>2715</v>
      </c>
      <c r="G4059" s="23">
        <v>46224</v>
      </c>
    </row>
    <row r="4060" spans="1:7" ht="36.5" hidden="1" x14ac:dyDescent="0.35">
      <c r="A4060" s="8">
        <v>12782</v>
      </c>
      <c r="B4060" s="10" t="s">
        <v>6615</v>
      </c>
      <c r="C4060" s="10" t="s">
        <v>96</v>
      </c>
      <c r="D4060" s="9" t="s">
        <v>395</v>
      </c>
      <c r="E4060" s="9" t="str">
        <f>_xlfn.TEXTAFTER(Condiciones_acumuladas[[#This Row],[Descripción]], " ", -2)</f>
        <v>Antony Ramos</v>
      </c>
      <c r="F4060" s="21" t="s">
        <v>2572</v>
      </c>
      <c r="G4060" s="23">
        <v>46233</v>
      </c>
    </row>
    <row r="4061" spans="1:7" ht="24.5" hidden="1" x14ac:dyDescent="0.35">
      <c r="A4061" s="8">
        <v>12781</v>
      </c>
      <c r="B4061" s="10" t="s">
        <v>6616</v>
      </c>
      <c r="C4061" s="10" t="s">
        <v>96</v>
      </c>
      <c r="D4061" s="9" t="s">
        <v>395</v>
      </c>
      <c r="E4061" s="9" t="str">
        <f>_xlfn.TEXTAFTER(Condiciones_acumuladas[[#This Row],[Descripción]], " ", -2)</f>
        <v>Antony Ramos</v>
      </c>
      <c r="F4061" s="21" t="s">
        <v>2834</v>
      </c>
      <c r="G4061" s="23">
        <v>46233</v>
      </c>
    </row>
    <row r="4062" spans="1:7" ht="24.5" hidden="1" x14ac:dyDescent="0.35">
      <c r="A4062" s="8">
        <v>12763</v>
      </c>
      <c r="B4062" s="10" t="s">
        <v>6617</v>
      </c>
      <c r="C4062" s="10" t="s">
        <v>34</v>
      </c>
      <c r="D4062" s="9" t="s">
        <v>395</v>
      </c>
      <c r="E4062" s="9" t="str">
        <f>_xlfn.TEXTAFTER(Condiciones_acumuladas[[#This Row],[Descripción]], " ", -2)</f>
        <v>Antony Ramos</v>
      </c>
      <c r="F4062" s="21" t="s">
        <v>2540</v>
      </c>
      <c r="G4062" s="23">
        <v>46233</v>
      </c>
    </row>
    <row r="4063" spans="1:7" ht="24.5" hidden="1" x14ac:dyDescent="0.35">
      <c r="A4063" s="8">
        <v>12759</v>
      </c>
      <c r="B4063" s="10" t="s">
        <v>6618</v>
      </c>
      <c r="C4063" s="10" t="s">
        <v>34</v>
      </c>
      <c r="D4063" s="9" t="s">
        <v>395</v>
      </c>
      <c r="E4063" s="9" t="str">
        <f>_xlfn.TEXTAFTER(Condiciones_acumuladas[[#This Row],[Descripción]], " ", -2)</f>
        <v>Antony Ramos</v>
      </c>
      <c r="F4063" s="21" t="s">
        <v>2540</v>
      </c>
      <c r="G4063" s="23">
        <v>46233</v>
      </c>
    </row>
    <row r="4064" spans="1:7" ht="36.5" hidden="1" x14ac:dyDescent="0.35">
      <c r="A4064" s="8">
        <v>12735</v>
      </c>
      <c r="B4064" s="10" t="s">
        <v>6619</v>
      </c>
      <c r="C4064" s="10" t="s">
        <v>134</v>
      </c>
      <c r="D4064" s="9" t="s">
        <v>95</v>
      </c>
      <c r="E4064" s="9" t="str">
        <f>_xlfn.TEXTAFTER(Condiciones_acumuladas[[#This Row],[Descripción]], " ", -2)</f>
        <v>Benedicto Barrios</v>
      </c>
      <c r="F4064" s="21" t="s">
        <v>2516</v>
      </c>
      <c r="G4064" s="23">
        <v>46230</v>
      </c>
    </row>
    <row r="4065" spans="1:7" ht="24.5" hidden="1" x14ac:dyDescent="0.35">
      <c r="A4065" s="8">
        <v>12600</v>
      </c>
      <c r="B4065" s="10" t="s">
        <v>6620</v>
      </c>
      <c r="C4065" s="10" t="s">
        <v>26</v>
      </c>
      <c r="D4065" s="9" t="s">
        <v>395</v>
      </c>
      <c r="E4065" s="9" t="str">
        <f>_xlfn.TEXTAFTER(Condiciones_acumuladas[[#This Row],[Descripción]], " ", -2)</f>
        <v>Bryan Barahona</v>
      </c>
      <c r="F4065" s="21" t="s">
        <v>2540</v>
      </c>
      <c r="G4065" s="23">
        <v>46215</v>
      </c>
    </row>
    <row r="4066" spans="1:7" ht="24.5" hidden="1" x14ac:dyDescent="0.35">
      <c r="A4066" s="8">
        <v>12599</v>
      </c>
      <c r="B4066" s="10" t="s">
        <v>6621</v>
      </c>
      <c r="C4066" s="10" t="s">
        <v>96</v>
      </c>
      <c r="D4066" s="9" t="s">
        <v>395</v>
      </c>
      <c r="E4066" s="9" t="str">
        <f>_xlfn.TEXTAFTER(Condiciones_acumuladas[[#This Row],[Descripción]], " ", -2)</f>
        <v>Bryan Barahona</v>
      </c>
      <c r="F4066" s="21" t="s">
        <v>2834</v>
      </c>
      <c r="G4066" s="23">
        <v>46215</v>
      </c>
    </row>
    <row r="4067" spans="1:7" ht="24.5" hidden="1" x14ac:dyDescent="0.35">
      <c r="A4067" s="8">
        <v>12598</v>
      </c>
      <c r="B4067" s="10" t="s">
        <v>6622</v>
      </c>
      <c r="C4067" s="10" t="s">
        <v>96</v>
      </c>
      <c r="D4067" s="9" t="s">
        <v>395</v>
      </c>
      <c r="E4067" s="9" t="str">
        <f>_xlfn.TEXTAFTER(Condiciones_acumuladas[[#This Row],[Descripción]], " ", -2)</f>
        <v>Bryan Barahona</v>
      </c>
      <c r="F4067" s="21" t="s">
        <v>2522</v>
      </c>
      <c r="G4067" s="23">
        <v>46215</v>
      </c>
    </row>
    <row r="4068" spans="1:7" ht="24.5" hidden="1" x14ac:dyDescent="0.35">
      <c r="A4068" s="8">
        <v>12596</v>
      </c>
      <c r="B4068" s="10" t="s">
        <v>6623</v>
      </c>
      <c r="C4068" s="10" t="s">
        <v>250</v>
      </c>
      <c r="D4068" s="9" t="s">
        <v>395</v>
      </c>
      <c r="E4068" s="9" t="str">
        <f>_xlfn.TEXTAFTER(Condiciones_acumuladas[[#This Row],[Descripción]], " ", -2)</f>
        <v>Bryan Barahona</v>
      </c>
      <c r="F4068" s="21" t="s">
        <v>2540</v>
      </c>
      <c r="G4068" s="23">
        <v>46213</v>
      </c>
    </row>
    <row r="4069" spans="1:7" ht="24.5" hidden="1" x14ac:dyDescent="0.35">
      <c r="A4069" s="8">
        <v>12595</v>
      </c>
      <c r="B4069" s="10" t="s">
        <v>6624</v>
      </c>
      <c r="C4069" s="10" t="s">
        <v>96</v>
      </c>
      <c r="D4069" s="9" t="s">
        <v>395</v>
      </c>
      <c r="E4069" s="9" t="str">
        <f>_xlfn.TEXTAFTER(Condiciones_acumuladas[[#This Row],[Descripción]], " ", -2)</f>
        <v>Bryan Barahona</v>
      </c>
      <c r="F4069" s="21" t="s">
        <v>2834</v>
      </c>
      <c r="G4069" s="23">
        <v>46213</v>
      </c>
    </row>
    <row r="4070" spans="1:7" ht="48.5" hidden="1" x14ac:dyDescent="0.35">
      <c r="A4070" s="8">
        <v>12594</v>
      </c>
      <c r="B4070" s="10" t="s">
        <v>6625</v>
      </c>
      <c r="C4070" s="10" t="s">
        <v>96</v>
      </c>
      <c r="D4070" s="9" t="s">
        <v>395</v>
      </c>
      <c r="E4070" s="9" t="str">
        <f>_xlfn.TEXTAFTER(Condiciones_acumuladas[[#This Row],[Descripción]], " ", -2)</f>
        <v>Bryan Barahona</v>
      </c>
      <c r="F4070" s="21" t="s">
        <v>2559</v>
      </c>
      <c r="G4070" s="23">
        <v>46213</v>
      </c>
    </row>
    <row r="4071" spans="1:7" ht="24.5" hidden="1" x14ac:dyDescent="0.35">
      <c r="A4071" s="8">
        <v>12644</v>
      </c>
      <c r="B4071" s="10" t="s">
        <v>6626</v>
      </c>
      <c r="C4071" s="10" t="s">
        <v>96</v>
      </c>
      <c r="D4071" s="9" t="s">
        <v>395</v>
      </c>
      <c r="E4071" s="9" t="str">
        <f>_xlfn.TEXTAFTER(Condiciones_acumuladas[[#This Row],[Descripción]], " ", -2)</f>
        <v>Bryan Barahona</v>
      </c>
      <c r="F4071" s="21" t="s">
        <v>2834</v>
      </c>
      <c r="G4071" s="23">
        <v>46219</v>
      </c>
    </row>
    <row r="4072" spans="1:7" ht="24.5" hidden="1" x14ac:dyDescent="0.35">
      <c r="A4072" s="8">
        <v>12634</v>
      </c>
      <c r="B4072" s="10" t="s">
        <v>6627</v>
      </c>
      <c r="C4072" s="10" t="s">
        <v>21</v>
      </c>
      <c r="D4072" s="9" t="s">
        <v>395</v>
      </c>
      <c r="E4072" s="9" t="str">
        <f>_xlfn.TEXTAFTER(Condiciones_acumuladas[[#This Row],[Descripción]], " ", -2)</f>
        <v>Bryan Barahona</v>
      </c>
      <c r="F4072" s="21" t="s">
        <v>2540</v>
      </c>
      <c r="G4072" s="23">
        <v>46219</v>
      </c>
    </row>
    <row r="4073" spans="1:7" ht="24.5" hidden="1" x14ac:dyDescent="0.35">
      <c r="A4073" s="8">
        <v>12633</v>
      </c>
      <c r="B4073" s="10" t="s">
        <v>6628</v>
      </c>
      <c r="C4073" s="10" t="s">
        <v>96</v>
      </c>
      <c r="D4073" s="9" t="s">
        <v>395</v>
      </c>
      <c r="E4073" s="9" t="str">
        <f>_xlfn.TEXTAFTER(Condiciones_acumuladas[[#This Row],[Descripción]], " ", -2)</f>
        <v>Bryan Barahona</v>
      </c>
      <c r="F4073" s="21" t="s">
        <v>2537</v>
      </c>
      <c r="G4073" s="23">
        <v>46219</v>
      </c>
    </row>
    <row r="4074" spans="1:7" ht="24.5" hidden="1" x14ac:dyDescent="0.35">
      <c r="A4074" s="8">
        <v>12655</v>
      </c>
      <c r="B4074" s="10" t="s">
        <v>6629</v>
      </c>
      <c r="C4074" s="10" t="s">
        <v>134</v>
      </c>
      <c r="D4074" s="9" t="s">
        <v>395</v>
      </c>
      <c r="E4074" s="9" t="str">
        <f>_xlfn.TEXTAFTER(Condiciones_acumuladas[[#This Row],[Descripción]], " ", -2)</f>
        <v>Bryan Barahona</v>
      </c>
      <c r="F4074" s="21" t="s">
        <v>2522</v>
      </c>
      <c r="G4074" s="23">
        <v>46222</v>
      </c>
    </row>
    <row r="4075" spans="1:7" ht="36.5" hidden="1" x14ac:dyDescent="0.35">
      <c r="A4075" s="8">
        <v>12654</v>
      </c>
      <c r="B4075" s="10" t="s">
        <v>6630</v>
      </c>
      <c r="C4075" s="10" t="s">
        <v>234</v>
      </c>
      <c r="D4075" s="9" t="s">
        <v>395</v>
      </c>
      <c r="E4075" s="9" t="str">
        <f>_xlfn.TEXTAFTER(Condiciones_acumuladas[[#This Row],[Descripción]], " ", -2)</f>
        <v>Bryan Barahona</v>
      </c>
      <c r="F4075" s="21" t="s">
        <v>2516</v>
      </c>
      <c r="G4075" s="23">
        <v>46222</v>
      </c>
    </row>
    <row r="4076" spans="1:7" ht="24.5" hidden="1" x14ac:dyDescent="0.35">
      <c r="A4076" s="8">
        <v>12653</v>
      </c>
      <c r="B4076" s="10" t="s">
        <v>6631</v>
      </c>
      <c r="C4076" s="10" t="s">
        <v>96</v>
      </c>
      <c r="D4076" s="9" t="s">
        <v>395</v>
      </c>
      <c r="E4076" s="9" t="str">
        <f>_xlfn.TEXTAFTER(Condiciones_acumuladas[[#This Row],[Descripción]], " ", -2)</f>
        <v>Bryan Barahona</v>
      </c>
      <c r="F4076" s="21" t="s">
        <v>2522</v>
      </c>
      <c r="G4076" s="23">
        <v>46222</v>
      </c>
    </row>
    <row r="4077" spans="1:7" ht="36.5" hidden="1" x14ac:dyDescent="0.35">
      <c r="A4077" s="8">
        <v>12696</v>
      </c>
      <c r="B4077" s="10" t="s">
        <v>6632</v>
      </c>
      <c r="C4077" s="10" t="s">
        <v>250</v>
      </c>
      <c r="D4077" s="9" t="s">
        <v>395</v>
      </c>
      <c r="E4077" s="9" t="str">
        <f>_xlfn.TEXTAFTER(Condiciones_acumuladas[[#This Row],[Descripción]], " ", -2)</f>
        <v>Bryan Barahona</v>
      </c>
      <c r="F4077" s="21" t="s">
        <v>2540</v>
      </c>
      <c r="G4077" s="23">
        <v>46225</v>
      </c>
    </row>
    <row r="4078" spans="1:7" ht="24.5" hidden="1" x14ac:dyDescent="0.35">
      <c r="A4078" s="8">
        <v>12726</v>
      </c>
      <c r="B4078" s="10" t="s">
        <v>6633</v>
      </c>
      <c r="C4078" s="10" t="s">
        <v>134</v>
      </c>
      <c r="D4078" s="9" t="s">
        <v>395</v>
      </c>
      <c r="E4078" s="9" t="str">
        <f>_xlfn.TEXTAFTER(Condiciones_acumuladas[[#This Row],[Descripción]], " ", -2)</f>
        <v>Bryan Barahona</v>
      </c>
      <c r="F4078" s="21" t="s">
        <v>2834</v>
      </c>
      <c r="G4078" s="23">
        <v>46227</v>
      </c>
    </row>
    <row r="4079" spans="1:7" ht="24.5" hidden="1" x14ac:dyDescent="0.35">
      <c r="A4079" s="8">
        <v>12729</v>
      </c>
      <c r="B4079" s="10" t="s">
        <v>6634</v>
      </c>
      <c r="C4079" s="10" t="s">
        <v>26</v>
      </c>
      <c r="D4079" s="9" t="s">
        <v>395</v>
      </c>
      <c r="E4079" s="9" t="str">
        <f>_xlfn.TEXTAFTER(Condiciones_acumuladas[[#This Row],[Descripción]], " ", -2)</f>
        <v>Bryan Barahona</v>
      </c>
      <c r="F4079" s="21" t="s">
        <v>2834</v>
      </c>
      <c r="G4079" s="23">
        <v>46227</v>
      </c>
    </row>
    <row r="4080" spans="1:7" ht="36.5" hidden="1" x14ac:dyDescent="0.35">
      <c r="A4080" s="8">
        <v>12525</v>
      </c>
      <c r="B4080" s="10" t="s">
        <v>6635</v>
      </c>
      <c r="C4080" s="10" t="s">
        <v>395</v>
      </c>
      <c r="D4080" s="9" t="s">
        <v>234</v>
      </c>
      <c r="E4080" s="9" t="str">
        <f>_xlfn.TEXTAFTER(Condiciones_acumuladas[[#This Row],[Descripción]], " ", -2)</f>
        <v>Bryan Rodas</v>
      </c>
      <c r="F4080" s="21" t="s">
        <v>2525</v>
      </c>
      <c r="G4080" s="23">
        <v>46209</v>
      </c>
    </row>
    <row r="4081" spans="1:7" ht="36.5" hidden="1" x14ac:dyDescent="0.35">
      <c r="A4081" s="8">
        <v>12583</v>
      </c>
      <c r="B4081" s="10" t="s">
        <v>6636</v>
      </c>
      <c r="C4081" s="10" t="s">
        <v>34</v>
      </c>
      <c r="D4081" s="9" t="s">
        <v>234</v>
      </c>
      <c r="E4081" s="9" t="str">
        <f>_xlfn.TEXTAFTER(Condiciones_acumuladas[[#This Row],[Descripción]], " ", -2)</f>
        <v>Bryan Rodas</v>
      </c>
      <c r="F4081" s="21" t="s">
        <v>2525</v>
      </c>
      <c r="G4081" s="23">
        <v>46213</v>
      </c>
    </row>
    <row r="4082" spans="1:7" ht="36.5" hidden="1" x14ac:dyDescent="0.35">
      <c r="A4082" s="8">
        <v>12586</v>
      </c>
      <c r="B4082" s="10" t="s">
        <v>6637</v>
      </c>
      <c r="C4082" s="10" t="s">
        <v>395</v>
      </c>
      <c r="D4082" s="9" t="s">
        <v>234</v>
      </c>
      <c r="E4082" s="9" t="str">
        <f>_xlfn.TEXTAFTER(Condiciones_acumuladas[[#This Row],[Descripción]], " ", -2)</f>
        <v>Bryan Rodas</v>
      </c>
      <c r="F4082" s="21" t="s">
        <v>2715</v>
      </c>
      <c r="G4082" s="23">
        <v>46213</v>
      </c>
    </row>
    <row r="4083" spans="1:7" ht="24.5" hidden="1" x14ac:dyDescent="0.35">
      <c r="A4083" s="8">
        <v>12927</v>
      </c>
      <c r="B4083" s="10" t="s">
        <v>6638</v>
      </c>
      <c r="C4083" s="10" t="s">
        <v>96</v>
      </c>
      <c r="D4083" s="9" t="s">
        <v>395</v>
      </c>
      <c r="E4083" s="9" t="str">
        <f>_xlfn.TEXTAFTER(Condiciones_acumuladas[[#This Row],[Descripción]], " ", -2)</f>
        <v>Abraham Quiej</v>
      </c>
      <c r="F4083" s="21" t="s">
        <v>2522</v>
      </c>
      <c r="G4083" s="23">
        <v>46246</v>
      </c>
    </row>
    <row r="4084" spans="1:7" ht="24.5" hidden="1" x14ac:dyDescent="0.35">
      <c r="A4084" s="8">
        <v>12516</v>
      </c>
      <c r="B4084" s="10" t="s">
        <v>6639</v>
      </c>
      <c r="C4084" s="10" t="s">
        <v>26</v>
      </c>
      <c r="D4084" s="9" t="s">
        <v>2225</v>
      </c>
      <c r="E4084" s="9" t="str">
        <f>_xlfn.TEXTAFTER(Condiciones_acumuladas[[#This Row],[Descripción]], " ", -2)</f>
        <v>Byron Roldán</v>
      </c>
      <c r="F4084" s="21" t="s">
        <v>2540</v>
      </c>
      <c r="G4084" s="23">
        <v>46204</v>
      </c>
    </row>
    <row r="4085" spans="1:7" ht="24.5" hidden="1" x14ac:dyDescent="0.35">
      <c r="A4085" s="8">
        <v>12561</v>
      </c>
      <c r="B4085" s="10" t="s">
        <v>6640</v>
      </c>
      <c r="C4085" s="10" t="s">
        <v>26</v>
      </c>
      <c r="D4085" s="9" t="s">
        <v>395</v>
      </c>
      <c r="E4085" s="9" t="str">
        <f>_xlfn.TEXTAFTER(Condiciones_acumuladas[[#This Row],[Descripción]], " ", -2)</f>
        <v>Byron Roldán</v>
      </c>
      <c r="F4085" s="21" t="s">
        <v>2522</v>
      </c>
      <c r="G4085" s="23">
        <v>46211</v>
      </c>
    </row>
    <row r="4086" spans="1:7" ht="24.5" hidden="1" x14ac:dyDescent="0.35">
      <c r="A4086" s="8">
        <v>12549</v>
      </c>
      <c r="B4086" s="10" t="s">
        <v>6641</v>
      </c>
      <c r="C4086" s="10" t="s">
        <v>220</v>
      </c>
      <c r="D4086" s="9" t="s">
        <v>220</v>
      </c>
      <c r="E4086" s="9" t="str">
        <f>_xlfn.TEXTAFTER(Condiciones_acumuladas[[#This Row],[Descripción]], " ", -2)</f>
        <v>Carlos Chávez</v>
      </c>
      <c r="F4086" s="21" t="s">
        <v>2522</v>
      </c>
      <c r="G4086" s="23">
        <v>46211</v>
      </c>
    </row>
    <row r="4087" spans="1:7" ht="24.5" hidden="1" x14ac:dyDescent="0.35">
      <c r="A4087" s="8">
        <v>12511</v>
      </c>
      <c r="B4087" s="10" t="s">
        <v>6642</v>
      </c>
      <c r="C4087" s="10" t="s">
        <v>96</v>
      </c>
      <c r="D4087" s="9" t="s">
        <v>96</v>
      </c>
      <c r="E4087" s="9" t="str">
        <f>_xlfn.TEXTAFTER(Condiciones_acumuladas[[#This Row],[Descripción]], " ", -2)</f>
        <v>Carlos Poz</v>
      </c>
      <c r="F4087" s="21" t="s">
        <v>2537</v>
      </c>
      <c r="G4087" s="23">
        <v>46204</v>
      </c>
    </row>
    <row r="4088" spans="1:7" ht="36.5" hidden="1" x14ac:dyDescent="0.35">
      <c r="A4088" s="8">
        <v>12567</v>
      </c>
      <c r="B4088" s="10" t="s">
        <v>6643</v>
      </c>
      <c r="C4088" s="10" t="s">
        <v>134</v>
      </c>
      <c r="D4088" s="9" t="s">
        <v>395</v>
      </c>
      <c r="E4088" s="9" t="str">
        <f>_xlfn.TEXTAFTER(Condiciones_acumuladas[[#This Row],[Descripción]], " ", -2)</f>
        <v>Daniel Pineda</v>
      </c>
      <c r="F4088" s="21" t="s">
        <v>2522</v>
      </c>
      <c r="G4088" s="23">
        <v>46211</v>
      </c>
    </row>
    <row r="4089" spans="1:7" ht="24.5" hidden="1" x14ac:dyDescent="0.35">
      <c r="A4089" s="8">
        <v>12568</v>
      </c>
      <c r="B4089" s="10" t="s">
        <v>6644</v>
      </c>
      <c r="C4089" s="10" t="s">
        <v>196</v>
      </c>
      <c r="D4089" s="9" t="s">
        <v>395</v>
      </c>
      <c r="E4089" s="9" t="str">
        <f>_xlfn.TEXTAFTER(Condiciones_acumuladas[[#This Row],[Descripción]], " ", -2)</f>
        <v>Daniel Pineda</v>
      </c>
      <c r="F4089" s="21" t="s">
        <v>2522</v>
      </c>
      <c r="G4089" s="23">
        <v>46211</v>
      </c>
    </row>
    <row r="4090" spans="1:7" ht="24.5" hidden="1" x14ac:dyDescent="0.35">
      <c r="A4090" s="8">
        <v>12652</v>
      </c>
      <c r="B4090" s="10" t="s">
        <v>6645</v>
      </c>
      <c r="C4090" s="10" t="s">
        <v>26</v>
      </c>
      <c r="D4090" s="9" t="s">
        <v>395</v>
      </c>
      <c r="E4090" s="9" t="str">
        <f>_xlfn.TEXTAFTER(Condiciones_acumuladas[[#This Row],[Descripción]], " ", -2)</f>
        <v>Daniel Pineda</v>
      </c>
      <c r="F4090" s="21" t="s">
        <v>2522</v>
      </c>
      <c r="G4090" s="23">
        <v>46220</v>
      </c>
    </row>
    <row r="4091" spans="1:7" ht="36.5" hidden="1" x14ac:dyDescent="0.35">
      <c r="A4091" s="8">
        <v>12677</v>
      </c>
      <c r="B4091" s="10" t="s">
        <v>6646</v>
      </c>
      <c r="C4091" s="10" t="s">
        <v>96</v>
      </c>
      <c r="D4091" s="9" t="s">
        <v>395</v>
      </c>
      <c r="E4091" s="9" t="str">
        <f>_xlfn.TEXTAFTER(Condiciones_acumuladas[[#This Row],[Descripción]], " ", -2)</f>
        <v>Daniel Pineda</v>
      </c>
      <c r="F4091" s="21" t="s">
        <v>2530</v>
      </c>
      <c r="G4091" s="23">
        <v>46223</v>
      </c>
    </row>
    <row r="4092" spans="1:7" ht="36.5" hidden="1" x14ac:dyDescent="0.35">
      <c r="A4092" s="8">
        <v>12674</v>
      </c>
      <c r="B4092" s="10" t="s">
        <v>6647</v>
      </c>
      <c r="C4092" s="10" t="s">
        <v>96</v>
      </c>
      <c r="D4092" s="9" t="s">
        <v>395</v>
      </c>
      <c r="E4092" s="9" t="str">
        <f>_xlfn.TEXTAFTER(Condiciones_acumuladas[[#This Row],[Descripción]], " ", -2)</f>
        <v>Daniel Pineda</v>
      </c>
      <c r="F4092" s="21" t="s">
        <v>2715</v>
      </c>
      <c r="G4092" s="23">
        <v>46223</v>
      </c>
    </row>
    <row r="4093" spans="1:7" ht="36.5" hidden="1" x14ac:dyDescent="0.35">
      <c r="A4093" s="8">
        <v>12676</v>
      </c>
      <c r="B4093" s="10" t="s">
        <v>6648</v>
      </c>
      <c r="C4093" s="10" t="s">
        <v>96</v>
      </c>
      <c r="D4093" s="9" t="s">
        <v>395</v>
      </c>
      <c r="E4093" s="9" t="str">
        <f>_xlfn.TEXTAFTER(Condiciones_acumuladas[[#This Row],[Descripción]], " ", -2)</f>
        <v>Daniel Pineda</v>
      </c>
      <c r="F4093" s="21" t="s">
        <v>2530</v>
      </c>
      <c r="G4093" s="23">
        <v>46223</v>
      </c>
    </row>
    <row r="4094" spans="1:7" ht="24.5" hidden="1" x14ac:dyDescent="0.35">
      <c r="A4094" s="8">
        <v>12543</v>
      </c>
      <c r="B4094" s="10" t="s">
        <v>6649</v>
      </c>
      <c r="C4094" s="10" t="s">
        <v>26</v>
      </c>
      <c r="D4094" s="9" t="s">
        <v>190</v>
      </c>
      <c r="E4094" s="9" t="str">
        <f>_xlfn.TEXTAFTER(Condiciones_acumuladas[[#This Row],[Descripción]], " ", -2)</f>
        <v>Dennis DeLeón</v>
      </c>
      <c r="F4094" s="21" t="s">
        <v>2522</v>
      </c>
      <c r="G4094" s="23">
        <v>46210</v>
      </c>
    </row>
    <row r="4095" spans="1:7" ht="36.5" hidden="1" x14ac:dyDescent="0.35">
      <c r="A4095" s="8">
        <v>12756</v>
      </c>
      <c r="B4095" s="10" t="s">
        <v>6650</v>
      </c>
      <c r="C4095" s="10" t="s">
        <v>193</v>
      </c>
      <c r="D4095" s="9" t="s">
        <v>190</v>
      </c>
      <c r="E4095" s="9" t="str">
        <f>_xlfn.TEXTAFTER(Condiciones_acumuladas[[#This Row],[Descripción]], " ", -2)</f>
        <v>Dennis DeLeón</v>
      </c>
      <c r="F4095" s="21" t="s">
        <v>2540</v>
      </c>
      <c r="G4095" s="23">
        <v>46231</v>
      </c>
    </row>
    <row r="4096" spans="1:7" ht="36.5" hidden="1" x14ac:dyDescent="0.35">
      <c r="A4096" s="8">
        <v>12605</v>
      </c>
      <c r="B4096" s="10" t="s">
        <v>6651</v>
      </c>
      <c r="C4096" s="10" t="s">
        <v>34</v>
      </c>
      <c r="D4096" s="9" t="s">
        <v>95</v>
      </c>
      <c r="E4096" s="9" t="str">
        <f>_xlfn.TEXTAFTER(Condiciones_acumuladas[[#This Row],[Descripción]], " ", -2)</f>
        <v>Diana Pérez</v>
      </c>
      <c r="F4096" s="21" t="s">
        <v>2516</v>
      </c>
      <c r="G4096" s="23">
        <v>46217</v>
      </c>
    </row>
    <row r="4097" spans="1:7" ht="48.5" hidden="1" x14ac:dyDescent="0.35">
      <c r="A4097" s="8">
        <v>12734</v>
      </c>
      <c r="B4097" s="10" t="s">
        <v>6652</v>
      </c>
      <c r="C4097" s="10" t="s">
        <v>26</v>
      </c>
      <c r="D4097" s="9" t="s">
        <v>95</v>
      </c>
      <c r="E4097" s="9" t="str">
        <f>_xlfn.TEXTAFTER(Condiciones_acumuladas[[#This Row],[Descripción]], " ", -2)</f>
        <v>Domingo Yac</v>
      </c>
      <c r="F4097" s="21" t="s">
        <v>2559</v>
      </c>
      <c r="G4097" s="23">
        <v>46230</v>
      </c>
    </row>
    <row r="4098" spans="1:7" ht="36.5" hidden="1" x14ac:dyDescent="0.35">
      <c r="A4098" s="8">
        <v>12672</v>
      </c>
      <c r="B4098" s="10" t="s">
        <v>6653</v>
      </c>
      <c r="C4098" s="10" t="s">
        <v>193</v>
      </c>
      <c r="D4098" s="9" t="s">
        <v>95</v>
      </c>
      <c r="E4098" s="9" t="str">
        <f>_xlfn.TEXTAFTER(Condiciones_acumuladas[[#This Row],[Descripción]], " ", -2)</f>
        <v>Edgar Coti</v>
      </c>
      <c r="F4098" s="21" t="s">
        <v>2516</v>
      </c>
      <c r="G4098" s="23">
        <v>46223</v>
      </c>
    </row>
    <row r="4099" spans="1:7" ht="36.5" hidden="1" x14ac:dyDescent="0.35">
      <c r="A4099" s="8">
        <v>12760</v>
      </c>
      <c r="B4099" s="10" t="s">
        <v>6654</v>
      </c>
      <c r="C4099" s="10" t="s">
        <v>13</v>
      </c>
      <c r="D4099" s="9" t="s">
        <v>95</v>
      </c>
      <c r="E4099" s="9" t="str">
        <f>_xlfn.TEXTAFTER(Condiciones_acumuladas[[#This Row],[Descripción]], " ", -2)</f>
        <v>Edgar Coti</v>
      </c>
      <c r="F4099" s="21" t="s">
        <v>2540</v>
      </c>
      <c r="G4099" s="23">
        <v>46233</v>
      </c>
    </row>
    <row r="4100" spans="1:7" ht="48.5" hidden="1" x14ac:dyDescent="0.35">
      <c r="A4100" s="8">
        <v>12536</v>
      </c>
      <c r="B4100" s="10" t="s">
        <v>6655</v>
      </c>
      <c r="C4100" s="10" t="s">
        <v>395</v>
      </c>
      <c r="D4100" s="9" t="s">
        <v>250</v>
      </c>
      <c r="E4100" s="9" t="str">
        <f>_xlfn.TEXTAFTER(Condiciones_acumuladas[[#This Row],[Descripción]], " ", -2)</f>
        <v>Edson Bonifacio</v>
      </c>
      <c r="F4100" s="21" t="s">
        <v>2559</v>
      </c>
      <c r="G4100" s="23">
        <v>46209</v>
      </c>
    </row>
    <row r="4101" spans="1:7" ht="36.5" hidden="1" x14ac:dyDescent="0.35">
      <c r="A4101" s="8">
        <v>12535</v>
      </c>
      <c r="B4101" s="10" t="s">
        <v>6656</v>
      </c>
      <c r="C4101" s="10" t="s">
        <v>395</v>
      </c>
      <c r="D4101" s="9" t="s">
        <v>250</v>
      </c>
      <c r="E4101" s="9" t="str">
        <f>_xlfn.TEXTAFTER(Condiciones_acumuladas[[#This Row],[Descripción]], " ", -2)</f>
        <v>Edson Bonifacio</v>
      </c>
      <c r="F4101" s="21" t="s">
        <v>2522</v>
      </c>
      <c r="G4101" s="23">
        <v>46209</v>
      </c>
    </row>
    <row r="4102" spans="1:7" ht="24.5" hidden="1" x14ac:dyDescent="0.35">
      <c r="A4102" s="8">
        <v>12643</v>
      </c>
      <c r="B4102" s="10" t="s">
        <v>6657</v>
      </c>
      <c r="C4102" s="10" t="s">
        <v>21</v>
      </c>
      <c r="D4102" s="9" t="s">
        <v>250</v>
      </c>
      <c r="E4102" s="9" t="str">
        <f>_xlfn.TEXTAFTER(Condiciones_acumuladas[[#This Row],[Descripción]], " ", -2)</f>
        <v>Edson Bonifacio</v>
      </c>
      <c r="F4102" s="21" t="s">
        <v>2540</v>
      </c>
      <c r="G4102" s="23">
        <v>46219</v>
      </c>
    </row>
    <row r="4103" spans="1:7" ht="24.5" hidden="1" x14ac:dyDescent="0.35">
      <c r="A4103" s="8">
        <v>12640</v>
      </c>
      <c r="B4103" s="10" t="s">
        <v>6658</v>
      </c>
      <c r="C4103" s="10" t="s">
        <v>21</v>
      </c>
      <c r="D4103" s="9" t="s">
        <v>250</v>
      </c>
      <c r="E4103" s="9" t="str">
        <f>_xlfn.TEXTAFTER(Condiciones_acumuladas[[#This Row],[Descripción]], " ", -2)</f>
        <v>Edson Bonifacio</v>
      </c>
      <c r="F4103" s="21" t="s">
        <v>2540</v>
      </c>
      <c r="G4103" s="23">
        <v>46219</v>
      </c>
    </row>
    <row r="4104" spans="1:7" ht="24.5" hidden="1" x14ac:dyDescent="0.35">
      <c r="A4104" s="8">
        <v>12641</v>
      </c>
      <c r="B4104" s="10" t="s">
        <v>6659</v>
      </c>
      <c r="C4104" s="10" t="s">
        <v>21</v>
      </c>
      <c r="D4104" s="9" t="s">
        <v>250</v>
      </c>
      <c r="E4104" s="9" t="str">
        <f>_xlfn.TEXTAFTER(Condiciones_acumuladas[[#This Row],[Descripción]], " ", -2)</f>
        <v>Edson Bonifacio</v>
      </c>
      <c r="F4104" s="21" t="s">
        <v>2522</v>
      </c>
      <c r="G4104" s="23">
        <v>46219</v>
      </c>
    </row>
    <row r="4105" spans="1:7" ht="24.5" hidden="1" x14ac:dyDescent="0.35">
      <c r="A4105" s="8">
        <v>12642</v>
      </c>
      <c r="B4105" s="10" t="s">
        <v>6660</v>
      </c>
      <c r="C4105" s="10" t="s">
        <v>13</v>
      </c>
      <c r="D4105" s="9" t="s">
        <v>250</v>
      </c>
      <c r="E4105" s="9" t="str">
        <f>_xlfn.TEXTAFTER(Condiciones_acumuladas[[#This Row],[Descripción]], " ", -2)</f>
        <v>Edson Bonifacio</v>
      </c>
      <c r="F4105" s="21" t="s">
        <v>2522</v>
      </c>
      <c r="G4105" s="23">
        <v>46219</v>
      </c>
    </row>
    <row r="4106" spans="1:7" ht="24.5" hidden="1" x14ac:dyDescent="0.35">
      <c r="A4106" s="8">
        <v>12638</v>
      </c>
      <c r="B4106" s="10" t="s">
        <v>6661</v>
      </c>
      <c r="C4106" s="10" t="s">
        <v>190</v>
      </c>
      <c r="D4106" s="9" t="s">
        <v>250</v>
      </c>
      <c r="E4106" s="9" t="str">
        <f>_xlfn.TEXTAFTER(Condiciones_acumuladas[[#This Row],[Descripción]], " ", -2)</f>
        <v>Edson Bonifacio</v>
      </c>
      <c r="F4106" s="21" t="s">
        <v>2522</v>
      </c>
      <c r="G4106" s="23">
        <v>46219</v>
      </c>
    </row>
    <row r="4107" spans="1:7" ht="24.5" hidden="1" x14ac:dyDescent="0.35">
      <c r="A4107" s="8">
        <v>12639</v>
      </c>
      <c r="B4107" s="10" t="s">
        <v>6662</v>
      </c>
      <c r="C4107" s="10" t="s">
        <v>21</v>
      </c>
      <c r="D4107" s="9" t="s">
        <v>250</v>
      </c>
      <c r="E4107" s="9" t="str">
        <f>_xlfn.TEXTAFTER(Condiciones_acumuladas[[#This Row],[Descripción]], " ", -2)</f>
        <v>Edson Bonifacio</v>
      </c>
      <c r="F4107" s="21" t="s">
        <v>2540</v>
      </c>
      <c r="G4107" s="23">
        <v>46219</v>
      </c>
    </row>
    <row r="4108" spans="1:7" ht="24.5" hidden="1" x14ac:dyDescent="0.35">
      <c r="A4108" s="8">
        <v>12773</v>
      </c>
      <c r="B4108" s="10" t="s">
        <v>6663</v>
      </c>
      <c r="C4108" s="10" t="s">
        <v>196</v>
      </c>
      <c r="D4108" s="9" t="s">
        <v>250</v>
      </c>
      <c r="E4108" s="9" t="str">
        <f>_xlfn.TEXTAFTER(Condiciones_acumuladas[[#This Row],[Descripción]], " ", -2)</f>
        <v>Edson Bonifacio</v>
      </c>
      <c r="F4108" s="21" t="s">
        <v>2522</v>
      </c>
      <c r="G4108" s="23">
        <v>46233</v>
      </c>
    </row>
    <row r="4109" spans="1:7" ht="36.5" hidden="1" x14ac:dyDescent="0.35">
      <c r="A4109" s="8">
        <v>12771</v>
      </c>
      <c r="B4109" s="10" t="s">
        <v>6664</v>
      </c>
      <c r="C4109" s="10" t="s">
        <v>34</v>
      </c>
      <c r="D4109" s="9" t="s">
        <v>250</v>
      </c>
      <c r="E4109" s="9" t="str">
        <f>_xlfn.TEXTAFTER(Condiciones_acumuladas[[#This Row],[Descripción]], " ", -2)</f>
        <v>Edson Bonifacio</v>
      </c>
      <c r="F4109" s="21" t="s">
        <v>2572</v>
      </c>
      <c r="G4109" s="23">
        <v>46233</v>
      </c>
    </row>
    <row r="4110" spans="1:7" ht="36.5" hidden="1" x14ac:dyDescent="0.35">
      <c r="A4110" s="8">
        <v>12767</v>
      </c>
      <c r="B4110" s="10" t="s">
        <v>6665</v>
      </c>
      <c r="C4110" s="10" t="s">
        <v>34</v>
      </c>
      <c r="D4110" s="9" t="s">
        <v>250</v>
      </c>
      <c r="E4110" s="9" t="str">
        <f>_xlfn.TEXTAFTER(Condiciones_acumuladas[[#This Row],[Descripción]], " ", -2)</f>
        <v>Edson Bonifacio</v>
      </c>
      <c r="F4110" s="21" t="s">
        <v>2572</v>
      </c>
      <c r="G4110" s="23">
        <v>46233</v>
      </c>
    </row>
    <row r="4111" spans="1:7" ht="36.5" hidden="1" x14ac:dyDescent="0.35">
      <c r="A4111" s="8">
        <v>12765</v>
      </c>
      <c r="B4111" s="10" t="s">
        <v>6666</v>
      </c>
      <c r="C4111" s="10" t="s">
        <v>34</v>
      </c>
      <c r="D4111" s="9" t="s">
        <v>250</v>
      </c>
      <c r="E4111" s="9" t="str">
        <f>_xlfn.TEXTAFTER(Condiciones_acumuladas[[#This Row],[Descripción]], " ", -2)</f>
        <v>Edson Bonifacio</v>
      </c>
      <c r="F4111" s="21" t="s">
        <v>2522</v>
      </c>
      <c r="G4111" s="23">
        <v>46233</v>
      </c>
    </row>
    <row r="4112" spans="1:7" ht="24.5" hidden="1" x14ac:dyDescent="0.35">
      <c r="A4112" s="8">
        <v>12761</v>
      </c>
      <c r="B4112" s="10" t="s">
        <v>6667</v>
      </c>
      <c r="C4112" s="10" t="s">
        <v>34</v>
      </c>
      <c r="D4112" s="9" t="s">
        <v>250</v>
      </c>
      <c r="E4112" s="9" t="str">
        <f>_xlfn.TEXTAFTER(Condiciones_acumuladas[[#This Row],[Descripción]], " ", -2)</f>
        <v>Edson Bonifacio</v>
      </c>
      <c r="F4112" s="21" t="s">
        <v>2540</v>
      </c>
      <c r="G4112" s="23">
        <v>46233</v>
      </c>
    </row>
    <row r="4113" spans="1:7" ht="24.5" hidden="1" x14ac:dyDescent="0.35">
      <c r="A4113" s="8">
        <v>12673</v>
      </c>
      <c r="B4113" s="10" t="s">
        <v>6668</v>
      </c>
      <c r="C4113" s="10" t="s">
        <v>34</v>
      </c>
      <c r="D4113" s="9" t="s">
        <v>190</v>
      </c>
      <c r="E4113" s="9" t="str">
        <f>_xlfn.TEXTAFTER(Condiciones_acumuladas[[#This Row],[Descripción]], " ", -2)</f>
        <v>Eliu Tello</v>
      </c>
      <c r="F4113" s="21" t="s">
        <v>2834</v>
      </c>
      <c r="G4113" s="23">
        <v>46223</v>
      </c>
    </row>
    <row r="4114" spans="1:7" ht="36.5" hidden="1" x14ac:dyDescent="0.35">
      <c r="A4114" s="8">
        <v>12764</v>
      </c>
      <c r="B4114" s="10" t="s">
        <v>6669</v>
      </c>
      <c r="C4114" s="10" t="s">
        <v>190</v>
      </c>
      <c r="D4114" s="9" t="s">
        <v>190</v>
      </c>
      <c r="E4114" s="9" t="str">
        <f>_xlfn.TEXTAFTER(Condiciones_acumuladas[[#This Row],[Descripción]], " ", -2)</f>
        <v>Eliu Tello</v>
      </c>
      <c r="F4114" s="21" t="s">
        <v>2572</v>
      </c>
      <c r="G4114" s="23">
        <v>46233</v>
      </c>
    </row>
    <row r="4115" spans="1:7" ht="36.5" hidden="1" x14ac:dyDescent="0.35">
      <c r="A4115" s="8">
        <v>12521</v>
      </c>
      <c r="B4115" s="10" t="s">
        <v>6670</v>
      </c>
      <c r="C4115" s="10" t="s">
        <v>395</v>
      </c>
      <c r="D4115" s="9" t="s">
        <v>190</v>
      </c>
      <c r="E4115" s="9" t="str">
        <f>_xlfn.TEXTAFTER(Condiciones_acumuladas[[#This Row],[Descripción]], " ", -2)</f>
        <v>Elvis Oliva</v>
      </c>
      <c r="F4115" s="21" t="s">
        <v>2525</v>
      </c>
      <c r="G4115" s="23">
        <v>46204</v>
      </c>
    </row>
    <row r="4116" spans="1:7" ht="24.5" hidden="1" x14ac:dyDescent="0.35">
      <c r="A4116" s="8">
        <v>12518</v>
      </c>
      <c r="B4116" s="10" t="s">
        <v>6671</v>
      </c>
      <c r="C4116" s="10" t="s">
        <v>190</v>
      </c>
      <c r="D4116" s="9" t="s">
        <v>190</v>
      </c>
      <c r="E4116" s="9" t="str">
        <f>_xlfn.TEXTAFTER(Condiciones_acumuladas[[#This Row],[Descripción]], " ", -2)</f>
        <v>Elvis Oliva</v>
      </c>
      <c r="F4116" s="21" t="s">
        <v>2522</v>
      </c>
      <c r="G4116" s="23">
        <v>46204</v>
      </c>
    </row>
    <row r="4117" spans="1:7" ht="24.5" hidden="1" x14ac:dyDescent="0.35">
      <c r="A4117" s="8">
        <v>12513</v>
      </c>
      <c r="B4117" s="10" t="s">
        <v>6672</v>
      </c>
      <c r="C4117" s="10" t="s">
        <v>190</v>
      </c>
      <c r="D4117" s="9" t="s">
        <v>190</v>
      </c>
      <c r="E4117" s="9" t="str">
        <f>_xlfn.TEXTAFTER(Condiciones_acumuladas[[#This Row],[Descripción]], " ", -2)</f>
        <v>Elvis Oliva</v>
      </c>
      <c r="F4117" s="21" t="s">
        <v>2522</v>
      </c>
      <c r="G4117" s="23">
        <v>46204</v>
      </c>
    </row>
    <row r="4118" spans="1:7" ht="24.5" hidden="1" x14ac:dyDescent="0.35">
      <c r="A4118" s="8">
        <v>12577</v>
      </c>
      <c r="B4118" s="10" t="s">
        <v>6673</v>
      </c>
      <c r="C4118" s="10" t="s">
        <v>190</v>
      </c>
      <c r="D4118" s="9" t="s">
        <v>190</v>
      </c>
      <c r="E4118" s="9" t="str">
        <f>_xlfn.TEXTAFTER(Condiciones_acumuladas[[#This Row],[Descripción]], " ", -2)</f>
        <v>Elvis Oliva</v>
      </c>
      <c r="F4118" s="21" t="s">
        <v>2540</v>
      </c>
      <c r="G4118" s="23">
        <v>46212</v>
      </c>
    </row>
    <row r="4119" spans="1:7" ht="36.5" hidden="1" x14ac:dyDescent="0.35">
      <c r="A4119" s="8">
        <v>12578</v>
      </c>
      <c r="B4119" s="10" t="s">
        <v>6674</v>
      </c>
      <c r="C4119" s="10" t="s">
        <v>13</v>
      </c>
      <c r="D4119" s="9" t="s">
        <v>190</v>
      </c>
      <c r="E4119" s="9" t="str">
        <f>_xlfn.TEXTAFTER(Condiciones_acumuladas[[#This Row],[Descripción]], " ", -2)</f>
        <v>Elvis Oliva</v>
      </c>
      <c r="F4119" s="21" t="s">
        <v>2572</v>
      </c>
      <c r="G4119" s="23">
        <v>46212</v>
      </c>
    </row>
    <row r="4120" spans="1:7" ht="48.5" hidden="1" x14ac:dyDescent="0.35">
      <c r="A4120" s="8">
        <v>12575</v>
      </c>
      <c r="B4120" s="10" t="s">
        <v>6675</v>
      </c>
      <c r="C4120" s="10" t="s">
        <v>190</v>
      </c>
      <c r="D4120" s="9" t="s">
        <v>190</v>
      </c>
      <c r="E4120" s="9" t="str">
        <f>_xlfn.TEXTAFTER(Condiciones_acumuladas[[#This Row],[Descripción]], " ", -2)</f>
        <v>Elvis Oliva</v>
      </c>
      <c r="F4120" s="21" t="s">
        <v>2540</v>
      </c>
      <c r="G4120" s="23">
        <v>46212</v>
      </c>
    </row>
    <row r="4121" spans="1:7" ht="36.5" hidden="1" x14ac:dyDescent="0.35">
      <c r="A4121" s="8">
        <v>12576</v>
      </c>
      <c r="B4121" s="10" t="s">
        <v>6676</v>
      </c>
      <c r="C4121" s="10" t="s">
        <v>190</v>
      </c>
      <c r="D4121" s="9" t="s">
        <v>190</v>
      </c>
      <c r="E4121" s="9" t="str">
        <f>_xlfn.TEXTAFTER(Condiciones_acumuladas[[#This Row],[Descripción]], " ", -2)</f>
        <v>Elvis Oliva</v>
      </c>
      <c r="F4121" s="21" t="s">
        <v>2572</v>
      </c>
      <c r="G4121" s="23">
        <v>46212</v>
      </c>
    </row>
    <row r="4122" spans="1:7" ht="36.5" hidden="1" x14ac:dyDescent="0.35">
      <c r="A4122" s="8">
        <v>12574</v>
      </c>
      <c r="B4122" s="10" t="s">
        <v>6677</v>
      </c>
      <c r="C4122" s="10" t="s">
        <v>21</v>
      </c>
      <c r="D4122" s="9" t="s">
        <v>190</v>
      </c>
      <c r="E4122" s="9" t="str">
        <f>_xlfn.TEXTAFTER(Condiciones_acumuladas[[#This Row],[Descripción]], " ", -2)</f>
        <v>Elvis Oliva</v>
      </c>
      <c r="F4122" s="21" t="s">
        <v>2540</v>
      </c>
      <c r="G4122" s="23">
        <v>46212</v>
      </c>
    </row>
    <row r="4123" spans="1:7" ht="36.5" hidden="1" x14ac:dyDescent="0.35">
      <c r="A4123" s="8">
        <v>12533</v>
      </c>
      <c r="B4123" s="10" t="s">
        <v>6678</v>
      </c>
      <c r="C4123" s="10" t="s">
        <v>234</v>
      </c>
      <c r="D4123" s="9" t="s">
        <v>190</v>
      </c>
      <c r="E4123" s="9" t="str">
        <f>_xlfn.TEXTAFTER(Condiciones_acumuladas[[#This Row],[Descripción]], " ", -2)</f>
        <v>Elvis Oliva</v>
      </c>
      <c r="F4123" s="21" t="s">
        <v>2530</v>
      </c>
      <c r="G4123" s="23">
        <v>46206</v>
      </c>
    </row>
    <row r="4124" spans="1:7" ht="24.5" hidden="1" x14ac:dyDescent="0.35">
      <c r="A4124" s="8">
        <v>12532</v>
      </c>
      <c r="B4124" s="10" t="s">
        <v>6679</v>
      </c>
      <c r="C4124" s="10" t="s">
        <v>234</v>
      </c>
      <c r="D4124" s="9" t="s">
        <v>190</v>
      </c>
      <c r="E4124" s="9" t="str">
        <f>_xlfn.TEXTAFTER(Condiciones_acumuladas[[#This Row],[Descripción]], " ", -2)</f>
        <v>Elvis Oliva</v>
      </c>
      <c r="F4124" s="21" t="s">
        <v>2522</v>
      </c>
      <c r="G4124" s="23">
        <v>46206</v>
      </c>
    </row>
    <row r="4125" spans="1:7" ht="24.5" hidden="1" x14ac:dyDescent="0.35">
      <c r="A4125" s="8">
        <v>12692</v>
      </c>
      <c r="B4125" s="10" t="s">
        <v>6680</v>
      </c>
      <c r="C4125" s="10" t="s">
        <v>196</v>
      </c>
      <c r="D4125" s="9" t="s">
        <v>190</v>
      </c>
      <c r="E4125" s="9" t="str">
        <f>_xlfn.TEXTAFTER(Condiciones_acumuladas[[#This Row],[Descripción]], " ", -2)</f>
        <v>Elvis Oliva</v>
      </c>
      <c r="F4125" s="21" t="s">
        <v>2537</v>
      </c>
      <c r="G4125" s="23">
        <v>46225</v>
      </c>
    </row>
    <row r="4126" spans="1:7" ht="48.5" hidden="1" x14ac:dyDescent="0.35">
      <c r="A4126" s="8">
        <v>12687</v>
      </c>
      <c r="B4126" s="10" t="s">
        <v>6681</v>
      </c>
      <c r="C4126" s="10" t="s">
        <v>196</v>
      </c>
      <c r="D4126" s="9" t="s">
        <v>190</v>
      </c>
      <c r="E4126" s="9" t="str">
        <f>_xlfn.TEXTAFTER(Condiciones_acumuladas[[#This Row],[Descripción]], " ", -2)</f>
        <v>Elvis Oliva</v>
      </c>
      <c r="F4126" s="21" t="s">
        <v>2559</v>
      </c>
      <c r="G4126" s="23">
        <v>46225</v>
      </c>
    </row>
    <row r="4127" spans="1:7" ht="48.5" hidden="1" x14ac:dyDescent="0.35">
      <c r="A4127" s="8">
        <v>12682</v>
      </c>
      <c r="B4127" s="10" t="s">
        <v>6682</v>
      </c>
      <c r="C4127" s="10" t="s">
        <v>196</v>
      </c>
      <c r="D4127" s="9" t="s">
        <v>190</v>
      </c>
      <c r="E4127" s="9" t="str">
        <f>_xlfn.TEXTAFTER(Condiciones_acumuladas[[#This Row],[Descripción]], " ", -2)</f>
        <v>Elvis Oliva</v>
      </c>
      <c r="F4127" s="21" t="s">
        <v>2559</v>
      </c>
      <c r="G4127" s="23">
        <v>46224</v>
      </c>
    </row>
    <row r="4128" spans="1:7" ht="48.5" hidden="1" x14ac:dyDescent="0.35">
      <c r="A4128" s="8">
        <v>12681</v>
      </c>
      <c r="B4128" s="10" t="s">
        <v>6683</v>
      </c>
      <c r="C4128" s="10" t="s">
        <v>196</v>
      </c>
      <c r="D4128" s="9" t="s">
        <v>190</v>
      </c>
      <c r="E4128" s="9" t="str">
        <f>_xlfn.TEXTAFTER(Condiciones_acumuladas[[#This Row],[Descripción]], " ", -2)</f>
        <v>Elvis Oliva</v>
      </c>
      <c r="F4128" s="21" t="s">
        <v>2559</v>
      </c>
      <c r="G4128" s="23">
        <v>46224</v>
      </c>
    </row>
    <row r="4129" spans="1:7" ht="24.5" hidden="1" x14ac:dyDescent="0.35">
      <c r="A4129" s="8">
        <v>12671</v>
      </c>
      <c r="B4129" s="10" t="s">
        <v>6684</v>
      </c>
      <c r="C4129" s="10" t="s">
        <v>250</v>
      </c>
      <c r="D4129" s="9" t="s">
        <v>190</v>
      </c>
      <c r="E4129" s="9" t="str">
        <f>_xlfn.TEXTAFTER(Condiciones_acumuladas[[#This Row],[Descripción]], " ", -2)</f>
        <v>Elvis Oliva</v>
      </c>
      <c r="F4129" s="21" t="s">
        <v>2522</v>
      </c>
      <c r="G4129" s="23">
        <v>46223</v>
      </c>
    </row>
    <row r="4130" spans="1:7" ht="24.5" hidden="1" x14ac:dyDescent="0.35">
      <c r="A4130" s="8">
        <v>12722</v>
      </c>
      <c r="B4130" s="10" t="s">
        <v>6685</v>
      </c>
      <c r="C4130" s="10" t="s">
        <v>196</v>
      </c>
      <c r="D4130" s="9" t="s">
        <v>95</v>
      </c>
      <c r="E4130" s="9" t="str">
        <f>_xlfn.TEXTAFTER(Condiciones_acumuladas[[#This Row],[Descripción]], " ", -2)</f>
        <v>Emanuel Solis</v>
      </c>
      <c r="F4130" s="21" t="s">
        <v>2537</v>
      </c>
      <c r="G4130" s="23">
        <v>46226</v>
      </c>
    </row>
    <row r="4131" spans="1:7" ht="48.5" hidden="1" x14ac:dyDescent="0.35">
      <c r="A4131" s="8">
        <v>12721</v>
      </c>
      <c r="B4131" s="10" t="s">
        <v>6686</v>
      </c>
      <c r="C4131" s="10" t="s">
        <v>234</v>
      </c>
      <c r="D4131" s="9" t="s">
        <v>196</v>
      </c>
      <c r="E4131" s="9" t="str">
        <f>_xlfn.TEXTAFTER(Condiciones_acumuladas[[#This Row],[Descripción]], " ", -2)</f>
        <v>Esdras Orozco</v>
      </c>
      <c r="F4131" s="21" t="s">
        <v>2537</v>
      </c>
      <c r="G4131" s="23">
        <v>46229</v>
      </c>
    </row>
    <row r="4132" spans="1:7" ht="24.5" hidden="1" x14ac:dyDescent="0.35">
      <c r="A4132" s="8">
        <v>12775</v>
      </c>
      <c r="B4132" s="10" t="s">
        <v>6687</v>
      </c>
      <c r="C4132" s="10" t="s">
        <v>190</v>
      </c>
      <c r="D4132" s="9" t="s">
        <v>278</v>
      </c>
      <c r="E4132" s="9" t="str">
        <f>_xlfn.TEXTAFTER(Condiciones_acumuladas[[#This Row],[Descripción]], " ", -2)</f>
        <v>Fredy Fuentes</v>
      </c>
      <c r="F4132" s="21" t="s">
        <v>2522</v>
      </c>
      <c r="G4132" s="23">
        <v>46233</v>
      </c>
    </row>
    <row r="4133" spans="1:7" ht="48.5" hidden="1" x14ac:dyDescent="0.35">
      <c r="A4133" s="8">
        <v>12795</v>
      </c>
      <c r="B4133" s="10" t="s">
        <v>6688</v>
      </c>
      <c r="C4133" s="10" t="s">
        <v>278</v>
      </c>
      <c r="D4133" s="9" t="s">
        <v>278</v>
      </c>
      <c r="E4133" s="9" t="str">
        <f>_xlfn.TEXTAFTER(Condiciones_acumuladas[[#This Row],[Descripción]], " ", -2)</f>
        <v>Fredy Fuentes</v>
      </c>
      <c r="F4133" s="21" t="s">
        <v>2559</v>
      </c>
      <c r="G4133" s="23">
        <v>46231</v>
      </c>
    </row>
    <row r="4134" spans="1:7" ht="36.5" hidden="1" x14ac:dyDescent="0.35">
      <c r="A4134" s="8">
        <v>12825</v>
      </c>
      <c r="B4134" s="10" t="s">
        <v>6689</v>
      </c>
      <c r="C4134" s="10" t="s">
        <v>34</v>
      </c>
      <c r="D4134" s="9" t="s">
        <v>278</v>
      </c>
      <c r="E4134" s="9" t="str">
        <f>_xlfn.TEXTAFTER(Condiciones_acumuladas[[#This Row],[Descripción]], " ", -2)</f>
        <v>Fredy Fuentes</v>
      </c>
      <c r="F4134" s="21" t="s">
        <v>2530</v>
      </c>
      <c r="G4134" s="23">
        <v>46213</v>
      </c>
    </row>
    <row r="4135" spans="1:7" ht="36.5" hidden="1" x14ac:dyDescent="0.35">
      <c r="A4135" s="8">
        <v>12824</v>
      </c>
      <c r="B4135" s="10" t="s">
        <v>6690</v>
      </c>
      <c r="C4135" s="10" t="s">
        <v>34</v>
      </c>
      <c r="D4135" s="9" t="s">
        <v>278</v>
      </c>
      <c r="E4135" s="9" t="str">
        <f>_xlfn.TEXTAFTER(Condiciones_acumuladas[[#This Row],[Descripción]], " ", -2)</f>
        <v>Fredy Fuentes</v>
      </c>
      <c r="F4135" s="21" t="s">
        <v>2715</v>
      </c>
      <c r="G4135" s="23">
        <v>46213</v>
      </c>
    </row>
    <row r="4136" spans="1:7" ht="24.5" hidden="1" x14ac:dyDescent="0.35">
      <c r="A4136" s="8">
        <v>12559</v>
      </c>
      <c r="B4136" s="10" t="s">
        <v>6691</v>
      </c>
      <c r="C4136" s="10" t="s">
        <v>234</v>
      </c>
      <c r="D4136" s="9" t="s">
        <v>395</v>
      </c>
      <c r="E4136" s="9" t="str">
        <f>_xlfn.TEXTAFTER(Condiciones_acumuladas[[#This Row],[Descripción]], " ", -2)</f>
        <v>German Orozco</v>
      </c>
      <c r="F4136" s="21" t="s">
        <v>2540</v>
      </c>
      <c r="G4136" s="23">
        <v>46211</v>
      </c>
    </row>
    <row r="4137" spans="1:7" ht="48.5" hidden="1" x14ac:dyDescent="0.35">
      <c r="A4137" s="8">
        <v>12554</v>
      </c>
      <c r="B4137" s="10" t="s">
        <v>6692</v>
      </c>
      <c r="C4137" s="10" t="s">
        <v>234</v>
      </c>
      <c r="D4137" s="9" t="s">
        <v>395</v>
      </c>
      <c r="E4137" s="9" t="str">
        <f>_xlfn.TEXTAFTER(Condiciones_acumuladas[[#This Row],[Descripción]], " ", -2)</f>
        <v>German Orozco</v>
      </c>
      <c r="F4137" s="21" t="s">
        <v>2559</v>
      </c>
      <c r="G4137" s="23">
        <v>46211</v>
      </c>
    </row>
    <row r="4138" spans="1:7" ht="36.5" hidden="1" x14ac:dyDescent="0.35">
      <c r="A4138" s="8">
        <v>12693</v>
      </c>
      <c r="B4138" s="10" t="s">
        <v>6693</v>
      </c>
      <c r="C4138" s="10" t="s">
        <v>196</v>
      </c>
      <c r="D4138" s="9" t="s">
        <v>395</v>
      </c>
      <c r="E4138" s="9" t="str">
        <f>_xlfn.TEXTAFTER(Condiciones_acumuladas[[#This Row],[Descripción]], " ", -2)</f>
        <v>German Orozco</v>
      </c>
      <c r="F4138" s="21" t="s">
        <v>2525</v>
      </c>
      <c r="G4138" s="23">
        <v>46225</v>
      </c>
    </row>
    <row r="4139" spans="1:7" ht="36.5" hidden="1" x14ac:dyDescent="0.35">
      <c r="A4139" s="8">
        <v>12690</v>
      </c>
      <c r="B4139" s="10" t="s">
        <v>6694</v>
      </c>
      <c r="C4139" s="10" t="s">
        <v>395</v>
      </c>
      <c r="D4139" s="9" t="s">
        <v>395</v>
      </c>
      <c r="E4139" s="9" t="str">
        <f>_xlfn.TEXTAFTER(Condiciones_acumuladas[[#This Row],[Descripción]], " ", -2)</f>
        <v>German Orozco</v>
      </c>
      <c r="F4139" s="21" t="s">
        <v>2525</v>
      </c>
      <c r="G4139" s="23">
        <v>46225</v>
      </c>
    </row>
    <row r="4140" spans="1:7" ht="36.5" hidden="1" x14ac:dyDescent="0.35">
      <c r="A4140" s="8">
        <v>12661</v>
      </c>
      <c r="B4140" s="10" t="s">
        <v>6695</v>
      </c>
      <c r="C4140" s="10" t="s">
        <v>134</v>
      </c>
      <c r="D4140" s="9" t="s">
        <v>395</v>
      </c>
      <c r="E4140" s="9" t="str">
        <f>_xlfn.TEXTAFTER(Condiciones_acumuladas[[#This Row],[Descripción]], " ", -2)</f>
        <v>German Orozco</v>
      </c>
      <c r="F4140" s="21" t="s">
        <v>2715</v>
      </c>
      <c r="G4140" s="23">
        <v>46224</v>
      </c>
    </row>
    <row r="4141" spans="1:7" ht="36.5" hidden="1" x14ac:dyDescent="0.35">
      <c r="A4141" s="8">
        <v>12659</v>
      </c>
      <c r="B4141" s="10" t="s">
        <v>6696</v>
      </c>
      <c r="C4141" s="10" t="s">
        <v>234</v>
      </c>
      <c r="D4141" s="9" t="s">
        <v>395</v>
      </c>
      <c r="E4141" s="9" t="str">
        <f>_xlfn.TEXTAFTER(Condiciones_acumuladas[[#This Row],[Descripción]], " ", -2)</f>
        <v>German Orozco</v>
      </c>
      <c r="F4141" s="21" t="s">
        <v>2715</v>
      </c>
      <c r="G4141" s="23">
        <v>46224</v>
      </c>
    </row>
    <row r="4142" spans="1:7" ht="36.5" hidden="1" x14ac:dyDescent="0.35">
      <c r="A4142" s="8">
        <v>12725</v>
      </c>
      <c r="B4142" s="10" t="s">
        <v>6697</v>
      </c>
      <c r="C4142" s="10" t="s">
        <v>96</v>
      </c>
      <c r="D4142" s="9" t="s">
        <v>395</v>
      </c>
      <c r="E4142" s="9" t="str">
        <f>_xlfn.TEXTAFTER(Condiciones_acumuladas[[#This Row],[Descripción]], " ", -2)</f>
        <v>German Orozco</v>
      </c>
      <c r="F4142" s="21" t="s">
        <v>2525</v>
      </c>
      <c r="G4142" s="23">
        <v>46227</v>
      </c>
    </row>
    <row r="4143" spans="1:7" ht="24.5" hidden="1" x14ac:dyDescent="0.35">
      <c r="A4143" s="8">
        <v>12727</v>
      </c>
      <c r="B4143" s="10" t="s">
        <v>6698</v>
      </c>
      <c r="C4143" s="10" t="s">
        <v>26</v>
      </c>
      <c r="D4143" s="9" t="s">
        <v>395</v>
      </c>
      <c r="E4143" s="9" t="str">
        <f>_xlfn.TEXTAFTER(Condiciones_acumuladas[[#This Row],[Descripción]], " ", -2)</f>
        <v>German Orozco</v>
      </c>
      <c r="F4143" s="21" t="s">
        <v>2540</v>
      </c>
      <c r="G4143" s="23">
        <v>46227</v>
      </c>
    </row>
    <row r="4144" spans="1:7" ht="24.5" hidden="1" x14ac:dyDescent="0.35">
      <c r="A4144" s="8">
        <v>12776</v>
      </c>
      <c r="B4144" s="10" t="s">
        <v>6699</v>
      </c>
      <c r="C4144" s="10" t="s">
        <v>21</v>
      </c>
      <c r="D4144" s="9" t="s">
        <v>395</v>
      </c>
      <c r="E4144" s="9" t="str">
        <f>_xlfn.TEXTAFTER(Condiciones_acumuladas[[#This Row],[Descripción]], " ", -2)</f>
        <v>German Orozco</v>
      </c>
      <c r="F4144" s="21" t="s">
        <v>2522</v>
      </c>
      <c r="G4144" s="23">
        <v>46233</v>
      </c>
    </row>
    <row r="4145" spans="1:7" ht="24.5" hidden="1" x14ac:dyDescent="0.35">
      <c r="A4145" s="8">
        <v>12601</v>
      </c>
      <c r="B4145" s="10" t="s">
        <v>6700</v>
      </c>
      <c r="C4145" s="10" t="s">
        <v>95</v>
      </c>
      <c r="D4145" s="9" t="s">
        <v>95</v>
      </c>
      <c r="E4145" s="9" t="str">
        <f>_xlfn.TEXTAFTER(Condiciones_acumuladas[[#This Row],[Descripción]], " ", -2)</f>
        <v>Gerson Castañeda</v>
      </c>
      <c r="F4145" s="21" t="s">
        <v>2540</v>
      </c>
      <c r="G4145" s="23">
        <v>46216</v>
      </c>
    </row>
    <row r="4146" spans="1:7" ht="36.5" hidden="1" x14ac:dyDescent="0.35">
      <c r="A4146" s="8">
        <v>12926</v>
      </c>
      <c r="B4146" s="10" t="s">
        <v>6701</v>
      </c>
      <c r="C4146" s="10" t="s">
        <v>371</v>
      </c>
      <c r="D4146" s="9" t="s">
        <v>395</v>
      </c>
      <c r="E4146" s="9" t="str">
        <f>_xlfn.TEXTAFTER(Condiciones_acumuladas[[#This Row],[Descripción]], " ", -2)</f>
        <v>Abraham Quiej</v>
      </c>
      <c r="F4146" s="21" t="s">
        <v>2530</v>
      </c>
      <c r="G4146" s="23">
        <v>46246</v>
      </c>
    </row>
    <row r="4147" spans="1:7" ht="24.5" hidden="1" x14ac:dyDescent="0.35">
      <c r="A4147" s="8">
        <v>12757</v>
      </c>
      <c r="B4147" s="10" t="s">
        <v>6702</v>
      </c>
      <c r="C4147" s="10" t="s">
        <v>134</v>
      </c>
      <c r="D4147" s="9" t="s">
        <v>95</v>
      </c>
      <c r="E4147" s="9" t="str">
        <f>_xlfn.TEXTAFTER(Condiciones_acumuladas[[#This Row],[Descripción]], " ", -2)</f>
        <v>Gerson Castañeda</v>
      </c>
      <c r="F4147" s="21" t="s">
        <v>2522</v>
      </c>
      <c r="G4147" s="23">
        <v>46232</v>
      </c>
    </row>
    <row r="4148" spans="1:7" ht="36.5" hidden="1" x14ac:dyDescent="0.35">
      <c r="A4148" s="8">
        <v>12523</v>
      </c>
      <c r="B4148" s="10" t="s">
        <v>6703</v>
      </c>
      <c r="C4148" s="10" t="s">
        <v>234</v>
      </c>
      <c r="D4148" s="9" t="s">
        <v>234</v>
      </c>
      <c r="E4148" s="9" t="str">
        <f>_xlfn.TEXTAFTER(Condiciones_acumuladas[[#This Row],[Descripción]], " ", -2)</f>
        <v>Gustavo Hernández</v>
      </c>
      <c r="F4148" s="21" t="s">
        <v>2530</v>
      </c>
      <c r="G4148" s="23">
        <v>46205</v>
      </c>
    </row>
    <row r="4149" spans="1:7" ht="36.5" hidden="1" x14ac:dyDescent="0.35">
      <c r="A4149" s="8">
        <v>12519</v>
      </c>
      <c r="B4149" s="10" t="s">
        <v>6704</v>
      </c>
      <c r="C4149" s="10" t="s">
        <v>21</v>
      </c>
      <c r="D4149" s="9" t="s">
        <v>21</v>
      </c>
      <c r="E4149" s="9" t="str">
        <f>_xlfn.TEXTAFTER(Condiciones_acumuladas[[#This Row],[Descripción]], " ", -2)</f>
        <v>Gustavo Hernández</v>
      </c>
      <c r="F4149" s="21" t="s">
        <v>2540</v>
      </c>
      <c r="G4149" s="23">
        <v>46204</v>
      </c>
    </row>
    <row r="4150" spans="1:7" ht="24.5" hidden="1" x14ac:dyDescent="0.35">
      <c r="A4150" s="8">
        <v>12512</v>
      </c>
      <c r="B4150" s="10" t="s">
        <v>6705</v>
      </c>
      <c r="C4150" s="10" t="s">
        <v>21</v>
      </c>
      <c r="D4150" s="9" t="s">
        <v>21</v>
      </c>
      <c r="E4150" s="9" t="str">
        <f>_xlfn.TEXTAFTER(Condiciones_acumuladas[[#This Row],[Descripción]], " ", -2)</f>
        <v>Gustavo Hernández</v>
      </c>
      <c r="F4150" s="21" t="s">
        <v>2522</v>
      </c>
      <c r="G4150" s="23">
        <v>46204</v>
      </c>
    </row>
    <row r="4151" spans="1:7" ht="24.5" hidden="1" x14ac:dyDescent="0.35">
      <c r="A4151" s="8">
        <v>12547</v>
      </c>
      <c r="B4151" s="10" t="s">
        <v>6706</v>
      </c>
      <c r="C4151" s="10" t="s">
        <v>134</v>
      </c>
      <c r="D4151" s="9" t="s">
        <v>134</v>
      </c>
      <c r="E4151" s="9" t="str">
        <f>_xlfn.TEXTAFTER(Condiciones_acumuladas[[#This Row],[Descripción]], " ", -2)</f>
        <v>Gustavo Hernández</v>
      </c>
      <c r="F4151" s="21" t="s">
        <v>2522</v>
      </c>
      <c r="G4151" s="23">
        <v>46211</v>
      </c>
    </row>
    <row r="4152" spans="1:7" ht="24.5" hidden="1" x14ac:dyDescent="0.35">
      <c r="A4152" s="8">
        <v>12628</v>
      </c>
      <c r="B4152" s="10" t="s">
        <v>6707</v>
      </c>
      <c r="C4152" s="10" t="s">
        <v>234</v>
      </c>
      <c r="D4152" s="9" t="s">
        <v>234</v>
      </c>
      <c r="E4152" s="9" t="str">
        <f>_xlfn.TEXTAFTER(Condiciones_acumuladas[[#This Row],[Descripción]], " ", -2)</f>
        <v>Gustavo Hernández</v>
      </c>
      <c r="F4152" s="21" t="s">
        <v>2522</v>
      </c>
      <c r="G4152" s="23">
        <v>46218</v>
      </c>
    </row>
    <row r="4153" spans="1:7" ht="36.5" hidden="1" x14ac:dyDescent="0.35">
      <c r="A4153" s="8">
        <v>12528</v>
      </c>
      <c r="B4153" s="10" t="s">
        <v>6708</v>
      </c>
      <c r="C4153" s="10" t="s">
        <v>13</v>
      </c>
      <c r="D4153" s="9" t="s">
        <v>95</v>
      </c>
      <c r="E4153" s="9" t="str">
        <f>_xlfn.TEXTAFTER(Condiciones_acumuladas[[#This Row],[Descripción]], " ", -2)</f>
        <v>Hellen Estrada</v>
      </c>
      <c r="F4153" s="21" t="s">
        <v>2530</v>
      </c>
      <c r="G4153" s="23">
        <v>46210</v>
      </c>
    </row>
    <row r="4154" spans="1:7" ht="36.5" hidden="1" x14ac:dyDescent="0.35">
      <c r="A4154" s="8">
        <v>12527</v>
      </c>
      <c r="B4154" s="10" t="s">
        <v>6709</v>
      </c>
      <c r="C4154" s="10" t="s">
        <v>13</v>
      </c>
      <c r="D4154" s="9" t="s">
        <v>95</v>
      </c>
      <c r="E4154" s="9" t="str">
        <f>_xlfn.TEXTAFTER(Condiciones_acumuladas[[#This Row],[Descripción]], " ", -2)</f>
        <v>Hellen Estrada</v>
      </c>
      <c r="F4154" s="21" t="s">
        <v>2530</v>
      </c>
      <c r="G4154" s="23">
        <v>46210</v>
      </c>
    </row>
    <row r="4155" spans="1:7" ht="48.5" hidden="1" x14ac:dyDescent="0.35">
      <c r="A4155" s="8">
        <v>12724</v>
      </c>
      <c r="B4155" s="10" t="s">
        <v>6710</v>
      </c>
      <c r="C4155" s="10" t="s">
        <v>13</v>
      </c>
      <c r="D4155" s="9" t="s">
        <v>13</v>
      </c>
      <c r="E4155" s="9" t="str">
        <f>_xlfn.TEXTAFTER(Condiciones_acumuladas[[#This Row],[Descripción]], " ", -2)</f>
        <v>Hugo Oliva</v>
      </c>
      <c r="F4155" s="21" t="s">
        <v>2540</v>
      </c>
      <c r="G4155" s="23">
        <v>46227</v>
      </c>
    </row>
    <row r="4156" spans="1:7" ht="24.5" hidden="1" x14ac:dyDescent="0.35">
      <c r="A4156" s="8">
        <v>12728</v>
      </c>
      <c r="B4156" s="10" t="s">
        <v>6711</v>
      </c>
      <c r="C4156" s="10" t="s">
        <v>13</v>
      </c>
      <c r="D4156" s="9" t="s">
        <v>13</v>
      </c>
      <c r="E4156" s="9" t="str">
        <f>_xlfn.TEXTAFTER(Condiciones_acumuladas[[#This Row],[Descripción]], " ", -2)</f>
        <v>Hugo Oliva</v>
      </c>
      <c r="F4156" s="21" t="s">
        <v>2540</v>
      </c>
      <c r="G4156" s="23">
        <v>46228</v>
      </c>
    </row>
    <row r="4157" spans="1:7" ht="48.5" hidden="1" x14ac:dyDescent="0.35">
      <c r="A4157" s="8">
        <v>12573</v>
      </c>
      <c r="B4157" s="10" t="s">
        <v>6712</v>
      </c>
      <c r="C4157" s="10" t="s">
        <v>196</v>
      </c>
      <c r="D4157" s="9" t="s">
        <v>196</v>
      </c>
      <c r="E4157" s="9" t="str">
        <f>_xlfn.TEXTAFTER(Condiciones_acumuladas[[#This Row],[Descripción]], " ", -2)</f>
        <v>Jaime Chex</v>
      </c>
      <c r="F4157" s="21" t="s">
        <v>2559</v>
      </c>
      <c r="G4157" s="23">
        <v>46212</v>
      </c>
    </row>
    <row r="4158" spans="1:7" ht="24.5" hidden="1" x14ac:dyDescent="0.35">
      <c r="A4158" s="8">
        <v>12591</v>
      </c>
      <c r="B4158" s="10" t="s">
        <v>6713</v>
      </c>
      <c r="C4158" s="10" t="s">
        <v>26</v>
      </c>
      <c r="D4158" s="9" t="s">
        <v>134</v>
      </c>
      <c r="E4158" s="9" t="str">
        <f>_xlfn.TEXTAFTER(Condiciones_acumuladas[[#This Row],[Descripción]], " ", -2)</f>
        <v>Jaime Chilel</v>
      </c>
      <c r="F4158" s="21" t="s">
        <v>2522</v>
      </c>
      <c r="G4158" s="23">
        <v>46213</v>
      </c>
    </row>
    <row r="4159" spans="1:7" ht="36.5" hidden="1" x14ac:dyDescent="0.35">
      <c r="A4159" s="8">
        <v>12695</v>
      </c>
      <c r="B4159" s="10" t="s">
        <v>6714</v>
      </c>
      <c r="C4159" s="10" t="s">
        <v>134</v>
      </c>
      <c r="D4159" s="9" t="s">
        <v>395</v>
      </c>
      <c r="E4159" s="9" t="str">
        <f>_xlfn.TEXTAFTER(Condiciones_acumuladas[[#This Row],[Descripción]], " ", -2)</f>
        <v>Jaime Chilel</v>
      </c>
      <c r="F4159" s="21" t="s">
        <v>2715</v>
      </c>
      <c r="G4159" s="23">
        <v>46225</v>
      </c>
    </row>
    <row r="4160" spans="1:7" ht="36.5" hidden="1" x14ac:dyDescent="0.35">
      <c r="A4160" s="8">
        <v>12680</v>
      </c>
      <c r="B4160" s="10" t="s">
        <v>6715</v>
      </c>
      <c r="C4160" s="10" t="s">
        <v>193</v>
      </c>
      <c r="D4160" s="9" t="s">
        <v>395</v>
      </c>
      <c r="E4160" s="9" t="str">
        <f>_xlfn.TEXTAFTER(Condiciones_acumuladas[[#This Row],[Descripción]], " ", -2)</f>
        <v>Jaime Chilel</v>
      </c>
      <c r="F4160" s="21" t="s">
        <v>2516</v>
      </c>
      <c r="G4160" s="23">
        <v>46224</v>
      </c>
    </row>
    <row r="4161" spans="1:7" ht="36.5" hidden="1" x14ac:dyDescent="0.35">
      <c r="A4161" s="8">
        <v>12780</v>
      </c>
      <c r="B4161" s="10" t="s">
        <v>6716</v>
      </c>
      <c r="C4161" s="10" t="s">
        <v>227</v>
      </c>
      <c r="D4161" s="9" t="s">
        <v>395</v>
      </c>
      <c r="E4161" s="9" t="str">
        <f>_xlfn.TEXTAFTER(Condiciones_acumuladas[[#This Row],[Descripción]], " ", -2)</f>
        <v>Jaime Chilel</v>
      </c>
      <c r="F4161" s="21" t="s">
        <v>2572</v>
      </c>
      <c r="G4161" s="23">
        <v>46233</v>
      </c>
    </row>
    <row r="4162" spans="1:7" ht="36.5" hidden="1" x14ac:dyDescent="0.35">
      <c r="A4162" s="8">
        <v>12779</v>
      </c>
      <c r="B4162" s="10" t="s">
        <v>6717</v>
      </c>
      <c r="C4162" s="10" t="s">
        <v>227</v>
      </c>
      <c r="D4162" s="9" t="s">
        <v>395</v>
      </c>
      <c r="E4162" s="9" t="str">
        <f>_xlfn.TEXTAFTER(Condiciones_acumuladas[[#This Row],[Descripción]], " ", -2)</f>
        <v>Jaime Chilel</v>
      </c>
      <c r="F4162" s="21" t="s">
        <v>2525</v>
      </c>
      <c r="G4162" s="23">
        <v>46233</v>
      </c>
    </row>
    <row r="4163" spans="1:7" ht="48.5" hidden="1" x14ac:dyDescent="0.35">
      <c r="A4163" s="8">
        <v>12592</v>
      </c>
      <c r="B4163" s="10" t="s">
        <v>6718</v>
      </c>
      <c r="C4163" s="10" t="s">
        <v>190</v>
      </c>
      <c r="D4163" s="9" t="s">
        <v>278</v>
      </c>
      <c r="E4163" s="9" t="str">
        <f>_xlfn.TEXTAFTER(Condiciones_acumuladas[[#This Row],[Descripción]], " ", -2)</f>
        <v>Jason Calderón</v>
      </c>
      <c r="F4163" s="21" t="s">
        <v>2559</v>
      </c>
      <c r="G4163" s="23">
        <v>46213</v>
      </c>
    </row>
    <row r="4164" spans="1:7" ht="24.5" hidden="1" x14ac:dyDescent="0.35">
      <c r="A4164" s="8">
        <v>12557</v>
      </c>
      <c r="B4164" s="10" t="s">
        <v>6719</v>
      </c>
      <c r="C4164" s="10" t="s">
        <v>371</v>
      </c>
      <c r="D4164" s="9" t="s">
        <v>371</v>
      </c>
      <c r="E4164" s="9" t="str">
        <f>_xlfn.TEXTAFTER(Condiciones_acumuladas[[#This Row],[Descripción]], " ", -2)</f>
        <v>Jessica Loarca</v>
      </c>
      <c r="F4164" s="21" t="s">
        <v>2522</v>
      </c>
      <c r="G4164" s="23">
        <v>46211</v>
      </c>
    </row>
    <row r="4165" spans="1:7" ht="24.5" hidden="1" x14ac:dyDescent="0.35">
      <c r="A4165" s="8">
        <v>12766</v>
      </c>
      <c r="B4165" s="10" t="s">
        <v>6720</v>
      </c>
      <c r="C4165" s="10" t="s">
        <v>371</v>
      </c>
      <c r="D4165" s="9" t="s">
        <v>371</v>
      </c>
      <c r="E4165" s="9" t="str">
        <f>_xlfn.TEXTAFTER(Condiciones_acumuladas[[#This Row],[Descripción]], " ", -2)</f>
        <v>Jessica Loarca</v>
      </c>
      <c r="F4165" s="21" t="s">
        <v>2522</v>
      </c>
      <c r="G4165" s="23">
        <v>46233</v>
      </c>
    </row>
    <row r="4166" spans="1:7" ht="24.5" hidden="1" x14ac:dyDescent="0.35">
      <c r="A4166" s="8">
        <v>12649</v>
      </c>
      <c r="B4166" s="10" t="s">
        <v>6721</v>
      </c>
      <c r="C4166" s="10" t="s">
        <v>96</v>
      </c>
      <c r="D4166" s="9" t="s">
        <v>96</v>
      </c>
      <c r="E4166" s="9" t="str">
        <f>_xlfn.TEXTAFTER(Condiciones_acumuladas[[#This Row],[Descripción]], " ", -2)</f>
        <v>Jimmy Velásquez</v>
      </c>
      <c r="F4166" s="21" t="s">
        <v>2537</v>
      </c>
      <c r="G4166" s="23">
        <v>46220</v>
      </c>
    </row>
    <row r="4167" spans="1:7" ht="24.5" hidden="1" x14ac:dyDescent="0.35">
      <c r="A4167" s="8">
        <v>12645</v>
      </c>
      <c r="B4167" s="10" t="s">
        <v>6722</v>
      </c>
      <c r="C4167" s="10" t="s">
        <v>96</v>
      </c>
      <c r="D4167" s="9" t="s">
        <v>96</v>
      </c>
      <c r="E4167" s="9" t="str">
        <f>_xlfn.TEXTAFTER(Condiciones_acumuladas[[#This Row],[Descripción]], " ", -2)</f>
        <v>Jimmy Velásquez</v>
      </c>
      <c r="F4167" s="21" t="s">
        <v>2522</v>
      </c>
      <c r="G4167" s="23">
        <v>46220</v>
      </c>
    </row>
    <row r="4168" spans="1:7" ht="36.5" hidden="1" x14ac:dyDescent="0.35">
      <c r="A4168" s="8">
        <v>12646</v>
      </c>
      <c r="B4168" s="10" t="s">
        <v>6723</v>
      </c>
      <c r="C4168" s="10" t="s">
        <v>96</v>
      </c>
      <c r="D4168" s="9" t="s">
        <v>96</v>
      </c>
      <c r="E4168" s="9" t="str">
        <f>_xlfn.TEXTAFTER(Condiciones_acumuladas[[#This Row],[Descripción]], " ", -2)</f>
        <v>Jimmy Velásquez</v>
      </c>
      <c r="F4168" s="21" t="s">
        <v>2516</v>
      </c>
      <c r="G4168" s="23">
        <v>46220</v>
      </c>
    </row>
    <row r="4169" spans="1:7" ht="48.5" hidden="1" x14ac:dyDescent="0.35">
      <c r="A4169" s="8">
        <v>12650</v>
      </c>
      <c r="B4169" s="10" t="s">
        <v>6724</v>
      </c>
      <c r="C4169" s="10" t="s">
        <v>96</v>
      </c>
      <c r="D4169" s="9" t="s">
        <v>96</v>
      </c>
      <c r="E4169" s="9" t="str">
        <f>_xlfn.TEXTAFTER(Condiciones_acumuladas[[#This Row],[Descripción]], " ", -2)</f>
        <v>Jimmy Velásquez</v>
      </c>
      <c r="F4169" s="21" t="s">
        <v>2559</v>
      </c>
      <c r="G4169" s="23">
        <v>46220</v>
      </c>
    </row>
    <row r="4170" spans="1:7" ht="24.5" hidden="1" x14ac:dyDescent="0.35">
      <c r="A4170" s="8">
        <v>12723</v>
      </c>
      <c r="B4170" s="10" t="s">
        <v>6725</v>
      </c>
      <c r="C4170" s="10" t="s">
        <v>96</v>
      </c>
      <c r="D4170" s="9" t="s">
        <v>96</v>
      </c>
      <c r="E4170" s="9" t="str">
        <f>_xlfn.TEXTAFTER(Condiciones_acumuladas[[#This Row],[Descripción]], " ", -2)</f>
        <v>Jimmy Velásquez</v>
      </c>
      <c r="F4170" s="21" t="s">
        <v>2522</v>
      </c>
      <c r="G4170" s="23">
        <v>46227</v>
      </c>
    </row>
    <row r="4171" spans="1:7" ht="24.5" hidden="1" x14ac:dyDescent="0.35">
      <c r="A4171" s="8">
        <v>12579</v>
      </c>
      <c r="B4171" s="10" t="s">
        <v>6726</v>
      </c>
      <c r="C4171" s="10" t="s">
        <v>26</v>
      </c>
      <c r="D4171" s="9" t="s">
        <v>395</v>
      </c>
      <c r="E4171" s="9" t="str">
        <f>_xlfn.TEXTAFTER(Condiciones_acumuladas[[#This Row],[Descripción]], " ", -2)</f>
        <v>Josué Vásquez</v>
      </c>
      <c r="F4171" s="21" t="s">
        <v>2540</v>
      </c>
      <c r="G4171" s="23">
        <v>46212</v>
      </c>
    </row>
    <row r="4172" spans="1:7" ht="36.5" hidden="1" x14ac:dyDescent="0.35">
      <c r="A4172" s="8">
        <v>12560</v>
      </c>
      <c r="B4172" s="10" t="s">
        <v>6727</v>
      </c>
      <c r="C4172" s="10" t="s">
        <v>395</v>
      </c>
      <c r="D4172" s="9" t="s">
        <v>395</v>
      </c>
      <c r="E4172" s="9" t="str">
        <f>_xlfn.TEXTAFTER(Condiciones_acumuladas[[#This Row],[Descripción]], " ", -2)</f>
        <v>Josué Vásquez</v>
      </c>
      <c r="F4172" s="21" t="s">
        <v>2525</v>
      </c>
      <c r="G4172" s="23">
        <v>46211</v>
      </c>
    </row>
    <row r="4173" spans="1:7" ht="24.5" hidden="1" x14ac:dyDescent="0.35">
      <c r="A4173" s="8">
        <v>12637</v>
      </c>
      <c r="B4173" s="10" t="s">
        <v>6728</v>
      </c>
      <c r="C4173" s="10" t="s">
        <v>250</v>
      </c>
      <c r="D4173" s="9" t="s">
        <v>395</v>
      </c>
      <c r="E4173" s="9" t="str">
        <f>_xlfn.TEXTAFTER(Condiciones_acumuladas[[#This Row],[Descripción]], " ", -2)</f>
        <v>Josué Vásquez</v>
      </c>
      <c r="F4173" s="21" t="s">
        <v>2522</v>
      </c>
      <c r="G4173" s="23">
        <v>46219</v>
      </c>
    </row>
    <row r="4174" spans="1:7" ht="36.5" hidden="1" x14ac:dyDescent="0.35">
      <c r="A4174" s="8">
        <v>12636</v>
      </c>
      <c r="B4174" s="10" t="s">
        <v>6729</v>
      </c>
      <c r="C4174" s="10" t="s">
        <v>250</v>
      </c>
      <c r="D4174" s="9" t="s">
        <v>395</v>
      </c>
      <c r="E4174" s="9" t="str">
        <f>_xlfn.TEXTAFTER(Condiciones_acumuladas[[#This Row],[Descripción]], " ", -2)</f>
        <v>Josué Vásquez</v>
      </c>
      <c r="F4174" s="21" t="s">
        <v>2540</v>
      </c>
      <c r="G4174" s="23">
        <v>46219</v>
      </c>
    </row>
    <row r="4175" spans="1:7" ht="36.5" hidden="1" x14ac:dyDescent="0.35">
      <c r="A4175" s="8">
        <v>12694</v>
      </c>
      <c r="B4175" s="10" t="s">
        <v>6730</v>
      </c>
      <c r="C4175" s="10" t="s">
        <v>395</v>
      </c>
      <c r="D4175" s="9" t="s">
        <v>395</v>
      </c>
      <c r="E4175" s="9" t="str">
        <f>_xlfn.TEXTAFTER(Condiciones_acumuladas[[#This Row],[Descripción]], " ", -2)</f>
        <v>Josué Vásquez</v>
      </c>
      <c r="F4175" s="21" t="s">
        <v>2525</v>
      </c>
      <c r="G4175" s="23">
        <v>46225</v>
      </c>
    </row>
    <row r="4176" spans="1:7" ht="36.5" hidden="1" x14ac:dyDescent="0.35">
      <c r="A4176" s="8">
        <v>12665</v>
      </c>
      <c r="B4176" s="10" t="s">
        <v>6731</v>
      </c>
      <c r="C4176" s="10" t="s">
        <v>395</v>
      </c>
      <c r="D4176" s="9" t="s">
        <v>395</v>
      </c>
      <c r="E4176" s="9" t="str">
        <f>_xlfn.TEXTAFTER(Condiciones_acumuladas[[#This Row],[Descripción]], " ", -2)</f>
        <v>Josué Vásquez</v>
      </c>
      <c r="F4176" s="21" t="s">
        <v>2715</v>
      </c>
      <c r="G4176" s="23">
        <v>46224</v>
      </c>
    </row>
    <row r="4177" spans="1:7" ht="36.5" hidden="1" x14ac:dyDescent="0.35">
      <c r="A4177" s="8">
        <v>12664</v>
      </c>
      <c r="B4177" s="10" t="s">
        <v>6732</v>
      </c>
      <c r="C4177" s="10" t="s">
        <v>395</v>
      </c>
      <c r="D4177" s="9" t="s">
        <v>395</v>
      </c>
      <c r="E4177" s="9" t="str">
        <f>_xlfn.TEXTAFTER(Condiciones_acumuladas[[#This Row],[Descripción]], " ", -2)</f>
        <v>Josué Vásquez</v>
      </c>
      <c r="F4177" s="21" t="s">
        <v>2715</v>
      </c>
      <c r="G4177" s="23">
        <v>46224</v>
      </c>
    </row>
    <row r="4178" spans="1:7" ht="36.5" hidden="1" x14ac:dyDescent="0.35">
      <c r="A4178" s="8">
        <v>12663</v>
      </c>
      <c r="B4178" s="10" t="s">
        <v>6733</v>
      </c>
      <c r="C4178" s="10" t="s">
        <v>26</v>
      </c>
      <c r="D4178" s="9" t="s">
        <v>395</v>
      </c>
      <c r="E4178" s="9" t="str">
        <f>_xlfn.TEXTAFTER(Condiciones_acumuladas[[#This Row],[Descripción]], " ", -2)</f>
        <v>Josué Vásquez</v>
      </c>
      <c r="F4178" s="21" t="s">
        <v>2715</v>
      </c>
      <c r="G4178" s="23">
        <v>46224</v>
      </c>
    </row>
    <row r="4179" spans="1:7" ht="36.5" hidden="1" x14ac:dyDescent="0.35">
      <c r="A4179" s="8">
        <v>12662</v>
      </c>
      <c r="B4179" s="10" t="s">
        <v>6734</v>
      </c>
      <c r="C4179" s="10" t="s">
        <v>395</v>
      </c>
      <c r="D4179" s="9" t="s">
        <v>395</v>
      </c>
      <c r="E4179" s="9" t="str">
        <f>_xlfn.TEXTAFTER(Condiciones_acumuladas[[#This Row],[Descripción]], " ", -2)</f>
        <v>Josué Vásquez</v>
      </c>
      <c r="F4179" s="21" t="s">
        <v>2525</v>
      </c>
      <c r="G4179" s="23">
        <v>46224</v>
      </c>
    </row>
    <row r="4180" spans="1:7" ht="24.5" hidden="1" x14ac:dyDescent="0.35">
      <c r="A4180" s="8">
        <v>12774</v>
      </c>
      <c r="B4180" s="10" t="s">
        <v>6735</v>
      </c>
      <c r="C4180" s="10" t="s">
        <v>26</v>
      </c>
      <c r="D4180" s="9" t="s">
        <v>395</v>
      </c>
      <c r="E4180" s="9" t="str">
        <f>_xlfn.TEXTAFTER(Condiciones_acumuladas[[#This Row],[Descripción]], " ", -2)</f>
        <v>Josué Vásquez</v>
      </c>
      <c r="F4180" s="21" t="s">
        <v>2522</v>
      </c>
      <c r="G4180" s="23">
        <v>46233</v>
      </c>
    </row>
    <row r="4181" spans="1:7" ht="24.5" hidden="1" x14ac:dyDescent="0.35">
      <c r="A4181" s="8">
        <v>12597</v>
      </c>
      <c r="B4181" s="10" t="s">
        <v>6736</v>
      </c>
      <c r="C4181" s="10" t="s">
        <v>13</v>
      </c>
      <c r="D4181" s="9" t="s">
        <v>95</v>
      </c>
      <c r="E4181" s="9" t="str">
        <f>_xlfn.TEXTAFTER(Condiciones_acumuladas[[#This Row],[Descripción]], " ", -2)</f>
        <v>Juan Hernández</v>
      </c>
      <c r="F4181" s="21" t="s">
        <v>2540</v>
      </c>
      <c r="G4181" s="23">
        <v>46214</v>
      </c>
    </row>
    <row r="4182" spans="1:7" ht="48.5" hidden="1" x14ac:dyDescent="0.35">
      <c r="A4182" s="8">
        <v>12629</v>
      </c>
      <c r="B4182" s="10" t="s">
        <v>6737</v>
      </c>
      <c r="C4182" s="10" t="s">
        <v>104</v>
      </c>
      <c r="D4182" s="9" t="s">
        <v>95</v>
      </c>
      <c r="E4182" s="9" t="str">
        <f>_xlfn.TEXTAFTER(Condiciones_acumuladas[[#This Row],[Descripción]], " ", -2)</f>
        <v>Juan Hernández</v>
      </c>
      <c r="F4182" s="21" t="s">
        <v>2559</v>
      </c>
      <c r="G4182" s="23">
        <v>46219</v>
      </c>
    </row>
    <row r="4183" spans="1:7" ht="48.5" hidden="1" x14ac:dyDescent="0.35">
      <c r="A4183" s="8">
        <v>12619</v>
      </c>
      <c r="B4183" s="10" t="s">
        <v>6738</v>
      </c>
      <c r="C4183" s="10" t="s">
        <v>96</v>
      </c>
      <c r="D4183" s="9" t="s">
        <v>95</v>
      </c>
      <c r="E4183" s="9" t="str">
        <f>_xlfn.TEXTAFTER(Condiciones_acumuladas[[#This Row],[Descripción]], " ", -2)</f>
        <v>Juan Hernández</v>
      </c>
      <c r="F4183" s="21" t="s">
        <v>2559</v>
      </c>
      <c r="G4183" s="23">
        <v>46217</v>
      </c>
    </row>
    <row r="4184" spans="1:7" ht="24.5" hidden="1" x14ac:dyDescent="0.35">
      <c r="A4184" s="8">
        <v>12603</v>
      </c>
      <c r="B4184" s="10" t="s">
        <v>6739</v>
      </c>
      <c r="C4184" s="10" t="s">
        <v>196</v>
      </c>
      <c r="D4184" s="9" t="s">
        <v>196</v>
      </c>
      <c r="E4184" s="9" t="str">
        <f>_xlfn.TEXTAFTER(Condiciones_acumuladas[[#This Row],[Descripción]], " ", -2)</f>
        <v>Kelly Calderón</v>
      </c>
      <c r="F4184" s="21" t="s">
        <v>2537</v>
      </c>
      <c r="G4184" s="23">
        <v>46217</v>
      </c>
    </row>
    <row r="4185" spans="1:7" ht="24.5" hidden="1" x14ac:dyDescent="0.35">
      <c r="A4185" s="8">
        <v>12604</v>
      </c>
      <c r="B4185" s="10" t="s">
        <v>6740</v>
      </c>
      <c r="C4185" s="10" t="s">
        <v>196</v>
      </c>
      <c r="D4185" s="9" t="s">
        <v>196</v>
      </c>
      <c r="E4185" s="9" t="str">
        <f>_xlfn.TEXTAFTER(Condiciones_acumuladas[[#This Row],[Descripción]], " ", -2)</f>
        <v>Kelly Calderón</v>
      </c>
      <c r="F4185" s="21" t="s">
        <v>2537</v>
      </c>
      <c r="G4185" s="23">
        <v>46217</v>
      </c>
    </row>
    <row r="4186" spans="1:7" ht="48.5" hidden="1" x14ac:dyDescent="0.35">
      <c r="A4186" s="8">
        <v>12703</v>
      </c>
      <c r="B4186" s="10" t="s">
        <v>6741</v>
      </c>
      <c r="C4186" s="10" t="s">
        <v>196</v>
      </c>
      <c r="D4186" s="9" t="s">
        <v>196</v>
      </c>
      <c r="E4186" s="9" t="str">
        <f>_xlfn.TEXTAFTER(Condiciones_acumuladas[[#This Row],[Descripción]], " ", -2)</f>
        <v>Kelly Calderón</v>
      </c>
      <c r="F4186" s="21" t="s">
        <v>2559</v>
      </c>
      <c r="G4186" s="23">
        <v>46226</v>
      </c>
    </row>
    <row r="4187" spans="1:7" ht="24.5" hidden="1" x14ac:dyDescent="0.35">
      <c r="A4187" s="8">
        <v>12524</v>
      </c>
      <c r="B4187" s="10" t="s">
        <v>6742</v>
      </c>
      <c r="C4187" s="10" t="s">
        <v>96</v>
      </c>
      <c r="D4187" s="9" t="s">
        <v>95</v>
      </c>
      <c r="E4187" s="9" t="str">
        <f>_xlfn.TEXTAFTER(Condiciones_acumuladas[[#This Row],[Descripción]], " ", -2)</f>
        <v>Leidy Camey</v>
      </c>
      <c r="F4187" s="21" t="s">
        <v>2522</v>
      </c>
      <c r="G4187" s="23">
        <v>46205</v>
      </c>
    </row>
    <row r="4188" spans="1:7" ht="24.5" hidden="1" x14ac:dyDescent="0.35">
      <c r="A4188" s="8">
        <v>12556</v>
      </c>
      <c r="B4188" s="10" t="s">
        <v>6743</v>
      </c>
      <c r="C4188" s="10" t="s">
        <v>371</v>
      </c>
      <c r="D4188" s="9" t="s">
        <v>205</v>
      </c>
      <c r="E4188" s="9" t="str">
        <f>_xlfn.TEXTAFTER(Condiciones_acumuladas[[#This Row],[Descripción]], " ", -2)</f>
        <v>Lissette Loarca</v>
      </c>
      <c r="F4188" s="21" t="s">
        <v>2522</v>
      </c>
      <c r="G4188" s="23">
        <v>46211</v>
      </c>
    </row>
    <row r="4189" spans="1:7" ht="36.5" hidden="1" x14ac:dyDescent="0.35">
      <c r="A4189" s="8">
        <v>12520</v>
      </c>
      <c r="B4189" s="10" t="s">
        <v>6744</v>
      </c>
      <c r="C4189" s="10" t="s">
        <v>193</v>
      </c>
      <c r="D4189" s="9" t="s">
        <v>395</v>
      </c>
      <c r="E4189" s="9" t="str">
        <f>_xlfn.TEXTAFTER(Condiciones_acumuladas[[#This Row],[Descripción]], " ", -2)</f>
        <v>Luis Angel</v>
      </c>
      <c r="F4189" s="21" t="s">
        <v>2572</v>
      </c>
      <c r="G4189" s="23">
        <v>46204</v>
      </c>
    </row>
    <row r="4190" spans="1:7" ht="48.5" hidden="1" x14ac:dyDescent="0.35">
      <c r="A4190" s="8">
        <v>12745</v>
      </c>
      <c r="B4190" s="10" t="s">
        <v>6745</v>
      </c>
      <c r="C4190" s="10" t="s">
        <v>234</v>
      </c>
      <c r="D4190" s="9" t="s">
        <v>95</v>
      </c>
      <c r="E4190" s="9" t="str">
        <f>_xlfn.TEXTAFTER(Condiciones_acumuladas[[#This Row],[Descripción]], " ", -2)</f>
        <v>Luis Angel</v>
      </c>
      <c r="F4190" s="21" t="s">
        <v>2559</v>
      </c>
      <c r="G4190" s="23">
        <v>46231</v>
      </c>
    </row>
    <row r="4191" spans="1:7" ht="36.5" hidden="1" x14ac:dyDescent="0.35">
      <c r="A4191" s="8">
        <v>12753</v>
      </c>
      <c r="B4191" s="10" t="s">
        <v>6746</v>
      </c>
      <c r="C4191" s="10" t="s">
        <v>193</v>
      </c>
      <c r="D4191" s="9" t="s">
        <v>95</v>
      </c>
      <c r="E4191" s="9" t="str">
        <f>_xlfn.TEXTAFTER(Condiciones_acumuladas[[#This Row],[Descripción]], " ", -2)</f>
        <v>Luis Cabrera</v>
      </c>
      <c r="F4191" s="21" t="s">
        <v>2530</v>
      </c>
      <c r="G4191" s="23">
        <v>46233</v>
      </c>
    </row>
    <row r="4192" spans="1:7" ht="24.5" hidden="1" x14ac:dyDescent="0.35">
      <c r="A4192" s="8">
        <v>12517</v>
      </c>
      <c r="B4192" s="10" t="s">
        <v>6747</v>
      </c>
      <c r="C4192" s="10" t="s">
        <v>96</v>
      </c>
      <c r="D4192" s="9" t="s">
        <v>96</v>
      </c>
      <c r="E4192" s="9" t="str">
        <f>_xlfn.TEXTAFTER(Condiciones_acumuladas[[#This Row],[Descripción]], " ", -2)</f>
        <v>Luis Pérez</v>
      </c>
      <c r="F4192" s="21" t="s">
        <v>2537</v>
      </c>
      <c r="G4192" s="23">
        <v>46204</v>
      </c>
    </row>
    <row r="4193" spans="1:7" ht="36.5" hidden="1" x14ac:dyDescent="0.35">
      <c r="A4193" s="8">
        <v>12565</v>
      </c>
      <c r="B4193" s="10" t="s">
        <v>6748</v>
      </c>
      <c r="C4193" s="10" t="s">
        <v>96</v>
      </c>
      <c r="D4193" s="9" t="s">
        <v>96</v>
      </c>
      <c r="E4193" s="9" t="str">
        <f>_xlfn.TEXTAFTER(Condiciones_acumuladas[[#This Row],[Descripción]], " ", -2)</f>
        <v>Luis Pérez</v>
      </c>
      <c r="F4193" s="21" t="s">
        <v>2516</v>
      </c>
      <c r="G4193" s="23">
        <v>46211</v>
      </c>
    </row>
    <row r="4194" spans="1:7" ht="24.5" hidden="1" x14ac:dyDescent="0.35">
      <c r="A4194" s="8">
        <v>12555</v>
      </c>
      <c r="B4194" s="10" t="s">
        <v>6749</v>
      </c>
      <c r="C4194" s="10" t="s">
        <v>96</v>
      </c>
      <c r="D4194" s="9" t="s">
        <v>96</v>
      </c>
      <c r="E4194" s="9" t="str">
        <f>_xlfn.TEXTAFTER(Condiciones_acumuladas[[#This Row],[Descripción]], " ", -2)</f>
        <v>Luis Pérez</v>
      </c>
      <c r="F4194" s="21" t="s">
        <v>2537</v>
      </c>
      <c r="G4194" s="23">
        <v>46211</v>
      </c>
    </row>
    <row r="4195" spans="1:7" ht="36.5" hidden="1" x14ac:dyDescent="0.35">
      <c r="A4195" s="8">
        <v>12632</v>
      </c>
      <c r="B4195" s="10" t="s">
        <v>6750</v>
      </c>
      <c r="C4195" s="10" t="s">
        <v>96</v>
      </c>
      <c r="D4195" s="9" t="s">
        <v>96</v>
      </c>
      <c r="E4195" s="9" t="str">
        <f>_xlfn.TEXTAFTER(Condiciones_acumuladas[[#This Row],[Descripción]], " ", -2)</f>
        <v>Luis Pérez</v>
      </c>
      <c r="F4195" s="21" t="s">
        <v>2516</v>
      </c>
      <c r="G4195" s="23">
        <v>46219</v>
      </c>
    </row>
    <row r="4196" spans="1:7" ht="24.5" hidden="1" x14ac:dyDescent="0.35">
      <c r="A4196" s="8">
        <v>12620</v>
      </c>
      <c r="B4196" s="10" t="s">
        <v>6751</v>
      </c>
      <c r="C4196" s="10" t="s">
        <v>96</v>
      </c>
      <c r="D4196" s="9" t="s">
        <v>96</v>
      </c>
      <c r="E4196" s="9" t="str">
        <f>_xlfn.TEXTAFTER(Condiciones_acumuladas[[#This Row],[Descripción]], " ", -2)</f>
        <v>Luis Pérez</v>
      </c>
      <c r="F4196" s="21" t="s">
        <v>2537</v>
      </c>
      <c r="G4196" s="23">
        <v>46217</v>
      </c>
    </row>
    <row r="4197" spans="1:7" ht="24.5" hidden="1" x14ac:dyDescent="0.35">
      <c r="A4197" s="8">
        <v>12698</v>
      </c>
      <c r="B4197" s="10" t="s">
        <v>6752</v>
      </c>
      <c r="C4197" s="10" t="s">
        <v>96</v>
      </c>
      <c r="D4197" s="9" t="s">
        <v>395</v>
      </c>
      <c r="E4197" s="9" t="str">
        <f>_xlfn.TEXTAFTER(Condiciones_acumuladas[[#This Row],[Descripción]], " ", -2)</f>
        <v>Luis Pérez</v>
      </c>
      <c r="F4197" s="21" t="s">
        <v>2537</v>
      </c>
      <c r="G4197" s="23">
        <v>46218</v>
      </c>
    </row>
    <row r="4198" spans="1:7" ht="36.5" hidden="1" x14ac:dyDescent="0.35">
      <c r="A4198" s="8">
        <v>12778</v>
      </c>
      <c r="B4198" s="10" t="s">
        <v>6753</v>
      </c>
      <c r="C4198" s="10" t="s">
        <v>196</v>
      </c>
      <c r="D4198" s="9" t="s">
        <v>96</v>
      </c>
      <c r="E4198" s="9" t="str">
        <f>_xlfn.TEXTAFTER(Condiciones_acumuladas[[#This Row],[Descripción]], " ", -2)</f>
        <v>Luis Pérez</v>
      </c>
      <c r="F4198" s="21" t="s">
        <v>2516</v>
      </c>
      <c r="G4198" s="23">
        <v>46233</v>
      </c>
    </row>
    <row r="4199" spans="1:7" ht="36.5" hidden="1" x14ac:dyDescent="0.35">
      <c r="A4199" s="8">
        <v>12510</v>
      </c>
      <c r="B4199" s="10" t="s">
        <v>6754</v>
      </c>
      <c r="C4199" s="10" t="s">
        <v>234</v>
      </c>
      <c r="D4199" s="9" t="s">
        <v>95</v>
      </c>
      <c r="E4199" s="9" t="str">
        <f>_xlfn.TEXTAFTER(Condiciones_acumuladas[[#This Row],[Descripción]], " ", -2)</f>
        <v>Nelson Godínez</v>
      </c>
      <c r="F4199" s="21" t="s">
        <v>2572</v>
      </c>
      <c r="G4199" s="23">
        <v>46206</v>
      </c>
    </row>
    <row r="4200" spans="1:7" ht="24.5" hidden="1" x14ac:dyDescent="0.35">
      <c r="A4200" s="8">
        <v>12593</v>
      </c>
      <c r="B4200" s="10" t="s">
        <v>6755</v>
      </c>
      <c r="C4200" s="10" t="s">
        <v>96</v>
      </c>
      <c r="D4200" s="9" t="s">
        <v>95</v>
      </c>
      <c r="E4200" s="9" t="str">
        <f>_xlfn.TEXTAFTER(Condiciones_acumuladas[[#This Row],[Descripción]], " ", -2)</f>
        <v>Nelson Godínez</v>
      </c>
      <c r="F4200" s="21" t="s">
        <v>2522</v>
      </c>
      <c r="G4200" s="23">
        <v>46213</v>
      </c>
    </row>
    <row r="4201" spans="1:7" ht="48.5" hidden="1" x14ac:dyDescent="0.35">
      <c r="A4201" s="8">
        <v>12589</v>
      </c>
      <c r="B4201" s="10" t="s">
        <v>6756</v>
      </c>
      <c r="C4201" s="10" t="s">
        <v>104</v>
      </c>
      <c r="D4201" s="9" t="s">
        <v>95</v>
      </c>
      <c r="E4201" s="9" t="str">
        <f>_xlfn.TEXTAFTER(Condiciones_acumuladas[[#This Row],[Descripción]], " ", -2)</f>
        <v>Nelson Godínez</v>
      </c>
      <c r="F4201" s="21" t="s">
        <v>2559</v>
      </c>
      <c r="G4201" s="23">
        <v>46213</v>
      </c>
    </row>
    <row r="4202" spans="1:7" ht="36.5" hidden="1" x14ac:dyDescent="0.35">
      <c r="A4202" s="8">
        <v>12585</v>
      </c>
      <c r="B4202" s="10" t="s">
        <v>6757</v>
      </c>
      <c r="C4202" s="10" t="s">
        <v>104</v>
      </c>
      <c r="D4202" s="9" t="s">
        <v>104</v>
      </c>
      <c r="E4202" s="9" t="str">
        <f>_xlfn.TEXTAFTER(Condiciones_acumuladas[[#This Row],[Descripción]], " ", -2)</f>
        <v>Obdulio Saquic</v>
      </c>
      <c r="F4202" s="21" t="s">
        <v>2572</v>
      </c>
      <c r="G4202" s="23">
        <v>46213</v>
      </c>
    </row>
    <row r="4203" spans="1:7" ht="36.5" hidden="1" x14ac:dyDescent="0.35">
      <c r="A4203" s="8">
        <v>12608</v>
      </c>
      <c r="B4203" s="10" t="s">
        <v>6758</v>
      </c>
      <c r="C4203" s="10" t="s">
        <v>104</v>
      </c>
      <c r="D4203" s="9" t="s">
        <v>104</v>
      </c>
      <c r="E4203" s="9" t="str">
        <f>_xlfn.TEXTAFTER(Condiciones_acumuladas[[#This Row],[Descripción]], " ", -2)</f>
        <v>Obdulio Saquic</v>
      </c>
      <c r="F4203" s="21" t="s">
        <v>2530</v>
      </c>
      <c r="G4203" s="23">
        <v>46218</v>
      </c>
    </row>
    <row r="4204" spans="1:7" ht="24.5" hidden="1" x14ac:dyDescent="0.35">
      <c r="A4204" s="8">
        <v>12657</v>
      </c>
      <c r="B4204" s="10" t="s">
        <v>6759</v>
      </c>
      <c r="C4204" s="10" t="s">
        <v>104</v>
      </c>
      <c r="D4204" s="9" t="s">
        <v>104</v>
      </c>
      <c r="E4204" s="9" t="str">
        <f>_xlfn.TEXTAFTER(Condiciones_acumuladas[[#This Row],[Descripción]], " ", -2)</f>
        <v>Obdulio Saquic</v>
      </c>
      <c r="F4204" s="21" t="s">
        <v>2834</v>
      </c>
      <c r="G4204" s="23">
        <v>46223</v>
      </c>
    </row>
    <row r="4205" spans="1:7" ht="48.5" hidden="1" x14ac:dyDescent="0.35">
      <c r="A4205" s="8">
        <v>12666</v>
      </c>
      <c r="B4205" s="10" t="s">
        <v>6760</v>
      </c>
      <c r="C4205" s="10" t="s">
        <v>234</v>
      </c>
      <c r="D4205" s="9" t="s">
        <v>104</v>
      </c>
      <c r="E4205" s="9" t="str">
        <f>_xlfn.TEXTAFTER(Condiciones_acumuladas[[#This Row],[Descripción]], " ", -2)</f>
        <v>Obdulio Saquic</v>
      </c>
      <c r="F4205" s="21" t="s">
        <v>2559</v>
      </c>
      <c r="G4205" s="23">
        <v>46225</v>
      </c>
    </row>
    <row r="4206" spans="1:7" ht="36.5" hidden="1" x14ac:dyDescent="0.35">
      <c r="A4206" s="8">
        <v>12720</v>
      </c>
      <c r="B4206" s="10" t="s">
        <v>6761</v>
      </c>
      <c r="C4206" s="10" t="s">
        <v>104</v>
      </c>
      <c r="D4206" s="9" t="s">
        <v>104</v>
      </c>
      <c r="E4206" s="9" t="str">
        <f>_xlfn.TEXTAFTER(Condiciones_acumuladas[[#This Row],[Descripción]], " ", -2)</f>
        <v>Obdulio Saquic</v>
      </c>
      <c r="F4206" s="21" t="s">
        <v>2525</v>
      </c>
      <c r="G4206" s="23">
        <v>46227</v>
      </c>
    </row>
    <row r="4207" spans="1:7" ht="36.5" hidden="1" x14ac:dyDescent="0.35">
      <c r="A4207" s="8">
        <v>12717</v>
      </c>
      <c r="B4207" s="10" t="s">
        <v>6762</v>
      </c>
      <c r="C4207" s="10" t="s">
        <v>104</v>
      </c>
      <c r="D4207" s="9" t="s">
        <v>104</v>
      </c>
      <c r="E4207" s="9" t="str">
        <f>_xlfn.TEXTAFTER(Condiciones_acumuladas[[#This Row],[Descripción]], " ", -2)</f>
        <v>Obdulio Saquic</v>
      </c>
      <c r="F4207" s="21" t="s">
        <v>2525</v>
      </c>
      <c r="G4207" s="23">
        <v>46227</v>
      </c>
    </row>
    <row r="4208" spans="1:7" ht="48.5" hidden="1" x14ac:dyDescent="0.35">
      <c r="A4208" s="8">
        <v>12716</v>
      </c>
      <c r="B4208" s="10" t="s">
        <v>6763</v>
      </c>
      <c r="C4208" s="10" t="s">
        <v>104</v>
      </c>
      <c r="D4208" s="9" t="s">
        <v>104</v>
      </c>
      <c r="E4208" s="9" t="str">
        <f>_xlfn.TEXTAFTER(Condiciones_acumuladas[[#This Row],[Descripción]], " ", -2)</f>
        <v>Obdulio Saquic</v>
      </c>
      <c r="F4208" s="21" t="s">
        <v>2559</v>
      </c>
      <c r="G4208" s="23">
        <v>46227</v>
      </c>
    </row>
    <row r="4209" spans="1:7" ht="48.5" hidden="1" x14ac:dyDescent="0.35">
      <c r="A4209" s="8">
        <v>12741</v>
      </c>
      <c r="B4209" s="10" t="s">
        <v>6764</v>
      </c>
      <c r="C4209" s="10" t="s">
        <v>104</v>
      </c>
      <c r="D4209" s="9" t="s">
        <v>104</v>
      </c>
      <c r="E4209" s="9" t="str">
        <f>_xlfn.TEXTAFTER(Condiciones_acumuladas[[#This Row],[Descripción]], " ", -2)</f>
        <v>Obdulio Saquic</v>
      </c>
      <c r="F4209" s="21" t="s">
        <v>2559</v>
      </c>
      <c r="G4209" s="23">
        <v>46231</v>
      </c>
    </row>
    <row r="4210" spans="1:7" ht="36.5" hidden="1" x14ac:dyDescent="0.35">
      <c r="A4210" s="8">
        <v>12515</v>
      </c>
      <c r="B4210" s="10" t="s">
        <v>6765</v>
      </c>
      <c r="C4210" s="10" t="s">
        <v>13</v>
      </c>
      <c r="D4210" s="9" t="s">
        <v>13</v>
      </c>
      <c r="E4210" s="9" t="str">
        <f>_xlfn.TEXTAFTER(Condiciones_acumuladas[[#This Row],[Descripción]], " ", -2)</f>
        <v>Oscar Ramírez</v>
      </c>
      <c r="F4210" s="21" t="s">
        <v>2516</v>
      </c>
      <c r="G4210" s="23">
        <v>46204</v>
      </c>
    </row>
    <row r="4211" spans="1:7" ht="36.5" hidden="1" x14ac:dyDescent="0.35">
      <c r="A4211" s="8">
        <v>12572</v>
      </c>
      <c r="B4211" s="10" t="s">
        <v>6766</v>
      </c>
      <c r="C4211" s="10" t="s">
        <v>13</v>
      </c>
      <c r="D4211" s="9" t="s">
        <v>13</v>
      </c>
      <c r="E4211" s="9" t="str">
        <f>_xlfn.TEXTAFTER(Condiciones_acumuladas[[#This Row],[Descripción]], " ", -2)</f>
        <v>Oscar Ramírez</v>
      </c>
      <c r="F4211" s="21" t="s">
        <v>2540</v>
      </c>
      <c r="G4211" s="23">
        <v>46212</v>
      </c>
    </row>
    <row r="4212" spans="1:7" ht="24.5" hidden="1" x14ac:dyDescent="0.35">
      <c r="A4212" s="8">
        <v>12571</v>
      </c>
      <c r="B4212" s="10" t="s">
        <v>6767</v>
      </c>
      <c r="C4212" s="10" t="s">
        <v>134</v>
      </c>
      <c r="D4212" s="9" t="s">
        <v>13</v>
      </c>
      <c r="E4212" s="9" t="str">
        <f>_xlfn.TEXTAFTER(Condiciones_acumuladas[[#This Row],[Descripción]], " ", -2)</f>
        <v>Oscar Ramírez</v>
      </c>
      <c r="F4212" s="21" t="s">
        <v>2522</v>
      </c>
      <c r="G4212" s="23">
        <v>46212</v>
      </c>
    </row>
    <row r="4213" spans="1:7" ht="36.5" hidden="1" x14ac:dyDescent="0.35">
      <c r="A4213" s="8">
        <v>12569</v>
      </c>
      <c r="B4213" s="10" t="s">
        <v>6768</v>
      </c>
      <c r="C4213" s="10" t="s">
        <v>104</v>
      </c>
      <c r="D4213" s="9" t="s">
        <v>13</v>
      </c>
      <c r="E4213" s="9" t="str">
        <f>_xlfn.TEXTAFTER(Condiciones_acumuladas[[#This Row],[Descripción]], " ", -2)</f>
        <v>Oscar Ramírez</v>
      </c>
      <c r="F4213" s="21" t="s">
        <v>2530</v>
      </c>
      <c r="G4213" s="23">
        <v>46212</v>
      </c>
    </row>
    <row r="4214" spans="1:7" ht="36.5" hidden="1" x14ac:dyDescent="0.35">
      <c r="A4214" s="8">
        <v>12570</v>
      </c>
      <c r="B4214" s="10" t="s">
        <v>6769</v>
      </c>
      <c r="C4214" s="10" t="s">
        <v>134</v>
      </c>
      <c r="D4214" s="9" t="s">
        <v>21</v>
      </c>
      <c r="E4214" s="9" t="str">
        <f>_xlfn.TEXTAFTER(Condiciones_acumuladas[[#This Row],[Descripción]], " ", -2)</f>
        <v>Oscar Ramírez</v>
      </c>
      <c r="F4214" s="21" t="s">
        <v>2530</v>
      </c>
      <c r="G4214" s="23">
        <v>46212</v>
      </c>
    </row>
    <row r="4215" spans="1:7" ht="36.5" hidden="1" x14ac:dyDescent="0.35">
      <c r="A4215" s="8">
        <v>12566</v>
      </c>
      <c r="B4215" s="10" t="s">
        <v>6770</v>
      </c>
      <c r="C4215" s="10" t="s">
        <v>234</v>
      </c>
      <c r="D4215" s="9" t="s">
        <v>21</v>
      </c>
      <c r="E4215" s="9" t="str">
        <f>_xlfn.TEXTAFTER(Condiciones_acumuladas[[#This Row],[Descripción]], " ", -2)</f>
        <v>Oscar Ramírez</v>
      </c>
      <c r="F4215" s="21" t="s">
        <v>2572</v>
      </c>
      <c r="G4215" s="23">
        <v>46211</v>
      </c>
    </row>
    <row r="4216" spans="1:7" ht="36.5" hidden="1" x14ac:dyDescent="0.35">
      <c r="A4216" s="8">
        <v>12553</v>
      </c>
      <c r="B4216" s="10" t="s">
        <v>6771</v>
      </c>
      <c r="C4216" s="10" t="s">
        <v>21</v>
      </c>
      <c r="D4216" s="9" t="s">
        <v>21</v>
      </c>
      <c r="E4216" s="9" t="str">
        <f>_xlfn.TEXTAFTER(Condiciones_acumuladas[[#This Row],[Descripción]], " ", -2)</f>
        <v>Oscar Ramírez</v>
      </c>
      <c r="F4216" s="21" t="s">
        <v>2530</v>
      </c>
      <c r="G4216" s="23">
        <v>46211</v>
      </c>
    </row>
    <row r="4217" spans="1:7" ht="24.5" hidden="1" x14ac:dyDescent="0.35">
      <c r="A4217" s="8">
        <v>12552</v>
      </c>
      <c r="B4217" s="10" t="s">
        <v>6772</v>
      </c>
      <c r="C4217" s="10" t="s">
        <v>21</v>
      </c>
      <c r="D4217" s="9" t="s">
        <v>21</v>
      </c>
      <c r="E4217" s="9" t="str">
        <f>_xlfn.TEXTAFTER(Condiciones_acumuladas[[#This Row],[Descripción]], " ", -2)</f>
        <v>Oscar Ramírez</v>
      </c>
      <c r="F4217" s="21" t="s">
        <v>2540</v>
      </c>
      <c r="G4217" s="23">
        <v>46211</v>
      </c>
    </row>
    <row r="4218" spans="1:7" ht="36.5" hidden="1" x14ac:dyDescent="0.35">
      <c r="A4218" s="8">
        <v>12546</v>
      </c>
      <c r="B4218" s="10" t="s">
        <v>6773</v>
      </c>
      <c r="C4218" s="10" t="s">
        <v>21</v>
      </c>
      <c r="D4218" s="9" t="s">
        <v>21</v>
      </c>
      <c r="E4218" s="9" t="str">
        <f>_xlfn.TEXTAFTER(Condiciones_acumuladas[[#This Row],[Descripción]], " ", -2)</f>
        <v>Oscar Ramírez</v>
      </c>
      <c r="F4218" s="21" t="s">
        <v>2522</v>
      </c>
      <c r="G4218" s="23">
        <v>46211</v>
      </c>
    </row>
    <row r="4219" spans="1:7" ht="24.5" hidden="1" x14ac:dyDescent="0.35">
      <c r="A4219" s="8">
        <v>12545</v>
      </c>
      <c r="B4219" s="10" t="s">
        <v>6774</v>
      </c>
      <c r="C4219" s="10" t="s">
        <v>13</v>
      </c>
      <c r="D4219" s="9" t="s">
        <v>13</v>
      </c>
      <c r="E4219" s="9" t="str">
        <f>_xlfn.TEXTAFTER(Condiciones_acumuladas[[#This Row],[Descripción]], " ", -2)</f>
        <v>Oscar Ramírez</v>
      </c>
      <c r="F4219" s="21" t="s">
        <v>2522</v>
      </c>
      <c r="G4219" s="23">
        <v>46211</v>
      </c>
    </row>
    <row r="4220" spans="1:7" ht="24.5" hidden="1" x14ac:dyDescent="0.35">
      <c r="A4220" s="8">
        <v>12540</v>
      </c>
      <c r="B4220" s="10" t="s">
        <v>6775</v>
      </c>
      <c r="C4220" s="10" t="s">
        <v>13</v>
      </c>
      <c r="D4220" s="9" t="s">
        <v>13</v>
      </c>
      <c r="E4220" s="9" t="str">
        <f>_xlfn.TEXTAFTER(Condiciones_acumuladas[[#This Row],[Descripción]], " ", -2)</f>
        <v>Oscar Ramírez</v>
      </c>
      <c r="F4220" s="21" t="s">
        <v>2522</v>
      </c>
      <c r="G4220" s="23">
        <v>46210</v>
      </c>
    </row>
    <row r="4221" spans="1:7" ht="36.5" hidden="1" x14ac:dyDescent="0.35">
      <c r="A4221" s="8">
        <v>12631</v>
      </c>
      <c r="B4221" s="10" t="s">
        <v>6776</v>
      </c>
      <c r="C4221" s="10" t="s">
        <v>21</v>
      </c>
      <c r="D4221" s="9" t="s">
        <v>21</v>
      </c>
      <c r="E4221" s="9" t="str">
        <f>_xlfn.TEXTAFTER(Condiciones_acumuladas[[#This Row],[Descripción]], " ", -2)</f>
        <v>Oscar Ramírez</v>
      </c>
      <c r="F4221" s="21" t="s">
        <v>2540</v>
      </c>
      <c r="G4221" s="23">
        <v>46219</v>
      </c>
    </row>
    <row r="4222" spans="1:7" ht="36.5" hidden="1" x14ac:dyDescent="0.35">
      <c r="A4222" s="8">
        <v>12630</v>
      </c>
      <c r="B4222" s="10" t="s">
        <v>6777</v>
      </c>
      <c r="C4222" s="10" t="s">
        <v>21</v>
      </c>
      <c r="D4222" s="9" t="s">
        <v>21</v>
      </c>
      <c r="E4222" s="9" t="str">
        <f>_xlfn.TEXTAFTER(Condiciones_acumuladas[[#This Row],[Descripción]], " ", -2)</f>
        <v>Oscar Ramírez</v>
      </c>
      <c r="F4222" s="21" t="s">
        <v>2572</v>
      </c>
      <c r="G4222" s="23">
        <v>46219</v>
      </c>
    </row>
    <row r="4223" spans="1:7" ht="36.5" hidden="1" x14ac:dyDescent="0.35">
      <c r="A4223" s="8">
        <v>12622</v>
      </c>
      <c r="B4223" s="10" t="s">
        <v>6778</v>
      </c>
      <c r="C4223" s="10" t="s">
        <v>13</v>
      </c>
      <c r="D4223" s="9" t="s">
        <v>13</v>
      </c>
      <c r="E4223" s="9" t="str">
        <f>_xlfn.TEXTAFTER(Condiciones_acumuladas[[#This Row],[Descripción]], " ", -2)</f>
        <v>Oscar Ramírez</v>
      </c>
      <c r="F4223" s="21" t="s">
        <v>2530</v>
      </c>
      <c r="G4223" s="23">
        <v>46217</v>
      </c>
    </row>
    <row r="4224" spans="1:7" ht="24.5" hidden="1" x14ac:dyDescent="0.35">
      <c r="A4224" s="8">
        <v>12621</v>
      </c>
      <c r="B4224" s="10" t="s">
        <v>6779</v>
      </c>
      <c r="C4224" s="10" t="s">
        <v>21</v>
      </c>
      <c r="D4224" s="9" t="s">
        <v>21</v>
      </c>
      <c r="E4224" s="9" t="str">
        <f>_xlfn.TEXTAFTER(Condiciones_acumuladas[[#This Row],[Descripción]], " ", -2)</f>
        <v>Oscar Ramírez</v>
      </c>
      <c r="F4224" s="21" t="s">
        <v>2540</v>
      </c>
      <c r="G4224" s="23">
        <v>46217</v>
      </c>
    </row>
    <row r="4225" spans="1:7" ht="36.5" hidden="1" x14ac:dyDescent="0.35">
      <c r="A4225" s="8">
        <v>12614</v>
      </c>
      <c r="B4225" s="10" t="s">
        <v>6780</v>
      </c>
      <c r="C4225" s="10" t="s">
        <v>34</v>
      </c>
      <c r="D4225" s="9" t="s">
        <v>13</v>
      </c>
      <c r="E4225" s="9" t="str">
        <f>_xlfn.TEXTAFTER(Condiciones_acumuladas[[#This Row],[Descripción]], " ", -2)</f>
        <v>Oscar Ramírez</v>
      </c>
      <c r="F4225" s="21" t="s">
        <v>2525</v>
      </c>
      <c r="G4225" s="23">
        <v>46216</v>
      </c>
    </row>
    <row r="4226" spans="1:7" ht="24.5" hidden="1" x14ac:dyDescent="0.35">
      <c r="A4226" s="8">
        <v>12704</v>
      </c>
      <c r="B4226" s="10" t="s">
        <v>6781</v>
      </c>
      <c r="C4226" s="10" t="s">
        <v>193</v>
      </c>
      <c r="D4226" s="9" t="s">
        <v>13</v>
      </c>
      <c r="E4226" s="9" t="str">
        <f>_xlfn.TEXTAFTER(Condiciones_acumuladas[[#This Row],[Descripción]], " ", -2)</f>
        <v>Oscar Ramírez</v>
      </c>
      <c r="F4226" s="21" t="s">
        <v>2834</v>
      </c>
      <c r="G4226" s="23">
        <v>46226</v>
      </c>
    </row>
    <row r="4227" spans="1:7" ht="24.5" hidden="1" x14ac:dyDescent="0.35">
      <c r="A4227" s="8">
        <v>12699</v>
      </c>
      <c r="B4227" s="10" t="s">
        <v>6782</v>
      </c>
      <c r="C4227" s="10" t="s">
        <v>13</v>
      </c>
      <c r="D4227" s="9" t="s">
        <v>13</v>
      </c>
      <c r="E4227" s="9" t="str">
        <f>_xlfn.TEXTAFTER(Condiciones_acumuladas[[#This Row],[Descripción]], " ", -2)</f>
        <v>Oscar Ramírez</v>
      </c>
      <c r="F4227" s="21" t="s">
        <v>2522</v>
      </c>
      <c r="G4227" s="23">
        <v>46225</v>
      </c>
    </row>
    <row r="4228" spans="1:7" ht="24.5" hidden="1" x14ac:dyDescent="0.35">
      <c r="A4228" s="8">
        <v>12702</v>
      </c>
      <c r="B4228" s="10" t="s">
        <v>6783</v>
      </c>
      <c r="C4228" s="10" t="s">
        <v>21</v>
      </c>
      <c r="D4228" s="9" t="s">
        <v>21</v>
      </c>
      <c r="E4228" s="9" t="str">
        <f>_xlfn.TEXTAFTER(Condiciones_acumuladas[[#This Row],[Descripción]], " ", -2)</f>
        <v>Oscar Ramírez</v>
      </c>
      <c r="F4228" s="21" t="s">
        <v>2540</v>
      </c>
      <c r="G4228" s="23">
        <v>46226</v>
      </c>
    </row>
    <row r="4229" spans="1:7" ht="24.5" hidden="1" x14ac:dyDescent="0.35">
      <c r="A4229" s="8">
        <v>12685</v>
      </c>
      <c r="B4229" s="10" t="s">
        <v>6784</v>
      </c>
      <c r="C4229" s="10" t="s">
        <v>21</v>
      </c>
      <c r="D4229" s="9" t="s">
        <v>21</v>
      </c>
      <c r="E4229" s="9" t="str">
        <f>_xlfn.TEXTAFTER(Condiciones_acumuladas[[#This Row],[Descripción]], " ", -2)</f>
        <v>Oscar Ramírez</v>
      </c>
      <c r="F4229" s="21" t="s">
        <v>2522</v>
      </c>
      <c r="G4229" s="23">
        <v>46225</v>
      </c>
    </row>
    <row r="4230" spans="1:7" ht="24.5" hidden="1" x14ac:dyDescent="0.35">
      <c r="A4230" s="8">
        <v>12684</v>
      </c>
      <c r="B4230" s="10" t="s">
        <v>6785</v>
      </c>
      <c r="C4230" s="10" t="s">
        <v>21</v>
      </c>
      <c r="D4230" s="9" t="s">
        <v>21</v>
      </c>
      <c r="E4230" s="9" t="str">
        <f>_xlfn.TEXTAFTER(Condiciones_acumuladas[[#This Row],[Descripción]], " ", -2)</f>
        <v>Oscar Ramírez</v>
      </c>
      <c r="F4230" s="21" t="s">
        <v>2540</v>
      </c>
      <c r="G4230" s="23">
        <v>46225</v>
      </c>
    </row>
    <row r="4231" spans="1:7" ht="24.5" hidden="1" x14ac:dyDescent="0.35">
      <c r="A4231" s="8">
        <v>12700</v>
      </c>
      <c r="B4231" s="10" t="s">
        <v>6786</v>
      </c>
      <c r="C4231" s="10" t="s">
        <v>371</v>
      </c>
      <c r="D4231" s="9" t="s">
        <v>371</v>
      </c>
      <c r="E4231" s="9" t="str">
        <f>_xlfn.TEXTAFTER(Condiciones_acumuladas[[#This Row],[Descripción]], " ", -2)</f>
        <v>Rodrigo Galindo</v>
      </c>
      <c r="F4231" s="21" t="s">
        <v>2522</v>
      </c>
      <c r="G4231" s="23">
        <v>46225</v>
      </c>
    </row>
    <row r="4232" spans="1:7" ht="24.5" hidden="1" x14ac:dyDescent="0.35">
      <c r="A4232" s="8">
        <v>12562</v>
      </c>
      <c r="B4232" s="10" t="s">
        <v>6787</v>
      </c>
      <c r="C4232" s="10" t="s">
        <v>190</v>
      </c>
      <c r="D4232" s="9" t="s">
        <v>234</v>
      </c>
      <c r="E4232" s="9" t="str">
        <f>_xlfn.TEXTAFTER(Condiciones_acumuladas[[#This Row],[Descripción]], " ", -2)</f>
        <v>Roy Luarca</v>
      </c>
      <c r="F4232" s="21" t="s">
        <v>2522</v>
      </c>
      <c r="G4232" s="23">
        <v>46211</v>
      </c>
    </row>
    <row r="4233" spans="1:7" ht="36.5" hidden="1" x14ac:dyDescent="0.35">
      <c r="A4233" s="8">
        <v>12627</v>
      </c>
      <c r="B4233" s="10" t="s">
        <v>6788</v>
      </c>
      <c r="C4233" s="10" t="s">
        <v>21</v>
      </c>
      <c r="D4233" s="9" t="s">
        <v>190</v>
      </c>
      <c r="E4233" s="9" t="str">
        <f>_xlfn.TEXTAFTER(Condiciones_acumuladas[[#This Row],[Descripción]], " ", -2)</f>
        <v>Walfred Guzmán</v>
      </c>
      <c r="F4233" s="21" t="s">
        <v>2530</v>
      </c>
      <c r="G4233" s="23">
        <v>46218</v>
      </c>
    </row>
    <row r="4234" spans="1:7" ht="24.5" hidden="1" x14ac:dyDescent="0.35">
      <c r="A4234" s="8">
        <v>12613</v>
      </c>
      <c r="B4234" s="10" t="s">
        <v>6789</v>
      </c>
      <c r="C4234" s="10" t="s">
        <v>250</v>
      </c>
      <c r="D4234" s="9" t="s">
        <v>190</v>
      </c>
      <c r="E4234" s="9" t="str">
        <f>_xlfn.TEXTAFTER(Condiciones_acumuladas[[#This Row],[Descripción]], " ", -2)</f>
        <v>Walfred Guzmán</v>
      </c>
      <c r="F4234" s="21" t="s">
        <v>2540</v>
      </c>
      <c r="G4234" s="23">
        <v>46216</v>
      </c>
    </row>
    <row r="4235" spans="1:7" ht="36.5" hidden="1" x14ac:dyDescent="0.35">
      <c r="A4235" s="8">
        <v>12558</v>
      </c>
      <c r="B4235" s="10" t="s">
        <v>6790</v>
      </c>
      <c r="C4235" s="10" t="s">
        <v>190</v>
      </c>
      <c r="D4235" s="9" t="s">
        <v>234</v>
      </c>
      <c r="E4235" s="9" t="str">
        <f>_xlfn.TEXTAFTER(Condiciones_acumuladas[[#This Row],[Descripción]], " ", -2)</f>
        <v>Wilber López</v>
      </c>
      <c r="F4235" s="21" t="s">
        <v>2530</v>
      </c>
      <c r="G4235" s="23">
        <v>46211</v>
      </c>
    </row>
    <row r="4236" spans="1:7" ht="48.5" hidden="1" x14ac:dyDescent="0.35">
      <c r="A4236" s="8">
        <v>12697</v>
      </c>
      <c r="B4236" s="10" t="s">
        <v>6791</v>
      </c>
      <c r="C4236" s="10" t="s">
        <v>26</v>
      </c>
      <c r="D4236" s="9" t="s">
        <v>234</v>
      </c>
      <c r="E4236" s="9" t="str">
        <f>_xlfn.TEXTAFTER(Condiciones_acumuladas[[#This Row],[Descripción]], " ", -2)</f>
        <v>Wilber López</v>
      </c>
      <c r="F4236" s="21" t="s">
        <v>2516</v>
      </c>
      <c r="G4236" s="23">
        <v>46225</v>
      </c>
    </row>
    <row r="4237" spans="1:7" ht="24.5" hidden="1" x14ac:dyDescent="0.35">
      <c r="A4237" s="8">
        <v>12691</v>
      </c>
      <c r="B4237" s="10" t="s">
        <v>6792</v>
      </c>
      <c r="C4237" s="10" t="s">
        <v>26</v>
      </c>
      <c r="D4237" s="9" t="s">
        <v>234</v>
      </c>
      <c r="E4237" s="9" t="str">
        <f>_xlfn.TEXTAFTER(Condiciones_acumuladas[[#This Row],[Descripción]], " ", -2)</f>
        <v>Wilber López</v>
      </c>
      <c r="F4237" s="21" t="s">
        <v>2522</v>
      </c>
      <c r="G4237" s="23">
        <v>46225</v>
      </c>
    </row>
    <row r="4238" spans="1:7" ht="36.5" hidden="1" x14ac:dyDescent="0.35">
      <c r="A4238" s="8">
        <v>12688</v>
      </c>
      <c r="B4238" s="10" t="s">
        <v>6793</v>
      </c>
      <c r="C4238" s="10" t="s">
        <v>26</v>
      </c>
      <c r="D4238" s="9" t="s">
        <v>234</v>
      </c>
      <c r="E4238" s="9" t="str">
        <f>_xlfn.TEXTAFTER(Condiciones_acumuladas[[#This Row],[Descripción]], " ", -2)</f>
        <v>Wilber López</v>
      </c>
      <c r="F4238" s="21" t="s">
        <v>2530</v>
      </c>
      <c r="G4238" s="23">
        <v>46225</v>
      </c>
    </row>
    <row r="4239" spans="1:7" ht="24.5" hidden="1" x14ac:dyDescent="0.35">
      <c r="A4239" s="8">
        <v>12768</v>
      </c>
      <c r="B4239" s="10" t="s">
        <v>6794</v>
      </c>
      <c r="C4239" s="10" t="s">
        <v>234</v>
      </c>
      <c r="D4239" s="9" t="s">
        <v>234</v>
      </c>
      <c r="E4239" s="9" t="str">
        <f>_xlfn.TEXTAFTER(Condiciones_acumuladas[[#This Row],[Descripción]], " ", -2)</f>
        <v>Wilber López</v>
      </c>
      <c r="F4239" s="21" t="s">
        <v>2522</v>
      </c>
      <c r="G4239" s="23">
        <v>46233</v>
      </c>
    </row>
    <row r="4240" spans="1:7" ht="24.5" hidden="1" x14ac:dyDescent="0.35">
      <c r="A4240" s="8">
        <v>12960</v>
      </c>
      <c r="B4240" s="10" t="s">
        <v>6795</v>
      </c>
      <c r="C4240" s="10" t="s">
        <v>234</v>
      </c>
      <c r="D4240" s="9" t="s">
        <v>395</v>
      </c>
      <c r="E4240" s="9" t="str">
        <f>_xlfn.TEXTAFTER(Condiciones_acumuladas[[#This Row],[Descripción]], " ", -2)</f>
        <v>Abraham Quiej</v>
      </c>
      <c r="F4240" s="21" t="s">
        <v>2540</v>
      </c>
      <c r="G4240" s="23">
        <v>46250</v>
      </c>
    </row>
    <row r="4241" spans="1:7" ht="36.5" hidden="1" x14ac:dyDescent="0.35">
      <c r="A4241" s="8">
        <v>12784</v>
      </c>
      <c r="B4241" s="10" t="s">
        <v>6796</v>
      </c>
      <c r="C4241" s="10" t="s">
        <v>26</v>
      </c>
      <c r="D4241" s="9" t="s">
        <v>26</v>
      </c>
      <c r="E4241" s="9" t="str">
        <f>_xlfn.TEXTAFTER(Condiciones_acumuladas[[#This Row],[Descripción]], " ", -2)</f>
        <v>Adrián Santisteban</v>
      </c>
      <c r="F4241" s="21" t="s">
        <v>2525</v>
      </c>
      <c r="G4241" s="23">
        <v>46234</v>
      </c>
    </row>
    <row r="4242" spans="1:7" ht="24.5" hidden="1" x14ac:dyDescent="0.35">
      <c r="A4242" s="8">
        <v>12867</v>
      </c>
      <c r="B4242" s="10" t="s">
        <v>6797</v>
      </c>
      <c r="C4242" s="10" t="s">
        <v>26</v>
      </c>
      <c r="D4242" s="9" t="s">
        <v>95</v>
      </c>
      <c r="E4242" s="9" t="str">
        <f>_xlfn.TEXTAFTER(Condiciones_acumuladas[[#This Row],[Descripción]], " ", -2)</f>
        <v>Alejandro Martínez</v>
      </c>
      <c r="F4242" s="21" t="s">
        <v>2522</v>
      </c>
      <c r="G4242" s="23">
        <v>46239</v>
      </c>
    </row>
    <row r="4243" spans="1:7" ht="24.5" hidden="1" x14ac:dyDescent="0.35">
      <c r="A4243" s="8">
        <v>12866</v>
      </c>
      <c r="B4243" s="10" t="s">
        <v>6798</v>
      </c>
      <c r="C4243" s="10" t="s">
        <v>26</v>
      </c>
      <c r="D4243" s="9" t="s">
        <v>95</v>
      </c>
      <c r="E4243" s="9" t="str">
        <f>_xlfn.TEXTAFTER(Condiciones_acumuladas[[#This Row],[Descripción]], " ", -2)</f>
        <v>Alejandro Martínez</v>
      </c>
      <c r="F4243" s="21" t="s">
        <v>2522</v>
      </c>
      <c r="G4243" s="23">
        <v>46239</v>
      </c>
    </row>
    <row r="4244" spans="1:7" ht="36.5" hidden="1" x14ac:dyDescent="0.35">
      <c r="A4244" s="8">
        <v>12865</v>
      </c>
      <c r="B4244" s="10" t="s">
        <v>6799</v>
      </c>
      <c r="C4244" s="10" t="s">
        <v>26</v>
      </c>
      <c r="D4244" s="9" t="s">
        <v>95</v>
      </c>
      <c r="E4244" s="9" t="str">
        <f>_xlfn.TEXTAFTER(Condiciones_acumuladas[[#This Row],[Descripción]], " ", -2)</f>
        <v>Alejandro Martínez</v>
      </c>
      <c r="F4244" s="21" t="s">
        <v>2540</v>
      </c>
      <c r="G4244" s="23">
        <v>46239</v>
      </c>
    </row>
    <row r="4245" spans="1:7" ht="24.5" hidden="1" x14ac:dyDescent="0.35">
      <c r="A4245" s="8">
        <v>12878</v>
      </c>
      <c r="B4245" s="10" t="s">
        <v>6800</v>
      </c>
      <c r="C4245" s="10" t="s">
        <v>134</v>
      </c>
      <c r="D4245" s="9" t="s">
        <v>134</v>
      </c>
      <c r="E4245" s="9" t="str">
        <f>_xlfn.TEXTAFTER(Condiciones_acumuladas[[#This Row],[Descripción]], " ", -2)</f>
        <v>Alfonso Guatzin</v>
      </c>
      <c r="F4245" s="21" t="s">
        <v>2522</v>
      </c>
      <c r="G4245" s="23">
        <v>46244</v>
      </c>
    </row>
    <row r="4246" spans="1:7" ht="24.5" hidden="1" x14ac:dyDescent="0.35">
      <c r="A4246" s="8">
        <v>12854</v>
      </c>
      <c r="B4246" s="10" t="s">
        <v>6801</v>
      </c>
      <c r="C4246" s="10" t="s">
        <v>134</v>
      </c>
      <c r="D4246" s="9" t="s">
        <v>134</v>
      </c>
      <c r="E4246" s="9" t="str">
        <f>_xlfn.TEXTAFTER(Condiciones_acumuladas[[#This Row],[Descripción]], " ", -2)</f>
        <v>Alfonso Guatzin</v>
      </c>
      <c r="F4246" s="21" t="s">
        <v>2522</v>
      </c>
      <c r="G4246" s="23">
        <v>46241</v>
      </c>
    </row>
    <row r="4247" spans="1:7" ht="24.5" hidden="1" x14ac:dyDescent="0.35">
      <c r="A4247" s="8">
        <v>12914</v>
      </c>
      <c r="B4247" s="10" t="s">
        <v>6802</v>
      </c>
      <c r="C4247" s="10" t="s">
        <v>250</v>
      </c>
      <c r="D4247" s="9" t="s">
        <v>95</v>
      </c>
      <c r="E4247" s="9" t="str">
        <f>_xlfn.TEXTAFTER(Condiciones_acumuladas[[#This Row],[Descripción]], " ", -2)</f>
        <v>Andrea González</v>
      </c>
      <c r="F4247" s="21" t="s">
        <v>2540</v>
      </c>
      <c r="G4247" s="23">
        <v>46247</v>
      </c>
    </row>
    <row r="4248" spans="1:7" ht="24.5" hidden="1" x14ac:dyDescent="0.35">
      <c r="A4248" s="8">
        <v>12958</v>
      </c>
      <c r="B4248" s="10" t="s">
        <v>6803</v>
      </c>
      <c r="C4248" s="10" t="s">
        <v>96</v>
      </c>
      <c r="D4248" s="9" t="s">
        <v>395</v>
      </c>
      <c r="E4248" s="9" t="str">
        <f>_xlfn.TEXTAFTER(Condiciones_acumuladas[[#This Row],[Descripción]], " ", -2)</f>
        <v>Antony Ramos</v>
      </c>
      <c r="F4248" s="21" t="s">
        <v>2522</v>
      </c>
      <c r="G4248" s="23">
        <v>46248</v>
      </c>
    </row>
    <row r="4249" spans="1:7" ht="24.5" hidden="1" x14ac:dyDescent="0.35">
      <c r="A4249" s="8">
        <v>12957</v>
      </c>
      <c r="B4249" s="10" t="s">
        <v>6804</v>
      </c>
      <c r="C4249" s="10" t="s">
        <v>104</v>
      </c>
      <c r="D4249" s="9" t="s">
        <v>395</v>
      </c>
      <c r="E4249" s="9" t="str">
        <f>_xlfn.TEXTAFTER(Condiciones_acumuladas[[#This Row],[Descripción]], " ", -2)</f>
        <v>Antony Ramos</v>
      </c>
      <c r="F4249" s="21" t="s">
        <v>2522</v>
      </c>
      <c r="G4249" s="23">
        <v>46248</v>
      </c>
    </row>
    <row r="4250" spans="1:7" ht="24.5" hidden="1" x14ac:dyDescent="0.35">
      <c r="A4250" s="8">
        <v>12956</v>
      </c>
      <c r="B4250" s="10" t="s">
        <v>6805</v>
      </c>
      <c r="C4250" s="10" t="s">
        <v>234</v>
      </c>
      <c r="D4250" s="9" t="s">
        <v>395</v>
      </c>
      <c r="E4250" s="9" t="str">
        <f>_xlfn.TEXTAFTER(Condiciones_acumuladas[[#This Row],[Descripción]], " ", -2)</f>
        <v>Antony Ramos</v>
      </c>
      <c r="F4250" s="21" t="s">
        <v>2522</v>
      </c>
      <c r="G4250" s="23">
        <v>46248</v>
      </c>
    </row>
    <row r="4251" spans="1:7" ht="24.5" hidden="1" x14ac:dyDescent="0.35">
      <c r="A4251" s="8">
        <v>12845</v>
      </c>
      <c r="B4251" s="10" t="s">
        <v>6806</v>
      </c>
      <c r="C4251" s="10" t="s">
        <v>250</v>
      </c>
      <c r="D4251" s="9" t="s">
        <v>395</v>
      </c>
      <c r="E4251" s="9" t="str">
        <f>_xlfn.TEXTAFTER(Condiciones_acumuladas[[#This Row],[Descripción]], " ", -2)</f>
        <v>Bryan Barahona</v>
      </c>
      <c r="F4251" s="21" t="s">
        <v>2522</v>
      </c>
      <c r="G4251" s="23">
        <v>46237</v>
      </c>
    </row>
    <row r="4252" spans="1:7" ht="24.5" hidden="1" x14ac:dyDescent="0.35">
      <c r="A4252" s="8">
        <v>12844</v>
      </c>
      <c r="B4252" s="10" t="s">
        <v>6807</v>
      </c>
      <c r="C4252" s="10" t="s">
        <v>104</v>
      </c>
      <c r="D4252" s="9" t="s">
        <v>395</v>
      </c>
      <c r="E4252" s="9" t="str">
        <f>_xlfn.TEXTAFTER(Condiciones_acumuladas[[#This Row],[Descripción]], " ", -2)</f>
        <v>Bryan Barahona</v>
      </c>
      <c r="F4252" s="21" t="s">
        <v>2522</v>
      </c>
      <c r="G4252" s="23">
        <v>46237</v>
      </c>
    </row>
    <row r="4253" spans="1:7" ht="36.5" hidden="1" x14ac:dyDescent="0.35">
      <c r="A4253" s="8">
        <v>12754</v>
      </c>
      <c r="B4253" s="10" t="s">
        <v>6808</v>
      </c>
      <c r="C4253" s="10" t="s">
        <v>104</v>
      </c>
      <c r="D4253" s="9" t="s">
        <v>234</v>
      </c>
      <c r="E4253" s="9" t="str">
        <f>_xlfn.TEXTAFTER(Condiciones_acumuladas[[#This Row],[Descripción]], " ", -2)</f>
        <v>Bryan Rodas</v>
      </c>
      <c r="F4253" s="21" t="s">
        <v>2572</v>
      </c>
      <c r="G4253" s="23">
        <v>46234</v>
      </c>
    </row>
    <row r="4254" spans="1:7" ht="36.5" hidden="1" x14ac:dyDescent="0.35">
      <c r="A4254" s="8">
        <v>12886</v>
      </c>
      <c r="B4254" s="10" t="s">
        <v>6809</v>
      </c>
      <c r="C4254" s="10" t="s">
        <v>234</v>
      </c>
      <c r="D4254" s="9" t="s">
        <v>234</v>
      </c>
      <c r="E4254" s="9" t="str">
        <f>_xlfn.TEXTAFTER(Condiciones_acumuladas[[#This Row],[Descripción]], " ", -2)</f>
        <v>Bryan Rodas</v>
      </c>
      <c r="F4254" s="21" t="s">
        <v>2516</v>
      </c>
      <c r="G4254" s="23">
        <v>46246</v>
      </c>
    </row>
    <row r="4255" spans="1:7" ht="36.5" hidden="1" x14ac:dyDescent="0.35">
      <c r="A4255" s="8">
        <v>12913</v>
      </c>
      <c r="B4255" s="10" t="s">
        <v>6810</v>
      </c>
      <c r="C4255" s="10" t="s">
        <v>193</v>
      </c>
      <c r="D4255" s="9" t="s">
        <v>234</v>
      </c>
      <c r="E4255" s="9" t="str">
        <f>_xlfn.TEXTAFTER(Condiciones_acumuladas[[#This Row],[Descripción]], " ", -2)</f>
        <v>Bryan Rodas</v>
      </c>
      <c r="F4255" s="21" t="s">
        <v>2572</v>
      </c>
      <c r="G4255" s="23">
        <v>46247</v>
      </c>
    </row>
    <row r="4256" spans="1:7" ht="48.5" hidden="1" x14ac:dyDescent="0.35">
      <c r="A4256" s="8">
        <v>12912</v>
      </c>
      <c r="B4256" s="10" t="s">
        <v>6811</v>
      </c>
      <c r="C4256" s="10" t="s">
        <v>193</v>
      </c>
      <c r="D4256" s="9" t="s">
        <v>234</v>
      </c>
      <c r="E4256" s="9" t="str">
        <f>_xlfn.TEXTAFTER(Condiciones_acumuladas[[#This Row],[Descripción]], " ", -2)</f>
        <v>Bryan Rodas</v>
      </c>
      <c r="F4256" s="21" t="s">
        <v>2559</v>
      </c>
      <c r="G4256" s="23">
        <v>46247</v>
      </c>
    </row>
    <row r="4257" spans="1:7" ht="36.5" hidden="1" x14ac:dyDescent="0.35">
      <c r="A4257" s="8">
        <v>12911</v>
      </c>
      <c r="B4257" s="10" t="s">
        <v>6812</v>
      </c>
      <c r="C4257" s="10" t="s">
        <v>193</v>
      </c>
      <c r="D4257" s="9" t="s">
        <v>234</v>
      </c>
      <c r="E4257" s="9" t="str">
        <f>_xlfn.TEXTAFTER(Condiciones_acumuladas[[#This Row],[Descripción]], " ", -2)</f>
        <v>Bryan Rodas</v>
      </c>
      <c r="F4257" s="21" t="s">
        <v>2525</v>
      </c>
      <c r="G4257" s="23">
        <v>46247</v>
      </c>
    </row>
    <row r="4258" spans="1:7" ht="36.5" hidden="1" x14ac:dyDescent="0.35">
      <c r="A4258" s="8">
        <v>12910</v>
      </c>
      <c r="B4258" s="10" t="s">
        <v>6813</v>
      </c>
      <c r="C4258" s="10" t="s">
        <v>193</v>
      </c>
      <c r="D4258" s="9" t="s">
        <v>234</v>
      </c>
      <c r="E4258" s="9" t="str">
        <f>_xlfn.TEXTAFTER(Condiciones_acumuladas[[#This Row],[Descripción]], " ", -2)</f>
        <v>Bryan Rodas</v>
      </c>
      <c r="F4258" s="21" t="s">
        <v>2525</v>
      </c>
      <c r="G4258" s="23">
        <v>46247</v>
      </c>
    </row>
    <row r="4259" spans="1:7" ht="24.5" hidden="1" x14ac:dyDescent="0.35">
      <c r="A4259" s="8">
        <v>12909</v>
      </c>
      <c r="B4259" s="10" t="s">
        <v>6814</v>
      </c>
      <c r="C4259" s="10" t="s">
        <v>193</v>
      </c>
      <c r="D4259" s="9" t="s">
        <v>234</v>
      </c>
      <c r="E4259" s="9" t="str">
        <f>_xlfn.TEXTAFTER(Condiciones_acumuladas[[#This Row],[Descripción]], " ", -2)</f>
        <v>Bryan Rodas</v>
      </c>
      <c r="F4259" s="21" t="s">
        <v>2522</v>
      </c>
      <c r="G4259" s="23">
        <v>46247</v>
      </c>
    </row>
    <row r="4260" spans="1:7" ht="36.5" hidden="1" x14ac:dyDescent="0.35">
      <c r="A4260" s="8">
        <v>12908</v>
      </c>
      <c r="B4260" s="10" t="s">
        <v>6815</v>
      </c>
      <c r="C4260" s="10" t="s">
        <v>193</v>
      </c>
      <c r="D4260" s="9" t="s">
        <v>234</v>
      </c>
      <c r="E4260" s="9" t="str">
        <f>_xlfn.TEXTAFTER(Condiciones_acumuladas[[#This Row],[Descripción]], " ", -2)</f>
        <v>Bryan Rodas</v>
      </c>
      <c r="F4260" s="21" t="s">
        <v>2525</v>
      </c>
      <c r="G4260" s="23">
        <v>46247</v>
      </c>
    </row>
    <row r="4261" spans="1:7" ht="36.5" hidden="1" x14ac:dyDescent="0.35">
      <c r="A4261" s="8">
        <v>12907</v>
      </c>
      <c r="B4261" s="10" t="s">
        <v>6816</v>
      </c>
      <c r="C4261" s="10" t="s">
        <v>96</v>
      </c>
      <c r="D4261" s="9" t="s">
        <v>96</v>
      </c>
      <c r="E4261" s="9" t="str">
        <f>_xlfn.TEXTAFTER(Condiciones_acumuladas[[#This Row],[Descripción]], " ", -2)</f>
        <v>Bryan Rodas</v>
      </c>
      <c r="F4261" s="21" t="s">
        <v>2516</v>
      </c>
      <c r="G4261" s="23">
        <v>46247</v>
      </c>
    </row>
    <row r="4262" spans="1:7" ht="24.5" hidden="1" x14ac:dyDescent="0.35">
      <c r="A4262" s="8">
        <v>12853</v>
      </c>
      <c r="B4262" s="10" t="s">
        <v>6817</v>
      </c>
      <c r="C4262" s="10" t="s">
        <v>96</v>
      </c>
      <c r="D4262" s="9" t="s">
        <v>395</v>
      </c>
      <c r="E4262" s="9" t="str">
        <f>_xlfn.TEXTAFTER(Condiciones_acumuladas[[#This Row],[Descripción]], " ", -2)</f>
        <v>Daniel Pineda</v>
      </c>
      <c r="F4262" s="21" t="s">
        <v>2834</v>
      </c>
      <c r="G4262" s="23">
        <v>46238</v>
      </c>
    </row>
    <row r="4263" spans="1:7" ht="24.5" hidden="1" x14ac:dyDescent="0.35">
      <c r="A4263" s="8">
        <v>12851</v>
      </c>
      <c r="B4263" s="10" t="s">
        <v>6818</v>
      </c>
      <c r="C4263" s="10" t="s">
        <v>26</v>
      </c>
      <c r="D4263" s="9" t="s">
        <v>395</v>
      </c>
      <c r="E4263" s="9" t="str">
        <f>_xlfn.TEXTAFTER(Condiciones_acumuladas[[#This Row],[Descripción]], " ", -2)</f>
        <v>Daniel Pineda</v>
      </c>
      <c r="F4263" s="21" t="s">
        <v>2522</v>
      </c>
      <c r="G4263" s="23">
        <v>46238</v>
      </c>
    </row>
    <row r="4264" spans="1:7" ht="24.5" hidden="1" x14ac:dyDescent="0.35">
      <c r="A4264" s="8">
        <v>12852</v>
      </c>
      <c r="B4264" s="10" t="s">
        <v>6819</v>
      </c>
      <c r="C4264" s="10" t="s">
        <v>26</v>
      </c>
      <c r="D4264" s="9" t="s">
        <v>395</v>
      </c>
      <c r="E4264" s="9" t="str">
        <f>_xlfn.TEXTAFTER(Condiciones_acumuladas[[#This Row],[Descripción]], " ", -2)</f>
        <v>Daniel Pineda</v>
      </c>
      <c r="F4264" s="21" t="s">
        <v>2540</v>
      </c>
      <c r="G4264" s="23">
        <v>46238</v>
      </c>
    </row>
    <row r="4265" spans="1:7" ht="24.5" hidden="1" x14ac:dyDescent="0.35">
      <c r="A4265" s="8">
        <v>12843</v>
      </c>
      <c r="B4265" s="10" t="s">
        <v>6820</v>
      </c>
      <c r="C4265" s="10" t="s">
        <v>371</v>
      </c>
      <c r="D4265" s="9" t="s">
        <v>395</v>
      </c>
      <c r="E4265" s="9" t="str">
        <f>_xlfn.TEXTAFTER(Condiciones_acumuladas[[#This Row],[Descripción]], " ", -2)</f>
        <v>Daniel Pineda</v>
      </c>
      <c r="F4265" s="21" t="s">
        <v>2834</v>
      </c>
      <c r="G4265" s="23">
        <v>46235</v>
      </c>
    </row>
    <row r="4266" spans="1:7" ht="48.5" hidden="1" x14ac:dyDescent="0.35">
      <c r="A4266" s="8">
        <v>12891</v>
      </c>
      <c r="B4266" s="10" t="s">
        <v>6821</v>
      </c>
      <c r="C4266" s="10" t="s">
        <v>234</v>
      </c>
      <c r="D4266" s="9" t="s">
        <v>395</v>
      </c>
      <c r="E4266" s="9" t="str">
        <f>_xlfn.TEXTAFTER(Condiciones_acumuladas[[#This Row],[Descripción]], " ", -2)</f>
        <v>Daniel Pineda</v>
      </c>
      <c r="F4266" s="21" t="s">
        <v>2559</v>
      </c>
      <c r="G4266" s="23">
        <v>46244</v>
      </c>
    </row>
    <row r="4267" spans="1:7" ht="36.5" hidden="1" x14ac:dyDescent="0.35">
      <c r="A4267" s="8">
        <v>12890</v>
      </c>
      <c r="B4267" s="10" t="s">
        <v>6822</v>
      </c>
      <c r="C4267" s="10" t="s">
        <v>250</v>
      </c>
      <c r="D4267" s="9" t="s">
        <v>250</v>
      </c>
      <c r="E4267" s="9" t="str">
        <f>_xlfn.TEXTAFTER(Condiciones_acumuladas[[#This Row],[Descripción]], " ", -2)</f>
        <v>Edson Bonifacio</v>
      </c>
      <c r="F4267" s="21" t="s">
        <v>2572</v>
      </c>
      <c r="G4267" s="23">
        <v>46244</v>
      </c>
    </row>
    <row r="4268" spans="1:7" ht="36.5" hidden="1" x14ac:dyDescent="0.35">
      <c r="A4268" s="8">
        <v>12934</v>
      </c>
      <c r="B4268" s="10" t="s">
        <v>6823</v>
      </c>
      <c r="C4268" s="10" t="s">
        <v>371</v>
      </c>
      <c r="D4268" s="9" t="s">
        <v>395</v>
      </c>
      <c r="E4268" s="9" t="str">
        <f>_xlfn.TEXTAFTER(Condiciones_acumuladas[[#This Row],[Descripción]], " ", -2)</f>
        <v>Daniel Pineda</v>
      </c>
      <c r="F4268" s="21" t="s">
        <v>2516</v>
      </c>
      <c r="G4268" s="23">
        <v>46247</v>
      </c>
    </row>
    <row r="4269" spans="1:7" ht="48.5" hidden="1" x14ac:dyDescent="0.35">
      <c r="A4269" s="8">
        <v>12931</v>
      </c>
      <c r="B4269" s="10" t="s">
        <v>6824</v>
      </c>
      <c r="C4269" s="10" t="s">
        <v>278</v>
      </c>
      <c r="D4269" s="9" t="s">
        <v>395</v>
      </c>
      <c r="E4269" s="9" t="str">
        <f>_xlfn.TEXTAFTER(Condiciones_acumuladas[[#This Row],[Descripción]], " ", -2)</f>
        <v>Daniel Pineda</v>
      </c>
      <c r="F4269" s="21" t="s">
        <v>2715</v>
      </c>
      <c r="G4269" s="23">
        <v>46247</v>
      </c>
    </row>
    <row r="4270" spans="1:7" ht="24.5" hidden="1" x14ac:dyDescent="0.35">
      <c r="A4270" s="8">
        <v>12932</v>
      </c>
      <c r="B4270" s="10" t="s">
        <v>6825</v>
      </c>
      <c r="C4270" s="10" t="s">
        <v>278</v>
      </c>
      <c r="D4270" s="9" t="s">
        <v>395</v>
      </c>
      <c r="E4270" s="9" t="str">
        <f>_xlfn.TEXTAFTER(Condiciones_acumuladas[[#This Row],[Descripción]], " ", -2)</f>
        <v>Daniel Pineda</v>
      </c>
      <c r="F4270" s="21" t="s">
        <v>2522</v>
      </c>
      <c r="G4270" s="23">
        <v>46247</v>
      </c>
    </row>
    <row r="4271" spans="1:7" ht="24.5" hidden="1" x14ac:dyDescent="0.35">
      <c r="A4271" s="8">
        <v>12930</v>
      </c>
      <c r="B4271" s="10" t="s">
        <v>6826</v>
      </c>
      <c r="C4271" s="10" t="s">
        <v>278</v>
      </c>
      <c r="D4271" s="9" t="s">
        <v>395</v>
      </c>
      <c r="E4271" s="9" t="str">
        <f>_xlfn.TEXTAFTER(Condiciones_acumuladas[[#This Row],[Descripción]], " ", -2)</f>
        <v>Daniel Pineda</v>
      </c>
      <c r="F4271" s="21" t="s">
        <v>2522</v>
      </c>
      <c r="G4271" s="23">
        <v>46247</v>
      </c>
    </row>
    <row r="4272" spans="1:7" ht="36.5" hidden="1" x14ac:dyDescent="0.35">
      <c r="A4272" s="8">
        <v>12828</v>
      </c>
      <c r="B4272" s="10" t="s">
        <v>6827</v>
      </c>
      <c r="C4272" s="10" t="s">
        <v>234</v>
      </c>
      <c r="D4272" s="9" t="s">
        <v>95</v>
      </c>
      <c r="E4272" s="9" t="str">
        <f>_xlfn.TEXTAFTER(Condiciones_acumuladas[[#This Row],[Descripción]], " ", -2)</f>
        <v>Diana Pérez</v>
      </c>
      <c r="F4272" s="21" t="s">
        <v>2516</v>
      </c>
      <c r="G4272" s="23">
        <v>46237</v>
      </c>
    </row>
    <row r="4273" spans="1:7" ht="24.5" hidden="1" x14ac:dyDescent="0.35">
      <c r="A4273" s="8">
        <v>12829</v>
      </c>
      <c r="B4273" s="10" t="s">
        <v>6828</v>
      </c>
      <c r="C4273" s="10" t="s">
        <v>234</v>
      </c>
      <c r="D4273" s="9" t="s">
        <v>95</v>
      </c>
      <c r="E4273" s="9" t="str">
        <f>_xlfn.TEXTAFTER(Condiciones_acumuladas[[#This Row],[Descripción]], " ", -2)</f>
        <v>Diana Pérez</v>
      </c>
      <c r="F4273" s="21" t="s">
        <v>2522</v>
      </c>
      <c r="G4273" s="23">
        <v>46237</v>
      </c>
    </row>
    <row r="4274" spans="1:7" ht="36.5" hidden="1" x14ac:dyDescent="0.35">
      <c r="A4274" s="8">
        <v>12832</v>
      </c>
      <c r="B4274" s="10" t="s">
        <v>6829</v>
      </c>
      <c r="C4274" s="10" t="s">
        <v>34</v>
      </c>
      <c r="D4274" s="9" t="s">
        <v>95</v>
      </c>
      <c r="E4274" s="9" t="str">
        <f>_xlfn.TEXTAFTER(Condiciones_acumuladas[[#This Row],[Descripción]], " ", -2)</f>
        <v>Diana Pérez</v>
      </c>
      <c r="F4274" s="21" t="s">
        <v>2530</v>
      </c>
      <c r="G4274" s="23">
        <v>46238</v>
      </c>
    </row>
    <row r="4275" spans="1:7" ht="36.5" hidden="1" x14ac:dyDescent="0.35">
      <c r="A4275" s="8">
        <v>12875</v>
      </c>
      <c r="B4275" s="10" t="s">
        <v>6830</v>
      </c>
      <c r="C4275" s="10" t="s">
        <v>13</v>
      </c>
      <c r="D4275" s="9" t="s">
        <v>250</v>
      </c>
      <c r="E4275" s="9" t="str">
        <f>_xlfn.TEXTAFTER(Condiciones_acumuladas[[#This Row],[Descripción]], " ", -2)</f>
        <v>Edson Bonifacio</v>
      </c>
      <c r="F4275" s="21" t="s">
        <v>2530</v>
      </c>
      <c r="G4275" s="23">
        <v>46241</v>
      </c>
    </row>
    <row r="4276" spans="1:7" ht="24.5" hidden="1" x14ac:dyDescent="0.35">
      <c r="A4276" s="8">
        <v>12846</v>
      </c>
      <c r="B4276" s="10" t="s">
        <v>6831</v>
      </c>
      <c r="C4276" s="10" t="s">
        <v>21</v>
      </c>
      <c r="D4276" s="9" t="s">
        <v>250</v>
      </c>
      <c r="E4276" s="9" t="str">
        <f>_xlfn.TEXTAFTER(Condiciones_acumuladas[[#This Row],[Descripción]], " ", -2)</f>
        <v>Edson Bonifacio</v>
      </c>
      <c r="F4276" s="21" t="s">
        <v>2522</v>
      </c>
      <c r="G4276" s="23">
        <v>46237</v>
      </c>
    </row>
    <row r="4277" spans="1:7" ht="24.5" hidden="1" x14ac:dyDescent="0.35">
      <c r="A4277" s="8">
        <v>12894</v>
      </c>
      <c r="B4277" s="10" t="s">
        <v>6832</v>
      </c>
      <c r="C4277" s="10" t="s">
        <v>13</v>
      </c>
      <c r="D4277" s="9" t="s">
        <v>250</v>
      </c>
      <c r="E4277" s="9" t="str">
        <f>_xlfn.TEXTAFTER(Condiciones_acumuladas[[#This Row],[Descripción]], " ", -2)</f>
        <v>Edson Bonifacio</v>
      </c>
      <c r="F4277" s="21" t="s">
        <v>2522</v>
      </c>
      <c r="G4277" s="23">
        <v>46244</v>
      </c>
    </row>
    <row r="4278" spans="1:7" ht="36.5" hidden="1" x14ac:dyDescent="0.35">
      <c r="A4278" s="8">
        <v>12892</v>
      </c>
      <c r="B4278" s="10" t="s">
        <v>6833</v>
      </c>
      <c r="C4278" s="10" t="s">
        <v>21</v>
      </c>
      <c r="D4278" s="9" t="s">
        <v>250</v>
      </c>
      <c r="E4278" s="9" t="str">
        <f>_xlfn.TEXTAFTER(Condiciones_acumuladas[[#This Row],[Descripción]], " ", -2)</f>
        <v>Edson Bonifacio</v>
      </c>
      <c r="F4278" s="21" t="s">
        <v>2516</v>
      </c>
      <c r="G4278" s="23">
        <v>46244</v>
      </c>
    </row>
    <row r="4279" spans="1:7" ht="36.5" hidden="1" x14ac:dyDescent="0.35">
      <c r="A4279" s="8">
        <v>12861</v>
      </c>
      <c r="B4279" s="10" t="s">
        <v>6834</v>
      </c>
      <c r="C4279" s="10" t="s">
        <v>34</v>
      </c>
      <c r="D4279" s="9" t="s">
        <v>190</v>
      </c>
      <c r="E4279" s="9" t="str">
        <f>_xlfn.TEXTAFTER(Condiciones_acumuladas[[#This Row],[Descripción]], " ", -2)</f>
        <v>Elvis Oliva</v>
      </c>
      <c r="F4279" s="21" t="s">
        <v>2525</v>
      </c>
      <c r="G4279" s="23">
        <v>46239</v>
      </c>
    </row>
    <row r="4280" spans="1:7" ht="24.5" hidden="1" x14ac:dyDescent="0.35">
      <c r="A4280" s="8">
        <v>12859</v>
      </c>
      <c r="B4280" s="10" t="s">
        <v>6835</v>
      </c>
      <c r="C4280" s="10" t="s">
        <v>34</v>
      </c>
      <c r="D4280" s="9" t="s">
        <v>190</v>
      </c>
      <c r="E4280" s="9" t="str">
        <f>_xlfn.TEXTAFTER(Condiciones_acumuladas[[#This Row],[Descripción]], " ", -2)</f>
        <v>Elvis Oliva</v>
      </c>
      <c r="F4280" s="21" t="s">
        <v>2540</v>
      </c>
      <c r="G4280" s="23">
        <v>46239</v>
      </c>
    </row>
    <row r="4281" spans="1:7" ht="36.5" hidden="1" x14ac:dyDescent="0.35">
      <c r="A4281" s="8">
        <v>12858</v>
      </c>
      <c r="B4281" s="10" t="s">
        <v>6836</v>
      </c>
      <c r="C4281" s="10" t="s">
        <v>34</v>
      </c>
      <c r="D4281" s="9" t="s">
        <v>190</v>
      </c>
      <c r="E4281" s="9" t="str">
        <f>_xlfn.TEXTAFTER(Condiciones_acumuladas[[#This Row],[Descripción]], " ", -2)</f>
        <v>Elvis Oliva</v>
      </c>
      <c r="F4281" s="21" t="s">
        <v>2572</v>
      </c>
      <c r="G4281" s="23">
        <v>46239</v>
      </c>
    </row>
    <row r="4282" spans="1:7" ht="24.5" hidden="1" x14ac:dyDescent="0.35">
      <c r="A4282" s="8">
        <v>12899</v>
      </c>
      <c r="B4282" s="10" t="s">
        <v>6837</v>
      </c>
      <c r="C4282" s="10" t="s">
        <v>190</v>
      </c>
      <c r="D4282" s="9" t="s">
        <v>190</v>
      </c>
      <c r="E4282" s="9" t="str">
        <f>_xlfn.TEXTAFTER(Condiciones_acumuladas[[#This Row],[Descripción]], " ", -2)</f>
        <v>Elvis Oliva</v>
      </c>
      <c r="F4282" s="21" t="s">
        <v>2522</v>
      </c>
      <c r="G4282" s="23">
        <v>46245</v>
      </c>
    </row>
    <row r="4283" spans="1:7" ht="24.5" hidden="1" x14ac:dyDescent="0.35">
      <c r="A4283" s="8">
        <v>12898</v>
      </c>
      <c r="B4283" s="10" t="s">
        <v>6838</v>
      </c>
      <c r="C4283" s="10" t="s">
        <v>190</v>
      </c>
      <c r="D4283" s="9" t="s">
        <v>190</v>
      </c>
      <c r="E4283" s="9" t="str">
        <f>_xlfn.TEXTAFTER(Condiciones_acumuladas[[#This Row],[Descripción]], " ", -2)</f>
        <v>Elvis Oliva</v>
      </c>
      <c r="F4283" s="21" t="s">
        <v>2522</v>
      </c>
      <c r="G4283" s="23">
        <v>46245</v>
      </c>
    </row>
    <row r="4284" spans="1:7" ht="36.5" hidden="1" x14ac:dyDescent="0.35">
      <c r="A4284" s="8">
        <v>12877</v>
      </c>
      <c r="B4284" s="10" t="s">
        <v>6839</v>
      </c>
      <c r="C4284" s="10" t="s">
        <v>104</v>
      </c>
      <c r="D4284" s="9" t="s">
        <v>196</v>
      </c>
      <c r="E4284" s="9" t="str">
        <f>_xlfn.TEXTAFTER(Condiciones_acumuladas[[#This Row],[Descripción]], " ", -2)</f>
        <v>Esdras Orozco</v>
      </c>
      <c r="F4284" s="21" t="s">
        <v>2525</v>
      </c>
      <c r="G4284" s="23">
        <v>46244</v>
      </c>
    </row>
    <row r="4285" spans="1:7" ht="24.5" hidden="1" x14ac:dyDescent="0.35">
      <c r="A4285" s="8">
        <v>12923</v>
      </c>
      <c r="B4285" s="10" t="s">
        <v>6840</v>
      </c>
      <c r="C4285" s="10" t="s">
        <v>21</v>
      </c>
      <c r="D4285" s="9" t="s">
        <v>395</v>
      </c>
      <c r="E4285" s="9" t="str">
        <f>_xlfn.TEXTAFTER(Condiciones_acumuladas[[#This Row],[Descripción]], " ", -2)</f>
        <v>German Orozco</v>
      </c>
      <c r="F4285" s="21" t="s">
        <v>2522</v>
      </c>
      <c r="G4285" s="23">
        <v>46246</v>
      </c>
    </row>
    <row r="4286" spans="1:7" ht="36.5" hidden="1" x14ac:dyDescent="0.35">
      <c r="A4286" s="8">
        <v>12920</v>
      </c>
      <c r="B4286" s="10" t="s">
        <v>6841</v>
      </c>
      <c r="C4286" s="10" t="s">
        <v>21</v>
      </c>
      <c r="D4286" s="9" t="s">
        <v>395</v>
      </c>
      <c r="E4286" s="9" t="str">
        <f>_xlfn.TEXTAFTER(Condiciones_acumuladas[[#This Row],[Descripción]], " ", -2)</f>
        <v>German Orozco</v>
      </c>
      <c r="F4286" s="21" t="s">
        <v>2530</v>
      </c>
      <c r="G4286" s="23">
        <v>46246</v>
      </c>
    </row>
    <row r="4287" spans="1:7" ht="36.5" hidden="1" x14ac:dyDescent="0.35">
      <c r="A4287" s="8">
        <v>12922</v>
      </c>
      <c r="B4287" s="10" t="s">
        <v>6842</v>
      </c>
      <c r="C4287" s="10" t="s">
        <v>21</v>
      </c>
      <c r="D4287" s="9" t="s">
        <v>395</v>
      </c>
      <c r="E4287" s="9" t="str">
        <f>_xlfn.TEXTAFTER(Condiciones_acumuladas[[#This Row],[Descripción]], " ", -2)</f>
        <v>German Orozco</v>
      </c>
      <c r="F4287" s="21" t="s">
        <v>2525</v>
      </c>
      <c r="G4287" s="23">
        <v>46246</v>
      </c>
    </row>
    <row r="4288" spans="1:7" ht="36.5" hidden="1" x14ac:dyDescent="0.35">
      <c r="A4288" s="8">
        <v>12917</v>
      </c>
      <c r="B4288" s="10" t="s">
        <v>6843</v>
      </c>
      <c r="C4288" s="10" t="s">
        <v>21</v>
      </c>
      <c r="D4288" s="9" t="s">
        <v>395</v>
      </c>
      <c r="E4288" s="9" t="str">
        <f>_xlfn.TEXTAFTER(Condiciones_acumuladas[[#This Row],[Descripción]], " ", -2)</f>
        <v>German Orozco</v>
      </c>
      <c r="F4288" s="21" t="s">
        <v>2525</v>
      </c>
      <c r="G4288" s="23">
        <v>46246</v>
      </c>
    </row>
    <row r="4289" spans="1:7" ht="48.5" hidden="1" x14ac:dyDescent="0.35">
      <c r="A4289" s="8">
        <v>12794</v>
      </c>
      <c r="B4289" s="10" t="s">
        <v>6844</v>
      </c>
      <c r="C4289" s="10" t="s">
        <v>196</v>
      </c>
      <c r="D4289" s="9" t="s">
        <v>95</v>
      </c>
      <c r="E4289" s="9" t="str">
        <f>_xlfn.TEXTAFTER(Condiciones_acumuladas[[#This Row],[Descripción]], " ", -2)</f>
        <v>Gerson Castañeda</v>
      </c>
      <c r="F4289" s="21" t="s">
        <v>2559</v>
      </c>
      <c r="G4289" s="23">
        <v>46234</v>
      </c>
    </row>
    <row r="4290" spans="1:7" ht="24.5" hidden="1" x14ac:dyDescent="0.35">
      <c r="A4290" s="8">
        <v>12904</v>
      </c>
      <c r="B4290" s="10" t="s">
        <v>6845</v>
      </c>
      <c r="C4290" s="10" t="s">
        <v>26</v>
      </c>
      <c r="D4290" s="9" t="s">
        <v>95</v>
      </c>
      <c r="E4290" s="9" t="str">
        <f>_xlfn.TEXTAFTER(Condiciones_acumuladas[[#This Row],[Descripción]], " ", -2)</f>
        <v>Gerson Castañeda</v>
      </c>
      <c r="F4290" s="21" t="s">
        <v>2540</v>
      </c>
      <c r="G4290" s="23">
        <v>46245</v>
      </c>
    </row>
    <row r="4291" spans="1:7" ht="48.5" hidden="1" x14ac:dyDescent="0.35">
      <c r="A4291" s="8">
        <v>12951</v>
      </c>
      <c r="B4291" s="10" t="s">
        <v>6846</v>
      </c>
      <c r="C4291" s="10" t="s">
        <v>13</v>
      </c>
      <c r="D4291" s="9" t="s">
        <v>95</v>
      </c>
      <c r="E4291" s="9" t="str">
        <f>_xlfn.TEXTAFTER(Condiciones_acumuladas[[#This Row],[Descripción]], " ", -2)</f>
        <v>Hellen Estrada</v>
      </c>
      <c r="F4291" s="21" t="s">
        <v>2559</v>
      </c>
      <c r="G4291" s="23">
        <v>46248</v>
      </c>
    </row>
    <row r="4292" spans="1:7" ht="24.5" hidden="1" x14ac:dyDescent="0.35">
      <c r="A4292" s="8">
        <v>12952</v>
      </c>
      <c r="B4292" s="10" t="s">
        <v>6847</v>
      </c>
      <c r="C4292" s="10" t="s">
        <v>196</v>
      </c>
      <c r="D4292" s="9" t="s">
        <v>95</v>
      </c>
      <c r="E4292" s="9" t="str">
        <f>_xlfn.TEXTAFTER(Condiciones_acumuladas[[#This Row],[Descripción]], " ", -2)</f>
        <v>Hellen Estrada</v>
      </c>
      <c r="F4292" s="21" t="s">
        <v>2537</v>
      </c>
      <c r="G4292" s="23">
        <v>46248</v>
      </c>
    </row>
    <row r="4293" spans="1:7" ht="24.5" hidden="1" x14ac:dyDescent="0.35">
      <c r="A4293" s="8">
        <v>12905</v>
      </c>
      <c r="B4293" s="10" t="s">
        <v>6848</v>
      </c>
      <c r="C4293" s="10" t="s">
        <v>21</v>
      </c>
      <c r="D4293" s="9" t="s">
        <v>21</v>
      </c>
      <c r="E4293" s="9" t="str">
        <f>_xlfn.TEXTAFTER(Condiciones_acumuladas[[#This Row],[Descripción]], " ", -2)</f>
        <v>Hydee Martínez</v>
      </c>
      <c r="F4293" s="21" t="s">
        <v>2834</v>
      </c>
      <c r="G4293" s="23">
        <v>46245</v>
      </c>
    </row>
    <row r="4294" spans="1:7" ht="24.5" hidden="1" x14ac:dyDescent="0.35">
      <c r="A4294" s="8">
        <v>12955</v>
      </c>
      <c r="B4294" s="10" t="s">
        <v>6849</v>
      </c>
      <c r="C4294" s="10" t="s">
        <v>96</v>
      </c>
      <c r="D4294" s="9" t="s">
        <v>96</v>
      </c>
      <c r="E4294" s="9" t="str">
        <f>_xlfn.TEXTAFTER(Condiciones_acumuladas[[#This Row],[Descripción]], " ", -2)</f>
        <v>Isabel Saquila</v>
      </c>
      <c r="F4294" s="21" t="s">
        <v>2537</v>
      </c>
      <c r="G4294" s="23">
        <v>46248</v>
      </c>
    </row>
    <row r="4295" spans="1:7" ht="36.5" hidden="1" x14ac:dyDescent="0.35">
      <c r="A4295" s="8">
        <v>12856</v>
      </c>
      <c r="B4295" s="10" t="s">
        <v>6850</v>
      </c>
      <c r="C4295" s="10" t="s">
        <v>193</v>
      </c>
      <c r="D4295" s="9" t="s">
        <v>196</v>
      </c>
      <c r="E4295" s="9" t="str">
        <f>_xlfn.TEXTAFTER(Condiciones_acumuladas[[#This Row],[Descripción]], " ", -2)</f>
        <v>Jaime Chex</v>
      </c>
      <c r="F4295" s="21" t="s">
        <v>2525</v>
      </c>
      <c r="G4295" s="23">
        <v>46239</v>
      </c>
    </row>
    <row r="4296" spans="1:7" ht="36.5" hidden="1" x14ac:dyDescent="0.35">
      <c r="A4296" s="8">
        <v>12919</v>
      </c>
      <c r="B4296" s="10" t="s">
        <v>6851</v>
      </c>
      <c r="C4296" s="10" t="s">
        <v>26</v>
      </c>
      <c r="D4296" s="9" t="s">
        <v>196</v>
      </c>
      <c r="E4296" s="9" t="str">
        <f>_xlfn.TEXTAFTER(Condiciones_acumuladas[[#This Row],[Descripción]], " ", -2)</f>
        <v>Jaime Chex</v>
      </c>
      <c r="F4296" s="21" t="s">
        <v>2516</v>
      </c>
      <c r="G4296" s="23">
        <v>46246</v>
      </c>
    </row>
    <row r="4297" spans="1:7" ht="24.5" hidden="1" x14ac:dyDescent="0.35">
      <c r="A4297" s="8">
        <v>12918</v>
      </c>
      <c r="B4297" s="10" t="s">
        <v>6852</v>
      </c>
      <c r="C4297" s="10" t="s">
        <v>26</v>
      </c>
      <c r="D4297" s="9" t="s">
        <v>196</v>
      </c>
      <c r="E4297" s="9" t="str">
        <f>_xlfn.TEXTAFTER(Condiciones_acumuladas[[#This Row],[Descripción]], " ", -2)</f>
        <v>Jaime Chex</v>
      </c>
      <c r="F4297" s="21" t="s">
        <v>2522</v>
      </c>
      <c r="G4297" s="23">
        <v>46246</v>
      </c>
    </row>
    <row r="4298" spans="1:7" ht="36.5" hidden="1" x14ac:dyDescent="0.35">
      <c r="A4298" s="8">
        <v>12863</v>
      </c>
      <c r="B4298" s="10" t="s">
        <v>6853</v>
      </c>
      <c r="C4298" s="10" t="s">
        <v>190</v>
      </c>
      <c r="D4298" s="9" t="s">
        <v>395</v>
      </c>
      <c r="E4298" s="9" t="str">
        <f>_xlfn.TEXTAFTER(Condiciones_acumuladas[[#This Row],[Descripción]], " ", -2)</f>
        <v>Jaime Chilel</v>
      </c>
      <c r="F4298" s="21" t="s">
        <v>2525</v>
      </c>
      <c r="G4298" s="23">
        <v>46239</v>
      </c>
    </row>
    <row r="4299" spans="1:7" ht="36.5" hidden="1" x14ac:dyDescent="0.35">
      <c r="A4299" s="8">
        <v>12864</v>
      </c>
      <c r="B4299" s="10" t="s">
        <v>6854</v>
      </c>
      <c r="C4299" s="10" t="s">
        <v>190</v>
      </c>
      <c r="D4299" s="9" t="s">
        <v>395</v>
      </c>
      <c r="E4299" s="9" t="str">
        <f>_xlfn.TEXTAFTER(Condiciones_acumuladas[[#This Row],[Descripción]], " ", -2)</f>
        <v>Jaime Chilel</v>
      </c>
      <c r="F4299" s="21" t="s">
        <v>2525</v>
      </c>
      <c r="G4299" s="23">
        <v>46239</v>
      </c>
    </row>
    <row r="4300" spans="1:7" ht="24.5" hidden="1" x14ac:dyDescent="0.35">
      <c r="A4300" s="8">
        <v>12897</v>
      </c>
      <c r="B4300" s="10" t="s">
        <v>6855</v>
      </c>
      <c r="C4300" s="10" t="s">
        <v>13</v>
      </c>
      <c r="D4300" s="9" t="s">
        <v>395</v>
      </c>
      <c r="E4300" s="9" t="str">
        <f>_xlfn.TEXTAFTER(Condiciones_acumuladas[[#This Row],[Descripción]], " ", -2)</f>
        <v>Jaime Chilel</v>
      </c>
      <c r="F4300" s="21" t="s">
        <v>2522</v>
      </c>
      <c r="G4300" s="23">
        <v>46244</v>
      </c>
    </row>
    <row r="4301" spans="1:7" ht="36.5" hidden="1" x14ac:dyDescent="0.35">
      <c r="A4301" s="8">
        <v>12896</v>
      </c>
      <c r="B4301" s="10" t="s">
        <v>6856</v>
      </c>
      <c r="C4301" s="10" t="s">
        <v>13</v>
      </c>
      <c r="D4301" s="9" t="s">
        <v>395</v>
      </c>
      <c r="E4301" s="9" t="str">
        <f>_xlfn.TEXTAFTER(Condiciones_acumuladas[[#This Row],[Descripción]], " ", -2)</f>
        <v>Jaime Chilel</v>
      </c>
      <c r="F4301" s="21" t="s">
        <v>2530</v>
      </c>
      <c r="G4301" s="23">
        <v>46244</v>
      </c>
    </row>
    <row r="4302" spans="1:7" ht="36.5" hidden="1" x14ac:dyDescent="0.35">
      <c r="A4302" s="8">
        <v>12860</v>
      </c>
      <c r="B4302" s="10" t="s">
        <v>6857</v>
      </c>
      <c r="C4302" s="10" t="s">
        <v>371</v>
      </c>
      <c r="D4302" s="9" t="s">
        <v>371</v>
      </c>
      <c r="E4302" s="9" t="str">
        <f>_xlfn.TEXTAFTER(Condiciones_acumuladas[[#This Row],[Descripción]], " ", -2)</f>
        <v>Jessica Loarca</v>
      </c>
      <c r="F4302" s="21" t="s">
        <v>2516</v>
      </c>
      <c r="G4302" s="23">
        <v>46239</v>
      </c>
    </row>
    <row r="4303" spans="1:7" ht="48.5" hidden="1" x14ac:dyDescent="0.35">
      <c r="A4303" s="8">
        <v>12850</v>
      </c>
      <c r="B4303" s="10" t="s">
        <v>6858</v>
      </c>
      <c r="C4303" s="10" t="s">
        <v>96</v>
      </c>
      <c r="D4303" s="9" t="s">
        <v>96</v>
      </c>
      <c r="E4303" s="9" t="str">
        <f>_xlfn.TEXTAFTER(Condiciones_acumuladas[[#This Row],[Descripción]], " ", -2)</f>
        <v>Jimmy Velásquez</v>
      </c>
      <c r="F4303" s="21" t="s">
        <v>2559</v>
      </c>
      <c r="G4303" s="23">
        <v>46238</v>
      </c>
    </row>
    <row r="4304" spans="1:7" ht="36.5" hidden="1" x14ac:dyDescent="0.35">
      <c r="A4304" s="8">
        <v>12924</v>
      </c>
      <c r="B4304" s="10" t="s">
        <v>6859</v>
      </c>
      <c r="C4304" s="10" t="s">
        <v>234</v>
      </c>
      <c r="D4304" s="9" t="s">
        <v>395</v>
      </c>
      <c r="E4304" s="9" t="str">
        <f>_xlfn.TEXTAFTER(Condiciones_acumuladas[[#This Row],[Descripción]], " ", -2)</f>
        <v>Josué Vásquez</v>
      </c>
      <c r="F4304" s="21" t="s">
        <v>2525</v>
      </c>
      <c r="G4304" s="23">
        <v>46246</v>
      </c>
    </row>
    <row r="4305" spans="1:7" ht="24.5" hidden="1" x14ac:dyDescent="0.35">
      <c r="A4305" s="8">
        <v>12921</v>
      </c>
      <c r="B4305" s="10" t="s">
        <v>6860</v>
      </c>
      <c r="C4305" s="10" t="s">
        <v>234</v>
      </c>
      <c r="D4305" s="9" t="s">
        <v>395</v>
      </c>
      <c r="E4305" s="9" t="str">
        <f>_xlfn.TEXTAFTER(Condiciones_acumuladas[[#This Row],[Descripción]], " ", -2)</f>
        <v>Josué Vásquez</v>
      </c>
      <c r="F4305" s="21" t="s">
        <v>2540</v>
      </c>
      <c r="G4305" s="23">
        <v>46246</v>
      </c>
    </row>
    <row r="4306" spans="1:7" ht="24.5" hidden="1" x14ac:dyDescent="0.35">
      <c r="A4306" s="8">
        <v>12959</v>
      </c>
      <c r="B4306" s="10" t="s">
        <v>6861</v>
      </c>
      <c r="C4306" s="10" t="s">
        <v>234</v>
      </c>
      <c r="D4306" s="9" t="s">
        <v>95</v>
      </c>
      <c r="E4306" s="9" t="str">
        <f>_xlfn.TEXTAFTER(Condiciones_acumuladas[[#This Row],[Descripción]], " ", -2)</f>
        <v>Juan Hernández</v>
      </c>
      <c r="F4306" s="21" t="s">
        <v>2522</v>
      </c>
      <c r="G4306" s="23">
        <v>46249</v>
      </c>
    </row>
    <row r="4307" spans="1:7" ht="48.5" hidden="1" x14ac:dyDescent="0.35">
      <c r="A4307" s="8">
        <v>12954</v>
      </c>
      <c r="B4307" s="10" t="s">
        <v>6862</v>
      </c>
      <c r="C4307" s="10" t="s">
        <v>196</v>
      </c>
      <c r="D4307" s="9" t="s">
        <v>196</v>
      </c>
      <c r="E4307" s="9" t="str">
        <f>_xlfn.TEXTAFTER(Condiciones_acumuladas[[#This Row],[Descripción]], " ", -2)</f>
        <v>Kelly Calderón</v>
      </c>
      <c r="F4307" s="21" t="s">
        <v>2559</v>
      </c>
      <c r="G4307" s="23">
        <v>46251</v>
      </c>
    </row>
    <row r="4308" spans="1:7" ht="36.5" hidden="1" x14ac:dyDescent="0.35">
      <c r="A4308" s="8">
        <v>12872</v>
      </c>
      <c r="B4308" s="10" t="s">
        <v>6863</v>
      </c>
      <c r="C4308" s="10" t="s">
        <v>13</v>
      </c>
      <c r="D4308" s="9" t="s">
        <v>205</v>
      </c>
      <c r="E4308" s="9" t="str">
        <f>_xlfn.TEXTAFTER(Condiciones_acumuladas[[#This Row],[Descripción]], " ", -2)</f>
        <v>Lissette Loarca</v>
      </c>
      <c r="F4308" s="21" t="s">
        <v>2525</v>
      </c>
      <c r="G4308" s="23">
        <v>46239</v>
      </c>
    </row>
    <row r="4309" spans="1:7" ht="24.5" hidden="1" x14ac:dyDescent="0.35">
      <c r="A4309" s="8">
        <v>12871</v>
      </c>
      <c r="B4309" s="10" t="s">
        <v>6864</v>
      </c>
      <c r="C4309" s="10" t="s">
        <v>13</v>
      </c>
      <c r="D4309" s="9" t="s">
        <v>205</v>
      </c>
      <c r="E4309" s="9" t="str">
        <f>_xlfn.TEXTAFTER(Condiciones_acumuladas[[#This Row],[Descripción]], " ", -2)</f>
        <v>Lissette Loarca</v>
      </c>
      <c r="F4309" s="21" t="s">
        <v>2522</v>
      </c>
      <c r="G4309" s="23">
        <v>46239</v>
      </c>
    </row>
    <row r="4310" spans="1:7" ht="24.5" hidden="1" x14ac:dyDescent="0.35">
      <c r="A4310" s="8">
        <v>12870</v>
      </c>
      <c r="B4310" s="10" t="s">
        <v>6865</v>
      </c>
      <c r="C4310" s="10" t="s">
        <v>13</v>
      </c>
      <c r="D4310" s="9" t="s">
        <v>205</v>
      </c>
      <c r="E4310" s="9" t="str">
        <f>_xlfn.TEXTAFTER(Condiciones_acumuladas[[#This Row],[Descripción]], " ", -2)</f>
        <v>Lissette Loarca</v>
      </c>
      <c r="F4310" s="21" t="s">
        <v>2522</v>
      </c>
      <c r="G4310" s="23">
        <v>46239</v>
      </c>
    </row>
    <row r="4311" spans="1:7" ht="24.5" hidden="1" x14ac:dyDescent="0.35">
      <c r="A4311" s="8">
        <v>12869</v>
      </c>
      <c r="B4311" s="10" t="s">
        <v>6866</v>
      </c>
      <c r="C4311" s="10" t="s">
        <v>13</v>
      </c>
      <c r="D4311" s="9" t="s">
        <v>95</v>
      </c>
      <c r="E4311" s="9" t="str">
        <f>_xlfn.TEXTAFTER(Condiciones_acumuladas[[#This Row],[Descripción]], " ", -2)</f>
        <v>Luis Angel</v>
      </c>
      <c r="F4311" s="21" t="s">
        <v>2522</v>
      </c>
      <c r="G4311" s="23">
        <v>46239</v>
      </c>
    </row>
    <row r="4312" spans="1:7" ht="24.5" hidden="1" x14ac:dyDescent="0.35">
      <c r="A4312" s="8">
        <v>12810</v>
      </c>
      <c r="B4312" s="10" t="s">
        <v>6867</v>
      </c>
      <c r="C4312" s="10" t="s">
        <v>96</v>
      </c>
      <c r="D4312" s="9" t="s">
        <v>96</v>
      </c>
      <c r="E4312" s="9" t="str">
        <f>_xlfn.TEXTAFTER(Condiciones_acumuladas[[#This Row],[Descripción]], " ", -2)</f>
        <v>Luis Pérez</v>
      </c>
      <c r="F4312" s="21" t="s">
        <v>2537</v>
      </c>
      <c r="G4312" s="23">
        <v>46235</v>
      </c>
    </row>
    <row r="4313" spans="1:7" ht="48.5" hidden="1" x14ac:dyDescent="0.35">
      <c r="A4313" s="8">
        <v>12826</v>
      </c>
      <c r="B4313" s="10" t="s">
        <v>6868</v>
      </c>
      <c r="C4313" s="10" t="s">
        <v>96</v>
      </c>
      <c r="D4313" s="9" t="s">
        <v>96</v>
      </c>
      <c r="E4313" s="9" t="str">
        <f>_xlfn.TEXTAFTER(Condiciones_acumuladas[[#This Row],[Descripción]], " ", -2)</f>
        <v>Luis Pérez</v>
      </c>
      <c r="F4313" s="21" t="s">
        <v>2559</v>
      </c>
      <c r="G4313" s="23">
        <v>46237</v>
      </c>
    </row>
    <row r="4314" spans="1:7" ht="48.5" hidden="1" x14ac:dyDescent="0.35">
      <c r="A4314" s="8">
        <v>12827</v>
      </c>
      <c r="B4314" s="10" t="s">
        <v>6869</v>
      </c>
      <c r="C4314" s="10" t="s">
        <v>96</v>
      </c>
      <c r="D4314" s="9" t="s">
        <v>96</v>
      </c>
      <c r="E4314" s="9" t="str">
        <f>_xlfn.TEXTAFTER(Condiciones_acumuladas[[#This Row],[Descripción]], " ", -2)</f>
        <v>Luis Pérez</v>
      </c>
      <c r="F4314" s="21" t="s">
        <v>2559</v>
      </c>
      <c r="G4314" s="23">
        <v>46237</v>
      </c>
    </row>
    <row r="4315" spans="1:7" ht="48.5" hidden="1" x14ac:dyDescent="0.35">
      <c r="A4315" s="8">
        <v>12831</v>
      </c>
      <c r="B4315" s="10" t="s">
        <v>6870</v>
      </c>
      <c r="C4315" s="10" t="s">
        <v>96</v>
      </c>
      <c r="D4315" s="9" t="s">
        <v>96</v>
      </c>
      <c r="E4315" s="9" t="str">
        <f>_xlfn.TEXTAFTER(Condiciones_acumuladas[[#This Row],[Descripción]], " ", -2)</f>
        <v>Luis Pérez</v>
      </c>
      <c r="F4315" s="21" t="s">
        <v>2559</v>
      </c>
      <c r="G4315" s="23">
        <v>46238</v>
      </c>
    </row>
    <row r="4316" spans="1:7" ht="36.5" hidden="1" x14ac:dyDescent="0.35">
      <c r="A4316" s="8">
        <v>12841</v>
      </c>
      <c r="B4316" s="10" t="s">
        <v>6871</v>
      </c>
      <c r="C4316" s="10" t="s">
        <v>96</v>
      </c>
      <c r="D4316" s="9" t="s">
        <v>96</v>
      </c>
      <c r="E4316" s="9" t="str">
        <f>_xlfn.TEXTAFTER(Condiciones_acumuladas[[#This Row],[Descripción]], " ", -2)</f>
        <v>Luis Pérez</v>
      </c>
      <c r="F4316" s="21" t="s">
        <v>2530</v>
      </c>
      <c r="G4316" s="23">
        <v>46240</v>
      </c>
    </row>
    <row r="4317" spans="1:7" ht="24.5" hidden="1" x14ac:dyDescent="0.35">
      <c r="A4317" s="8">
        <v>12888</v>
      </c>
      <c r="B4317" s="10" t="s">
        <v>6872</v>
      </c>
      <c r="C4317" s="10" t="s">
        <v>96</v>
      </c>
      <c r="D4317" s="9" t="s">
        <v>96</v>
      </c>
      <c r="E4317" s="9" t="str">
        <f>_xlfn.TEXTAFTER(Condiciones_acumuladas[[#This Row],[Descripción]], " ", -2)</f>
        <v>Luis Pérez</v>
      </c>
      <c r="F4317" s="21" t="s">
        <v>2522</v>
      </c>
      <c r="G4317" s="23">
        <v>46246</v>
      </c>
    </row>
    <row r="4318" spans="1:7" ht="24.5" hidden="1" x14ac:dyDescent="0.35">
      <c r="A4318" s="8">
        <v>12885</v>
      </c>
      <c r="B4318" s="10" t="s">
        <v>6873</v>
      </c>
      <c r="C4318" s="10" t="s">
        <v>96</v>
      </c>
      <c r="D4318" s="9" t="s">
        <v>96</v>
      </c>
      <c r="E4318" s="9" t="str">
        <f>_xlfn.TEXTAFTER(Condiciones_acumuladas[[#This Row],[Descripción]], " ", -2)</f>
        <v>Luis Pérez</v>
      </c>
      <c r="F4318" s="21" t="s">
        <v>2537</v>
      </c>
      <c r="G4318" s="23">
        <v>46245</v>
      </c>
    </row>
    <row r="4319" spans="1:7" ht="36.5" hidden="1" x14ac:dyDescent="0.35">
      <c r="A4319" s="8">
        <v>12880</v>
      </c>
      <c r="B4319" s="10" t="s">
        <v>6874</v>
      </c>
      <c r="C4319" s="10" t="s">
        <v>96</v>
      </c>
      <c r="D4319" s="9" t="s">
        <v>96</v>
      </c>
      <c r="E4319" s="9" t="str">
        <f>_xlfn.TEXTAFTER(Condiciones_acumuladas[[#This Row],[Descripción]], " ", -2)</f>
        <v>Luis Pérez</v>
      </c>
      <c r="F4319" s="21" t="s">
        <v>2516</v>
      </c>
      <c r="G4319" s="23">
        <v>46245</v>
      </c>
    </row>
    <row r="4320" spans="1:7" ht="24.5" hidden="1" x14ac:dyDescent="0.35">
      <c r="A4320" s="8">
        <v>12881</v>
      </c>
      <c r="B4320" s="10" t="s">
        <v>6875</v>
      </c>
      <c r="C4320" s="10" t="s">
        <v>96</v>
      </c>
      <c r="D4320" s="9" t="s">
        <v>96</v>
      </c>
      <c r="E4320" s="9" t="str">
        <f>_xlfn.TEXTAFTER(Condiciones_acumuladas[[#This Row],[Descripción]], " ", -2)</f>
        <v>Luis Pérez</v>
      </c>
      <c r="F4320" s="21" t="s">
        <v>2540</v>
      </c>
      <c r="G4320" s="23">
        <v>46245</v>
      </c>
    </row>
    <row r="4321" spans="1:7" ht="24.5" hidden="1" x14ac:dyDescent="0.35">
      <c r="A4321" s="8">
        <v>12925</v>
      </c>
      <c r="B4321" s="10" t="s">
        <v>6876</v>
      </c>
      <c r="C4321" s="10" t="s">
        <v>13</v>
      </c>
      <c r="D4321" s="9" t="s">
        <v>95</v>
      </c>
      <c r="E4321" s="9" t="str">
        <f>_xlfn.TEXTAFTER(Condiciones_acumuladas[[#This Row],[Descripción]], " ", -2)</f>
        <v>María Obregón</v>
      </c>
      <c r="F4321" s="21" t="s">
        <v>2522</v>
      </c>
      <c r="G4321" s="23">
        <v>46246</v>
      </c>
    </row>
    <row r="4322" spans="1:7" ht="36.5" hidden="1" x14ac:dyDescent="0.35">
      <c r="A4322" s="8">
        <v>12811</v>
      </c>
      <c r="B4322" s="10" t="s">
        <v>6877</v>
      </c>
      <c r="C4322" s="10" t="s">
        <v>134</v>
      </c>
      <c r="D4322" s="9" t="s">
        <v>95</v>
      </c>
      <c r="E4322" s="9" t="str">
        <f>_xlfn.TEXTAFTER(Condiciones_acumuladas[[#This Row],[Descripción]], " ", -2)</f>
        <v>Nelson Godínez</v>
      </c>
      <c r="F4322" s="21" t="s">
        <v>2530</v>
      </c>
      <c r="G4322" s="23">
        <v>46235</v>
      </c>
    </row>
    <row r="4323" spans="1:7" ht="48.5" hidden="1" x14ac:dyDescent="0.35">
      <c r="A4323" s="8">
        <v>12834</v>
      </c>
      <c r="B4323" s="10" t="s">
        <v>6878</v>
      </c>
      <c r="C4323" s="10" t="s">
        <v>104</v>
      </c>
      <c r="D4323" s="9" t="s">
        <v>104</v>
      </c>
      <c r="E4323" s="9" t="str">
        <f>_xlfn.TEXTAFTER(Condiciones_acumuladas[[#This Row],[Descripción]], " ", -2)</f>
        <v>Obdulio Saquic</v>
      </c>
      <c r="F4323" s="21" t="s">
        <v>2559</v>
      </c>
      <c r="G4323" s="23">
        <v>46240</v>
      </c>
    </row>
    <row r="4324" spans="1:7" ht="36.5" hidden="1" x14ac:dyDescent="0.35">
      <c r="A4324" s="8">
        <v>12837</v>
      </c>
      <c r="B4324" s="10" t="s">
        <v>6879</v>
      </c>
      <c r="C4324" s="10" t="s">
        <v>104</v>
      </c>
      <c r="D4324" s="9" t="s">
        <v>104</v>
      </c>
      <c r="E4324" s="9" t="str">
        <f>_xlfn.TEXTAFTER(Condiciones_acumuladas[[#This Row],[Descripción]], " ", -2)</f>
        <v>Obdulio Saquic</v>
      </c>
      <c r="F4324" s="21" t="s">
        <v>2516</v>
      </c>
      <c r="G4324" s="23">
        <v>46240</v>
      </c>
    </row>
    <row r="4325" spans="1:7" ht="48.5" hidden="1" x14ac:dyDescent="0.35">
      <c r="A4325" s="8">
        <v>12840</v>
      </c>
      <c r="B4325" s="10" t="s">
        <v>6880</v>
      </c>
      <c r="C4325" s="10" t="s">
        <v>104</v>
      </c>
      <c r="D4325" s="9" t="s">
        <v>104</v>
      </c>
      <c r="E4325" s="9" t="str">
        <f>_xlfn.TEXTAFTER(Condiciones_acumuladas[[#This Row],[Descripción]], " ", -2)</f>
        <v>Obdulio Saquic</v>
      </c>
      <c r="F4325" s="21" t="s">
        <v>2559</v>
      </c>
      <c r="G4325" s="23">
        <v>46240</v>
      </c>
    </row>
    <row r="4326" spans="1:7" ht="24.5" hidden="1" x14ac:dyDescent="0.35">
      <c r="A4326" s="8">
        <v>12887</v>
      </c>
      <c r="B4326" s="10" t="s">
        <v>6881</v>
      </c>
      <c r="C4326" s="10" t="s">
        <v>26</v>
      </c>
      <c r="D4326" s="9" t="s">
        <v>104</v>
      </c>
      <c r="E4326" s="9" t="str">
        <f>_xlfn.TEXTAFTER(Condiciones_acumuladas[[#This Row],[Descripción]], " ", -2)</f>
        <v>Obdulio Saquic</v>
      </c>
      <c r="F4326" s="21" t="s">
        <v>2540</v>
      </c>
      <c r="G4326" s="23">
        <v>46246</v>
      </c>
    </row>
    <row r="4327" spans="1:7" ht="24.5" hidden="1" x14ac:dyDescent="0.35">
      <c r="A4327" s="8">
        <v>12883</v>
      </c>
      <c r="B4327" s="10" t="s">
        <v>6882</v>
      </c>
      <c r="C4327" s="10" t="s">
        <v>104</v>
      </c>
      <c r="D4327" s="9" t="s">
        <v>104</v>
      </c>
      <c r="E4327" s="9" t="str">
        <f>_xlfn.TEXTAFTER(Condiciones_acumuladas[[#This Row],[Descripción]], " ", -2)</f>
        <v>Obdulio Saquic</v>
      </c>
      <c r="F4327" s="21" t="s">
        <v>2522</v>
      </c>
      <c r="G4327" s="23">
        <v>46245</v>
      </c>
    </row>
    <row r="4328" spans="1:7" ht="24.5" hidden="1" x14ac:dyDescent="0.35">
      <c r="A4328" s="8">
        <v>12882</v>
      </c>
      <c r="B4328" s="10" t="s">
        <v>6883</v>
      </c>
      <c r="C4328" s="10" t="s">
        <v>104</v>
      </c>
      <c r="D4328" s="9" t="s">
        <v>104</v>
      </c>
      <c r="E4328" s="9" t="str">
        <f>_xlfn.TEXTAFTER(Condiciones_acumuladas[[#This Row],[Descripción]], " ", -2)</f>
        <v>Obdulio Saquic</v>
      </c>
      <c r="F4328" s="21" t="s">
        <v>2522</v>
      </c>
      <c r="G4328" s="23">
        <v>46245</v>
      </c>
    </row>
    <row r="4329" spans="1:7" ht="24.5" hidden="1" x14ac:dyDescent="0.35">
      <c r="A4329" s="8">
        <v>12884</v>
      </c>
      <c r="B4329" s="10" t="s">
        <v>6884</v>
      </c>
      <c r="C4329" s="10" t="s">
        <v>104</v>
      </c>
      <c r="D4329" s="9" t="s">
        <v>104</v>
      </c>
      <c r="E4329" s="9" t="str">
        <f>_xlfn.TEXTAFTER(Condiciones_acumuladas[[#This Row],[Descripción]], " ", -2)</f>
        <v>Obdulio Saquic</v>
      </c>
      <c r="F4329" s="21" t="s">
        <v>2522</v>
      </c>
      <c r="G4329" s="23">
        <v>46245</v>
      </c>
    </row>
    <row r="4330" spans="1:7" ht="24.5" hidden="1" x14ac:dyDescent="0.35">
      <c r="A4330" s="8">
        <v>12848</v>
      </c>
      <c r="B4330" s="10" t="s">
        <v>6885</v>
      </c>
      <c r="C4330" s="10" t="s">
        <v>21</v>
      </c>
      <c r="D4330" s="9" t="s">
        <v>21</v>
      </c>
      <c r="E4330" s="9" t="str">
        <f>_xlfn.TEXTAFTER(Condiciones_acumuladas[[#This Row],[Descripción]], " ", -2)</f>
        <v>Oscar Ramírez</v>
      </c>
      <c r="F4330" s="21" t="s">
        <v>2522</v>
      </c>
      <c r="G4330" s="23">
        <v>46237</v>
      </c>
    </row>
    <row r="4331" spans="1:7" ht="24.5" hidden="1" x14ac:dyDescent="0.35">
      <c r="A4331" s="8">
        <v>12847</v>
      </c>
      <c r="B4331" s="10" t="s">
        <v>6886</v>
      </c>
      <c r="C4331" s="10" t="s">
        <v>21</v>
      </c>
      <c r="D4331" s="9" t="s">
        <v>21</v>
      </c>
      <c r="E4331" s="9" t="str">
        <f>_xlfn.TEXTAFTER(Condiciones_acumuladas[[#This Row],[Descripción]], " ", -2)</f>
        <v>Oscar Ramírez</v>
      </c>
      <c r="F4331" s="21" t="s">
        <v>2522</v>
      </c>
      <c r="G4331" s="23">
        <v>46237</v>
      </c>
    </row>
    <row r="4332" spans="1:7" ht="24.5" hidden="1" x14ac:dyDescent="0.35">
      <c r="A4332" s="8">
        <v>12903</v>
      </c>
      <c r="B4332" s="10" t="s">
        <v>6887</v>
      </c>
      <c r="C4332" s="10" t="s">
        <v>190</v>
      </c>
      <c r="D4332" s="9" t="s">
        <v>13</v>
      </c>
      <c r="E4332" s="9" t="str">
        <f>_xlfn.TEXTAFTER(Condiciones_acumuladas[[#This Row],[Descripción]], " ", -2)</f>
        <v>Oscar Ramírez</v>
      </c>
      <c r="F4332" s="21" t="s">
        <v>2522</v>
      </c>
      <c r="G4332" s="23">
        <v>46245</v>
      </c>
    </row>
    <row r="4333" spans="1:7" ht="24.5" hidden="1" x14ac:dyDescent="0.35">
      <c r="A4333" s="8">
        <v>12902</v>
      </c>
      <c r="B4333" s="10" t="s">
        <v>6888</v>
      </c>
      <c r="C4333" s="10" t="s">
        <v>250</v>
      </c>
      <c r="D4333" s="9" t="s">
        <v>21</v>
      </c>
      <c r="E4333" s="9" t="str">
        <f>_xlfn.TEXTAFTER(Condiciones_acumuladas[[#This Row],[Descripción]], " ", -2)</f>
        <v>Oscar Ramírez</v>
      </c>
      <c r="F4333" s="21" t="s">
        <v>2522</v>
      </c>
      <c r="G4333" s="23">
        <v>46245</v>
      </c>
    </row>
    <row r="4334" spans="1:7" ht="24.5" hidden="1" x14ac:dyDescent="0.35">
      <c r="A4334" s="8">
        <v>12929</v>
      </c>
      <c r="B4334" s="10" t="s">
        <v>6889</v>
      </c>
      <c r="C4334" s="10" t="s">
        <v>21</v>
      </c>
      <c r="D4334" s="9" t="s">
        <v>21</v>
      </c>
      <c r="E4334" s="9" t="str">
        <f>_xlfn.TEXTAFTER(Condiciones_acumuladas[[#This Row],[Descripción]], " ", -2)</f>
        <v>Oscar Ramírez</v>
      </c>
      <c r="F4334" s="21" t="s">
        <v>2540</v>
      </c>
      <c r="G4334" s="23">
        <v>46246</v>
      </c>
    </row>
    <row r="4335" spans="1:7" ht="36.5" hidden="1" x14ac:dyDescent="0.35">
      <c r="A4335" s="8">
        <v>12868</v>
      </c>
      <c r="B4335" s="10" t="s">
        <v>6890</v>
      </c>
      <c r="C4335" s="10" t="s">
        <v>250</v>
      </c>
      <c r="D4335" s="9" t="s">
        <v>34</v>
      </c>
      <c r="E4335" s="9" t="str">
        <f>_xlfn.TEXTAFTER(Condiciones_acumuladas[[#This Row],[Descripción]], " ", -2)</f>
        <v>Oscar Ramos</v>
      </c>
      <c r="F4335" s="21" t="s">
        <v>2525</v>
      </c>
      <c r="G4335" s="23">
        <v>46239</v>
      </c>
    </row>
    <row r="4336" spans="1:7" ht="24.5" hidden="1" x14ac:dyDescent="0.35">
      <c r="A4336" s="8">
        <v>12948</v>
      </c>
      <c r="B4336" s="10" t="s">
        <v>6891</v>
      </c>
      <c r="C4336" s="10" t="s">
        <v>104</v>
      </c>
      <c r="D4336" s="9" t="s">
        <v>371</v>
      </c>
      <c r="E4336" s="9" t="str">
        <f>_xlfn.TEXTAFTER(Condiciones_acumuladas[[#This Row],[Descripción]], " ", -2)</f>
        <v>Rodrigo Galindo</v>
      </c>
      <c r="F4336" s="21" t="s">
        <v>2522</v>
      </c>
      <c r="G4336" s="23">
        <v>46247</v>
      </c>
    </row>
    <row r="4337" spans="1:7" ht="36.5" hidden="1" x14ac:dyDescent="0.35">
      <c r="A4337" s="8">
        <v>12947</v>
      </c>
      <c r="B4337" s="10" t="s">
        <v>6892</v>
      </c>
      <c r="C4337" s="10" t="s">
        <v>104</v>
      </c>
      <c r="D4337" s="9" t="s">
        <v>371</v>
      </c>
      <c r="E4337" s="9" t="str">
        <f>_xlfn.TEXTAFTER(Condiciones_acumuladas[[#This Row],[Descripción]], " ", -2)</f>
        <v>Rodrigo Galindo</v>
      </c>
      <c r="F4337" s="21" t="s">
        <v>2516</v>
      </c>
      <c r="G4337" s="23">
        <v>46247</v>
      </c>
    </row>
    <row r="4338" spans="1:7" ht="24.5" hidden="1" x14ac:dyDescent="0.35">
      <c r="A4338" s="8">
        <v>12946</v>
      </c>
      <c r="B4338" s="10" t="s">
        <v>6893</v>
      </c>
      <c r="C4338" s="10" t="s">
        <v>104</v>
      </c>
      <c r="D4338" s="9" t="s">
        <v>371</v>
      </c>
      <c r="E4338" s="9" t="str">
        <f>_xlfn.TEXTAFTER(Condiciones_acumuladas[[#This Row],[Descripción]], " ", -2)</f>
        <v>Rodrigo Galindo</v>
      </c>
      <c r="F4338" s="21" t="s">
        <v>2522</v>
      </c>
      <c r="G4338" s="23">
        <v>46247</v>
      </c>
    </row>
    <row r="4339" spans="1:7" ht="36.5" hidden="1" x14ac:dyDescent="0.35">
      <c r="A4339" s="8">
        <v>12944</v>
      </c>
      <c r="B4339" s="10" t="s">
        <v>6894</v>
      </c>
      <c r="C4339" s="10" t="s">
        <v>134</v>
      </c>
      <c r="D4339" s="9" t="s">
        <v>371</v>
      </c>
      <c r="E4339" s="9" t="str">
        <f>_xlfn.TEXTAFTER(Condiciones_acumuladas[[#This Row],[Descripción]], " ", -2)</f>
        <v>Rodrigo Galindo</v>
      </c>
      <c r="F4339" s="21" t="s">
        <v>2522</v>
      </c>
      <c r="G4339" s="23">
        <v>46247</v>
      </c>
    </row>
    <row r="4340" spans="1:7" ht="24.5" hidden="1" x14ac:dyDescent="0.35">
      <c r="A4340" s="8">
        <v>12945</v>
      </c>
      <c r="B4340" s="10" t="s">
        <v>6895</v>
      </c>
      <c r="C4340" s="10" t="s">
        <v>134</v>
      </c>
      <c r="D4340" s="9" t="s">
        <v>371</v>
      </c>
      <c r="E4340" s="9" t="str">
        <f>_xlfn.TEXTAFTER(Condiciones_acumuladas[[#This Row],[Descripción]], " ", -2)</f>
        <v>Rodrigo Galindo</v>
      </c>
      <c r="F4340" s="21" t="s">
        <v>2522</v>
      </c>
      <c r="G4340" s="23">
        <v>46247</v>
      </c>
    </row>
    <row r="4341" spans="1:7" ht="36.5" hidden="1" x14ac:dyDescent="0.35">
      <c r="A4341" s="8">
        <v>12943</v>
      </c>
      <c r="B4341" s="10" t="s">
        <v>6896</v>
      </c>
      <c r="C4341" s="10" t="s">
        <v>134</v>
      </c>
      <c r="D4341" s="9" t="s">
        <v>371</v>
      </c>
      <c r="E4341" s="9" t="str">
        <f>_xlfn.TEXTAFTER(Condiciones_acumuladas[[#This Row],[Descripción]], " ", -2)</f>
        <v>Rodrigo Galindo</v>
      </c>
      <c r="F4341" s="21" t="s">
        <v>2530</v>
      </c>
      <c r="G4341" s="23">
        <v>46247</v>
      </c>
    </row>
    <row r="4342" spans="1:7" ht="24.5" hidden="1" x14ac:dyDescent="0.35">
      <c r="A4342" s="8">
        <v>12942</v>
      </c>
      <c r="B4342" s="10" t="s">
        <v>6897</v>
      </c>
      <c r="C4342" s="10" t="s">
        <v>134</v>
      </c>
      <c r="D4342" s="9" t="s">
        <v>371</v>
      </c>
      <c r="E4342" s="9" t="str">
        <f>_xlfn.TEXTAFTER(Condiciones_acumuladas[[#This Row],[Descripción]], " ", -2)</f>
        <v>Rodrigo Galindo</v>
      </c>
      <c r="F4342" s="21" t="s">
        <v>2522</v>
      </c>
      <c r="G4342" s="23">
        <v>46247</v>
      </c>
    </row>
    <row r="4343" spans="1:7" ht="24.5" hidden="1" x14ac:dyDescent="0.35">
      <c r="A4343" s="8">
        <v>12941</v>
      </c>
      <c r="B4343" s="10" t="s">
        <v>6898</v>
      </c>
      <c r="C4343" s="10" t="s">
        <v>134</v>
      </c>
      <c r="D4343" s="9" t="s">
        <v>371</v>
      </c>
      <c r="E4343" s="9" t="str">
        <f>_xlfn.TEXTAFTER(Condiciones_acumuladas[[#This Row],[Descripción]], " ", -2)</f>
        <v>Rodrigo Galindo</v>
      </c>
      <c r="F4343" s="21" t="s">
        <v>2522</v>
      </c>
      <c r="G4343" s="23">
        <v>46247</v>
      </c>
    </row>
    <row r="4344" spans="1:7" ht="24.5" hidden="1" x14ac:dyDescent="0.35">
      <c r="A4344" s="8">
        <v>12940</v>
      </c>
      <c r="B4344" s="10" t="s">
        <v>6899</v>
      </c>
      <c r="C4344" s="10" t="s">
        <v>134</v>
      </c>
      <c r="D4344" s="9" t="s">
        <v>371</v>
      </c>
      <c r="E4344" s="9" t="str">
        <f>_xlfn.TEXTAFTER(Condiciones_acumuladas[[#This Row],[Descripción]], " ", -2)</f>
        <v>Rodrigo Galindo</v>
      </c>
      <c r="F4344" s="21" t="s">
        <v>2522</v>
      </c>
      <c r="G4344" s="23">
        <v>46247</v>
      </c>
    </row>
    <row r="4345" spans="1:7" ht="36.5" hidden="1" x14ac:dyDescent="0.35">
      <c r="A4345" s="8">
        <v>12939</v>
      </c>
      <c r="B4345" s="10" t="s">
        <v>6900</v>
      </c>
      <c r="C4345" s="10" t="s">
        <v>134</v>
      </c>
      <c r="D4345" s="9" t="s">
        <v>371</v>
      </c>
      <c r="E4345" s="9" t="str">
        <f>_xlfn.TEXTAFTER(Condiciones_acumuladas[[#This Row],[Descripción]], " ", -2)</f>
        <v>Rodrigo Galindo</v>
      </c>
      <c r="F4345" s="21" t="s">
        <v>2516</v>
      </c>
      <c r="G4345" s="23">
        <v>46247</v>
      </c>
    </row>
    <row r="4346" spans="1:7" ht="24.5" hidden="1" x14ac:dyDescent="0.35">
      <c r="A4346" s="8">
        <v>12938</v>
      </c>
      <c r="B4346" s="10" t="s">
        <v>6901</v>
      </c>
      <c r="C4346" s="10" t="s">
        <v>134</v>
      </c>
      <c r="D4346" s="9" t="s">
        <v>371</v>
      </c>
      <c r="E4346" s="9" t="str">
        <f>_xlfn.TEXTAFTER(Condiciones_acumuladas[[#This Row],[Descripción]], " ", -2)</f>
        <v>Rodrigo Galindo</v>
      </c>
      <c r="F4346" s="21" t="s">
        <v>2522</v>
      </c>
      <c r="G4346" s="23">
        <v>46247</v>
      </c>
    </row>
    <row r="4347" spans="1:7" ht="24.5" hidden="1" x14ac:dyDescent="0.35">
      <c r="A4347" s="8">
        <v>12937</v>
      </c>
      <c r="B4347" s="10" t="s">
        <v>6902</v>
      </c>
      <c r="C4347" s="10" t="s">
        <v>21</v>
      </c>
      <c r="D4347" s="9" t="s">
        <v>371</v>
      </c>
      <c r="E4347" s="9" t="str">
        <f>_xlfn.TEXTAFTER(Condiciones_acumuladas[[#This Row],[Descripción]], " ", -2)</f>
        <v>Rodrigo Galindo</v>
      </c>
      <c r="F4347" s="21" t="s">
        <v>2522</v>
      </c>
      <c r="G4347" s="23">
        <v>46247</v>
      </c>
    </row>
    <row r="4348" spans="1:7" ht="48.5" hidden="1" x14ac:dyDescent="0.35">
      <c r="A4348" s="8">
        <v>12893</v>
      </c>
      <c r="B4348" s="10" t="s">
        <v>6903</v>
      </c>
      <c r="C4348" s="10" t="s">
        <v>95</v>
      </c>
      <c r="D4348" s="9" t="s">
        <v>190</v>
      </c>
      <c r="E4348" s="9" t="str">
        <f>_xlfn.TEXTAFTER(Condiciones_acumuladas[[#This Row],[Descripción]], " ", -2)</f>
        <v>Walfred Guzmán</v>
      </c>
      <c r="F4348" s="21" t="s">
        <v>2559</v>
      </c>
      <c r="G4348" s="23">
        <v>46244</v>
      </c>
    </row>
    <row r="4349" spans="1:7" ht="36.5" hidden="1" x14ac:dyDescent="0.35">
      <c r="A4349" s="8">
        <v>12874</v>
      </c>
      <c r="B4349" s="10" t="s">
        <v>6904</v>
      </c>
      <c r="C4349" s="10" t="s">
        <v>13</v>
      </c>
      <c r="D4349" s="9" t="s">
        <v>13</v>
      </c>
      <c r="E4349" s="9" t="str">
        <f>_xlfn.TEXTAFTER(Condiciones_acumuladas[[#This Row],[Descripción]], " ", -2)</f>
        <v>Wilber López</v>
      </c>
      <c r="F4349" s="21" t="s">
        <v>2530</v>
      </c>
      <c r="G4349" s="23">
        <v>46239</v>
      </c>
    </row>
    <row r="4350" spans="1:7" ht="36.5" hidden="1" x14ac:dyDescent="0.35">
      <c r="A4350" s="8">
        <v>12873</v>
      </c>
      <c r="B4350" s="10" t="s">
        <v>6905</v>
      </c>
      <c r="C4350" s="10" t="s">
        <v>13</v>
      </c>
      <c r="D4350" s="9" t="s">
        <v>13</v>
      </c>
      <c r="E4350" s="9" t="str">
        <f>_xlfn.TEXTAFTER(Condiciones_acumuladas[[#This Row],[Descripción]], " ", -2)</f>
        <v>Wilber López</v>
      </c>
      <c r="F4350" s="21" t="s">
        <v>2572</v>
      </c>
      <c r="G4350" s="23">
        <v>46239</v>
      </c>
    </row>
    <row r="4351" spans="1:7" ht="24.5" hidden="1" x14ac:dyDescent="0.35">
      <c r="A4351" s="8">
        <v>12857</v>
      </c>
      <c r="B4351" s="10" t="s">
        <v>6906</v>
      </c>
      <c r="C4351" s="10" t="s">
        <v>95</v>
      </c>
      <c r="D4351" s="9" t="s">
        <v>104</v>
      </c>
      <c r="E4351" s="9" t="str">
        <f>_xlfn.TEXTAFTER(Condiciones_acumuladas[[#This Row],[Descripción]], " ", -2)</f>
        <v>Wilber López</v>
      </c>
      <c r="F4351" s="21" t="s">
        <v>2522</v>
      </c>
      <c r="G4351" s="23">
        <v>46239</v>
      </c>
    </row>
    <row r="4352" spans="1:7" ht="48.5" hidden="1" x14ac:dyDescent="0.35">
      <c r="A4352" s="8">
        <v>12964</v>
      </c>
      <c r="B4352" s="10" t="s">
        <v>6907</v>
      </c>
      <c r="C4352" s="10" t="s">
        <v>21</v>
      </c>
      <c r="D4352" s="9" t="s">
        <v>21</v>
      </c>
      <c r="E4352" s="9" t="str">
        <f>_xlfn.TEXTAFTER(Condiciones_acumuladas[[#This Row],[Descripción]], " ", -2)</f>
        <v>Amilcar Ralda</v>
      </c>
      <c r="F4352" s="21" t="s">
        <v>2572</v>
      </c>
      <c r="G4352" s="23">
        <v>46249</v>
      </c>
    </row>
    <row r="4353" spans="1:7" ht="36.5" hidden="1" x14ac:dyDescent="0.35">
      <c r="A4353" s="8">
        <v>12966</v>
      </c>
      <c r="B4353" s="10" t="s">
        <v>6908</v>
      </c>
      <c r="C4353" s="10" t="s">
        <v>21</v>
      </c>
      <c r="D4353" s="9" t="s">
        <v>21</v>
      </c>
      <c r="E4353" s="9" t="str">
        <f>_xlfn.TEXTAFTER(Condiciones_acumuladas[[#This Row],[Descripción]], " ", -2)</f>
        <v>Amilcar Ralda</v>
      </c>
      <c r="F4353" s="21" t="s">
        <v>2715</v>
      </c>
      <c r="G4353" s="23">
        <v>46245</v>
      </c>
    </row>
    <row r="4354" spans="1:7" ht="36.5" hidden="1" x14ac:dyDescent="0.35">
      <c r="A4354" s="8">
        <v>12967</v>
      </c>
      <c r="B4354" s="10" t="s">
        <v>6909</v>
      </c>
      <c r="C4354" s="10" t="s">
        <v>21</v>
      </c>
      <c r="D4354" s="9" t="s">
        <v>21</v>
      </c>
      <c r="E4354" s="9" t="str">
        <f>_xlfn.TEXTAFTER(Condiciones_acumuladas[[#This Row],[Descripción]], " ", -2)</f>
        <v>Amilcar Ralda</v>
      </c>
      <c r="F4354" s="21" t="s">
        <v>2530</v>
      </c>
      <c r="G4354" s="23">
        <v>46245</v>
      </c>
    </row>
    <row r="4355" spans="1:7" ht="36.5" hidden="1" x14ac:dyDescent="0.35">
      <c r="A4355" s="8">
        <v>12965</v>
      </c>
      <c r="B4355" s="10" t="s">
        <v>6910</v>
      </c>
      <c r="C4355" s="10" t="s">
        <v>21</v>
      </c>
      <c r="D4355" s="9" t="s">
        <v>21</v>
      </c>
      <c r="E4355" s="9" t="str">
        <f>_xlfn.TEXTAFTER(Condiciones_acumuladas[[#This Row],[Descripción]], " ", -2)</f>
        <v>Amilcar Ralda</v>
      </c>
      <c r="F4355" s="21" t="s">
        <v>2525</v>
      </c>
      <c r="G4355" s="23">
        <v>46245</v>
      </c>
    </row>
    <row r="4356" spans="1:7" ht="36.5" hidden="1" x14ac:dyDescent="0.35">
      <c r="A4356" s="8">
        <v>12968</v>
      </c>
      <c r="B4356" s="10" t="s">
        <v>6911</v>
      </c>
      <c r="C4356" s="10" t="s">
        <v>13</v>
      </c>
      <c r="D4356" s="9" t="s">
        <v>13</v>
      </c>
      <c r="E4356" s="9" t="str">
        <f>_xlfn.TEXTAFTER(Condiciones_acumuladas[[#This Row],[Descripción]], " ", -2)</f>
        <v>Amilcar Ralda</v>
      </c>
      <c r="F4356" s="21" t="s">
        <v>2525</v>
      </c>
      <c r="G4356" s="23">
        <v>46245</v>
      </c>
    </row>
    <row r="4357" spans="1:7" ht="36.5" hidden="1" x14ac:dyDescent="0.35">
      <c r="A4357" s="8">
        <v>12969</v>
      </c>
      <c r="B4357" s="10" t="s">
        <v>6912</v>
      </c>
      <c r="C4357" s="10" t="s">
        <v>13</v>
      </c>
      <c r="D4357" s="9" t="s">
        <v>13</v>
      </c>
      <c r="E4357" s="9" t="str">
        <f>_xlfn.TEXTAFTER(Condiciones_acumuladas[[#This Row],[Descripción]], " ", -2)</f>
        <v>Amilcar Ralda</v>
      </c>
      <c r="F4357" s="21" t="s">
        <v>2715</v>
      </c>
      <c r="G4357" s="23">
        <v>46245</v>
      </c>
    </row>
    <row r="4358" spans="1:7" ht="36.5" hidden="1" x14ac:dyDescent="0.35">
      <c r="A4358" s="8">
        <v>12970</v>
      </c>
      <c r="B4358" s="10" t="s">
        <v>6913</v>
      </c>
      <c r="C4358" s="10" t="s">
        <v>13</v>
      </c>
      <c r="D4358" s="9" t="s">
        <v>13</v>
      </c>
      <c r="E4358" s="9" t="str">
        <f>_xlfn.TEXTAFTER(Condiciones_acumuladas[[#This Row],[Descripción]], " ", -2)</f>
        <v>Amilcar Ralda</v>
      </c>
      <c r="F4358" s="21" t="s">
        <v>2530</v>
      </c>
      <c r="G4358" s="23">
        <v>46245</v>
      </c>
    </row>
    <row r="4359" spans="1:7" ht="36.5" hidden="1" x14ac:dyDescent="0.35">
      <c r="A4359" s="8">
        <v>12973</v>
      </c>
      <c r="B4359" s="10" t="s">
        <v>6914</v>
      </c>
      <c r="C4359" s="10" t="s">
        <v>234</v>
      </c>
      <c r="D4359" s="9" t="s">
        <v>234</v>
      </c>
      <c r="E4359" s="9" t="str">
        <f>_xlfn.TEXTAFTER(Condiciones_acumuladas[[#This Row],[Descripción]], " ", -2)</f>
        <v>Roy Luarca</v>
      </c>
      <c r="F4359" s="21" t="s">
        <v>2715</v>
      </c>
      <c r="G4359" s="23">
        <v>46248</v>
      </c>
    </row>
    <row r="4360" spans="1:7" ht="36.5" hidden="1" x14ac:dyDescent="0.35">
      <c r="A4360" s="8">
        <v>12971</v>
      </c>
      <c r="B4360" s="10" t="s">
        <v>6915</v>
      </c>
      <c r="C4360" s="10" t="s">
        <v>234</v>
      </c>
      <c r="D4360" s="9" t="s">
        <v>234</v>
      </c>
      <c r="E4360" s="9" t="str">
        <f>_xlfn.TEXTAFTER(Condiciones_acumuladas[[#This Row],[Descripción]], " ", -2)</f>
        <v>Roy Luarca</v>
      </c>
      <c r="F4360" s="21" t="s">
        <v>2525</v>
      </c>
      <c r="G4360" s="23">
        <v>46248</v>
      </c>
    </row>
    <row r="4361" spans="1:7" ht="36.5" hidden="1" x14ac:dyDescent="0.35">
      <c r="A4361" s="8">
        <v>12974</v>
      </c>
      <c r="B4361" s="10" t="s">
        <v>6916</v>
      </c>
      <c r="C4361" s="10" t="s">
        <v>96</v>
      </c>
      <c r="D4361" s="9" t="s">
        <v>96</v>
      </c>
      <c r="E4361" s="9" t="str">
        <f>_xlfn.TEXTAFTER(Condiciones_acumuladas[[#This Row],[Descripción]], " ", -2)</f>
        <v>Jimmy Velásquez</v>
      </c>
      <c r="F4361" s="21" t="s">
        <v>2522</v>
      </c>
      <c r="G4361" s="23">
        <v>46247</v>
      </c>
    </row>
    <row r="4362" spans="1:7" ht="36.5" hidden="1" x14ac:dyDescent="0.35">
      <c r="A4362" s="8">
        <v>12975</v>
      </c>
      <c r="B4362" s="10" t="s">
        <v>6917</v>
      </c>
      <c r="C4362" s="10" t="s">
        <v>190</v>
      </c>
      <c r="D4362" s="9" t="s">
        <v>250</v>
      </c>
      <c r="E4362" s="9" t="str">
        <f>_xlfn.TEXTAFTER(Condiciones_acumuladas[[#This Row],[Descripción]], " ", -2)</f>
        <v>Eliu Tello</v>
      </c>
      <c r="F4362" s="21" t="s">
        <v>2525</v>
      </c>
      <c r="G4362" s="23">
        <v>46248</v>
      </c>
    </row>
    <row r="4363" spans="1:7" ht="36.5" hidden="1" x14ac:dyDescent="0.35">
      <c r="A4363" s="8">
        <v>12976</v>
      </c>
      <c r="B4363" s="10" t="s">
        <v>6918</v>
      </c>
      <c r="C4363" s="10" t="s">
        <v>190</v>
      </c>
      <c r="D4363" s="9" t="s">
        <v>250</v>
      </c>
      <c r="E4363" s="9" t="str">
        <f>_xlfn.TEXTAFTER(Condiciones_acumuladas[[#This Row],[Descripción]], " ", -2)</f>
        <v>Eliu Tello</v>
      </c>
      <c r="F4363" s="21" t="s">
        <v>2525</v>
      </c>
      <c r="G4363" s="23">
        <v>46248</v>
      </c>
    </row>
    <row r="4364" spans="1:7" ht="36.5" hidden="1" x14ac:dyDescent="0.35">
      <c r="A4364" s="8">
        <v>12963</v>
      </c>
      <c r="B4364" s="10" t="s">
        <v>6919</v>
      </c>
      <c r="C4364" s="10" t="s">
        <v>104</v>
      </c>
      <c r="D4364" s="9" t="s">
        <v>95</v>
      </c>
      <c r="E4364" s="9" t="str">
        <f>_xlfn.TEXTAFTER(Condiciones_acumuladas[[#This Row],[Descripción]], " ", -2)</f>
        <v>Andrea González</v>
      </c>
      <c r="F4364" s="21" t="s">
        <v>2530</v>
      </c>
      <c r="G4364" s="23">
        <v>46252</v>
      </c>
    </row>
    <row r="4365" spans="1:7" ht="24.5" hidden="1" x14ac:dyDescent="0.35">
      <c r="A4365" s="8">
        <v>12980</v>
      </c>
      <c r="B4365" s="10" t="s">
        <v>6920</v>
      </c>
      <c r="C4365" s="10" t="s">
        <v>96</v>
      </c>
      <c r="D4365" s="9" t="s">
        <v>96</v>
      </c>
      <c r="E4365" s="9" t="str">
        <f>_xlfn.TEXTAFTER(Condiciones_acumuladas[[#This Row],[Descripción]], " ", -2)</f>
        <v>Luis Pérez</v>
      </c>
      <c r="F4365" s="21" t="s">
        <v>2537</v>
      </c>
      <c r="G4365" s="23">
        <v>46253</v>
      </c>
    </row>
    <row r="4366" spans="1:7" ht="24.5" hidden="1" x14ac:dyDescent="0.35">
      <c r="A4366" s="8">
        <v>13015</v>
      </c>
      <c r="B4366" s="10" t="s">
        <v>6921</v>
      </c>
      <c r="C4366" s="10" t="s">
        <v>190</v>
      </c>
      <c r="D4366" s="9" t="s">
        <v>395</v>
      </c>
      <c r="E4366" s="9" t="str">
        <f>_xlfn.TEXTAFTER(Condiciones_acumuladas[[#This Row],[Descripción]], " ", -2)</f>
        <v>Edson Bonifacio</v>
      </c>
      <c r="F4366" s="21" t="s">
        <v>2522</v>
      </c>
      <c r="G4366" s="23">
        <v>46255</v>
      </c>
    </row>
    <row r="4367" spans="1:7" ht="36.5" hidden="1" x14ac:dyDescent="0.35">
      <c r="A4367" s="8">
        <v>13014</v>
      </c>
      <c r="B4367" s="10" t="s">
        <v>6922</v>
      </c>
      <c r="C4367" s="10" t="s">
        <v>250</v>
      </c>
      <c r="D4367" s="9" t="s">
        <v>395</v>
      </c>
      <c r="E4367" s="9" t="str">
        <f>_xlfn.TEXTAFTER(Condiciones_acumuladas[[#This Row],[Descripción]], " ", -2)</f>
        <v>Abraham Quiej</v>
      </c>
      <c r="F4367" s="21" t="s">
        <v>2525</v>
      </c>
      <c r="G4367" s="23">
        <v>46255</v>
      </c>
    </row>
    <row r="4368" spans="1:7" ht="36.5" hidden="1" x14ac:dyDescent="0.35">
      <c r="A4368" s="8">
        <v>13013</v>
      </c>
      <c r="B4368" s="10" t="s">
        <v>6923</v>
      </c>
      <c r="C4368" s="10" t="s">
        <v>104</v>
      </c>
      <c r="D4368" s="9" t="s">
        <v>95</v>
      </c>
      <c r="E4368" s="9" t="str">
        <f>_xlfn.TEXTAFTER(Condiciones_acumuladas[[#This Row],[Descripción]], " ", -2)</f>
        <v>María Obregón</v>
      </c>
      <c r="F4368" s="21" t="s">
        <v>2572</v>
      </c>
      <c r="G4368" s="23">
        <v>46254</v>
      </c>
    </row>
    <row r="4369" spans="1:7" ht="24.5" hidden="1" x14ac:dyDescent="0.35">
      <c r="A4369" s="8">
        <v>13012</v>
      </c>
      <c r="B4369" s="10" t="s">
        <v>6924</v>
      </c>
      <c r="C4369" s="10" t="s">
        <v>104</v>
      </c>
      <c r="D4369" s="9" t="s">
        <v>95</v>
      </c>
      <c r="E4369" s="9" t="str">
        <f>_xlfn.TEXTAFTER(Condiciones_acumuladas[[#This Row],[Descripción]], " ", -2)</f>
        <v>María Obregón</v>
      </c>
      <c r="F4369" s="21" t="s">
        <v>2522</v>
      </c>
      <c r="G4369" s="23">
        <v>46254</v>
      </c>
    </row>
    <row r="4370" spans="1:7" ht="24.5" hidden="1" x14ac:dyDescent="0.35">
      <c r="A4370" s="8">
        <v>13011</v>
      </c>
      <c r="B4370" s="10" t="s">
        <v>6925</v>
      </c>
      <c r="C4370" s="10" t="s">
        <v>104</v>
      </c>
      <c r="D4370" s="9" t="s">
        <v>95</v>
      </c>
      <c r="E4370" s="9" t="str">
        <f>_xlfn.TEXTAFTER(Condiciones_acumuladas[[#This Row],[Descripción]], " ", -2)</f>
        <v>María Obregón</v>
      </c>
      <c r="F4370" s="21" t="s">
        <v>2522</v>
      </c>
      <c r="G4370" s="23">
        <v>46254</v>
      </c>
    </row>
    <row r="4371" spans="1:7" ht="36.5" hidden="1" x14ac:dyDescent="0.35">
      <c r="A4371" s="8">
        <v>13010</v>
      </c>
      <c r="B4371" s="10" t="s">
        <v>6926</v>
      </c>
      <c r="C4371" s="10" t="s">
        <v>134</v>
      </c>
      <c r="D4371" s="9" t="s">
        <v>95</v>
      </c>
      <c r="E4371" s="9" t="str">
        <f>_xlfn.TEXTAFTER(Condiciones_acumuladas[[#This Row],[Descripción]], " ", -2)</f>
        <v>María Obregón</v>
      </c>
      <c r="F4371" s="21" t="s">
        <v>2516</v>
      </c>
      <c r="G4371" s="23">
        <v>46254</v>
      </c>
    </row>
    <row r="4372" spans="1:7" ht="24.5" hidden="1" x14ac:dyDescent="0.35">
      <c r="A4372" s="8">
        <v>13009</v>
      </c>
      <c r="B4372" s="10" t="s">
        <v>6927</v>
      </c>
      <c r="C4372" s="10" t="s">
        <v>134</v>
      </c>
      <c r="D4372" s="9" t="s">
        <v>95</v>
      </c>
      <c r="E4372" s="9" t="str">
        <f>_xlfn.TEXTAFTER(Condiciones_acumuladas[[#This Row],[Descripción]], " ", -2)</f>
        <v>María Obregón</v>
      </c>
      <c r="F4372" s="21" t="s">
        <v>2540</v>
      </c>
      <c r="G4372" s="23">
        <v>46254</v>
      </c>
    </row>
    <row r="4373" spans="1:7" ht="36.5" hidden="1" x14ac:dyDescent="0.35">
      <c r="A4373" s="8">
        <v>13008</v>
      </c>
      <c r="B4373" s="10" t="s">
        <v>6928</v>
      </c>
      <c r="C4373" s="10" t="s">
        <v>134</v>
      </c>
      <c r="D4373" s="9" t="s">
        <v>95</v>
      </c>
      <c r="E4373" s="9" t="str">
        <f>_xlfn.TEXTAFTER(Condiciones_acumuladas[[#This Row],[Descripción]], " ", -2)</f>
        <v>María Obregón</v>
      </c>
      <c r="F4373" s="21" t="s">
        <v>2530</v>
      </c>
      <c r="G4373" s="23">
        <v>46254</v>
      </c>
    </row>
    <row r="4374" spans="1:7" ht="48.5" hidden="1" x14ac:dyDescent="0.35">
      <c r="A4374" s="8">
        <v>13007</v>
      </c>
      <c r="B4374" s="10" t="s">
        <v>6929</v>
      </c>
      <c r="C4374" s="10" t="s">
        <v>134</v>
      </c>
      <c r="D4374" s="9" t="s">
        <v>95</v>
      </c>
      <c r="E4374" s="9" t="str">
        <f>_xlfn.TEXTAFTER(Condiciones_acumuladas[[#This Row],[Descripción]], " ", -2)</f>
        <v>María Obregón</v>
      </c>
      <c r="F4374" s="21" t="s">
        <v>2559</v>
      </c>
      <c r="G4374" s="23">
        <v>46254</v>
      </c>
    </row>
    <row r="4375" spans="1:7" ht="24.5" hidden="1" x14ac:dyDescent="0.35">
      <c r="A4375" s="8">
        <v>13006</v>
      </c>
      <c r="B4375" s="10" t="s">
        <v>6930</v>
      </c>
      <c r="C4375" s="10" t="s">
        <v>250</v>
      </c>
      <c r="D4375" s="9" t="s">
        <v>196</v>
      </c>
      <c r="E4375" s="9" t="str">
        <f>_xlfn.TEXTAFTER(Condiciones_acumuladas[[#This Row],[Descripción]], " ", -2)</f>
        <v>Miguel Godínez</v>
      </c>
      <c r="F4375" s="21" t="s">
        <v>2522</v>
      </c>
      <c r="G4375" s="23">
        <v>46254</v>
      </c>
    </row>
    <row r="4376" spans="1:7" ht="48.5" hidden="1" x14ac:dyDescent="0.35">
      <c r="A4376" s="8">
        <v>13005</v>
      </c>
      <c r="B4376" s="10" t="s">
        <v>6931</v>
      </c>
      <c r="C4376" s="10" t="s">
        <v>278</v>
      </c>
      <c r="D4376" s="9" t="s">
        <v>278</v>
      </c>
      <c r="E4376" s="9" t="str">
        <f>_xlfn.TEXTAFTER(Condiciones_acumuladas[[#This Row],[Descripción]], " ", -2)</f>
        <v>Jason Calderón</v>
      </c>
      <c r="F4376" s="21" t="s">
        <v>2559</v>
      </c>
      <c r="G4376" s="23">
        <v>46254</v>
      </c>
    </row>
    <row r="4377" spans="1:7" ht="36.5" hidden="1" x14ac:dyDescent="0.35">
      <c r="A4377" s="8">
        <v>13004</v>
      </c>
      <c r="B4377" s="10" t="s">
        <v>6932</v>
      </c>
      <c r="C4377" s="10" t="s">
        <v>21</v>
      </c>
      <c r="D4377" s="9" t="s">
        <v>190</v>
      </c>
      <c r="E4377" s="9" t="str">
        <f>_xlfn.TEXTAFTER(Condiciones_acumuladas[[#This Row],[Descripción]], " ", -2)</f>
        <v>Walfred Guzmán</v>
      </c>
      <c r="F4377" s="21" t="s">
        <v>2516</v>
      </c>
      <c r="G4377" s="23">
        <v>46254</v>
      </c>
    </row>
    <row r="4378" spans="1:7" ht="24.5" hidden="1" x14ac:dyDescent="0.35">
      <c r="A4378" s="8">
        <v>13003</v>
      </c>
      <c r="B4378" s="10" t="s">
        <v>6933</v>
      </c>
      <c r="C4378" s="10" t="s">
        <v>21</v>
      </c>
      <c r="D4378" s="9" t="s">
        <v>21</v>
      </c>
      <c r="E4378" s="9" t="str">
        <f>_xlfn.TEXTAFTER(Condiciones_acumuladas[[#This Row],[Descripción]], " ", -2)</f>
        <v>Oscar Ramírez</v>
      </c>
      <c r="F4378" s="21" t="s">
        <v>2540</v>
      </c>
      <c r="G4378" s="23">
        <v>46253</v>
      </c>
    </row>
    <row r="4379" spans="1:7" ht="24.5" hidden="1" x14ac:dyDescent="0.35">
      <c r="A4379" s="8">
        <v>13002</v>
      </c>
      <c r="B4379" s="10" t="s">
        <v>6934</v>
      </c>
      <c r="C4379" s="10" t="s">
        <v>21</v>
      </c>
      <c r="D4379" s="9" t="s">
        <v>21</v>
      </c>
      <c r="E4379" s="9" t="str">
        <f>_xlfn.TEXTAFTER(Condiciones_acumuladas[[#This Row],[Descripción]], " ", -2)</f>
        <v>Oscar Ramírez</v>
      </c>
      <c r="F4379" s="21" t="s">
        <v>2540</v>
      </c>
      <c r="G4379" s="23">
        <v>46253</v>
      </c>
    </row>
    <row r="4380" spans="1:7" ht="24.5" hidden="1" x14ac:dyDescent="0.35">
      <c r="A4380" s="8">
        <v>13001</v>
      </c>
      <c r="B4380" s="10" t="s">
        <v>6935</v>
      </c>
      <c r="C4380" s="10" t="s">
        <v>21</v>
      </c>
      <c r="D4380" s="9" t="s">
        <v>21</v>
      </c>
      <c r="E4380" s="9" t="str">
        <f>_xlfn.TEXTAFTER(Condiciones_acumuladas[[#This Row],[Descripción]], " ", -2)</f>
        <v>Oscar Ramírez</v>
      </c>
      <c r="F4380" s="21" t="s">
        <v>2522</v>
      </c>
      <c r="G4380" s="23">
        <v>46253</v>
      </c>
    </row>
    <row r="4381" spans="1:7" ht="36.5" hidden="1" x14ac:dyDescent="0.35">
      <c r="A4381" s="8">
        <v>13000</v>
      </c>
      <c r="B4381" s="10" t="s">
        <v>6936</v>
      </c>
      <c r="C4381" s="10" t="s">
        <v>193</v>
      </c>
      <c r="D4381" s="9" t="s">
        <v>190</v>
      </c>
      <c r="E4381" s="9" t="str">
        <f>_xlfn.TEXTAFTER(Condiciones_acumuladas[[#This Row],[Descripción]], " ", -2)</f>
        <v>Dennis DeLeón</v>
      </c>
      <c r="F4381" s="21" t="s">
        <v>2516</v>
      </c>
      <c r="G4381" s="23">
        <v>46253</v>
      </c>
    </row>
    <row r="4382" spans="1:7" ht="36.5" hidden="1" x14ac:dyDescent="0.35">
      <c r="A4382" s="8">
        <v>12998</v>
      </c>
      <c r="B4382" s="10" t="s">
        <v>6937</v>
      </c>
      <c r="C4382" s="10" t="s">
        <v>193</v>
      </c>
      <c r="D4382" s="9" t="s">
        <v>395</v>
      </c>
      <c r="E4382" s="9" t="str">
        <f>_xlfn.TEXTAFTER(Condiciones_acumuladas[[#This Row],[Descripción]], " ", -2)</f>
        <v>Daniel Pineda</v>
      </c>
      <c r="F4382" s="21" t="s">
        <v>2540</v>
      </c>
      <c r="G4382" s="23">
        <v>46253</v>
      </c>
    </row>
    <row r="4383" spans="1:7" ht="24.5" hidden="1" x14ac:dyDescent="0.35">
      <c r="A4383" s="8">
        <v>12996</v>
      </c>
      <c r="B4383" s="10" t="s">
        <v>6938</v>
      </c>
      <c r="C4383" s="10" t="s">
        <v>234</v>
      </c>
      <c r="D4383" s="9" t="s">
        <v>196</v>
      </c>
      <c r="E4383" s="9" t="str">
        <f>_xlfn.TEXTAFTER(Condiciones_acumuladas[[#This Row],[Descripción]], " ", -2)</f>
        <v>Jaime Chex</v>
      </c>
      <c r="F4383" s="21" t="s">
        <v>2522</v>
      </c>
      <c r="G4383" s="23">
        <v>46253</v>
      </c>
    </row>
    <row r="4384" spans="1:7" ht="24.5" hidden="1" x14ac:dyDescent="0.35">
      <c r="A4384" s="8">
        <v>12997</v>
      </c>
      <c r="B4384" s="10" t="s">
        <v>6939</v>
      </c>
      <c r="C4384" s="10" t="s">
        <v>96</v>
      </c>
      <c r="D4384" s="9" t="s">
        <v>96</v>
      </c>
      <c r="E4384" s="9" t="str">
        <f>_xlfn.TEXTAFTER(Condiciones_acumuladas[[#This Row],[Descripción]], " ", -2)</f>
        <v>Jimmy Velásquez</v>
      </c>
      <c r="F4384" s="21" t="s">
        <v>2537</v>
      </c>
      <c r="G4384" s="23">
        <v>46253</v>
      </c>
    </row>
    <row r="4385" spans="1:7" ht="36.5" hidden="1" x14ac:dyDescent="0.35">
      <c r="A4385" s="8">
        <v>12995</v>
      </c>
      <c r="B4385" s="10" t="s">
        <v>6940</v>
      </c>
      <c r="C4385" s="10" t="s">
        <v>196</v>
      </c>
      <c r="D4385" s="9" t="s">
        <v>395</v>
      </c>
      <c r="E4385" s="9" t="str">
        <f>_xlfn.TEXTAFTER(Condiciones_acumuladas[[#This Row],[Descripción]], " ", -2)</f>
        <v>German Orozco</v>
      </c>
      <c r="F4385" s="21" t="s">
        <v>2715</v>
      </c>
      <c r="G4385" s="23">
        <v>46253</v>
      </c>
    </row>
    <row r="4386" spans="1:7" ht="36.5" hidden="1" x14ac:dyDescent="0.35">
      <c r="A4386" s="8">
        <v>12993</v>
      </c>
      <c r="B4386" s="10" t="s">
        <v>6941</v>
      </c>
      <c r="C4386" s="10" t="s">
        <v>234</v>
      </c>
      <c r="D4386" s="9" t="s">
        <v>234</v>
      </c>
      <c r="E4386" s="9" t="str">
        <f>_xlfn.TEXTAFTER(Condiciones_acumuladas[[#This Row],[Descripción]], " ", -2)</f>
        <v>Gustavo Hernández</v>
      </c>
      <c r="F4386" s="21" t="s">
        <v>2540</v>
      </c>
      <c r="G4386" s="23">
        <v>46253</v>
      </c>
    </row>
    <row r="4387" spans="1:7" ht="36.5" hidden="1" x14ac:dyDescent="0.35">
      <c r="A4387" s="8">
        <v>12994</v>
      </c>
      <c r="B4387" s="10" t="s">
        <v>6942</v>
      </c>
      <c r="C4387" s="10" t="s">
        <v>13</v>
      </c>
      <c r="D4387" s="9" t="s">
        <v>13</v>
      </c>
      <c r="E4387" s="9" t="str">
        <f>_xlfn.TEXTAFTER(Condiciones_acumuladas[[#This Row],[Descripción]], " ", -2)</f>
        <v>Amilcar Ralda</v>
      </c>
      <c r="F4387" s="21" t="s">
        <v>2572</v>
      </c>
      <c r="G4387" s="23">
        <v>46253</v>
      </c>
    </row>
    <row r="4388" spans="1:7" ht="24.5" hidden="1" x14ac:dyDescent="0.35">
      <c r="A4388" s="8">
        <v>12992</v>
      </c>
      <c r="B4388" s="10" t="s">
        <v>6943</v>
      </c>
      <c r="C4388" s="10" t="s">
        <v>21</v>
      </c>
      <c r="D4388" s="9" t="s">
        <v>21</v>
      </c>
      <c r="E4388" s="9" t="str">
        <f>_xlfn.TEXTAFTER(Condiciones_acumuladas[[#This Row],[Descripción]], " ", -2)</f>
        <v>Abraham Quiej</v>
      </c>
      <c r="F4388" s="21" t="s">
        <v>2522</v>
      </c>
      <c r="G4388" s="23">
        <v>46253</v>
      </c>
    </row>
    <row r="4389" spans="1:7" ht="48.5" hidden="1" x14ac:dyDescent="0.35">
      <c r="A4389" s="8">
        <v>12991</v>
      </c>
      <c r="B4389" s="10" t="s">
        <v>6944</v>
      </c>
      <c r="C4389" s="10" t="s">
        <v>134</v>
      </c>
      <c r="D4389" s="9" t="s">
        <v>395</v>
      </c>
      <c r="E4389" s="9" t="str">
        <f>_xlfn.TEXTAFTER(Condiciones_acumuladas[[#This Row],[Descripción]], " ", -2)</f>
        <v>Abraham Quiej</v>
      </c>
      <c r="F4389" s="21" t="s">
        <v>2559</v>
      </c>
      <c r="G4389" s="23">
        <v>46253</v>
      </c>
    </row>
    <row r="4390" spans="1:7" ht="24.5" hidden="1" x14ac:dyDescent="0.35">
      <c r="A4390" s="8">
        <v>12990</v>
      </c>
      <c r="B4390" s="10" t="s">
        <v>6945</v>
      </c>
      <c r="C4390" s="10" t="s">
        <v>104</v>
      </c>
      <c r="D4390" s="9" t="s">
        <v>95</v>
      </c>
      <c r="E4390" s="9" t="str">
        <f>_xlfn.TEXTAFTER(Condiciones_acumuladas[[#This Row],[Descripción]], " ", -2)</f>
        <v>Nelson Godínez</v>
      </c>
      <c r="F4390" s="21" t="s">
        <v>2540</v>
      </c>
      <c r="G4390" s="23">
        <v>46251</v>
      </c>
    </row>
    <row r="4391" spans="1:7" ht="36.5" hidden="1" x14ac:dyDescent="0.35">
      <c r="A4391" s="8">
        <v>12989</v>
      </c>
      <c r="B4391" s="10" t="s">
        <v>6946</v>
      </c>
      <c r="C4391" s="10" t="s">
        <v>104</v>
      </c>
      <c r="D4391" s="9" t="s">
        <v>95</v>
      </c>
      <c r="E4391" s="9" t="str">
        <f>_xlfn.TEXTAFTER(Condiciones_acumuladas[[#This Row],[Descripción]], " ", -2)</f>
        <v>Andrea González</v>
      </c>
      <c r="F4391" s="21" t="s">
        <v>2530</v>
      </c>
      <c r="G4391" s="23">
        <v>46255</v>
      </c>
    </row>
    <row r="4392" spans="1:7" ht="36.5" hidden="1" x14ac:dyDescent="0.35">
      <c r="A4392" s="8">
        <v>12988</v>
      </c>
      <c r="B4392" s="10" t="s">
        <v>6947</v>
      </c>
      <c r="C4392" s="10" t="s">
        <v>21</v>
      </c>
      <c r="D4392" s="9" t="s">
        <v>95</v>
      </c>
      <c r="E4392" s="9" t="str">
        <f>_xlfn.TEXTAFTER(Condiciones_acumuladas[[#This Row],[Descripción]], " ", -2)</f>
        <v>Andrea González</v>
      </c>
      <c r="F4392" s="21" t="s">
        <v>2530</v>
      </c>
      <c r="G4392" s="23">
        <v>46255</v>
      </c>
    </row>
    <row r="4393" spans="1:7" ht="36.5" hidden="1" x14ac:dyDescent="0.35">
      <c r="A4393" s="8">
        <v>12987</v>
      </c>
      <c r="B4393" s="10" t="s">
        <v>6948</v>
      </c>
      <c r="C4393" s="10" t="s">
        <v>26</v>
      </c>
      <c r="D4393" s="9" t="s">
        <v>95</v>
      </c>
      <c r="E4393" s="9" t="str">
        <f>_xlfn.TEXTAFTER(Condiciones_acumuladas[[#This Row],[Descripción]], " ", -2)</f>
        <v>Andrea González</v>
      </c>
      <c r="F4393" s="21" t="s">
        <v>2530</v>
      </c>
      <c r="G4393" s="23">
        <v>46255</v>
      </c>
    </row>
    <row r="4394" spans="1:7" ht="24.5" hidden="1" x14ac:dyDescent="0.35">
      <c r="A4394" s="8">
        <v>12986</v>
      </c>
      <c r="B4394" s="10" t="s">
        <v>6949</v>
      </c>
      <c r="C4394" s="10" t="s">
        <v>96</v>
      </c>
      <c r="D4394" s="9" t="s">
        <v>96</v>
      </c>
      <c r="E4394" s="9" t="str">
        <f>_xlfn.TEXTAFTER(Condiciones_acumuladas[[#This Row],[Descripción]], " ", -2)</f>
        <v>Luis Pérez</v>
      </c>
      <c r="F4394" s="21" t="s">
        <v>2540</v>
      </c>
      <c r="G4394" s="23">
        <v>46254</v>
      </c>
    </row>
    <row r="4395" spans="1:7" ht="24.5" hidden="1" x14ac:dyDescent="0.35">
      <c r="A4395" s="8">
        <v>12983</v>
      </c>
      <c r="B4395" s="10" t="s">
        <v>6950</v>
      </c>
      <c r="C4395" s="10" t="s">
        <v>96</v>
      </c>
      <c r="D4395" s="9" t="s">
        <v>96</v>
      </c>
      <c r="E4395" s="9" t="str">
        <f>_xlfn.TEXTAFTER(Condiciones_acumuladas[[#This Row],[Descripción]], " ", -2)</f>
        <v>Luis Pérez</v>
      </c>
      <c r="F4395" s="21" t="s">
        <v>2537</v>
      </c>
      <c r="G4395" s="23">
        <v>46253</v>
      </c>
    </row>
    <row r="4396" spans="1:7" ht="24.5" hidden="1" x14ac:dyDescent="0.35">
      <c r="A4396" s="8">
        <v>12981</v>
      </c>
      <c r="B4396" s="10" t="s">
        <v>6951</v>
      </c>
      <c r="C4396" s="10" t="s">
        <v>104</v>
      </c>
      <c r="D4396" s="9" t="s">
        <v>95</v>
      </c>
      <c r="E4396" s="9" t="str">
        <f>_xlfn.TEXTAFTER(Condiciones_acumuladas[[#This Row],[Descripción]], " ", -2)</f>
        <v>Nelson Godínez</v>
      </c>
      <c r="F4396" s="21" t="s">
        <v>2522</v>
      </c>
      <c r="G4396" s="23">
        <v>46253</v>
      </c>
    </row>
    <row r="4397" spans="1:7" ht="48.5" hidden="1" x14ac:dyDescent="0.35">
      <c r="A4397" s="8">
        <v>12979</v>
      </c>
      <c r="B4397" s="10" t="s">
        <v>6952</v>
      </c>
      <c r="C4397" s="10" t="s">
        <v>104</v>
      </c>
      <c r="D4397" s="9" t="s">
        <v>104</v>
      </c>
      <c r="E4397" s="9" t="str">
        <f>_xlfn.TEXTAFTER(Condiciones_acumuladas[[#This Row],[Descripción]], " ", -2)</f>
        <v>Obdulio Saquic</v>
      </c>
      <c r="F4397" s="21" t="s">
        <v>2559</v>
      </c>
      <c r="G4397" s="23">
        <v>46252</v>
      </c>
    </row>
    <row r="4398" spans="1:7" ht="24.5" hidden="1" x14ac:dyDescent="0.35">
      <c r="A4398" s="8">
        <v>13064</v>
      </c>
      <c r="B4398" s="10" t="s">
        <v>6953</v>
      </c>
      <c r="C4398" s="10" t="s">
        <v>104</v>
      </c>
      <c r="D4398" s="9" t="s">
        <v>190</v>
      </c>
      <c r="E4398" s="9" t="str">
        <f>_xlfn.TEXTAFTER(Condiciones_acumuladas[[#This Row],[Descripción]], " ", -2)</f>
        <v>Dennis DeLeón</v>
      </c>
      <c r="F4398" s="21" t="s">
        <v>2540</v>
      </c>
      <c r="G4398" s="23">
        <v>46261</v>
      </c>
    </row>
    <row r="4399" spans="1:7" ht="24.5" hidden="1" x14ac:dyDescent="0.35">
      <c r="A4399" s="8">
        <v>13063</v>
      </c>
      <c r="B4399" s="10" t="s">
        <v>6954</v>
      </c>
      <c r="C4399" s="10" t="s">
        <v>234</v>
      </c>
      <c r="D4399" s="9" t="s">
        <v>190</v>
      </c>
      <c r="E4399" s="9" t="str">
        <f>_xlfn.TEXTAFTER(Condiciones_acumuladas[[#This Row],[Descripción]], " ", -2)</f>
        <v>Elvis Oliva</v>
      </c>
      <c r="F4399" s="21" t="s">
        <v>2522</v>
      </c>
      <c r="G4399" s="23">
        <v>46261</v>
      </c>
    </row>
    <row r="4400" spans="1:7" ht="24.5" hidden="1" x14ac:dyDescent="0.35">
      <c r="A4400" s="8">
        <v>13059</v>
      </c>
      <c r="B4400" s="10" t="s">
        <v>6955</v>
      </c>
      <c r="C4400" s="10" t="s">
        <v>21</v>
      </c>
      <c r="D4400" s="9" t="s">
        <v>190</v>
      </c>
      <c r="E4400" s="9" t="str">
        <f>_xlfn.TEXTAFTER(Condiciones_acumuladas[[#This Row],[Descripción]], " ", -2)</f>
        <v>Elvis Oliva</v>
      </c>
      <c r="F4400" s="21" t="s">
        <v>2522</v>
      </c>
      <c r="G4400" s="23">
        <v>46260</v>
      </c>
    </row>
    <row r="4401" spans="1:7" ht="36.5" hidden="1" x14ac:dyDescent="0.35">
      <c r="A4401" s="8">
        <v>13057</v>
      </c>
      <c r="B4401" s="10" t="s">
        <v>6956</v>
      </c>
      <c r="C4401" s="10" t="s">
        <v>234</v>
      </c>
      <c r="D4401" s="9" t="s">
        <v>234</v>
      </c>
      <c r="E4401" s="9" t="str">
        <f>_xlfn.TEXTAFTER(Condiciones_acumuladas[[#This Row],[Descripción]], " ", -2)</f>
        <v>Byron Roldan</v>
      </c>
      <c r="F4401" s="21" t="s">
        <v>2522</v>
      </c>
      <c r="G4401" s="23">
        <v>46260</v>
      </c>
    </row>
    <row r="4402" spans="1:7" ht="24.5" hidden="1" x14ac:dyDescent="0.35">
      <c r="A4402" s="8">
        <v>13055</v>
      </c>
      <c r="B4402" s="10" t="s">
        <v>6957</v>
      </c>
      <c r="C4402" s="10" t="s">
        <v>26</v>
      </c>
      <c r="D4402" s="9" t="s">
        <v>26</v>
      </c>
      <c r="E4402" s="9" t="str">
        <f>_xlfn.TEXTAFTER(Condiciones_acumuladas[[#This Row],[Descripción]], " ", -2)</f>
        <v>Adrián Santisteban</v>
      </c>
      <c r="F4402" s="21" t="s">
        <v>2522</v>
      </c>
      <c r="G4402" s="23">
        <v>46260</v>
      </c>
    </row>
    <row r="4403" spans="1:7" ht="24.5" hidden="1" x14ac:dyDescent="0.35">
      <c r="A4403" s="8">
        <v>13061</v>
      </c>
      <c r="B4403" s="10" t="s">
        <v>6958</v>
      </c>
      <c r="C4403" s="10" t="s">
        <v>96</v>
      </c>
      <c r="D4403" s="9" t="s">
        <v>96</v>
      </c>
      <c r="E4403" s="9" t="str">
        <f>_xlfn.TEXTAFTER(Condiciones_acumuladas[[#This Row],[Descripción]], " ", -2)</f>
        <v>Jimmy Velásquez</v>
      </c>
      <c r="F4403" s="21" t="s">
        <v>2537</v>
      </c>
      <c r="G4403" s="23">
        <v>46261</v>
      </c>
    </row>
    <row r="4404" spans="1:7" ht="36.5" hidden="1" x14ac:dyDescent="0.35">
      <c r="A4404" s="8">
        <v>13060</v>
      </c>
      <c r="B4404" s="10" t="s">
        <v>6959</v>
      </c>
      <c r="C4404" s="10" t="s">
        <v>196</v>
      </c>
      <c r="D4404" s="9" t="s">
        <v>95</v>
      </c>
      <c r="E4404" s="9" t="str">
        <f>_xlfn.TEXTAFTER(Condiciones_acumuladas[[#This Row],[Descripción]], " ", -2)</f>
        <v>Alejandro Martínez</v>
      </c>
      <c r="F4404" s="21" t="s">
        <v>2530</v>
      </c>
      <c r="G4404" s="23">
        <v>46260</v>
      </c>
    </row>
    <row r="4405" spans="1:7" ht="24.5" hidden="1" x14ac:dyDescent="0.35">
      <c r="A4405" s="8">
        <v>13058</v>
      </c>
      <c r="B4405" s="10" t="s">
        <v>6960</v>
      </c>
      <c r="C4405" s="10" t="s">
        <v>26</v>
      </c>
      <c r="D4405" s="9" t="s">
        <v>26</v>
      </c>
      <c r="E4405" s="9" t="str">
        <f>_xlfn.TEXTAFTER(Condiciones_acumuladas[[#This Row],[Descripción]], " ", -2)</f>
        <v>Adrián Santisteban</v>
      </c>
      <c r="F4405" s="21" t="s">
        <v>2522</v>
      </c>
      <c r="G4405" s="23">
        <v>46260</v>
      </c>
    </row>
    <row r="4406" spans="1:7" ht="24.5" hidden="1" x14ac:dyDescent="0.35">
      <c r="A4406" s="8">
        <v>13056</v>
      </c>
      <c r="B4406" s="10" t="s">
        <v>6961</v>
      </c>
      <c r="C4406" s="10" t="s">
        <v>196</v>
      </c>
      <c r="D4406" s="9" t="s">
        <v>205</v>
      </c>
      <c r="E4406" s="9" t="str">
        <f>_xlfn.TEXTAFTER(Condiciones_acumuladas[[#This Row],[Descripción]], " ", -2)</f>
        <v>Lissette Loarca</v>
      </c>
      <c r="F4406" s="21" t="s">
        <v>2522</v>
      </c>
      <c r="G4406" s="23">
        <v>46260</v>
      </c>
    </row>
    <row r="4407" spans="1:7" ht="24.5" hidden="1" x14ac:dyDescent="0.35">
      <c r="A4407" s="8">
        <v>13054</v>
      </c>
      <c r="B4407" s="10" t="s">
        <v>6962</v>
      </c>
      <c r="C4407" s="10" t="s">
        <v>26</v>
      </c>
      <c r="D4407" s="9" t="s">
        <v>26</v>
      </c>
      <c r="E4407" s="9" t="str">
        <f>_xlfn.TEXTAFTER(Condiciones_acumuladas[[#This Row],[Descripción]], " ", -2)</f>
        <v>Adrián Santisteban</v>
      </c>
      <c r="F4407" s="21" t="s">
        <v>2522</v>
      </c>
      <c r="G4407" s="23">
        <v>46260</v>
      </c>
    </row>
    <row r="4408" spans="1:7" ht="36.5" hidden="1" x14ac:dyDescent="0.35">
      <c r="A4408" s="8">
        <v>13052</v>
      </c>
      <c r="B4408" s="10" t="s">
        <v>6963</v>
      </c>
      <c r="C4408" s="10" t="s">
        <v>95</v>
      </c>
      <c r="D4408" s="9" t="s">
        <v>395</v>
      </c>
      <c r="E4408" s="9" t="str">
        <f>_xlfn.TEXTAFTER(Condiciones_acumuladas[[#This Row],[Descripción]], " ", -2)</f>
        <v>German Orozco</v>
      </c>
      <c r="F4408" s="21" t="s">
        <v>2540</v>
      </c>
      <c r="G4408" s="23">
        <v>46260</v>
      </c>
    </row>
    <row r="4409" spans="1:7" ht="24.5" hidden="1" x14ac:dyDescent="0.35">
      <c r="A4409" s="8">
        <v>13050</v>
      </c>
      <c r="B4409" s="10" t="s">
        <v>6964</v>
      </c>
      <c r="C4409" s="10" t="s">
        <v>26</v>
      </c>
      <c r="D4409" s="9" t="s">
        <v>190</v>
      </c>
      <c r="E4409" s="9" t="str">
        <f>_xlfn.TEXTAFTER(Condiciones_acumuladas[[#This Row],[Descripción]], " ", -2)</f>
        <v>Elvis Oliva</v>
      </c>
      <c r="F4409" s="21" t="s">
        <v>2540</v>
      </c>
      <c r="G4409" s="23">
        <v>46260</v>
      </c>
    </row>
    <row r="4410" spans="1:7" ht="24.5" hidden="1" x14ac:dyDescent="0.35">
      <c r="A4410" s="8">
        <v>13048</v>
      </c>
      <c r="B4410" s="10" t="s">
        <v>6965</v>
      </c>
      <c r="C4410" s="10" t="s">
        <v>234</v>
      </c>
      <c r="D4410" s="9" t="s">
        <v>234</v>
      </c>
      <c r="E4410" s="9" t="str">
        <f>_xlfn.TEXTAFTER(Condiciones_acumuladas[[#This Row],[Descripción]], " ", -2)</f>
        <v>Byron Roldan</v>
      </c>
      <c r="F4410" s="21" t="s">
        <v>2522</v>
      </c>
      <c r="G4410" s="23">
        <v>46260</v>
      </c>
    </row>
    <row r="4411" spans="1:7" ht="36.5" hidden="1" x14ac:dyDescent="0.35">
      <c r="A4411" s="8">
        <v>13051</v>
      </c>
      <c r="B4411" s="10" t="s">
        <v>6966</v>
      </c>
      <c r="C4411" s="10" t="s">
        <v>234</v>
      </c>
      <c r="D4411" s="9" t="s">
        <v>234</v>
      </c>
      <c r="E4411" s="9" t="str">
        <f>_xlfn.TEXTAFTER(Condiciones_acumuladas[[#This Row],[Descripción]], " ", -2)</f>
        <v>Byron Roldan</v>
      </c>
      <c r="F4411" s="21" t="s">
        <v>2516</v>
      </c>
      <c r="G4411" s="23">
        <v>46260</v>
      </c>
    </row>
    <row r="4412" spans="1:7" ht="36.5" hidden="1" x14ac:dyDescent="0.35">
      <c r="A4412" s="8">
        <v>13049</v>
      </c>
      <c r="B4412" s="10" t="s">
        <v>6967</v>
      </c>
      <c r="C4412" s="10" t="s">
        <v>13</v>
      </c>
      <c r="D4412" s="9" t="s">
        <v>190</v>
      </c>
      <c r="E4412" s="9" t="str">
        <f>_xlfn.TEXTAFTER(Condiciones_acumuladas[[#This Row],[Descripción]], " ", -2)</f>
        <v>Elvis Oliva</v>
      </c>
      <c r="F4412" s="21" t="s">
        <v>2525</v>
      </c>
      <c r="G4412" s="23">
        <v>46260</v>
      </c>
    </row>
    <row r="4413" spans="1:7" ht="24.5" hidden="1" x14ac:dyDescent="0.35">
      <c r="A4413" s="8">
        <v>13053</v>
      </c>
      <c r="B4413" s="10" t="s">
        <v>6968</v>
      </c>
      <c r="C4413" s="10" t="s">
        <v>234</v>
      </c>
      <c r="D4413" s="9" t="s">
        <v>234</v>
      </c>
      <c r="E4413" s="9" t="str">
        <f>_xlfn.TEXTAFTER(Condiciones_acumuladas[[#This Row],[Descripción]], " ", -2)</f>
        <v>Byron Roldan</v>
      </c>
      <c r="F4413" s="21" t="s">
        <v>2522</v>
      </c>
      <c r="G4413" s="23">
        <v>46260</v>
      </c>
    </row>
    <row r="4414" spans="1:7" ht="24.5" hidden="1" x14ac:dyDescent="0.35">
      <c r="A4414" s="8">
        <v>13047</v>
      </c>
      <c r="B4414" s="10" t="s">
        <v>6969</v>
      </c>
      <c r="C4414" s="10" t="s">
        <v>13</v>
      </c>
      <c r="D4414" s="9" t="s">
        <v>190</v>
      </c>
      <c r="E4414" s="9" t="str">
        <f>_xlfn.TEXTAFTER(Condiciones_acumuladas[[#This Row],[Descripción]], " ", -2)</f>
        <v>Elvis Oliva</v>
      </c>
      <c r="F4414" s="21" t="s">
        <v>2540</v>
      </c>
      <c r="G4414" s="23">
        <v>46260</v>
      </c>
    </row>
    <row r="4415" spans="1:7" ht="36.5" hidden="1" x14ac:dyDescent="0.35">
      <c r="A4415" s="8">
        <v>13045</v>
      </c>
      <c r="B4415" s="10" t="s">
        <v>6970</v>
      </c>
      <c r="C4415" s="10" t="s">
        <v>13</v>
      </c>
      <c r="D4415" s="9" t="s">
        <v>190</v>
      </c>
      <c r="E4415" s="9" t="str">
        <f>_xlfn.TEXTAFTER(Condiciones_acumuladas[[#This Row],[Descripción]], " ", -2)</f>
        <v>Elvis Oliva</v>
      </c>
      <c r="F4415" s="21" t="s">
        <v>2540</v>
      </c>
      <c r="G4415" s="23">
        <v>46260</v>
      </c>
    </row>
    <row r="4416" spans="1:7" ht="24.5" hidden="1" x14ac:dyDescent="0.35">
      <c r="A4416" s="8">
        <v>13044</v>
      </c>
      <c r="B4416" s="10" t="s">
        <v>6971</v>
      </c>
      <c r="C4416" s="10" t="s">
        <v>13</v>
      </c>
      <c r="D4416" s="9" t="s">
        <v>190</v>
      </c>
      <c r="E4416" s="9" t="str">
        <f>_xlfn.TEXTAFTER(Condiciones_acumuladas[[#This Row],[Descripción]], " ", -2)</f>
        <v>Elvis Oliva</v>
      </c>
      <c r="F4416" s="21" t="s">
        <v>2540</v>
      </c>
      <c r="G4416" s="23">
        <v>46260</v>
      </c>
    </row>
    <row r="4417" spans="1:7" ht="36.5" hidden="1" x14ac:dyDescent="0.35">
      <c r="A4417" s="8">
        <v>13046</v>
      </c>
      <c r="B4417" s="10" t="s">
        <v>6972</v>
      </c>
      <c r="C4417" s="10" t="s">
        <v>13</v>
      </c>
      <c r="D4417" s="9" t="s">
        <v>190</v>
      </c>
      <c r="E4417" s="9" t="str">
        <f>_xlfn.TEXTAFTER(Condiciones_acumuladas[[#This Row],[Descripción]], " ", -2)</f>
        <v>Elvis Oliva</v>
      </c>
      <c r="F4417" s="21" t="s">
        <v>2530</v>
      </c>
      <c r="G4417" s="23">
        <v>46260</v>
      </c>
    </row>
    <row r="4418" spans="1:7" ht="24.5" hidden="1" x14ac:dyDescent="0.35">
      <c r="A4418" s="8">
        <v>13043</v>
      </c>
      <c r="B4418" s="10" t="s">
        <v>6973</v>
      </c>
      <c r="C4418" s="10" t="s">
        <v>34</v>
      </c>
      <c r="D4418" s="9" t="s">
        <v>196</v>
      </c>
      <c r="E4418" s="9" t="str">
        <f>_xlfn.TEXTAFTER(Condiciones_acumuladas[[#This Row],[Descripción]], " ", -2)</f>
        <v>Jaime Chex</v>
      </c>
      <c r="F4418" s="21" t="s">
        <v>2522</v>
      </c>
      <c r="G4418" s="23">
        <v>46260</v>
      </c>
    </row>
    <row r="4419" spans="1:7" ht="36.5" hidden="1" x14ac:dyDescent="0.35">
      <c r="A4419" s="8">
        <v>13041</v>
      </c>
      <c r="B4419" s="10" t="s">
        <v>6974</v>
      </c>
      <c r="C4419" s="10" t="s">
        <v>13</v>
      </c>
      <c r="D4419" s="9" t="s">
        <v>190</v>
      </c>
      <c r="E4419" s="9" t="str">
        <f>_xlfn.TEXTAFTER(Condiciones_acumuladas[[#This Row],[Descripción]], " ", -2)</f>
        <v>Elvis Oliva</v>
      </c>
      <c r="F4419" s="21" t="s">
        <v>2530</v>
      </c>
      <c r="G4419" s="23">
        <v>46260</v>
      </c>
    </row>
    <row r="4420" spans="1:7" ht="36.5" hidden="1" x14ac:dyDescent="0.35">
      <c r="A4420" s="8">
        <v>13042</v>
      </c>
      <c r="B4420" s="10" t="s">
        <v>6975</v>
      </c>
      <c r="C4420" s="10" t="s">
        <v>13</v>
      </c>
      <c r="D4420" s="9" t="s">
        <v>13</v>
      </c>
      <c r="E4420" s="9" t="str">
        <f>_xlfn.TEXTAFTER(Condiciones_acumuladas[[#This Row],[Descripción]], " ", -2)</f>
        <v>Amilcar Ralda</v>
      </c>
      <c r="F4420" s="21" t="s">
        <v>2530</v>
      </c>
      <c r="G4420" s="23">
        <v>46260</v>
      </c>
    </row>
    <row r="4421" spans="1:7" ht="36.5" hidden="1" x14ac:dyDescent="0.35">
      <c r="A4421" s="8">
        <v>13040</v>
      </c>
      <c r="B4421" s="10" t="s">
        <v>6976</v>
      </c>
      <c r="C4421" s="10" t="s">
        <v>21</v>
      </c>
      <c r="D4421" s="9" t="s">
        <v>190</v>
      </c>
      <c r="E4421" s="9" t="str">
        <f>_xlfn.TEXTAFTER(Condiciones_acumuladas[[#This Row],[Descripción]], " ", -2)</f>
        <v>Elvis Oliva</v>
      </c>
      <c r="F4421" s="21" t="s">
        <v>2516</v>
      </c>
      <c r="G4421" s="23">
        <v>46260</v>
      </c>
    </row>
    <row r="4422" spans="1:7" ht="36.5" hidden="1" x14ac:dyDescent="0.35">
      <c r="A4422" s="8">
        <v>13038</v>
      </c>
      <c r="B4422" s="10" t="s">
        <v>6977</v>
      </c>
      <c r="C4422" s="10" t="s">
        <v>21</v>
      </c>
      <c r="D4422" s="9" t="s">
        <v>21</v>
      </c>
      <c r="E4422" s="9" t="str">
        <f>_xlfn.TEXTAFTER(Condiciones_acumuladas[[#This Row],[Descripción]], " ", -2)</f>
        <v>Abel Aguilar</v>
      </c>
      <c r="F4422" s="21" t="s">
        <v>2572</v>
      </c>
      <c r="G4422" s="23">
        <v>46259</v>
      </c>
    </row>
    <row r="4423" spans="1:7" ht="36.5" hidden="1" x14ac:dyDescent="0.35">
      <c r="A4423" s="8">
        <v>13036</v>
      </c>
      <c r="B4423" s="10" t="s">
        <v>6978</v>
      </c>
      <c r="C4423" s="10" t="s">
        <v>234</v>
      </c>
      <c r="D4423" s="9" t="s">
        <v>250</v>
      </c>
      <c r="E4423" s="9" t="str">
        <f>_xlfn.TEXTAFTER(Condiciones_acumuladas[[#This Row],[Descripción]], " ", -2)</f>
        <v>Eliu Tello</v>
      </c>
      <c r="F4423" s="21" t="s">
        <v>2572</v>
      </c>
      <c r="G4423" s="23">
        <v>46259</v>
      </c>
    </row>
    <row r="4424" spans="1:7" ht="48.5" hidden="1" x14ac:dyDescent="0.35">
      <c r="A4424" s="8">
        <v>13039</v>
      </c>
      <c r="B4424" s="10" t="s">
        <v>6979</v>
      </c>
      <c r="C4424" s="10" t="s">
        <v>96</v>
      </c>
      <c r="D4424" s="9" t="s">
        <v>395</v>
      </c>
      <c r="E4424" s="9" t="str">
        <f>_xlfn.TEXTAFTER(Condiciones_acumuladas[[#This Row],[Descripción]], " ", -2)</f>
        <v>Josué Vásquez</v>
      </c>
      <c r="F4424" s="21" t="s">
        <v>2559</v>
      </c>
      <c r="G4424" s="23">
        <v>46260</v>
      </c>
    </row>
    <row r="4425" spans="1:7" ht="36.5" hidden="1" x14ac:dyDescent="0.35">
      <c r="A4425" s="8">
        <v>13037</v>
      </c>
      <c r="B4425" s="10" t="s">
        <v>6980</v>
      </c>
      <c r="C4425" s="10" t="s">
        <v>34</v>
      </c>
      <c r="D4425" s="9" t="s">
        <v>278</v>
      </c>
      <c r="E4425" s="9" t="str">
        <f>_xlfn.TEXTAFTER(Condiciones_acumuladas[[#This Row],[Descripción]], " ", -2)</f>
        <v>Freddy Fuentes</v>
      </c>
      <c r="F4425" s="21" t="s">
        <v>2525</v>
      </c>
      <c r="G4425" s="23">
        <v>46259</v>
      </c>
    </row>
    <row r="4426" spans="1:7" ht="24.5" hidden="1" x14ac:dyDescent="0.35">
      <c r="A4426" s="8">
        <v>13035</v>
      </c>
      <c r="B4426" s="10" t="s">
        <v>6981</v>
      </c>
      <c r="C4426" s="10" t="s">
        <v>193</v>
      </c>
      <c r="D4426" s="9" t="s">
        <v>250</v>
      </c>
      <c r="E4426" s="9" t="str">
        <f>_xlfn.TEXTAFTER(Condiciones_acumuladas[[#This Row],[Descripción]], " ", -2)</f>
        <v>Edson Bonifacio</v>
      </c>
      <c r="F4426" s="21" t="s">
        <v>2522</v>
      </c>
      <c r="G4426" s="23">
        <v>46258</v>
      </c>
    </row>
    <row r="4427" spans="1:7" ht="36.5" hidden="1" x14ac:dyDescent="0.35">
      <c r="A4427" s="8">
        <v>13034</v>
      </c>
      <c r="B4427" s="10" t="s">
        <v>6982</v>
      </c>
      <c r="C4427" s="10" t="s">
        <v>21</v>
      </c>
      <c r="D4427" s="9" t="s">
        <v>250</v>
      </c>
      <c r="E4427" s="9" t="str">
        <f>_xlfn.TEXTAFTER(Condiciones_acumuladas[[#This Row],[Descripción]], " ", -2)</f>
        <v>Edson Bonifacio</v>
      </c>
      <c r="F4427" s="21" t="s">
        <v>2522</v>
      </c>
      <c r="G4427" s="23">
        <v>46258</v>
      </c>
    </row>
    <row r="4428" spans="1:7" ht="48.5" hidden="1" x14ac:dyDescent="0.35">
      <c r="A4428" s="8">
        <v>13033</v>
      </c>
      <c r="B4428" s="10" t="s">
        <v>6983</v>
      </c>
      <c r="C4428" s="10" t="s">
        <v>196</v>
      </c>
      <c r="D4428" s="9" t="s">
        <v>395</v>
      </c>
      <c r="E4428" s="9" t="str">
        <f>_xlfn.TEXTAFTER(Condiciones_acumuladas[[#This Row],[Descripción]], " ", -2)</f>
        <v>Abraham Quiej</v>
      </c>
      <c r="F4428" s="21" t="s">
        <v>2559</v>
      </c>
      <c r="G4428" s="23">
        <v>46258</v>
      </c>
    </row>
    <row r="4429" spans="1:7" ht="24.5" hidden="1" x14ac:dyDescent="0.35">
      <c r="A4429" s="8">
        <v>13032</v>
      </c>
      <c r="B4429" s="10" t="s">
        <v>6984</v>
      </c>
      <c r="C4429" s="10" t="s">
        <v>21</v>
      </c>
      <c r="D4429" s="9" t="s">
        <v>190</v>
      </c>
      <c r="E4429" s="9" t="str">
        <f>_xlfn.TEXTAFTER(Condiciones_acumuladas[[#This Row],[Descripción]], " ", -2)</f>
        <v>Walfred Guzmán</v>
      </c>
      <c r="F4429" s="21" t="s">
        <v>2540</v>
      </c>
      <c r="G4429" s="23">
        <v>46258</v>
      </c>
    </row>
    <row r="4430" spans="1:7" ht="24.5" hidden="1" x14ac:dyDescent="0.35">
      <c r="A4430" s="8">
        <v>13031</v>
      </c>
      <c r="B4430" s="10" t="s">
        <v>6985</v>
      </c>
      <c r="C4430" s="10" t="s">
        <v>13</v>
      </c>
      <c r="D4430" s="9" t="s">
        <v>190</v>
      </c>
      <c r="E4430" s="9" t="str">
        <f>_xlfn.TEXTAFTER(Condiciones_acumuladas[[#This Row],[Descripción]], " ", -2)</f>
        <v>Walfred Guzmán</v>
      </c>
      <c r="F4430" s="21" t="s">
        <v>2540</v>
      </c>
      <c r="G4430" s="23">
        <v>46258</v>
      </c>
    </row>
    <row r="4431" spans="1:7" ht="24.5" hidden="1" x14ac:dyDescent="0.35">
      <c r="A4431" s="8">
        <v>13030</v>
      </c>
      <c r="B4431" s="10" t="s">
        <v>6986</v>
      </c>
      <c r="C4431" s="10" t="s">
        <v>196</v>
      </c>
      <c r="D4431" s="9" t="s">
        <v>196</v>
      </c>
      <c r="E4431" s="9" t="str">
        <f>_xlfn.TEXTAFTER(Condiciones_acumuladas[[#This Row],[Descripción]], " ", -2)</f>
        <v>Kelly Calderón</v>
      </c>
      <c r="F4431" s="21" t="s">
        <v>2522</v>
      </c>
      <c r="G4431" s="23">
        <v>46258</v>
      </c>
    </row>
    <row r="4432" spans="1:7" ht="24.5" hidden="1" x14ac:dyDescent="0.35">
      <c r="A4432" s="8">
        <v>13029</v>
      </c>
      <c r="B4432" s="10" t="s">
        <v>6987</v>
      </c>
      <c r="C4432" s="10" t="s">
        <v>96</v>
      </c>
      <c r="D4432" s="9" t="s">
        <v>96</v>
      </c>
      <c r="E4432" s="9" t="str">
        <f>_xlfn.TEXTAFTER(Condiciones_acumuladas[[#This Row],[Descripción]], " ", -2)</f>
        <v>Luis Pérez</v>
      </c>
      <c r="F4432" s="21" t="s">
        <v>2522</v>
      </c>
      <c r="G4432" s="23">
        <v>46261</v>
      </c>
    </row>
    <row r="4433" spans="1:7" ht="48.5" hidden="1" x14ac:dyDescent="0.35">
      <c r="A4433" s="8">
        <v>13025</v>
      </c>
      <c r="B4433" s="10" t="s">
        <v>6988</v>
      </c>
      <c r="C4433" s="10" t="s">
        <v>134</v>
      </c>
      <c r="D4433" s="9" t="s">
        <v>134</v>
      </c>
      <c r="E4433" s="9" t="str">
        <f>_xlfn.TEXTAFTER(Condiciones_acumuladas[[#This Row],[Descripción]], " ", -2)</f>
        <v>Alfonso Guatzin</v>
      </c>
      <c r="F4433" s="21" t="s">
        <v>2559</v>
      </c>
      <c r="G4433" s="23">
        <v>46254</v>
      </c>
    </row>
    <row r="4434" spans="1:7" ht="48.5" hidden="1" x14ac:dyDescent="0.35">
      <c r="A4434" s="8">
        <v>13019</v>
      </c>
      <c r="B4434" s="10" t="s">
        <v>6989</v>
      </c>
      <c r="C4434" s="10" t="s">
        <v>196</v>
      </c>
      <c r="D4434" s="9" t="s">
        <v>104</v>
      </c>
      <c r="E4434" s="9" t="str">
        <f>_xlfn.TEXTAFTER(Condiciones_acumuladas[[#This Row],[Descripción]], " ", -2)</f>
        <v>Obdulio Saquic</v>
      </c>
      <c r="F4434" s="21" t="s">
        <v>2559</v>
      </c>
      <c r="G4434" s="23">
        <v>46258</v>
      </c>
    </row>
    <row r="4435" spans="1:7" ht="36.5" hidden="1" x14ac:dyDescent="0.35">
      <c r="A4435" s="8">
        <v>13017</v>
      </c>
      <c r="B4435" s="10" t="s">
        <v>6990</v>
      </c>
      <c r="C4435" s="10" t="s">
        <v>26</v>
      </c>
      <c r="D4435" s="9" t="s">
        <v>95</v>
      </c>
      <c r="E4435" s="9" t="str">
        <f>_xlfn.TEXTAFTER(Condiciones_acumuladas[[#This Row],[Descripción]], " ", -2)</f>
        <v>Andrea González</v>
      </c>
      <c r="F4435" s="21" t="s">
        <v>2530</v>
      </c>
      <c r="G4435" s="23">
        <v>46258</v>
      </c>
    </row>
    <row r="4436" spans="1:7" ht="36.5" hidden="1" x14ac:dyDescent="0.35">
      <c r="A4436" s="8">
        <v>13076</v>
      </c>
      <c r="B4436" s="10" t="s">
        <v>6991</v>
      </c>
      <c r="C4436" s="10" t="s">
        <v>190</v>
      </c>
      <c r="D4436" s="9" t="s">
        <v>190</v>
      </c>
      <c r="E4436" s="9" t="str">
        <f>_xlfn.TEXTAFTER(Condiciones_acumuladas[[#This Row],[Descripción]], " ", -2)</f>
        <v>Walfred Guzmán</v>
      </c>
      <c r="F4436" s="21" t="s">
        <v>2522</v>
      </c>
      <c r="G4436" s="23">
        <v>46262</v>
      </c>
    </row>
    <row r="4437" spans="1:7" ht="24.5" hidden="1" x14ac:dyDescent="0.35">
      <c r="A4437" s="8">
        <v>13077</v>
      </c>
      <c r="B4437" s="10" t="s">
        <v>6992</v>
      </c>
      <c r="C4437" s="10" t="s">
        <v>196</v>
      </c>
      <c r="D4437" s="9" t="s">
        <v>250</v>
      </c>
      <c r="E4437" s="9" t="str">
        <f>_xlfn.TEXTAFTER(Condiciones_acumuladas[[#This Row],[Descripción]], " ", -2)</f>
        <v>Edson Bonifacio</v>
      </c>
      <c r="F4437" s="21" t="s">
        <v>2522</v>
      </c>
      <c r="G4437" s="23">
        <v>46262</v>
      </c>
    </row>
    <row r="4438" spans="1:7" ht="24.5" hidden="1" x14ac:dyDescent="0.35">
      <c r="A4438" s="8">
        <v>13078</v>
      </c>
      <c r="B4438" s="10" t="s">
        <v>6993</v>
      </c>
      <c r="C4438" s="10" t="s">
        <v>196</v>
      </c>
      <c r="D4438" s="9" t="s">
        <v>250</v>
      </c>
      <c r="E4438" s="9" t="str">
        <f>_xlfn.TEXTAFTER(Condiciones_acumuladas[[#This Row],[Descripción]], " ", -2)</f>
        <v>Edson Bonifacio</v>
      </c>
      <c r="F4438" s="21" t="s">
        <v>2522</v>
      </c>
      <c r="G4438" s="23">
        <v>46262</v>
      </c>
    </row>
    <row r="4439" spans="1:7" ht="36.5" hidden="1" x14ac:dyDescent="0.35">
      <c r="A4439" s="8">
        <v>13079</v>
      </c>
      <c r="B4439" s="10" t="s">
        <v>6994</v>
      </c>
      <c r="C4439" s="10" t="s">
        <v>21</v>
      </c>
      <c r="D4439" s="9" t="s">
        <v>95</v>
      </c>
      <c r="E4439" s="9" t="str">
        <f>_xlfn.TEXTAFTER(Condiciones_acumuladas[[#This Row],[Descripción]], " ", -2)</f>
        <v>Alejandro Martínez</v>
      </c>
      <c r="F4439" s="21" t="s">
        <v>2525</v>
      </c>
      <c r="G4439" s="23">
        <v>46262</v>
      </c>
    </row>
    <row r="4440" spans="1:7" ht="36.5" hidden="1" x14ac:dyDescent="0.35">
      <c r="A4440" s="8">
        <v>13080</v>
      </c>
      <c r="B4440" s="10" t="s">
        <v>6995</v>
      </c>
      <c r="C4440" s="10" t="s">
        <v>21</v>
      </c>
      <c r="D4440" s="9" t="s">
        <v>21</v>
      </c>
      <c r="E4440" s="9" t="str">
        <f>_xlfn.TEXTAFTER(Condiciones_acumuladas[[#This Row],[Descripción]], " ", -2)</f>
        <v>Oscar Ramírez</v>
      </c>
      <c r="F4440" s="21" t="s">
        <v>2530</v>
      </c>
      <c r="G4440" s="23">
        <v>46262</v>
      </c>
    </row>
    <row r="4441" spans="1:7" ht="36.5" hidden="1" x14ac:dyDescent="0.35">
      <c r="A4441" s="8">
        <v>13081</v>
      </c>
      <c r="B4441" s="10" t="s">
        <v>6996</v>
      </c>
      <c r="C4441" s="10" t="s">
        <v>21</v>
      </c>
      <c r="D4441" s="9" t="s">
        <v>21</v>
      </c>
      <c r="E4441" s="9" t="str">
        <f>_xlfn.TEXTAFTER(Condiciones_acumuladas[[#This Row],[Descripción]], " ", -2)</f>
        <v>Oscar Ramírez</v>
      </c>
      <c r="F4441" s="21" t="s">
        <v>2530</v>
      </c>
      <c r="G4441" s="23">
        <v>46262</v>
      </c>
    </row>
    <row r="4442" spans="1:7" ht="36.5" hidden="1" x14ac:dyDescent="0.35">
      <c r="A4442" s="8">
        <v>13082</v>
      </c>
      <c r="B4442" s="10" t="s">
        <v>6997</v>
      </c>
      <c r="C4442" s="10" t="s">
        <v>193</v>
      </c>
      <c r="D4442" s="9" t="s">
        <v>196</v>
      </c>
      <c r="E4442" s="9" t="str">
        <f>_xlfn.TEXTAFTER(Condiciones_acumuladas[[#This Row],[Descripción]], " ", -2)</f>
        <v>Miguel Godínez</v>
      </c>
      <c r="F4442" s="21" t="s">
        <v>2522</v>
      </c>
      <c r="G4442" s="23">
        <v>46262</v>
      </c>
    </row>
    <row r="4443" spans="1:7" ht="24.5" hidden="1" x14ac:dyDescent="0.35">
      <c r="A4443" s="8">
        <v>13073</v>
      </c>
      <c r="B4443" s="10" t="s">
        <v>6998</v>
      </c>
      <c r="C4443" s="10" t="s">
        <v>26</v>
      </c>
      <c r="D4443" s="9" t="s">
        <v>95</v>
      </c>
      <c r="E4443" s="9" t="str">
        <f>_xlfn.TEXTAFTER(Condiciones_acumuladas[[#This Row],[Descripción]], " ", -2)</f>
        <v>Nelson Godínez</v>
      </c>
      <c r="F4443" s="21" t="s">
        <v>2522</v>
      </c>
      <c r="G4443" s="23">
        <v>46262</v>
      </c>
    </row>
    <row r="4444" spans="1:7" ht="24.5" hidden="1" x14ac:dyDescent="0.35">
      <c r="A4444" s="8">
        <v>13122</v>
      </c>
      <c r="B4444" s="10" t="s">
        <v>6999</v>
      </c>
      <c r="C4444" s="10" t="s">
        <v>26</v>
      </c>
      <c r="D4444" s="9" t="s">
        <v>395</v>
      </c>
      <c r="E4444" s="9" t="str">
        <f>_xlfn.TEXTAFTER(Condiciones_acumuladas[[#This Row],[Descripción]], " ", -2)</f>
        <v>Jaime Chilel</v>
      </c>
      <c r="F4444" s="21" t="s">
        <v>2522</v>
      </c>
      <c r="G4444" s="23">
        <v>46265</v>
      </c>
    </row>
    <row r="4445" spans="1:7" ht="36.5" hidden="1" x14ac:dyDescent="0.35">
      <c r="A4445" s="8">
        <v>13120</v>
      </c>
      <c r="B4445" s="10" t="s">
        <v>7000</v>
      </c>
      <c r="C4445" s="10" t="s">
        <v>250</v>
      </c>
      <c r="D4445" s="9" t="s">
        <v>395</v>
      </c>
      <c r="E4445" s="9" t="str">
        <f>_xlfn.TEXTAFTER(Condiciones_acumuladas[[#This Row],[Descripción]], " ", -2)</f>
        <v>Jaime Chilel</v>
      </c>
      <c r="F4445" s="21" t="s">
        <v>2530</v>
      </c>
      <c r="G4445" s="23">
        <v>46265</v>
      </c>
    </row>
    <row r="4446" spans="1:7" ht="36.5" hidden="1" x14ac:dyDescent="0.35">
      <c r="A4446" s="8">
        <v>13121</v>
      </c>
      <c r="B4446" s="10" t="s">
        <v>7001</v>
      </c>
      <c r="C4446" s="10" t="s">
        <v>13</v>
      </c>
      <c r="D4446" s="9" t="s">
        <v>395</v>
      </c>
      <c r="E4446" s="9" t="str">
        <f>_xlfn.TEXTAFTER(Condiciones_acumuladas[[#This Row],[Descripción]], " ", -2)</f>
        <v>Jaime Chilel</v>
      </c>
      <c r="F4446" s="21" t="s">
        <v>2715</v>
      </c>
      <c r="G4446" s="23">
        <v>46265</v>
      </c>
    </row>
    <row r="4447" spans="1:7" ht="36.5" hidden="1" x14ac:dyDescent="0.35">
      <c r="A4447" s="8">
        <v>13119</v>
      </c>
      <c r="B4447" s="10" t="s">
        <v>7002</v>
      </c>
      <c r="C4447" s="10" t="s">
        <v>250</v>
      </c>
      <c r="D4447" s="9" t="s">
        <v>395</v>
      </c>
      <c r="E4447" s="9" t="str">
        <f>_xlfn.TEXTAFTER(Condiciones_acumuladas[[#This Row],[Descripción]], " ", -2)</f>
        <v>Jaime Chilel</v>
      </c>
      <c r="F4447" s="21" t="s">
        <v>2715</v>
      </c>
      <c r="G4447" s="23">
        <v>46265</v>
      </c>
    </row>
    <row r="4448" spans="1:7" ht="36.5" hidden="1" x14ac:dyDescent="0.35">
      <c r="A4448" s="8">
        <v>13117</v>
      </c>
      <c r="B4448" s="10" t="s">
        <v>7003</v>
      </c>
      <c r="C4448" s="10" t="s">
        <v>250</v>
      </c>
      <c r="D4448" s="9" t="s">
        <v>395</v>
      </c>
      <c r="E4448" s="9" t="str">
        <f>_xlfn.TEXTAFTER(Condiciones_acumuladas[[#This Row],[Descripción]], " ", -2)</f>
        <v>Jaime Chilel</v>
      </c>
      <c r="F4448" s="21" t="s">
        <v>2715</v>
      </c>
      <c r="G4448" s="23">
        <v>46265</v>
      </c>
    </row>
    <row r="4449" spans="1:7" ht="48.5" hidden="1" x14ac:dyDescent="0.35">
      <c r="A4449" s="8">
        <v>13118</v>
      </c>
      <c r="B4449" s="10" t="s">
        <v>7004</v>
      </c>
      <c r="C4449" s="10" t="s">
        <v>250</v>
      </c>
      <c r="D4449" s="9" t="s">
        <v>395</v>
      </c>
      <c r="E4449" s="9" t="str">
        <f>_xlfn.TEXTAFTER(Condiciones_acumuladas[[#This Row],[Descripción]], " ", -2)</f>
        <v>Jaime Chilel</v>
      </c>
      <c r="F4449" s="21" t="s">
        <v>2522</v>
      </c>
      <c r="G4449" s="23">
        <v>46265</v>
      </c>
    </row>
    <row r="4450" spans="1:7" ht="36.5" hidden="1" x14ac:dyDescent="0.35">
      <c r="A4450" s="8">
        <v>13116</v>
      </c>
      <c r="B4450" s="10" t="s">
        <v>7005</v>
      </c>
      <c r="C4450" s="10" t="s">
        <v>250</v>
      </c>
      <c r="D4450" s="9" t="s">
        <v>395</v>
      </c>
      <c r="E4450" s="9" t="str">
        <f>_xlfn.TEXTAFTER(Condiciones_acumuladas[[#This Row],[Descripción]], " ", -2)</f>
        <v>Jaime Chilel</v>
      </c>
      <c r="F4450" s="21" t="s">
        <v>2715</v>
      </c>
      <c r="G4450" s="23">
        <v>46265</v>
      </c>
    </row>
    <row r="4451" spans="1:7" ht="36.5" hidden="1" x14ac:dyDescent="0.35">
      <c r="A4451" s="8">
        <v>13114</v>
      </c>
      <c r="B4451" s="10" t="s">
        <v>7006</v>
      </c>
      <c r="C4451" s="10" t="s">
        <v>21</v>
      </c>
      <c r="D4451" s="9" t="s">
        <v>13</v>
      </c>
      <c r="E4451" s="9" t="str">
        <f>_xlfn.TEXTAFTER(Condiciones_acumuladas[[#This Row],[Descripción]], " ", -2)</f>
        <v>Oscar Ramírez</v>
      </c>
      <c r="F4451" s="21" t="s">
        <v>2572</v>
      </c>
      <c r="G4451" s="23">
        <v>46265</v>
      </c>
    </row>
    <row r="4452" spans="1:7" ht="24.5" hidden="1" x14ac:dyDescent="0.35">
      <c r="A4452" s="8">
        <v>13113</v>
      </c>
      <c r="B4452" s="10" t="s">
        <v>7007</v>
      </c>
      <c r="C4452" s="10" t="s">
        <v>21</v>
      </c>
      <c r="D4452" s="9" t="s">
        <v>13</v>
      </c>
      <c r="E4452" s="9" t="str">
        <f>_xlfn.TEXTAFTER(Condiciones_acumuladas[[#This Row],[Descripción]], " ", -2)</f>
        <v>Oscar Ramírez</v>
      </c>
      <c r="F4452" s="21" t="s">
        <v>2522</v>
      </c>
      <c r="G4452" s="23">
        <v>46265</v>
      </c>
    </row>
    <row r="4453" spans="1:7" ht="36.5" hidden="1" x14ac:dyDescent="0.35">
      <c r="A4453" s="8">
        <v>13112</v>
      </c>
      <c r="B4453" s="10" t="s">
        <v>7008</v>
      </c>
      <c r="C4453" s="10" t="s">
        <v>21</v>
      </c>
      <c r="D4453" s="9" t="s">
        <v>13</v>
      </c>
      <c r="E4453" s="9" t="str">
        <f>_xlfn.TEXTAFTER(Condiciones_acumuladas[[#This Row],[Descripción]], " ", -2)</f>
        <v>Oscar Ramírez</v>
      </c>
      <c r="F4453" s="21" t="s">
        <v>2516</v>
      </c>
      <c r="G4453" s="23">
        <v>46265</v>
      </c>
    </row>
    <row r="4454" spans="1:7" ht="24.5" hidden="1" x14ac:dyDescent="0.35">
      <c r="A4454" s="8">
        <v>13111</v>
      </c>
      <c r="B4454" s="10" t="s">
        <v>7009</v>
      </c>
      <c r="C4454" s="10" t="s">
        <v>190</v>
      </c>
      <c r="D4454" s="9" t="s">
        <v>190</v>
      </c>
      <c r="E4454" s="9" t="str">
        <f>_xlfn.TEXTAFTER(Condiciones_acumuladas[[#This Row],[Descripción]], " ", -2)</f>
        <v>Walfred Guzmán</v>
      </c>
      <c r="F4454" s="21" t="s">
        <v>2522</v>
      </c>
      <c r="G4454" s="23">
        <v>46265</v>
      </c>
    </row>
    <row r="4455" spans="1:7" ht="24.5" hidden="1" x14ac:dyDescent="0.35">
      <c r="A4455" s="8">
        <v>13110</v>
      </c>
      <c r="B4455" s="10" t="s">
        <v>7010</v>
      </c>
      <c r="C4455" s="10" t="s">
        <v>134</v>
      </c>
      <c r="D4455" s="9" t="s">
        <v>13</v>
      </c>
      <c r="E4455" s="9" t="str">
        <f>_xlfn.TEXTAFTER(Condiciones_acumuladas[[#This Row],[Descripción]], " ", -2)</f>
        <v>Oscar Ramírez</v>
      </c>
      <c r="F4455" s="21" t="s">
        <v>2522</v>
      </c>
      <c r="G4455" s="23">
        <v>46265</v>
      </c>
    </row>
    <row r="4456" spans="1:7" ht="36.5" hidden="1" x14ac:dyDescent="0.35">
      <c r="A4456" s="8">
        <v>13109</v>
      </c>
      <c r="B4456" s="10" t="s">
        <v>7011</v>
      </c>
      <c r="C4456" s="10" t="s">
        <v>134</v>
      </c>
      <c r="D4456" s="9" t="s">
        <v>13</v>
      </c>
      <c r="E4456" s="9" t="str">
        <f>_xlfn.TEXTAFTER(Condiciones_acumuladas[[#This Row],[Descripción]], " ", -2)</f>
        <v>Oscar Ramírez</v>
      </c>
      <c r="F4456" s="21" t="s">
        <v>2516</v>
      </c>
      <c r="G4456" s="23">
        <v>46265</v>
      </c>
    </row>
    <row r="4457" spans="1:7" ht="24.5" hidden="1" x14ac:dyDescent="0.35">
      <c r="A4457" s="8">
        <v>13108</v>
      </c>
      <c r="B4457" s="10" t="s">
        <v>7012</v>
      </c>
      <c r="C4457" s="10" t="s">
        <v>134</v>
      </c>
      <c r="D4457" s="9" t="s">
        <v>13</v>
      </c>
      <c r="E4457" s="9" t="str">
        <f>_xlfn.TEXTAFTER(Condiciones_acumuladas[[#This Row],[Descripción]], " ", -2)</f>
        <v>Oscar Ramírez</v>
      </c>
      <c r="F4457" s="21" t="s">
        <v>2540</v>
      </c>
      <c r="G4457" s="23">
        <v>46265</v>
      </c>
    </row>
    <row r="4458" spans="1:7" ht="24.5" hidden="1" x14ac:dyDescent="0.35">
      <c r="A4458" s="8">
        <v>13107</v>
      </c>
      <c r="B4458" s="10" t="s">
        <v>7013</v>
      </c>
      <c r="C4458" s="10" t="s">
        <v>104</v>
      </c>
      <c r="D4458" s="9" t="s">
        <v>13</v>
      </c>
      <c r="E4458" s="9" t="str">
        <f>_xlfn.TEXTAFTER(Condiciones_acumuladas[[#This Row],[Descripción]], " ", -2)</f>
        <v>Oscar Ramírez</v>
      </c>
      <c r="F4458" s="21" t="s">
        <v>2522</v>
      </c>
      <c r="G4458" s="23">
        <v>46265</v>
      </c>
    </row>
    <row r="4459" spans="1:7" ht="36.5" hidden="1" x14ac:dyDescent="0.35">
      <c r="A4459" s="8">
        <v>13106</v>
      </c>
      <c r="B4459" s="10" t="s">
        <v>7014</v>
      </c>
      <c r="C4459" s="10" t="s">
        <v>104</v>
      </c>
      <c r="D4459" s="9" t="s">
        <v>13</v>
      </c>
      <c r="E4459" s="9" t="str">
        <f>_xlfn.TEXTAFTER(Condiciones_acumuladas[[#This Row],[Descripción]], " ", -2)</f>
        <v>Oscar Ramírez</v>
      </c>
      <c r="F4459" s="21" t="s">
        <v>2516</v>
      </c>
      <c r="G4459" s="23">
        <v>46265</v>
      </c>
    </row>
    <row r="4460" spans="1:7" ht="48.5" hidden="1" x14ac:dyDescent="0.35">
      <c r="A4460" s="8">
        <v>13105</v>
      </c>
      <c r="B4460" s="10" t="s">
        <v>7015</v>
      </c>
      <c r="C4460" s="10" t="s">
        <v>196</v>
      </c>
      <c r="D4460" s="9" t="s">
        <v>13</v>
      </c>
      <c r="E4460" s="9" t="str">
        <f>_xlfn.TEXTAFTER(Condiciones_acumuladas[[#This Row],[Descripción]], " ", -2)</f>
        <v>Oscar Ramírez</v>
      </c>
      <c r="F4460" s="21" t="s">
        <v>2559</v>
      </c>
      <c r="G4460" s="23">
        <v>46265</v>
      </c>
    </row>
    <row r="4461" spans="1:7" ht="36.5" hidden="1" x14ac:dyDescent="0.35">
      <c r="A4461" s="8">
        <v>13104</v>
      </c>
      <c r="B4461" s="10" t="s">
        <v>7016</v>
      </c>
      <c r="C4461" s="10" t="s">
        <v>234</v>
      </c>
      <c r="D4461" s="9" t="s">
        <v>13</v>
      </c>
      <c r="E4461" s="9" t="str">
        <f>_xlfn.TEXTAFTER(Condiciones_acumuladas[[#This Row],[Descripción]], " ", -2)</f>
        <v>Oscar Ramírez</v>
      </c>
      <c r="F4461" s="21" t="s">
        <v>2525</v>
      </c>
      <c r="G4461" s="23">
        <v>46265</v>
      </c>
    </row>
    <row r="4462" spans="1:7" ht="48.5" hidden="1" x14ac:dyDescent="0.35">
      <c r="A4462" s="8">
        <v>13103</v>
      </c>
      <c r="B4462" s="10" t="s">
        <v>7017</v>
      </c>
      <c r="C4462" s="10" t="s">
        <v>96</v>
      </c>
      <c r="D4462" s="9" t="s">
        <v>395</v>
      </c>
      <c r="E4462" s="9" t="str">
        <f>_xlfn.TEXTAFTER(Condiciones_acumuladas[[#This Row],[Descripción]], " ", -2)</f>
        <v>Daniel Pineda</v>
      </c>
      <c r="F4462" s="21" t="s">
        <v>2559</v>
      </c>
      <c r="G4462" s="23">
        <v>46265</v>
      </c>
    </row>
    <row r="4463" spans="1:7" ht="24.5" hidden="1" x14ac:dyDescent="0.35">
      <c r="A4463" s="8">
        <v>13102</v>
      </c>
      <c r="B4463" s="10" t="s">
        <v>7018</v>
      </c>
      <c r="C4463" s="10" t="s">
        <v>13</v>
      </c>
      <c r="D4463" s="9" t="s">
        <v>13</v>
      </c>
      <c r="E4463" s="9" t="str">
        <f>_xlfn.TEXTAFTER(Condiciones_acumuladas[[#This Row],[Descripción]], " ", -2)</f>
        <v>Amilcar Ralda</v>
      </c>
      <c r="F4463" s="21" t="s">
        <v>2540</v>
      </c>
      <c r="G4463" s="23">
        <v>46265</v>
      </c>
    </row>
    <row r="4464" spans="1:7" ht="24.5" hidden="1" x14ac:dyDescent="0.35">
      <c r="A4464" s="8">
        <v>13101</v>
      </c>
      <c r="B4464" s="10" t="s">
        <v>7019</v>
      </c>
      <c r="C4464" s="10" t="s">
        <v>34</v>
      </c>
      <c r="D4464" s="9" t="s">
        <v>34</v>
      </c>
      <c r="E4464" s="9" t="str">
        <f>_xlfn.TEXTAFTER(Condiciones_acumuladas[[#This Row],[Descripción]], " ", -2)</f>
        <v>Oscar Ramos</v>
      </c>
      <c r="F4464" s="21" t="s">
        <v>2522</v>
      </c>
      <c r="G4464" s="23">
        <v>46265</v>
      </c>
    </row>
    <row r="4465" spans="1:7" ht="48.5" hidden="1" x14ac:dyDescent="0.35">
      <c r="A4465" s="8">
        <v>13100</v>
      </c>
      <c r="B4465" s="10" t="s">
        <v>7020</v>
      </c>
      <c r="C4465" s="10" t="s">
        <v>34</v>
      </c>
      <c r="D4465" s="9" t="s">
        <v>34</v>
      </c>
      <c r="E4465" s="9" t="str">
        <f>_xlfn.TEXTAFTER(Condiciones_acumuladas[[#This Row],[Descripción]], " ", -2)</f>
        <v>Oscar Ramos</v>
      </c>
      <c r="F4465" s="21" t="s">
        <v>2559</v>
      </c>
      <c r="G4465" s="23">
        <v>46265</v>
      </c>
    </row>
    <row r="4466" spans="1:7" ht="24.5" hidden="1" x14ac:dyDescent="0.35">
      <c r="A4466" s="8">
        <v>13099</v>
      </c>
      <c r="B4466" s="10" t="s">
        <v>7021</v>
      </c>
      <c r="C4466" s="10" t="s">
        <v>34</v>
      </c>
      <c r="D4466" s="9" t="s">
        <v>34</v>
      </c>
      <c r="E4466" s="9" t="str">
        <f>_xlfn.TEXTAFTER(Condiciones_acumuladas[[#This Row],[Descripción]], " ", -2)</f>
        <v>Oscar Ramos</v>
      </c>
      <c r="F4466" s="21" t="s">
        <v>2537</v>
      </c>
      <c r="G4466" s="23">
        <v>46265</v>
      </c>
    </row>
    <row r="4467" spans="1:7" ht="48.5" hidden="1" x14ac:dyDescent="0.35">
      <c r="A4467" s="8">
        <v>13098</v>
      </c>
      <c r="B4467" s="10" t="s">
        <v>7022</v>
      </c>
      <c r="C4467" s="10" t="s">
        <v>34</v>
      </c>
      <c r="D4467" s="9" t="s">
        <v>34</v>
      </c>
      <c r="E4467" s="9" t="str">
        <f>_xlfn.TEXTAFTER(Condiciones_acumuladas[[#This Row],[Descripción]], " ", -2)</f>
        <v>Oscar Ramos</v>
      </c>
      <c r="F4467" s="21" t="s">
        <v>2559</v>
      </c>
      <c r="G4467" s="23">
        <v>46265</v>
      </c>
    </row>
    <row r="4468" spans="1:7" ht="24.5" hidden="1" x14ac:dyDescent="0.35">
      <c r="A4468" s="8">
        <v>13097</v>
      </c>
      <c r="B4468" s="10" t="s">
        <v>7023</v>
      </c>
      <c r="C4468" s="10" t="s">
        <v>26</v>
      </c>
      <c r="D4468" s="9" t="s">
        <v>26</v>
      </c>
      <c r="E4468" s="9" t="str">
        <f>_xlfn.TEXTAFTER(Condiciones_acumuladas[[#This Row],[Descripción]], " ", -2)</f>
        <v>Oscar Ramos</v>
      </c>
      <c r="F4468" s="21" t="s">
        <v>2540</v>
      </c>
      <c r="G4468" s="23">
        <v>46265</v>
      </c>
    </row>
    <row r="4469" spans="1:7" ht="36.5" hidden="1" x14ac:dyDescent="0.35">
      <c r="A4469" s="8">
        <v>13095</v>
      </c>
      <c r="B4469" s="10" t="s">
        <v>7024</v>
      </c>
      <c r="C4469" s="10" t="s">
        <v>96</v>
      </c>
      <c r="D4469" s="9" t="s">
        <v>95</v>
      </c>
      <c r="E4469" s="9" t="str">
        <f>_xlfn.TEXTAFTER(Condiciones_acumuladas[[#This Row],[Descripción]], " ", -2)</f>
        <v>Luis Angel</v>
      </c>
      <c r="F4469" s="21" t="s">
        <v>2516</v>
      </c>
      <c r="G4469" s="23">
        <v>46265</v>
      </c>
    </row>
    <row r="4470" spans="1:7" ht="48.5" hidden="1" x14ac:dyDescent="0.35">
      <c r="A4470" s="8">
        <v>13094</v>
      </c>
      <c r="B4470" s="10" t="s">
        <v>7025</v>
      </c>
      <c r="C4470" s="10" t="s">
        <v>96</v>
      </c>
      <c r="D4470" s="9" t="s">
        <v>95</v>
      </c>
      <c r="E4470" s="9" t="str">
        <f>_xlfn.TEXTAFTER(Condiciones_acumuladas[[#This Row],[Descripción]], " ", -2)</f>
        <v>Luis Angel</v>
      </c>
      <c r="F4470" s="21" t="s">
        <v>2559</v>
      </c>
      <c r="G4470" s="23">
        <v>46265</v>
      </c>
    </row>
    <row r="4471" spans="1:7" ht="36.5" hidden="1" x14ac:dyDescent="0.35">
      <c r="A4471" s="8">
        <v>13091</v>
      </c>
      <c r="B4471" s="10" t="s">
        <v>7026</v>
      </c>
      <c r="C4471" s="10" t="s">
        <v>134</v>
      </c>
      <c r="D4471" s="9" t="s">
        <v>95</v>
      </c>
      <c r="E4471" s="9" t="str">
        <f>_xlfn.TEXTAFTER(Condiciones_acumuladas[[#This Row],[Descripción]], " ", -2)</f>
        <v>Leidy Camey</v>
      </c>
      <c r="F4471" s="21" t="s">
        <v>2525</v>
      </c>
      <c r="G4471" s="23">
        <v>46262</v>
      </c>
    </row>
    <row r="4472" spans="1:7" ht="24.5" x14ac:dyDescent="0.35">
      <c r="A4472" s="8">
        <v>13169</v>
      </c>
      <c r="B4472" s="10" t="s">
        <v>7027</v>
      </c>
      <c r="C4472" s="10" t="s">
        <v>21</v>
      </c>
      <c r="D4472" s="9" t="s">
        <v>21</v>
      </c>
      <c r="E4472" s="9" t="str">
        <f>_xlfn.TEXTAFTER(Condiciones_acumuladas[[#This Row],[Descripción]], " ", -2)</f>
        <v>Abel Aguilar</v>
      </c>
      <c r="F4472" s="21" t="s">
        <v>2522</v>
      </c>
      <c r="G4472" s="23">
        <v>46268</v>
      </c>
    </row>
    <row r="4473" spans="1:7" ht="24.5" x14ac:dyDescent="0.35">
      <c r="A4473" s="8">
        <v>13285</v>
      </c>
      <c r="B4473" s="10" t="s">
        <v>7028</v>
      </c>
      <c r="C4473" s="10" t="s">
        <v>21</v>
      </c>
      <c r="D4473" s="9" t="s">
        <v>21</v>
      </c>
      <c r="E4473" s="9" t="str">
        <f>_xlfn.TEXTAFTER(Condiciones_acumuladas[[#This Row],[Descripción]], " ", -2)</f>
        <v>Abel Aguilar</v>
      </c>
      <c r="F4473" s="21" t="s">
        <v>2522</v>
      </c>
      <c r="G4473" s="23">
        <v>46281</v>
      </c>
    </row>
    <row r="4474" spans="1:7" ht="36.5" x14ac:dyDescent="0.35">
      <c r="A4474" s="8">
        <v>13280</v>
      </c>
      <c r="B4474" s="10" t="s">
        <v>7029</v>
      </c>
      <c r="C4474" s="10" t="s">
        <v>21</v>
      </c>
      <c r="D4474" s="9" t="s">
        <v>21</v>
      </c>
      <c r="E4474" s="9" t="str">
        <f>_xlfn.TEXTAFTER(Condiciones_acumuladas[[#This Row],[Descripción]], " ", -2)</f>
        <v>Abel Aguilar</v>
      </c>
      <c r="F4474" s="21" t="s">
        <v>2530</v>
      </c>
      <c r="G4474" s="23">
        <v>46281</v>
      </c>
    </row>
    <row r="4475" spans="1:7" ht="24.5" x14ac:dyDescent="0.35">
      <c r="A4475" s="8">
        <v>13147</v>
      </c>
      <c r="B4475" s="10" t="s">
        <v>7030</v>
      </c>
      <c r="C4475" s="10" t="s">
        <v>21</v>
      </c>
      <c r="D4475" s="9" t="s">
        <v>395</v>
      </c>
      <c r="E4475" s="9" t="str">
        <f>_xlfn.TEXTAFTER(Condiciones_acumuladas[[#This Row],[Descripción]], " ", -2)</f>
        <v>Abraham Quiej</v>
      </c>
      <c r="F4475" s="21" t="s">
        <v>2522</v>
      </c>
      <c r="G4475" s="23">
        <v>46267</v>
      </c>
    </row>
    <row r="4476" spans="1:7" ht="24.5" x14ac:dyDescent="0.35">
      <c r="A4476" s="8">
        <v>13148</v>
      </c>
      <c r="B4476" s="10" t="s">
        <v>7031</v>
      </c>
      <c r="C4476" s="10" t="s">
        <v>21</v>
      </c>
      <c r="D4476" s="9" t="s">
        <v>395</v>
      </c>
      <c r="E4476" s="9" t="str">
        <f>_xlfn.TEXTAFTER(Condiciones_acumuladas[[#This Row],[Descripción]], " ", -2)</f>
        <v>Abraham Quiej</v>
      </c>
      <c r="F4476" s="21" t="s">
        <v>2522</v>
      </c>
      <c r="G4476" s="23">
        <v>46267</v>
      </c>
    </row>
    <row r="4477" spans="1:7" ht="24.5" x14ac:dyDescent="0.35">
      <c r="A4477" s="8">
        <v>13149</v>
      </c>
      <c r="B4477" s="10" t="s">
        <v>7032</v>
      </c>
      <c r="C4477" s="10" t="s">
        <v>21</v>
      </c>
      <c r="D4477" s="9" t="s">
        <v>395</v>
      </c>
      <c r="E4477" s="9" t="str">
        <f>_xlfn.TEXTAFTER(Condiciones_acumuladas[[#This Row],[Descripción]], " ", -2)</f>
        <v>Abraham Quiej</v>
      </c>
      <c r="F4477" s="21" t="s">
        <v>2522</v>
      </c>
      <c r="G4477" s="23">
        <v>46267</v>
      </c>
    </row>
    <row r="4478" spans="1:7" ht="24.5" x14ac:dyDescent="0.35">
      <c r="A4478" s="8">
        <v>13240</v>
      </c>
      <c r="B4478" s="10" t="s">
        <v>7033</v>
      </c>
      <c r="C4478" s="10" t="s">
        <v>13</v>
      </c>
      <c r="D4478" s="9" t="s">
        <v>395</v>
      </c>
      <c r="E4478" s="9" t="str">
        <f>_xlfn.TEXTAFTER(Condiciones_acumuladas[[#This Row],[Descripción]], " ", -2)</f>
        <v>Abraham Quiej</v>
      </c>
      <c r="F4478" s="21" t="s">
        <v>2522</v>
      </c>
      <c r="G4478" s="23">
        <v>46276</v>
      </c>
    </row>
    <row r="4479" spans="1:7" ht="24.5" x14ac:dyDescent="0.35">
      <c r="A4479" s="8">
        <v>13266</v>
      </c>
      <c r="B4479" s="10" t="s">
        <v>7034</v>
      </c>
      <c r="C4479" s="10" t="s">
        <v>34</v>
      </c>
      <c r="D4479" s="9" t="s">
        <v>395</v>
      </c>
      <c r="E4479" s="9" t="str">
        <f>_xlfn.TEXTAFTER(Condiciones_acumuladas[[#This Row],[Descripción]], " ", -2)</f>
        <v>Abraham Quiej</v>
      </c>
      <c r="F4479" s="21" t="s">
        <v>2834</v>
      </c>
      <c r="G4479" s="23">
        <v>46279</v>
      </c>
    </row>
    <row r="4480" spans="1:7" ht="36.5" x14ac:dyDescent="0.35">
      <c r="A4480" s="8">
        <v>13264</v>
      </c>
      <c r="B4480" s="10" t="s">
        <v>7035</v>
      </c>
      <c r="C4480" s="10" t="s">
        <v>196</v>
      </c>
      <c r="D4480" s="9" t="s">
        <v>196</v>
      </c>
      <c r="E4480" s="9" t="str">
        <f>_xlfn.TEXTAFTER(Condiciones_acumuladas[[#This Row],[Descripción]], " ", -2)</f>
        <v>Abraham Quiej</v>
      </c>
      <c r="F4480" s="21" t="s">
        <v>2522</v>
      </c>
      <c r="G4480" s="23">
        <v>46279</v>
      </c>
    </row>
    <row r="4481" spans="1:7" ht="24.5" x14ac:dyDescent="0.35">
      <c r="A4481" s="8">
        <v>13328</v>
      </c>
      <c r="B4481" s="10" t="s">
        <v>7036</v>
      </c>
      <c r="C4481" s="10" t="s">
        <v>13</v>
      </c>
      <c r="D4481" s="9" t="s">
        <v>395</v>
      </c>
      <c r="E4481" s="9" t="str">
        <f>_xlfn.TEXTAFTER(Condiciones_acumuladas[[#This Row],[Descripción]], " ", -2)</f>
        <v>Abraham Quiej</v>
      </c>
      <c r="F4481" s="21" t="s">
        <v>2834</v>
      </c>
      <c r="G4481" s="23">
        <v>46286</v>
      </c>
    </row>
    <row r="4482" spans="1:7" ht="24.5" x14ac:dyDescent="0.35">
      <c r="A4482" s="8">
        <v>13432</v>
      </c>
      <c r="B4482" s="10" t="s">
        <v>7037</v>
      </c>
      <c r="C4482" s="10" t="s">
        <v>96</v>
      </c>
      <c r="D4482" s="9" t="s">
        <v>395</v>
      </c>
      <c r="E4482" s="9" t="str">
        <f>_xlfn.TEXTAFTER(Condiciones_acumuladas[[#This Row],[Descripción]], " ", -2)</f>
        <v>Abraham Quiej</v>
      </c>
      <c r="F4482" s="21" t="s">
        <v>2540</v>
      </c>
      <c r="G4482" s="23">
        <v>46294</v>
      </c>
    </row>
    <row r="4483" spans="1:7" ht="36.5" x14ac:dyDescent="0.35">
      <c r="A4483" s="8">
        <v>13415</v>
      </c>
      <c r="B4483" s="10" t="s">
        <v>7038</v>
      </c>
      <c r="C4483" s="10" t="s">
        <v>34</v>
      </c>
      <c r="D4483" s="9" t="s">
        <v>395</v>
      </c>
      <c r="E4483" s="9" t="str">
        <f>_xlfn.TEXTAFTER(Condiciones_acumuladas[[#This Row],[Descripción]], " ", -2)</f>
        <v>Abraham Quiej</v>
      </c>
      <c r="F4483" s="21" t="s">
        <v>2572</v>
      </c>
      <c r="G4483" s="23">
        <v>46293</v>
      </c>
    </row>
    <row r="4484" spans="1:7" ht="24.5" x14ac:dyDescent="0.35">
      <c r="A4484" s="8">
        <v>13424</v>
      </c>
      <c r="B4484" s="10" t="s">
        <v>7039</v>
      </c>
      <c r="C4484" s="10" t="s">
        <v>96</v>
      </c>
      <c r="D4484" s="9" t="s">
        <v>395</v>
      </c>
      <c r="E4484" s="9" t="str">
        <f>_xlfn.TEXTAFTER(Condiciones_acumuladas[[#This Row],[Descripción]], " ", -2)</f>
        <v>Abraham Quiej</v>
      </c>
      <c r="F4484" s="21" t="s">
        <v>2834</v>
      </c>
      <c r="G4484" s="23">
        <v>46294</v>
      </c>
    </row>
    <row r="4485" spans="1:7" ht="48.5" x14ac:dyDescent="0.35">
      <c r="A4485" s="8">
        <v>13244</v>
      </c>
      <c r="B4485" s="10" t="s">
        <v>7040</v>
      </c>
      <c r="C4485" s="10" t="s">
        <v>26</v>
      </c>
      <c r="D4485" s="9" t="s">
        <v>26</v>
      </c>
      <c r="E4485" s="9" t="str">
        <f>_xlfn.TEXTAFTER(Condiciones_acumuladas[[#This Row],[Descripción]], " ", -2)</f>
        <v>Adrián Santisteban</v>
      </c>
      <c r="F4485" s="21" t="s">
        <v>2559</v>
      </c>
      <c r="G4485" s="23">
        <v>46279</v>
      </c>
    </row>
    <row r="4486" spans="1:7" ht="36.5" x14ac:dyDescent="0.35">
      <c r="A4486" s="8">
        <v>13245</v>
      </c>
      <c r="B4486" s="10" t="s">
        <v>7041</v>
      </c>
      <c r="C4486" s="10" t="s">
        <v>26</v>
      </c>
      <c r="D4486" s="9" t="s">
        <v>26</v>
      </c>
      <c r="E4486" s="9" t="str">
        <f>_xlfn.TEXTAFTER(Condiciones_acumuladas[[#This Row],[Descripción]], " ", -2)</f>
        <v>Adrián Santisteban</v>
      </c>
      <c r="F4486" s="21" t="s">
        <v>2516</v>
      </c>
      <c r="G4486" s="23">
        <v>46279</v>
      </c>
    </row>
    <row r="4487" spans="1:7" ht="36.5" x14ac:dyDescent="0.35">
      <c r="A4487" s="8">
        <v>13246</v>
      </c>
      <c r="B4487" s="10" t="s">
        <v>7042</v>
      </c>
      <c r="C4487" s="10" t="s">
        <v>26</v>
      </c>
      <c r="D4487" s="9" t="s">
        <v>26</v>
      </c>
      <c r="E4487" s="9" t="str">
        <f>_xlfn.TEXTAFTER(Condiciones_acumuladas[[#This Row],[Descripción]], " ", -2)</f>
        <v>Adrián Santisteban</v>
      </c>
      <c r="F4487" s="21" t="s">
        <v>2516</v>
      </c>
      <c r="G4487" s="23">
        <v>46279</v>
      </c>
    </row>
    <row r="4488" spans="1:7" ht="36.5" x14ac:dyDescent="0.35">
      <c r="A4488" s="8">
        <v>13319</v>
      </c>
      <c r="B4488" s="10" t="s">
        <v>7043</v>
      </c>
      <c r="C4488" s="10" t="s">
        <v>26</v>
      </c>
      <c r="D4488" s="9" t="s">
        <v>26</v>
      </c>
      <c r="E4488" s="9" t="str">
        <f>_xlfn.TEXTAFTER(Condiciones_acumuladas[[#This Row],[Descripción]], " ", -2)</f>
        <v>Adrián Santisteban</v>
      </c>
      <c r="F4488" s="21" t="s">
        <v>2522</v>
      </c>
      <c r="G4488" s="23">
        <v>46285</v>
      </c>
    </row>
    <row r="4489" spans="1:7" ht="36.5" x14ac:dyDescent="0.35">
      <c r="A4489" s="8">
        <v>13312</v>
      </c>
      <c r="B4489" s="10" t="s">
        <v>7044</v>
      </c>
      <c r="C4489" s="10" t="s">
        <v>26</v>
      </c>
      <c r="D4489" s="9" t="s">
        <v>26</v>
      </c>
      <c r="E4489" s="9" t="str">
        <f>_xlfn.TEXTAFTER(Condiciones_acumuladas[[#This Row],[Descripción]], " ", -2)</f>
        <v>Adrián Santisteban</v>
      </c>
      <c r="F4489" s="21" t="s">
        <v>2525</v>
      </c>
      <c r="G4489" s="23">
        <v>46280</v>
      </c>
    </row>
    <row r="4490" spans="1:7" ht="48.5" x14ac:dyDescent="0.35">
      <c r="A4490" s="8">
        <v>13361</v>
      </c>
      <c r="B4490" s="10" t="s">
        <v>7045</v>
      </c>
      <c r="C4490" s="10" t="s">
        <v>26</v>
      </c>
      <c r="D4490" s="9" t="s">
        <v>26</v>
      </c>
      <c r="E4490" s="9" t="str">
        <f>_xlfn.TEXTAFTER(Condiciones_acumuladas[[#This Row],[Descripción]], " ", -2)</f>
        <v>Adrián Santisteban</v>
      </c>
      <c r="F4490" s="21" t="s">
        <v>2559</v>
      </c>
      <c r="G4490" s="23">
        <v>46289</v>
      </c>
    </row>
    <row r="4491" spans="1:7" ht="36.5" x14ac:dyDescent="0.35">
      <c r="A4491" s="8">
        <v>13360</v>
      </c>
      <c r="B4491" s="10" t="s">
        <v>7046</v>
      </c>
      <c r="C4491" s="10" t="s">
        <v>26</v>
      </c>
      <c r="D4491" s="9" t="s">
        <v>26</v>
      </c>
      <c r="E4491" s="9" t="str">
        <f>_xlfn.TEXTAFTER(Condiciones_acumuladas[[#This Row],[Descripción]], " ", -2)</f>
        <v>Adrián Santisteban</v>
      </c>
      <c r="F4491" s="21" t="s">
        <v>2516</v>
      </c>
      <c r="G4491" s="23">
        <v>46289</v>
      </c>
    </row>
    <row r="4492" spans="1:7" ht="48.5" x14ac:dyDescent="0.35">
      <c r="A4492" s="8">
        <v>13359</v>
      </c>
      <c r="B4492" s="10" t="s">
        <v>7047</v>
      </c>
      <c r="C4492" s="10" t="s">
        <v>34</v>
      </c>
      <c r="D4492" s="9" t="s">
        <v>34</v>
      </c>
      <c r="E4492" s="9" t="str">
        <f>_xlfn.TEXTAFTER(Condiciones_acumuladas[[#This Row],[Descripción]], " ", -2)</f>
        <v>Adrián Santisteban</v>
      </c>
      <c r="F4492" s="21" t="s">
        <v>2559</v>
      </c>
      <c r="G4492" s="23">
        <v>46289</v>
      </c>
    </row>
    <row r="4493" spans="1:7" ht="24.5" x14ac:dyDescent="0.35">
      <c r="A4493" s="8">
        <v>13401</v>
      </c>
      <c r="B4493" s="10" t="s">
        <v>7048</v>
      </c>
      <c r="C4493" s="10" t="s">
        <v>26</v>
      </c>
      <c r="D4493" s="9" t="s">
        <v>26</v>
      </c>
      <c r="E4493" s="9" t="str">
        <f>_xlfn.TEXTAFTER(Condiciones_acumuladas[[#This Row],[Descripción]], " ", -2)</f>
        <v>Adrián Santisteban</v>
      </c>
      <c r="F4493" s="21" t="s">
        <v>2537</v>
      </c>
      <c r="G4493" s="23">
        <v>46294</v>
      </c>
    </row>
    <row r="4494" spans="1:7" ht="48.5" x14ac:dyDescent="0.35">
      <c r="A4494" s="8">
        <v>13400</v>
      </c>
      <c r="B4494" s="10" t="s">
        <v>7049</v>
      </c>
      <c r="C4494" s="10" t="s">
        <v>26</v>
      </c>
      <c r="D4494" s="9" t="s">
        <v>26</v>
      </c>
      <c r="E4494" s="9" t="str">
        <f>_xlfn.TEXTAFTER(Condiciones_acumuladas[[#This Row],[Descripción]], " ", -2)</f>
        <v>Adrián Santisteban</v>
      </c>
      <c r="F4494" s="21" t="s">
        <v>2559</v>
      </c>
      <c r="G4494" s="23">
        <v>46294</v>
      </c>
    </row>
    <row r="4495" spans="1:7" ht="24.5" x14ac:dyDescent="0.35">
      <c r="A4495" s="8">
        <v>13162</v>
      </c>
      <c r="B4495" s="10" t="s">
        <v>7050</v>
      </c>
      <c r="C4495" s="10" t="s">
        <v>96</v>
      </c>
      <c r="D4495" s="9" t="s">
        <v>134</v>
      </c>
      <c r="E4495" s="9" t="str">
        <f>_xlfn.TEXTAFTER(Condiciones_acumuladas[[#This Row],[Descripción]], " ", -2)</f>
        <v>Alfonso Guatzin</v>
      </c>
      <c r="F4495" s="21" t="s">
        <v>2537</v>
      </c>
      <c r="G4495" s="23">
        <v>46269</v>
      </c>
    </row>
    <row r="4496" spans="1:7" ht="48.5" x14ac:dyDescent="0.35">
      <c r="A4496" s="8">
        <v>13163</v>
      </c>
      <c r="B4496" s="10" t="s">
        <v>7051</v>
      </c>
      <c r="C4496" s="10" t="s">
        <v>104</v>
      </c>
      <c r="D4496" s="9" t="s">
        <v>134</v>
      </c>
      <c r="E4496" s="9" t="str">
        <f>_xlfn.TEXTAFTER(Condiciones_acumuladas[[#This Row],[Descripción]], " ", -2)</f>
        <v>Alfonso Guatzin</v>
      </c>
      <c r="F4496" s="21" t="s">
        <v>2559</v>
      </c>
      <c r="G4496" s="23">
        <v>46269</v>
      </c>
    </row>
    <row r="4497" spans="1:7" ht="24.5" x14ac:dyDescent="0.35">
      <c r="A4497" s="8">
        <v>13326</v>
      </c>
      <c r="B4497" s="10" t="s">
        <v>7052</v>
      </c>
      <c r="C4497" s="10" t="s">
        <v>134</v>
      </c>
      <c r="D4497" s="9" t="s">
        <v>134</v>
      </c>
      <c r="E4497" s="9" t="str">
        <f>_xlfn.TEXTAFTER(Condiciones_acumuladas[[#This Row],[Descripción]], " ", -2)</f>
        <v>Alfonso Guatzin</v>
      </c>
      <c r="F4497" s="21" t="s">
        <v>2522</v>
      </c>
      <c r="G4497" s="23">
        <v>46288</v>
      </c>
    </row>
    <row r="4498" spans="1:7" ht="24.5" x14ac:dyDescent="0.35">
      <c r="A4498" s="8">
        <v>13325</v>
      </c>
      <c r="B4498" s="10" t="s">
        <v>7053</v>
      </c>
      <c r="C4498" s="10" t="s">
        <v>104</v>
      </c>
      <c r="D4498" s="9" t="s">
        <v>134</v>
      </c>
      <c r="E4498" s="9" t="str">
        <f>_xlfn.TEXTAFTER(Condiciones_acumuladas[[#This Row],[Descripción]], " ", -2)</f>
        <v>Alfonso Guatzin</v>
      </c>
      <c r="F4498" s="21" t="s">
        <v>2522</v>
      </c>
      <c r="G4498" s="23">
        <v>46288</v>
      </c>
    </row>
    <row r="4499" spans="1:7" ht="24.5" x14ac:dyDescent="0.35">
      <c r="A4499" s="8">
        <v>13324</v>
      </c>
      <c r="B4499" s="10" t="s">
        <v>7054</v>
      </c>
      <c r="C4499" s="10" t="s">
        <v>134</v>
      </c>
      <c r="D4499" s="9" t="s">
        <v>134</v>
      </c>
      <c r="E4499" s="9" t="str">
        <f>_xlfn.TEXTAFTER(Condiciones_acumuladas[[#This Row],[Descripción]], " ", -2)</f>
        <v>Alfonso Guatzin</v>
      </c>
      <c r="F4499" s="21" t="s">
        <v>2522</v>
      </c>
      <c r="G4499" s="23">
        <v>46288</v>
      </c>
    </row>
    <row r="4500" spans="1:7" ht="24.5" x14ac:dyDescent="0.35">
      <c r="A4500" s="8">
        <v>13323</v>
      </c>
      <c r="B4500" s="10" t="s">
        <v>7055</v>
      </c>
      <c r="C4500" s="10" t="s">
        <v>134</v>
      </c>
      <c r="D4500" s="9" t="s">
        <v>134</v>
      </c>
      <c r="E4500" s="9" t="str">
        <f>_xlfn.TEXTAFTER(Condiciones_acumuladas[[#This Row],[Descripción]], " ", -2)</f>
        <v>Alfonso Guatzin</v>
      </c>
      <c r="F4500" s="21" t="s">
        <v>2522</v>
      </c>
      <c r="G4500" s="23">
        <v>46288</v>
      </c>
    </row>
    <row r="4501" spans="1:7" ht="24.5" x14ac:dyDescent="0.35">
      <c r="A4501" s="8">
        <v>13406</v>
      </c>
      <c r="B4501" s="10" t="s">
        <v>7056</v>
      </c>
      <c r="C4501" s="10" t="s">
        <v>134</v>
      </c>
      <c r="D4501" s="9" t="s">
        <v>134</v>
      </c>
      <c r="E4501" s="9" t="str">
        <f>_xlfn.TEXTAFTER(Condiciones_acumuladas[[#This Row],[Descripción]], " ", -2)</f>
        <v>Alfonso Guatzin</v>
      </c>
      <c r="F4501" s="21" t="s">
        <v>2522</v>
      </c>
      <c r="G4501" s="23">
        <v>46295</v>
      </c>
    </row>
    <row r="4502" spans="1:7" ht="36.5" x14ac:dyDescent="0.35">
      <c r="A4502" s="8">
        <v>13320</v>
      </c>
      <c r="B4502" s="10" t="s">
        <v>7057</v>
      </c>
      <c r="C4502" s="10" t="s">
        <v>395</v>
      </c>
      <c r="D4502" s="9" t="s">
        <v>21</v>
      </c>
      <c r="E4502" s="9" t="str">
        <f>_xlfn.TEXTAFTER(Condiciones_acumuladas[[#This Row],[Descripción]], " ", -2)</f>
        <v>Amilcar Ralda</v>
      </c>
      <c r="F4502" s="21" t="s">
        <v>2525</v>
      </c>
      <c r="G4502" s="23">
        <v>46283</v>
      </c>
    </row>
    <row r="4503" spans="1:7" ht="36.5" x14ac:dyDescent="0.35">
      <c r="A4503" s="8">
        <v>13314</v>
      </c>
      <c r="B4503" s="10" t="s">
        <v>7058</v>
      </c>
      <c r="C4503" s="10" t="s">
        <v>13</v>
      </c>
      <c r="D4503" s="9" t="s">
        <v>13</v>
      </c>
      <c r="E4503" s="9" t="str">
        <f>_xlfn.TEXTAFTER(Condiciones_acumuladas[[#This Row],[Descripción]], " ", -2)</f>
        <v>Amilcar Ralda</v>
      </c>
      <c r="F4503" s="21" t="s">
        <v>2525</v>
      </c>
      <c r="G4503" s="23">
        <v>46279</v>
      </c>
    </row>
    <row r="4504" spans="1:7" ht="36.5" x14ac:dyDescent="0.35">
      <c r="A4504" s="8">
        <v>13313</v>
      </c>
      <c r="B4504" s="10" t="s">
        <v>7059</v>
      </c>
      <c r="C4504" s="10" t="s">
        <v>21</v>
      </c>
      <c r="D4504" s="9" t="s">
        <v>21</v>
      </c>
      <c r="E4504" s="9" t="str">
        <f>_xlfn.TEXTAFTER(Condiciones_acumuladas[[#This Row],[Descripción]], " ", -2)</f>
        <v>Amilcar Ralda</v>
      </c>
      <c r="F4504" s="21" t="s">
        <v>2525</v>
      </c>
      <c r="G4504" s="23">
        <v>46279</v>
      </c>
    </row>
    <row r="4505" spans="1:7" ht="24.5" x14ac:dyDescent="0.35">
      <c r="A4505" s="8">
        <v>13202</v>
      </c>
      <c r="B4505" s="10" t="s">
        <v>7060</v>
      </c>
      <c r="C4505" s="10" t="s">
        <v>234</v>
      </c>
      <c r="D4505" s="9" t="s">
        <v>95</v>
      </c>
      <c r="E4505" s="9" t="str">
        <f>_xlfn.TEXTAFTER(Condiciones_acumuladas[[#This Row],[Descripción]], " ", -2)</f>
        <v>Andrea González</v>
      </c>
      <c r="F4505" s="21" t="s">
        <v>2522</v>
      </c>
      <c r="G4505" s="23">
        <v>46274</v>
      </c>
    </row>
    <row r="4506" spans="1:7" ht="36.5" x14ac:dyDescent="0.35">
      <c r="A4506" s="8">
        <v>13203</v>
      </c>
      <c r="B4506" s="10" t="s">
        <v>7061</v>
      </c>
      <c r="C4506" s="10" t="s">
        <v>234</v>
      </c>
      <c r="D4506" s="9" t="s">
        <v>95</v>
      </c>
      <c r="E4506" s="9" t="str">
        <f>_xlfn.TEXTAFTER(Condiciones_acumuladas[[#This Row],[Descripción]], " ", -2)</f>
        <v>Andrea González</v>
      </c>
      <c r="F4506" s="21" t="s">
        <v>2530</v>
      </c>
      <c r="G4506" s="23">
        <v>46274</v>
      </c>
    </row>
    <row r="4507" spans="1:7" ht="24.5" x14ac:dyDescent="0.35">
      <c r="A4507" s="8">
        <v>13204</v>
      </c>
      <c r="B4507" s="10" t="s">
        <v>7062</v>
      </c>
      <c r="C4507" s="10" t="s">
        <v>234</v>
      </c>
      <c r="D4507" s="9" t="s">
        <v>95</v>
      </c>
      <c r="E4507" s="9" t="str">
        <f>_xlfn.TEXTAFTER(Condiciones_acumuladas[[#This Row],[Descripción]], " ", -2)</f>
        <v>Andrea González</v>
      </c>
      <c r="F4507" s="21" t="s">
        <v>2537</v>
      </c>
      <c r="G4507" s="23">
        <v>46274</v>
      </c>
    </row>
    <row r="4508" spans="1:7" ht="24.5" x14ac:dyDescent="0.35">
      <c r="A4508" s="8">
        <v>13136</v>
      </c>
      <c r="B4508" s="10" t="s">
        <v>7063</v>
      </c>
      <c r="C4508" s="10" t="s">
        <v>196</v>
      </c>
      <c r="D4508" s="9" t="s">
        <v>395</v>
      </c>
      <c r="E4508" s="9" t="str">
        <f>_xlfn.TEXTAFTER(Condiciones_acumuladas[[#This Row],[Descripción]], " ", -2)</f>
        <v>Antony Ramos</v>
      </c>
      <c r="F4508" s="21" t="s">
        <v>2537</v>
      </c>
      <c r="G4508" s="23">
        <v>46266</v>
      </c>
    </row>
    <row r="4509" spans="1:7" ht="36.5" x14ac:dyDescent="0.35">
      <c r="A4509" s="8">
        <v>13138</v>
      </c>
      <c r="B4509" s="10" t="s">
        <v>7064</v>
      </c>
      <c r="C4509" s="10" t="s">
        <v>96</v>
      </c>
      <c r="D4509" s="9" t="s">
        <v>395</v>
      </c>
      <c r="E4509" s="9" t="str">
        <f>_xlfn.TEXTAFTER(Condiciones_acumuladas[[#This Row],[Descripción]], " ", -2)</f>
        <v>Antony Ramos</v>
      </c>
      <c r="F4509" s="21" t="s">
        <v>2572</v>
      </c>
      <c r="G4509" s="23">
        <v>46267</v>
      </c>
    </row>
    <row r="4510" spans="1:7" ht="36.5" x14ac:dyDescent="0.35">
      <c r="A4510" s="8">
        <v>13168</v>
      </c>
      <c r="B4510" s="10" t="s">
        <v>7065</v>
      </c>
      <c r="C4510" s="10" t="s">
        <v>234</v>
      </c>
      <c r="D4510" s="9" t="s">
        <v>395</v>
      </c>
      <c r="E4510" s="9" t="str">
        <f>_xlfn.TEXTAFTER(Condiciones_acumuladas[[#This Row],[Descripción]], " ", -2)</f>
        <v>Antony Ramos</v>
      </c>
      <c r="F4510" s="21" t="s">
        <v>2715</v>
      </c>
      <c r="G4510" s="23">
        <v>46268</v>
      </c>
    </row>
    <row r="4511" spans="1:7" ht="36.5" x14ac:dyDescent="0.35">
      <c r="A4511" s="8">
        <v>13170</v>
      </c>
      <c r="B4511" s="10" t="s">
        <v>7066</v>
      </c>
      <c r="C4511" s="10" t="s">
        <v>96</v>
      </c>
      <c r="D4511" s="9" t="s">
        <v>395</v>
      </c>
      <c r="E4511" s="9" t="str">
        <f>_xlfn.TEXTAFTER(Condiciones_acumuladas[[#This Row],[Descripción]], " ", -2)</f>
        <v>Antony Ramos</v>
      </c>
      <c r="F4511" s="21" t="s">
        <v>2715</v>
      </c>
      <c r="G4511" s="23">
        <v>46268</v>
      </c>
    </row>
    <row r="4512" spans="1:7" ht="36.5" x14ac:dyDescent="0.35">
      <c r="A4512" s="8">
        <v>13178</v>
      </c>
      <c r="B4512" s="10" t="s">
        <v>7067</v>
      </c>
      <c r="C4512" s="10" t="s">
        <v>95</v>
      </c>
      <c r="D4512" s="9" t="s">
        <v>395</v>
      </c>
      <c r="E4512" s="9" t="str">
        <f>_xlfn.TEXTAFTER(Condiciones_acumuladas[[#This Row],[Descripción]], " ", -2)</f>
        <v>Antony Ramos</v>
      </c>
      <c r="F4512" s="21" t="s">
        <v>2572</v>
      </c>
      <c r="G4512" s="23">
        <v>46269</v>
      </c>
    </row>
    <row r="4513" spans="1:7" ht="48.5" x14ac:dyDescent="0.35">
      <c r="A4513" s="8">
        <v>13183</v>
      </c>
      <c r="B4513" s="10" t="s">
        <v>7068</v>
      </c>
      <c r="C4513" s="10" t="s">
        <v>96</v>
      </c>
      <c r="D4513" s="9" t="s">
        <v>395</v>
      </c>
      <c r="E4513" s="9" t="str">
        <f>_xlfn.TEXTAFTER(Condiciones_acumuladas[[#This Row],[Descripción]], " ", -2)</f>
        <v>Antony Ramos</v>
      </c>
      <c r="F4513" s="21" t="s">
        <v>2559</v>
      </c>
      <c r="G4513" s="23">
        <v>46269</v>
      </c>
    </row>
    <row r="4514" spans="1:7" ht="24.5" x14ac:dyDescent="0.35">
      <c r="A4514" s="8">
        <v>13212</v>
      </c>
      <c r="B4514" s="10" t="s">
        <v>7069</v>
      </c>
      <c r="C4514" s="10" t="s">
        <v>96</v>
      </c>
      <c r="D4514" s="9" t="s">
        <v>395</v>
      </c>
      <c r="E4514" s="9" t="str">
        <f>_xlfn.TEXTAFTER(Condiciones_acumuladas[[#This Row],[Descripción]], " ", -2)</f>
        <v>Antony Ramos</v>
      </c>
      <c r="F4514" s="21" t="s">
        <v>2522</v>
      </c>
      <c r="G4514" s="23">
        <v>46270</v>
      </c>
    </row>
    <row r="4515" spans="1:7" ht="36.5" x14ac:dyDescent="0.35">
      <c r="A4515" s="8">
        <v>13216</v>
      </c>
      <c r="B4515" s="10" t="s">
        <v>7070</v>
      </c>
      <c r="C4515" s="10" t="s">
        <v>21</v>
      </c>
      <c r="D4515" s="9" t="s">
        <v>395</v>
      </c>
      <c r="E4515" s="9" t="str">
        <f>_xlfn.TEXTAFTER(Condiciones_acumuladas[[#This Row],[Descripción]], " ", -2)</f>
        <v>Antony Ramos</v>
      </c>
      <c r="F4515" s="21" t="s">
        <v>2516</v>
      </c>
      <c r="G4515" s="23">
        <v>46272</v>
      </c>
    </row>
    <row r="4516" spans="1:7" ht="24.5" x14ac:dyDescent="0.35">
      <c r="A4516" s="8">
        <v>13288</v>
      </c>
      <c r="B4516" s="10" t="s">
        <v>7071</v>
      </c>
      <c r="C4516" s="10" t="s">
        <v>250</v>
      </c>
      <c r="D4516" s="9" t="s">
        <v>395</v>
      </c>
      <c r="E4516" s="9" t="str">
        <f>_xlfn.TEXTAFTER(Condiciones_acumuladas[[#This Row],[Descripción]], " ", -2)</f>
        <v>Antony Ramos</v>
      </c>
      <c r="F4516" s="21" t="s">
        <v>2540</v>
      </c>
      <c r="G4516" s="23">
        <v>46281</v>
      </c>
    </row>
    <row r="4517" spans="1:7" ht="36.5" x14ac:dyDescent="0.35">
      <c r="A4517" s="8">
        <v>13383</v>
      </c>
      <c r="B4517" s="10" t="s">
        <v>7072</v>
      </c>
      <c r="C4517" s="10" t="s">
        <v>21</v>
      </c>
      <c r="D4517" s="9" t="s">
        <v>395</v>
      </c>
      <c r="E4517" s="9" t="str">
        <f>_xlfn.TEXTAFTER(Condiciones_acumuladas[[#This Row],[Descripción]], " ", -2)</f>
        <v>Bryan Barahona</v>
      </c>
      <c r="F4517" s="21" t="s">
        <v>2522</v>
      </c>
      <c r="G4517" s="23">
        <v>46292</v>
      </c>
    </row>
    <row r="4518" spans="1:7" ht="24.5" x14ac:dyDescent="0.35">
      <c r="A4518" s="8">
        <v>13382</v>
      </c>
      <c r="B4518" s="10" t="s">
        <v>7073</v>
      </c>
      <c r="C4518" s="10" t="s">
        <v>34</v>
      </c>
      <c r="D4518" s="9" t="s">
        <v>395</v>
      </c>
      <c r="E4518" s="9" t="str">
        <f>_xlfn.TEXTAFTER(Condiciones_acumuladas[[#This Row],[Descripción]], " ", -2)</f>
        <v>Bryan Barahona</v>
      </c>
      <c r="F4518" s="21" t="s">
        <v>2522</v>
      </c>
      <c r="G4518" s="23">
        <v>46292</v>
      </c>
    </row>
    <row r="4519" spans="1:7" ht="36.5" x14ac:dyDescent="0.35">
      <c r="A4519" s="8">
        <v>13381</v>
      </c>
      <c r="B4519" s="10" t="s">
        <v>7074</v>
      </c>
      <c r="C4519" s="10" t="s">
        <v>104</v>
      </c>
      <c r="D4519" s="9" t="s">
        <v>395</v>
      </c>
      <c r="E4519" s="9" t="str">
        <f>_xlfn.TEXTAFTER(Condiciones_acumuladas[[#This Row],[Descripción]], " ", -2)</f>
        <v>Bryan Barahona</v>
      </c>
      <c r="F4519" s="21" t="s">
        <v>2715</v>
      </c>
      <c r="G4519" s="23">
        <v>46292</v>
      </c>
    </row>
    <row r="4520" spans="1:7" ht="36.5" x14ac:dyDescent="0.35">
      <c r="A4520" s="8">
        <v>13380</v>
      </c>
      <c r="B4520" s="10" t="s">
        <v>7075</v>
      </c>
      <c r="C4520" s="10" t="s">
        <v>13</v>
      </c>
      <c r="D4520" s="9" t="s">
        <v>395</v>
      </c>
      <c r="E4520" s="9" t="str">
        <f>_xlfn.TEXTAFTER(Condiciones_acumuladas[[#This Row],[Descripción]], " ", -2)</f>
        <v>Bryan Barahona</v>
      </c>
      <c r="F4520" s="21" t="s">
        <v>2525</v>
      </c>
      <c r="G4520" s="23">
        <v>46292</v>
      </c>
    </row>
    <row r="4521" spans="1:7" ht="24.5" x14ac:dyDescent="0.35">
      <c r="A4521" s="8">
        <v>13379</v>
      </c>
      <c r="B4521" s="10" t="s">
        <v>7076</v>
      </c>
      <c r="C4521" s="10" t="s">
        <v>13</v>
      </c>
      <c r="D4521" s="9" t="s">
        <v>395</v>
      </c>
      <c r="E4521" s="9" t="str">
        <f>_xlfn.TEXTAFTER(Condiciones_acumuladas[[#This Row],[Descripción]], " ", -2)</f>
        <v>Bryan Barahona</v>
      </c>
      <c r="F4521" s="21" t="s">
        <v>2540</v>
      </c>
      <c r="G4521" s="23">
        <v>46292</v>
      </c>
    </row>
    <row r="4522" spans="1:7" ht="24.5" x14ac:dyDescent="0.35">
      <c r="A4522" s="8">
        <v>13378</v>
      </c>
      <c r="B4522" s="10" t="s">
        <v>7077</v>
      </c>
      <c r="C4522" s="10" t="s">
        <v>21</v>
      </c>
      <c r="D4522" s="9" t="s">
        <v>395</v>
      </c>
      <c r="E4522" s="9" t="str">
        <f>_xlfn.TEXTAFTER(Condiciones_acumuladas[[#This Row],[Descripción]], " ", -2)</f>
        <v>Bryan Barahona</v>
      </c>
      <c r="F4522" s="21" t="s">
        <v>2522</v>
      </c>
      <c r="G4522" s="23">
        <v>46292</v>
      </c>
    </row>
    <row r="4523" spans="1:7" ht="24.5" x14ac:dyDescent="0.35">
      <c r="A4523" s="8">
        <v>13421</v>
      </c>
      <c r="B4523" s="10" t="s">
        <v>7078</v>
      </c>
      <c r="C4523" s="10" t="s">
        <v>26</v>
      </c>
      <c r="D4523" s="9" t="s">
        <v>395</v>
      </c>
      <c r="E4523" s="9" t="str">
        <f>_xlfn.TEXTAFTER(Condiciones_acumuladas[[#This Row],[Descripción]], " ", -2)</f>
        <v>Bryan Barahona</v>
      </c>
      <c r="F4523" s="21" t="s">
        <v>2540</v>
      </c>
      <c r="G4523" s="23">
        <v>46293</v>
      </c>
    </row>
    <row r="4524" spans="1:7" ht="36.5" x14ac:dyDescent="0.35">
      <c r="A4524" s="8">
        <v>13408</v>
      </c>
      <c r="B4524" s="10" t="s">
        <v>7079</v>
      </c>
      <c r="C4524" s="10" t="s">
        <v>250</v>
      </c>
      <c r="D4524" s="9" t="s">
        <v>395</v>
      </c>
      <c r="E4524" s="9" t="str">
        <f>_xlfn.TEXTAFTER(Condiciones_acumuladas[[#This Row],[Descripción]], " ", -2)</f>
        <v>Bryan Barahona</v>
      </c>
      <c r="F4524" s="21" t="s">
        <v>2530</v>
      </c>
      <c r="G4524" s="23">
        <v>46292</v>
      </c>
    </row>
    <row r="4525" spans="1:7" ht="24.5" x14ac:dyDescent="0.35">
      <c r="A4525" s="8">
        <v>13423</v>
      </c>
      <c r="B4525" s="10" t="s">
        <v>7080</v>
      </c>
      <c r="C4525" s="10" t="s">
        <v>13</v>
      </c>
      <c r="D4525" s="9" t="s">
        <v>395</v>
      </c>
      <c r="E4525" s="9" t="str">
        <f>_xlfn.TEXTAFTER(Condiciones_acumuladas[[#This Row],[Descripción]], " ", -2)</f>
        <v>Bryan Barahona</v>
      </c>
      <c r="F4525" s="21" t="s">
        <v>2834</v>
      </c>
      <c r="G4525" s="23">
        <v>46294</v>
      </c>
    </row>
    <row r="4526" spans="1:7" ht="36.5" x14ac:dyDescent="0.35">
      <c r="A4526" s="8">
        <v>13214</v>
      </c>
      <c r="B4526" s="10" t="s">
        <v>7081</v>
      </c>
      <c r="C4526" s="10" t="s">
        <v>26</v>
      </c>
      <c r="D4526" s="9" t="s">
        <v>395</v>
      </c>
      <c r="E4526" s="9" t="str">
        <f>_xlfn.TEXTAFTER(Condiciones_acumuladas[[#This Row],[Descripción]], " ", -2)</f>
        <v>Daniel Pineda</v>
      </c>
      <c r="F4526" s="21" t="s">
        <v>2516</v>
      </c>
      <c r="G4526" s="23">
        <v>46272</v>
      </c>
    </row>
    <row r="4527" spans="1:7" ht="36.5" x14ac:dyDescent="0.35">
      <c r="A4527" s="8">
        <v>13213</v>
      </c>
      <c r="B4527" s="10" t="s">
        <v>7082</v>
      </c>
      <c r="C4527" s="10" t="s">
        <v>395</v>
      </c>
      <c r="D4527" s="9" t="s">
        <v>395</v>
      </c>
      <c r="E4527" s="9" t="str">
        <f>_xlfn.TEXTAFTER(Condiciones_acumuladas[[#This Row],[Descripción]], " ", -2)</f>
        <v>Daniel Pineda</v>
      </c>
      <c r="F4527" s="21" t="s">
        <v>2525</v>
      </c>
      <c r="G4527" s="23">
        <v>46270</v>
      </c>
    </row>
    <row r="4528" spans="1:7" ht="48.5" x14ac:dyDescent="0.35">
      <c r="A4528" s="8">
        <v>13241</v>
      </c>
      <c r="B4528" s="10" t="s">
        <v>7083</v>
      </c>
      <c r="C4528" s="10" t="s">
        <v>96</v>
      </c>
      <c r="D4528" s="9" t="s">
        <v>395</v>
      </c>
      <c r="E4528" s="9" t="str">
        <f>_xlfn.TEXTAFTER(Condiciones_acumuladas[[#This Row],[Descripción]], " ", -2)</f>
        <v>Daniel Pineda</v>
      </c>
      <c r="F4528" s="21" t="s">
        <v>2715</v>
      </c>
      <c r="G4528" s="23">
        <v>46277</v>
      </c>
    </row>
    <row r="4529" spans="1:7" ht="24.5" x14ac:dyDescent="0.35">
      <c r="A4529" s="8">
        <v>13267</v>
      </c>
      <c r="B4529" s="10" t="s">
        <v>7084</v>
      </c>
      <c r="C4529" s="10" t="s">
        <v>21</v>
      </c>
      <c r="D4529" s="9" t="s">
        <v>395</v>
      </c>
      <c r="E4529" s="9" t="str">
        <f>_xlfn.TEXTAFTER(Condiciones_acumuladas[[#This Row],[Descripción]], " ", -2)</f>
        <v>Daniel Pineda</v>
      </c>
      <c r="F4529" s="21" t="s">
        <v>2522</v>
      </c>
      <c r="G4529" s="23">
        <v>46280</v>
      </c>
    </row>
    <row r="4530" spans="1:7" ht="36.5" x14ac:dyDescent="0.35">
      <c r="A4530" s="8">
        <v>13377</v>
      </c>
      <c r="B4530" s="10" t="s">
        <v>7085</v>
      </c>
      <c r="C4530" s="10" t="s">
        <v>96</v>
      </c>
      <c r="D4530" s="9" t="s">
        <v>395</v>
      </c>
      <c r="E4530" s="9" t="str">
        <f>_xlfn.TEXTAFTER(Condiciones_acumuladas[[#This Row],[Descripción]], " ", -2)</f>
        <v>Daniel Pineda</v>
      </c>
      <c r="F4530" s="21" t="s">
        <v>2530</v>
      </c>
      <c r="G4530" s="23">
        <v>46291</v>
      </c>
    </row>
    <row r="4531" spans="1:7" ht="36.5" x14ac:dyDescent="0.35">
      <c r="A4531" s="8">
        <v>13376</v>
      </c>
      <c r="B4531" s="10" t="s">
        <v>7086</v>
      </c>
      <c r="C4531" s="10" t="s">
        <v>196</v>
      </c>
      <c r="D4531" s="9" t="s">
        <v>395</v>
      </c>
      <c r="E4531" s="9" t="str">
        <f>_xlfn.TEXTAFTER(Condiciones_acumuladas[[#This Row],[Descripción]], " ", -2)</f>
        <v>Daniel Pineda</v>
      </c>
      <c r="F4531" s="21" t="s">
        <v>2530</v>
      </c>
      <c r="G4531" s="23">
        <v>46291</v>
      </c>
    </row>
    <row r="4532" spans="1:7" ht="24.5" x14ac:dyDescent="0.35">
      <c r="A4532" s="8">
        <v>13375</v>
      </c>
      <c r="B4532" s="10" t="s">
        <v>7087</v>
      </c>
      <c r="C4532" s="10" t="s">
        <v>234</v>
      </c>
      <c r="D4532" s="9" t="s">
        <v>395</v>
      </c>
      <c r="E4532" s="9" t="str">
        <f>_xlfn.TEXTAFTER(Condiciones_acumuladas[[#This Row],[Descripción]], " ", -2)</f>
        <v>Daniel Pineda</v>
      </c>
      <c r="F4532" s="21" t="s">
        <v>2522</v>
      </c>
      <c r="G4532" s="23">
        <v>46290</v>
      </c>
    </row>
    <row r="4533" spans="1:7" ht="24.5" x14ac:dyDescent="0.35">
      <c r="A4533" s="8">
        <v>13374</v>
      </c>
      <c r="B4533" s="10" t="s">
        <v>7088</v>
      </c>
      <c r="C4533" s="10" t="s">
        <v>21</v>
      </c>
      <c r="D4533" s="9" t="s">
        <v>395</v>
      </c>
      <c r="E4533" s="9" t="str">
        <f>_xlfn.TEXTAFTER(Condiciones_acumuladas[[#This Row],[Descripción]], " ", -2)</f>
        <v>Daniel Pineda</v>
      </c>
      <c r="F4533" s="21" t="s">
        <v>2522</v>
      </c>
      <c r="G4533" s="23">
        <v>46290</v>
      </c>
    </row>
    <row r="4534" spans="1:7" ht="24.5" x14ac:dyDescent="0.35">
      <c r="A4534" s="8">
        <v>13368</v>
      </c>
      <c r="B4534" s="10" t="s">
        <v>7089</v>
      </c>
      <c r="C4534" s="10" t="s">
        <v>34</v>
      </c>
      <c r="D4534" s="9" t="s">
        <v>395</v>
      </c>
      <c r="E4534" s="9" t="str">
        <f>_xlfn.TEXTAFTER(Condiciones_acumuladas[[#This Row],[Descripción]], " ", -2)</f>
        <v>Daniel Pineda</v>
      </c>
      <c r="F4534" s="21" t="s">
        <v>2522</v>
      </c>
      <c r="G4534" s="23">
        <v>46289</v>
      </c>
    </row>
    <row r="4535" spans="1:7" ht="36.5" x14ac:dyDescent="0.35">
      <c r="A4535" s="8">
        <v>13366</v>
      </c>
      <c r="B4535" s="10" t="s">
        <v>7090</v>
      </c>
      <c r="C4535" s="10" t="s">
        <v>371</v>
      </c>
      <c r="D4535" s="9" t="s">
        <v>395</v>
      </c>
      <c r="E4535" s="9" t="str">
        <f>_xlfn.TEXTAFTER(Condiciones_acumuladas[[#This Row],[Descripción]], " ", -2)</f>
        <v>Daniel Pineda</v>
      </c>
      <c r="F4535" s="21" t="s">
        <v>2715</v>
      </c>
      <c r="G4535" s="23">
        <v>46289</v>
      </c>
    </row>
    <row r="4536" spans="1:7" ht="36.5" x14ac:dyDescent="0.35">
      <c r="A4536" s="8">
        <v>13422</v>
      </c>
      <c r="B4536" s="10" t="s">
        <v>7091</v>
      </c>
      <c r="C4536" s="10" t="s">
        <v>13</v>
      </c>
      <c r="D4536" s="9" t="s">
        <v>190</v>
      </c>
      <c r="E4536" s="9" t="str">
        <f>_xlfn.TEXTAFTER(Condiciones_acumuladas[[#This Row],[Descripción]], " ", -2)</f>
        <v>DenniDe León</v>
      </c>
      <c r="F4536" s="21" t="s">
        <v>2540</v>
      </c>
      <c r="G4536" s="23">
        <v>46294</v>
      </c>
    </row>
    <row r="4537" spans="1:7" ht="36.5" x14ac:dyDescent="0.35">
      <c r="A4537" s="8">
        <v>13403</v>
      </c>
      <c r="B4537" s="10" t="s">
        <v>7092</v>
      </c>
      <c r="C4537" s="10" t="s">
        <v>234</v>
      </c>
      <c r="D4537" s="9" t="s">
        <v>95</v>
      </c>
      <c r="E4537" s="9" t="str">
        <f>_xlfn.TEXTAFTER(Condiciones_acumuladas[[#This Row],[Descripción]], " ", -2)</f>
        <v>Diana Pérez</v>
      </c>
      <c r="F4537" s="21" t="s">
        <v>2572</v>
      </c>
      <c r="G4537" s="23">
        <v>46294</v>
      </c>
    </row>
    <row r="4538" spans="1:7" ht="24.5" x14ac:dyDescent="0.35">
      <c r="A4538" s="8">
        <v>13397</v>
      </c>
      <c r="B4538" s="10" t="s">
        <v>7093</v>
      </c>
      <c r="C4538" s="10" t="s">
        <v>13</v>
      </c>
      <c r="D4538" s="9" t="s">
        <v>95</v>
      </c>
      <c r="E4538" s="9" t="str">
        <f>_xlfn.TEXTAFTER(Condiciones_acumuladas[[#This Row],[Descripción]], " ", -2)</f>
        <v>Domingo Yac</v>
      </c>
      <c r="F4538" s="21" t="s">
        <v>2834</v>
      </c>
      <c r="G4538" s="23">
        <v>46294</v>
      </c>
    </row>
    <row r="4539" spans="1:7" ht="24.5" x14ac:dyDescent="0.35">
      <c r="A4539" s="8">
        <v>13355</v>
      </c>
      <c r="B4539" s="10" t="s">
        <v>7094</v>
      </c>
      <c r="C4539" s="10" t="s">
        <v>95</v>
      </c>
      <c r="D4539" s="9" t="s">
        <v>95</v>
      </c>
      <c r="E4539" s="9" t="str">
        <f>_xlfn.TEXTAFTER(Condiciones_acumuladas[[#This Row],[Descripción]], " ", -2)</f>
        <v>Edgar Coti</v>
      </c>
      <c r="F4539" s="21" t="s">
        <v>2537</v>
      </c>
      <c r="G4539" s="23">
        <v>46288</v>
      </c>
    </row>
    <row r="4540" spans="1:7" ht="48.5" x14ac:dyDescent="0.35">
      <c r="A4540" s="8">
        <v>13354</v>
      </c>
      <c r="B4540" s="10" t="s">
        <v>7095</v>
      </c>
      <c r="C4540" s="10" t="s">
        <v>95</v>
      </c>
      <c r="D4540" s="9" t="s">
        <v>95</v>
      </c>
      <c r="E4540" s="9" t="str">
        <f>_xlfn.TEXTAFTER(Condiciones_acumuladas[[#This Row],[Descripción]], " ", -2)</f>
        <v>Edgar Coti</v>
      </c>
      <c r="F4540" s="21" t="s">
        <v>2559</v>
      </c>
      <c r="G4540" s="23">
        <v>46288</v>
      </c>
    </row>
    <row r="4541" spans="1:7" ht="36.5" x14ac:dyDescent="0.35">
      <c r="A4541" s="8">
        <v>13140</v>
      </c>
      <c r="B4541" s="10" t="s">
        <v>7096</v>
      </c>
      <c r="C4541" s="10" t="s">
        <v>21</v>
      </c>
      <c r="D4541" s="9" t="s">
        <v>250</v>
      </c>
      <c r="E4541" s="9" t="str">
        <f>_xlfn.TEXTAFTER(Condiciones_acumuladas[[#This Row],[Descripción]], " ", -2)</f>
        <v>Edson Bonifacio</v>
      </c>
      <c r="F4541" s="21" t="s">
        <v>2522</v>
      </c>
      <c r="G4541" s="23">
        <v>46267</v>
      </c>
    </row>
    <row r="4542" spans="1:7" ht="24.5" x14ac:dyDescent="0.35">
      <c r="A4542" s="8">
        <v>13139</v>
      </c>
      <c r="B4542" s="10" t="s">
        <v>7097</v>
      </c>
      <c r="C4542" s="10" t="s">
        <v>21</v>
      </c>
      <c r="D4542" s="9" t="s">
        <v>250</v>
      </c>
      <c r="E4542" s="9" t="str">
        <f>_xlfn.TEXTAFTER(Condiciones_acumuladas[[#This Row],[Descripción]], " ", -2)</f>
        <v>Edson Bonifacio</v>
      </c>
      <c r="F4542" s="21" t="s">
        <v>2522</v>
      </c>
      <c r="G4542" s="23">
        <v>46267</v>
      </c>
    </row>
    <row r="4543" spans="1:7" ht="24.5" x14ac:dyDescent="0.35">
      <c r="A4543" s="8">
        <v>13141</v>
      </c>
      <c r="B4543" s="10" t="s">
        <v>7098</v>
      </c>
      <c r="C4543" s="10" t="s">
        <v>21</v>
      </c>
      <c r="D4543" s="9" t="s">
        <v>250</v>
      </c>
      <c r="E4543" s="9" t="str">
        <f>_xlfn.TEXTAFTER(Condiciones_acumuladas[[#This Row],[Descripción]], " ", -2)</f>
        <v>Edson Bonifacio</v>
      </c>
      <c r="F4543" s="21" t="s">
        <v>2522</v>
      </c>
      <c r="G4543" s="23">
        <v>46267</v>
      </c>
    </row>
    <row r="4544" spans="1:7" ht="36.5" x14ac:dyDescent="0.35">
      <c r="A4544" s="8">
        <v>13181</v>
      </c>
      <c r="B4544" s="10" t="s">
        <v>7099</v>
      </c>
      <c r="C4544" s="10" t="s">
        <v>26</v>
      </c>
      <c r="D4544" s="9" t="s">
        <v>250</v>
      </c>
      <c r="E4544" s="9" t="str">
        <f>_xlfn.TEXTAFTER(Condiciones_acumuladas[[#This Row],[Descripción]], " ", -2)</f>
        <v>Edson Bonifacio</v>
      </c>
      <c r="F4544" s="21" t="s">
        <v>2530</v>
      </c>
      <c r="G4544" s="23">
        <v>46269</v>
      </c>
    </row>
    <row r="4545" spans="1:7" ht="36.5" x14ac:dyDescent="0.35">
      <c r="A4545" s="8">
        <v>13224</v>
      </c>
      <c r="B4545" s="10" t="s">
        <v>7100</v>
      </c>
      <c r="C4545" s="10" t="s">
        <v>21</v>
      </c>
      <c r="D4545" s="9" t="s">
        <v>250</v>
      </c>
      <c r="E4545" s="9" t="str">
        <f>_xlfn.TEXTAFTER(Condiciones_acumuladas[[#This Row],[Descripción]], " ", -2)</f>
        <v>Edson Bonifacio</v>
      </c>
      <c r="F4545" s="21" t="s">
        <v>2572</v>
      </c>
      <c r="G4545" s="23">
        <v>46273</v>
      </c>
    </row>
    <row r="4546" spans="1:7" ht="36.5" x14ac:dyDescent="0.35">
      <c r="A4546" s="8">
        <v>13268</v>
      </c>
      <c r="B4546" s="10" t="s">
        <v>7101</v>
      </c>
      <c r="C4546" s="10" t="s">
        <v>193</v>
      </c>
      <c r="D4546" s="9" t="s">
        <v>250</v>
      </c>
      <c r="E4546" s="9" t="str">
        <f>_xlfn.TEXTAFTER(Condiciones_acumuladas[[#This Row],[Descripción]], " ", -2)</f>
        <v>Edson Bonifacio</v>
      </c>
      <c r="F4546" s="21" t="s">
        <v>2522</v>
      </c>
      <c r="G4546" s="23">
        <v>46280</v>
      </c>
    </row>
    <row r="4547" spans="1:7" ht="24.5" x14ac:dyDescent="0.35">
      <c r="A4547" s="8">
        <v>13290</v>
      </c>
      <c r="B4547" s="10" t="s">
        <v>7102</v>
      </c>
      <c r="C4547" s="10" t="s">
        <v>21</v>
      </c>
      <c r="D4547" s="9" t="s">
        <v>250</v>
      </c>
      <c r="E4547" s="9" t="str">
        <f>_xlfn.TEXTAFTER(Condiciones_acumuladas[[#This Row],[Descripción]], " ", -2)</f>
        <v>Edson Bonifacio</v>
      </c>
      <c r="F4547" s="21" t="s">
        <v>2522</v>
      </c>
      <c r="G4547" s="23">
        <v>46282</v>
      </c>
    </row>
    <row r="4548" spans="1:7" ht="24.5" x14ac:dyDescent="0.35">
      <c r="A4548" s="8">
        <v>13289</v>
      </c>
      <c r="B4548" s="10" t="s">
        <v>7103</v>
      </c>
      <c r="C4548" s="10" t="s">
        <v>13</v>
      </c>
      <c r="D4548" s="9" t="s">
        <v>250</v>
      </c>
      <c r="E4548" s="9" t="str">
        <f>_xlfn.TEXTAFTER(Condiciones_acumuladas[[#This Row],[Descripción]], " ", -2)</f>
        <v>Edson Bonifacio</v>
      </c>
      <c r="F4548" s="21" t="s">
        <v>2522</v>
      </c>
      <c r="G4548" s="23">
        <v>46282</v>
      </c>
    </row>
    <row r="4549" spans="1:7" ht="36.5" x14ac:dyDescent="0.35">
      <c r="A4549" s="8">
        <v>13316</v>
      </c>
      <c r="B4549" s="10" t="s">
        <v>7104</v>
      </c>
      <c r="C4549" s="10" t="s">
        <v>395</v>
      </c>
      <c r="D4549" s="9" t="s">
        <v>250</v>
      </c>
      <c r="E4549" s="9" t="str">
        <f>_xlfn.TEXTAFTER(Condiciones_acumuladas[[#This Row],[Descripción]], " ", -2)</f>
        <v>Edson Bonifacio</v>
      </c>
      <c r="F4549" s="21" t="s">
        <v>2715</v>
      </c>
      <c r="G4549" s="23">
        <v>46279</v>
      </c>
    </row>
    <row r="4550" spans="1:7" ht="24.5" x14ac:dyDescent="0.35">
      <c r="A4550" s="8">
        <v>13370</v>
      </c>
      <c r="B4550" s="10" t="s">
        <v>7105</v>
      </c>
      <c r="C4550" s="10" t="s">
        <v>34</v>
      </c>
      <c r="D4550" s="9" t="s">
        <v>250</v>
      </c>
      <c r="E4550" s="9" t="str">
        <f>_xlfn.TEXTAFTER(Condiciones_acumuladas[[#This Row],[Descripción]], " ", -2)</f>
        <v>Edson Bonifacio</v>
      </c>
      <c r="F4550" s="21" t="s">
        <v>2522</v>
      </c>
      <c r="G4550" s="23">
        <v>46290</v>
      </c>
    </row>
    <row r="4551" spans="1:7" ht="24.5" x14ac:dyDescent="0.35">
      <c r="A4551" s="8">
        <v>13414</v>
      </c>
      <c r="B4551" s="10" t="s">
        <v>7106</v>
      </c>
      <c r="C4551" s="10" t="s">
        <v>104</v>
      </c>
      <c r="D4551" s="9" t="s">
        <v>250</v>
      </c>
      <c r="E4551" s="9" t="str">
        <f>_xlfn.TEXTAFTER(Condiciones_acumuladas[[#This Row],[Descripción]], " ", -2)</f>
        <v>Edson Bonifacio</v>
      </c>
      <c r="F4551" s="21" t="s">
        <v>2522</v>
      </c>
      <c r="G4551" s="23">
        <v>46293</v>
      </c>
    </row>
    <row r="4552" spans="1:7" ht="24.5" x14ac:dyDescent="0.35">
      <c r="A4552" s="8">
        <v>13413</v>
      </c>
      <c r="B4552" s="10" t="s">
        <v>7107</v>
      </c>
      <c r="C4552" s="10" t="s">
        <v>104</v>
      </c>
      <c r="D4552" s="9" t="s">
        <v>250</v>
      </c>
      <c r="E4552" s="9" t="str">
        <f>_xlfn.TEXTAFTER(Condiciones_acumuladas[[#This Row],[Descripción]], " ", -2)</f>
        <v>Edson Bonifacio</v>
      </c>
      <c r="F4552" s="21" t="s">
        <v>2522</v>
      </c>
      <c r="G4552" s="23">
        <v>46293</v>
      </c>
    </row>
    <row r="4553" spans="1:7" ht="24.5" x14ac:dyDescent="0.35">
      <c r="A4553" s="8">
        <v>13412</v>
      </c>
      <c r="B4553" s="10" t="s">
        <v>7108</v>
      </c>
      <c r="C4553" s="10" t="s">
        <v>104</v>
      </c>
      <c r="D4553" s="9" t="s">
        <v>250</v>
      </c>
      <c r="E4553" s="9" t="str">
        <f>_xlfn.TEXTAFTER(Condiciones_acumuladas[[#This Row],[Descripción]], " ", -2)</f>
        <v>Edson Bonifacio</v>
      </c>
      <c r="F4553" s="21" t="s">
        <v>2522</v>
      </c>
      <c r="G4553" s="23">
        <v>46293</v>
      </c>
    </row>
    <row r="4554" spans="1:7" ht="36.5" x14ac:dyDescent="0.35">
      <c r="A4554" s="8">
        <v>13156</v>
      </c>
      <c r="B4554" s="10" t="s">
        <v>7109</v>
      </c>
      <c r="C4554" s="10" t="s">
        <v>234</v>
      </c>
      <c r="D4554" s="9" t="s">
        <v>250</v>
      </c>
      <c r="E4554" s="9" t="str">
        <f>_xlfn.TEXTAFTER(Condiciones_acumuladas[[#This Row],[Descripción]], " ", -2)</f>
        <v>Eliu Tello</v>
      </c>
      <c r="F4554" s="21" t="s">
        <v>2540</v>
      </c>
      <c r="G4554" s="23">
        <v>46268</v>
      </c>
    </row>
    <row r="4555" spans="1:7" ht="24.5" x14ac:dyDescent="0.35">
      <c r="A4555" s="8">
        <v>13234</v>
      </c>
      <c r="B4555" s="10" t="s">
        <v>7110</v>
      </c>
      <c r="C4555" s="10" t="s">
        <v>190</v>
      </c>
      <c r="D4555" s="9" t="s">
        <v>190</v>
      </c>
      <c r="E4555" s="9" t="str">
        <f>_xlfn.TEXTAFTER(Condiciones_acumuladas[[#This Row],[Descripción]], " ", -2)</f>
        <v>Eliu Tello</v>
      </c>
      <c r="F4555" s="21" t="s">
        <v>2540</v>
      </c>
      <c r="G4555" s="23">
        <v>46274</v>
      </c>
    </row>
    <row r="4556" spans="1:7" ht="36.5" x14ac:dyDescent="0.35">
      <c r="A4556" s="8">
        <v>13226</v>
      </c>
      <c r="B4556" s="10" t="s">
        <v>7111</v>
      </c>
      <c r="C4556" s="10" t="s">
        <v>395</v>
      </c>
      <c r="D4556" s="9" t="s">
        <v>250</v>
      </c>
      <c r="E4556" s="9" t="str">
        <f>_xlfn.TEXTAFTER(Condiciones_acumuladas[[#This Row],[Descripción]], " ", -2)</f>
        <v>Eliu Tello</v>
      </c>
      <c r="F4556" s="21" t="s">
        <v>2525</v>
      </c>
      <c r="G4556" s="23">
        <v>46273</v>
      </c>
    </row>
    <row r="4557" spans="1:7" ht="48.5" x14ac:dyDescent="0.35">
      <c r="A4557" s="8">
        <v>13287</v>
      </c>
      <c r="B4557" s="10" t="s">
        <v>7112</v>
      </c>
      <c r="C4557" s="10" t="s">
        <v>190</v>
      </c>
      <c r="D4557" s="9" t="s">
        <v>21</v>
      </c>
      <c r="E4557" s="9" t="str">
        <f>_xlfn.TEXTAFTER(Condiciones_acumuladas[[#This Row],[Descripción]], " ", -2)</f>
        <v>Eliu Tello</v>
      </c>
      <c r="F4557" s="21" t="s">
        <v>2559</v>
      </c>
      <c r="G4557" s="23">
        <v>46281</v>
      </c>
    </row>
    <row r="4558" spans="1:7" ht="24.5" x14ac:dyDescent="0.35">
      <c r="A4558" s="8">
        <v>13427</v>
      </c>
      <c r="B4558" s="10" t="s">
        <v>7113</v>
      </c>
      <c r="C4558" s="10" t="s">
        <v>250</v>
      </c>
      <c r="D4558" s="9" t="s">
        <v>190</v>
      </c>
      <c r="E4558" s="9" t="str">
        <f>_xlfn.TEXTAFTER(Condiciones_acumuladas[[#This Row],[Descripción]], " ", -2)</f>
        <v>Elvis Oliva</v>
      </c>
      <c r="F4558" s="21" t="s">
        <v>2522</v>
      </c>
      <c r="G4558" s="23">
        <v>46294</v>
      </c>
    </row>
    <row r="4559" spans="1:7" ht="24.5" x14ac:dyDescent="0.35">
      <c r="A4559" s="8">
        <v>13426</v>
      </c>
      <c r="B4559" s="10" t="s">
        <v>7114</v>
      </c>
      <c r="C4559" s="10" t="s">
        <v>190</v>
      </c>
      <c r="D4559" s="9" t="s">
        <v>190</v>
      </c>
      <c r="E4559" s="9" t="str">
        <f>_xlfn.TEXTAFTER(Condiciones_acumuladas[[#This Row],[Descripción]], " ", -2)</f>
        <v>Elvis Oliva</v>
      </c>
      <c r="F4559" s="21" t="s">
        <v>2522</v>
      </c>
      <c r="G4559" s="23">
        <v>46294</v>
      </c>
    </row>
    <row r="4560" spans="1:7" ht="36.5" x14ac:dyDescent="0.35">
      <c r="A4560" s="8">
        <v>13146</v>
      </c>
      <c r="B4560" s="10" t="s">
        <v>7115</v>
      </c>
      <c r="C4560" s="10" t="s">
        <v>193</v>
      </c>
      <c r="D4560" s="9" t="s">
        <v>96</v>
      </c>
      <c r="E4560" s="9" t="str">
        <f>_xlfn.TEXTAFTER(Condiciones_acumuladas[[#This Row],[Descripción]], " ", -2)</f>
        <v>Emmanuel Soliz</v>
      </c>
      <c r="F4560" s="21" t="s">
        <v>2522</v>
      </c>
      <c r="G4560" s="23">
        <v>46267</v>
      </c>
    </row>
    <row r="4561" spans="1:7" ht="24.5" x14ac:dyDescent="0.35">
      <c r="A4561" s="8">
        <v>13335</v>
      </c>
      <c r="B4561" s="10" t="s">
        <v>7116</v>
      </c>
      <c r="C4561" s="10" t="s">
        <v>250</v>
      </c>
      <c r="D4561" s="9" t="s">
        <v>196</v>
      </c>
      <c r="E4561" s="9" t="str">
        <f>_xlfn.TEXTAFTER(Condiciones_acumuladas[[#This Row],[Descripción]], " ", -2)</f>
        <v>Emmanuel Soliz</v>
      </c>
      <c r="F4561" s="21" t="s">
        <v>2540</v>
      </c>
      <c r="G4561" s="23">
        <v>46288</v>
      </c>
    </row>
    <row r="4562" spans="1:7" ht="36.5" x14ac:dyDescent="0.35">
      <c r="A4562" s="8">
        <v>13219</v>
      </c>
      <c r="B4562" s="10" t="s">
        <v>7117</v>
      </c>
      <c r="C4562" s="10" t="s">
        <v>104</v>
      </c>
      <c r="D4562" s="9" t="s">
        <v>196</v>
      </c>
      <c r="E4562" s="9" t="str">
        <f>_xlfn.TEXTAFTER(Condiciones_acumuladas[[#This Row],[Descripción]], " ", -2)</f>
        <v>Esdras Orozco</v>
      </c>
      <c r="F4562" s="21" t="s">
        <v>2516</v>
      </c>
      <c r="G4562" s="23">
        <v>46276</v>
      </c>
    </row>
    <row r="4563" spans="1:7" ht="36.5" x14ac:dyDescent="0.35">
      <c r="A4563" s="8">
        <v>13353</v>
      </c>
      <c r="B4563" s="10" t="s">
        <v>7118</v>
      </c>
      <c r="C4563" s="10" t="s">
        <v>371</v>
      </c>
      <c r="D4563" s="9" t="s">
        <v>278</v>
      </c>
      <c r="E4563" s="9" t="str">
        <f>_xlfn.TEXTAFTER(Condiciones_acumuladas[[#This Row],[Descripción]], " ", -2)</f>
        <v>Fredy Fuentes</v>
      </c>
      <c r="F4563" s="21" t="s">
        <v>2516</v>
      </c>
      <c r="G4563" s="23">
        <v>46288</v>
      </c>
    </row>
    <row r="4564" spans="1:7" ht="24.5" x14ac:dyDescent="0.35">
      <c r="A4564" s="8">
        <v>13351</v>
      </c>
      <c r="B4564" s="10" t="s">
        <v>7119</v>
      </c>
      <c r="C4564" s="10" t="s">
        <v>371</v>
      </c>
      <c r="D4564" s="9" t="s">
        <v>278</v>
      </c>
      <c r="E4564" s="9" t="str">
        <f>_xlfn.TEXTAFTER(Condiciones_acumuladas[[#This Row],[Descripción]], " ", -2)</f>
        <v>Fredy Fuentes</v>
      </c>
      <c r="F4564" s="21" t="s">
        <v>2522</v>
      </c>
      <c r="G4564" s="23">
        <v>46288</v>
      </c>
    </row>
    <row r="4565" spans="1:7" ht="24.5" x14ac:dyDescent="0.35">
      <c r="A4565" s="8">
        <v>13352</v>
      </c>
      <c r="B4565" s="10" t="s">
        <v>7120</v>
      </c>
      <c r="C4565" s="10" t="s">
        <v>371</v>
      </c>
      <c r="D4565" s="9" t="s">
        <v>278</v>
      </c>
      <c r="E4565" s="9" t="str">
        <f>_xlfn.TEXTAFTER(Condiciones_acumuladas[[#This Row],[Descripción]], " ", -2)</f>
        <v>Fredy Fuentes</v>
      </c>
      <c r="F4565" s="21" t="s">
        <v>2540</v>
      </c>
      <c r="G4565" s="23">
        <v>46288</v>
      </c>
    </row>
    <row r="4566" spans="1:7" ht="36.5" x14ac:dyDescent="0.35">
      <c r="A4566" s="8">
        <v>13350</v>
      </c>
      <c r="B4566" s="10" t="s">
        <v>7121</v>
      </c>
      <c r="C4566" s="10" t="s">
        <v>371</v>
      </c>
      <c r="D4566" s="9" t="s">
        <v>278</v>
      </c>
      <c r="E4566" s="9" t="str">
        <f>_xlfn.TEXTAFTER(Condiciones_acumuladas[[#This Row],[Descripción]], " ", -2)</f>
        <v>Fredy Fuentes</v>
      </c>
      <c r="F4566" s="21" t="s">
        <v>2572</v>
      </c>
      <c r="G4566" s="23">
        <v>46288</v>
      </c>
    </row>
    <row r="4567" spans="1:7" ht="24.5" x14ac:dyDescent="0.35">
      <c r="A4567" s="8">
        <v>13349</v>
      </c>
      <c r="B4567" s="10" t="s">
        <v>7122</v>
      </c>
      <c r="C4567" s="10" t="s">
        <v>371</v>
      </c>
      <c r="D4567" s="9" t="s">
        <v>278</v>
      </c>
      <c r="E4567" s="9" t="str">
        <f>_xlfn.TEXTAFTER(Condiciones_acumuladas[[#This Row],[Descripción]], " ", -2)</f>
        <v>Fredy Fuentes</v>
      </c>
      <c r="F4567" s="21" t="s">
        <v>2540</v>
      </c>
      <c r="G4567" s="23">
        <v>46288</v>
      </c>
    </row>
    <row r="4568" spans="1:7" ht="36.5" x14ac:dyDescent="0.35">
      <c r="A4568" s="8">
        <v>13348</v>
      </c>
      <c r="B4568" s="10" t="s">
        <v>7123</v>
      </c>
      <c r="C4568" s="10" t="s">
        <v>371</v>
      </c>
      <c r="D4568" s="9" t="s">
        <v>278</v>
      </c>
      <c r="E4568" s="9" t="str">
        <f>_xlfn.TEXTAFTER(Condiciones_acumuladas[[#This Row],[Descripción]], " ", -2)</f>
        <v>Fredy Fuentes</v>
      </c>
      <c r="F4568" s="21" t="s">
        <v>2572</v>
      </c>
      <c r="G4568" s="23">
        <v>46288</v>
      </c>
    </row>
    <row r="4569" spans="1:7" ht="36.5" x14ac:dyDescent="0.35">
      <c r="A4569" s="8">
        <v>13449</v>
      </c>
      <c r="B4569" s="10" t="s">
        <v>7124</v>
      </c>
      <c r="C4569" s="10" t="s">
        <v>134</v>
      </c>
      <c r="D4569" s="9" t="s">
        <v>278</v>
      </c>
      <c r="E4569" s="9" t="str">
        <f>_xlfn.TEXTAFTER(Condiciones_acumuladas[[#This Row],[Descripción]], " ", -2)</f>
        <v>Fredy Fuentes</v>
      </c>
      <c r="F4569" s="21" t="s">
        <v>2530</v>
      </c>
      <c r="G4569" s="23">
        <v>46295</v>
      </c>
    </row>
    <row r="4570" spans="1:7" ht="24.5" x14ac:dyDescent="0.35">
      <c r="A4570" s="8">
        <v>13450</v>
      </c>
      <c r="B4570" s="10" t="s">
        <v>7125</v>
      </c>
      <c r="C4570" s="10" t="s">
        <v>134</v>
      </c>
      <c r="D4570" s="9" t="s">
        <v>278</v>
      </c>
      <c r="E4570" s="9" t="str">
        <f>_xlfn.TEXTAFTER(Condiciones_acumuladas[[#This Row],[Descripción]], " ", -2)</f>
        <v>Fredy Fuentes</v>
      </c>
      <c r="F4570" s="21" t="s">
        <v>2522</v>
      </c>
      <c r="G4570" s="23">
        <v>46295</v>
      </c>
    </row>
    <row r="4571" spans="1:7" ht="36.5" x14ac:dyDescent="0.35">
      <c r="A4571" s="8">
        <v>13263</v>
      </c>
      <c r="B4571" s="10" t="s">
        <v>7126</v>
      </c>
      <c r="C4571" s="10" t="s">
        <v>234</v>
      </c>
      <c r="D4571" s="9" t="s">
        <v>395</v>
      </c>
      <c r="E4571" s="9" t="str">
        <f>_xlfn.TEXTAFTER(Condiciones_acumuladas[[#This Row],[Descripción]], " ", -2)</f>
        <v>German Orozco</v>
      </c>
      <c r="F4571" s="21" t="s">
        <v>2525</v>
      </c>
      <c r="G4571" s="23">
        <v>46279</v>
      </c>
    </row>
    <row r="4572" spans="1:7" ht="36.5" x14ac:dyDescent="0.35">
      <c r="A4572" s="8">
        <v>13137</v>
      </c>
      <c r="B4572" s="10" t="s">
        <v>7127</v>
      </c>
      <c r="C4572" s="10" t="s">
        <v>26</v>
      </c>
      <c r="D4572" s="9" t="s">
        <v>95</v>
      </c>
      <c r="E4572" s="9" t="str">
        <f>_xlfn.TEXTAFTER(Condiciones_acumuladas[[#This Row],[Descripción]], " ", -2)</f>
        <v>Gerson Castañeda</v>
      </c>
      <c r="F4572" s="21" t="s">
        <v>2516</v>
      </c>
      <c r="G4572" s="23">
        <v>46266</v>
      </c>
    </row>
    <row r="4573" spans="1:7" ht="24.5" x14ac:dyDescent="0.35">
      <c r="A4573" s="8">
        <v>13411</v>
      </c>
      <c r="B4573" s="10" t="s">
        <v>7128</v>
      </c>
      <c r="C4573" s="10" t="s">
        <v>95</v>
      </c>
      <c r="D4573" s="9" t="s">
        <v>220</v>
      </c>
      <c r="E4573" s="9" t="str">
        <f>_xlfn.TEXTAFTER(Condiciones_acumuladas[[#This Row],[Descripción]], " ", -2)</f>
        <v>Gerson Castañeda</v>
      </c>
      <c r="F4573" s="21" t="s">
        <v>2522</v>
      </c>
      <c r="G4573" s="23">
        <v>46293</v>
      </c>
    </row>
    <row r="4574" spans="1:7" ht="24.5" x14ac:dyDescent="0.35">
      <c r="A4574" s="8">
        <v>13373</v>
      </c>
      <c r="B4574" s="10" t="s">
        <v>7129</v>
      </c>
      <c r="C4574" s="10" t="s">
        <v>234</v>
      </c>
      <c r="D4574" s="9" t="s">
        <v>96</v>
      </c>
      <c r="E4574" s="9" t="str">
        <f>_xlfn.TEXTAFTER(Condiciones_acumuladas[[#This Row],[Descripción]], " ", -2)</f>
        <v>Isabel Saquila</v>
      </c>
      <c r="F4574" s="21" t="s">
        <v>2522</v>
      </c>
      <c r="G4574" s="23">
        <v>46290</v>
      </c>
    </row>
    <row r="4575" spans="1:7" ht="24.5" x14ac:dyDescent="0.35">
      <c r="A4575" s="8">
        <v>13435</v>
      </c>
      <c r="B4575" s="10" t="s">
        <v>7130</v>
      </c>
      <c r="C4575" s="10" t="s">
        <v>96</v>
      </c>
      <c r="D4575" s="9" t="s">
        <v>96</v>
      </c>
      <c r="E4575" s="9" t="str">
        <f>_xlfn.TEXTAFTER(Condiciones_acumuladas[[#This Row],[Descripción]], " ", -2)</f>
        <v>Isabel Saquila</v>
      </c>
      <c r="F4575" s="21" t="s">
        <v>2537</v>
      </c>
      <c r="G4575" s="23">
        <v>46295</v>
      </c>
    </row>
    <row r="4576" spans="1:7" ht="24.5" x14ac:dyDescent="0.35">
      <c r="A4576" s="8">
        <v>13177</v>
      </c>
      <c r="B4576" s="10" t="s">
        <v>7131</v>
      </c>
      <c r="C4576" s="10" t="s">
        <v>196</v>
      </c>
      <c r="D4576" s="9" t="s">
        <v>196</v>
      </c>
      <c r="E4576" s="9" t="str">
        <f>_xlfn.TEXTAFTER(Condiciones_acumuladas[[#This Row],[Descripción]], " ", -2)</f>
        <v>Jaime Chex</v>
      </c>
      <c r="F4576" s="21" t="s">
        <v>2537</v>
      </c>
      <c r="G4576" s="23">
        <v>46269</v>
      </c>
    </row>
    <row r="4577" spans="1:7" ht="36.5" x14ac:dyDescent="0.35">
      <c r="A4577" s="8">
        <v>13343</v>
      </c>
      <c r="B4577" s="10" t="s">
        <v>7132</v>
      </c>
      <c r="C4577" s="10" t="s">
        <v>13</v>
      </c>
      <c r="D4577" s="9" t="s">
        <v>196</v>
      </c>
      <c r="E4577" s="9" t="str">
        <f>_xlfn.TEXTAFTER(Condiciones_acumuladas[[#This Row],[Descripción]], " ", -2)</f>
        <v>Jaime Chex</v>
      </c>
      <c r="F4577" s="21" t="s">
        <v>2530</v>
      </c>
      <c r="G4577" s="23">
        <v>46288</v>
      </c>
    </row>
    <row r="4578" spans="1:7" ht="24.5" x14ac:dyDescent="0.35">
      <c r="A4578" s="8">
        <v>13342</v>
      </c>
      <c r="B4578" s="10" t="s">
        <v>7133</v>
      </c>
      <c r="C4578" s="10" t="s">
        <v>13</v>
      </c>
      <c r="D4578" s="9" t="s">
        <v>196</v>
      </c>
      <c r="E4578" s="9" t="str">
        <f>_xlfn.TEXTAFTER(Condiciones_acumuladas[[#This Row],[Descripción]], " ", -2)</f>
        <v>Jaime Chex</v>
      </c>
      <c r="F4578" s="21" t="s">
        <v>2540</v>
      </c>
      <c r="G4578" s="23">
        <v>46288</v>
      </c>
    </row>
    <row r="4579" spans="1:7" ht="24.5" x14ac:dyDescent="0.35">
      <c r="A4579" s="8">
        <v>13337</v>
      </c>
      <c r="B4579" s="10" t="s">
        <v>7134</v>
      </c>
      <c r="C4579" s="10" t="s">
        <v>13</v>
      </c>
      <c r="D4579" s="9" t="s">
        <v>196</v>
      </c>
      <c r="E4579" s="9" t="str">
        <f>_xlfn.TEXTAFTER(Condiciones_acumuladas[[#This Row],[Descripción]], " ", -2)</f>
        <v>Jaime Chex</v>
      </c>
      <c r="F4579" s="21" t="s">
        <v>2522</v>
      </c>
      <c r="G4579" s="23">
        <v>46288</v>
      </c>
    </row>
    <row r="4580" spans="1:7" ht="24.5" x14ac:dyDescent="0.35">
      <c r="A4580" s="8">
        <v>13332</v>
      </c>
      <c r="B4580" s="10" t="s">
        <v>7135</v>
      </c>
      <c r="C4580" s="10" t="s">
        <v>21</v>
      </c>
      <c r="D4580" s="9" t="s">
        <v>196</v>
      </c>
      <c r="E4580" s="9" t="str">
        <f>_xlfn.TEXTAFTER(Condiciones_acumuladas[[#This Row],[Descripción]], " ", -2)</f>
        <v>Jaime Chex</v>
      </c>
      <c r="F4580" s="21" t="s">
        <v>2522</v>
      </c>
      <c r="G4580" s="23">
        <v>46288</v>
      </c>
    </row>
    <row r="4581" spans="1:7" ht="36.5" x14ac:dyDescent="0.35">
      <c r="A4581" s="8">
        <v>13143</v>
      </c>
      <c r="B4581" s="10" t="s">
        <v>7136</v>
      </c>
      <c r="C4581" s="10" t="s">
        <v>371</v>
      </c>
      <c r="D4581" s="9" t="s">
        <v>395</v>
      </c>
      <c r="E4581" s="9" t="str">
        <f>_xlfn.TEXTAFTER(Condiciones_acumuladas[[#This Row],[Descripción]], " ", -2)</f>
        <v>Jaime Chilel</v>
      </c>
      <c r="F4581" s="21" t="s">
        <v>2516</v>
      </c>
      <c r="G4581" s="23">
        <v>46267</v>
      </c>
    </row>
    <row r="4582" spans="1:7" ht="24.5" x14ac:dyDescent="0.35">
      <c r="A4582" s="8">
        <v>13230</v>
      </c>
      <c r="B4582" s="10" t="s">
        <v>7137</v>
      </c>
      <c r="C4582" s="10" t="s">
        <v>26</v>
      </c>
      <c r="D4582" s="9" t="s">
        <v>395</v>
      </c>
      <c r="E4582" s="9" t="str">
        <f>_xlfn.TEXTAFTER(Condiciones_acumuladas[[#This Row],[Descripción]], " ", -2)</f>
        <v>Jaime Chilel</v>
      </c>
      <c r="F4582" s="21" t="s">
        <v>2522</v>
      </c>
      <c r="G4582" s="23">
        <v>46274</v>
      </c>
    </row>
    <row r="4583" spans="1:7" ht="24.5" x14ac:dyDescent="0.35">
      <c r="A4583" s="8">
        <v>13282</v>
      </c>
      <c r="B4583" s="10" t="s">
        <v>7138</v>
      </c>
      <c r="C4583" s="10" t="s">
        <v>227</v>
      </c>
      <c r="D4583" s="9" t="s">
        <v>395</v>
      </c>
      <c r="E4583" s="9" t="str">
        <f>_xlfn.TEXTAFTER(Condiciones_acumuladas[[#This Row],[Descripción]], " ", -2)</f>
        <v>Jaime Chilel</v>
      </c>
      <c r="F4583" s="21" t="s">
        <v>2522</v>
      </c>
      <c r="G4583" s="23">
        <v>46281</v>
      </c>
    </row>
    <row r="4584" spans="1:7" ht="24.5" x14ac:dyDescent="0.35">
      <c r="A4584" s="8">
        <v>13279</v>
      </c>
      <c r="B4584" s="10" t="s">
        <v>7139</v>
      </c>
      <c r="C4584" s="10" t="s">
        <v>227</v>
      </c>
      <c r="D4584" s="9" t="s">
        <v>395</v>
      </c>
      <c r="E4584" s="9" t="str">
        <f>_xlfn.TEXTAFTER(Condiciones_acumuladas[[#This Row],[Descripción]], " ", -2)</f>
        <v>Jaime Chilel</v>
      </c>
      <c r="F4584" s="21" t="s">
        <v>2522</v>
      </c>
      <c r="G4584" s="23">
        <v>46281</v>
      </c>
    </row>
    <row r="4585" spans="1:7" ht="36.5" x14ac:dyDescent="0.35">
      <c r="A4585" s="8">
        <v>13277</v>
      </c>
      <c r="B4585" s="10" t="s">
        <v>7140</v>
      </c>
      <c r="C4585" s="10" t="s">
        <v>227</v>
      </c>
      <c r="D4585" s="9" t="s">
        <v>395</v>
      </c>
      <c r="E4585" s="9" t="str">
        <f>_xlfn.TEXTAFTER(Condiciones_acumuladas[[#This Row],[Descripción]], " ", -2)</f>
        <v>Jaime Chilel</v>
      </c>
      <c r="F4585" s="21" t="s">
        <v>2572</v>
      </c>
      <c r="G4585" s="23">
        <v>46281</v>
      </c>
    </row>
    <row r="4586" spans="1:7" ht="48.5" x14ac:dyDescent="0.35">
      <c r="A4586" s="8">
        <v>13270</v>
      </c>
      <c r="B4586" s="10" t="s">
        <v>7141</v>
      </c>
      <c r="C4586" s="10" t="s">
        <v>250</v>
      </c>
      <c r="D4586" s="9" t="s">
        <v>395</v>
      </c>
      <c r="E4586" s="9" t="str">
        <f>_xlfn.TEXTAFTER(Condiciones_acumuladas[[#This Row],[Descripción]], " ", -2)</f>
        <v>Jaime Chilel</v>
      </c>
      <c r="F4586" s="21" t="s">
        <v>2525</v>
      </c>
      <c r="G4586" s="23">
        <v>46281</v>
      </c>
    </row>
    <row r="4587" spans="1:7" ht="24.5" x14ac:dyDescent="0.35">
      <c r="A4587" s="8">
        <v>13367</v>
      </c>
      <c r="B4587" s="10" t="s">
        <v>7142</v>
      </c>
      <c r="C4587" s="10" t="s">
        <v>96</v>
      </c>
      <c r="D4587" s="9" t="s">
        <v>395</v>
      </c>
      <c r="E4587" s="9" t="str">
        <f>_xlfn.TEXTAFTER(Condiciones_acumuladas[[#This Row],[Descripción]], " ", -2)</f>
        <v>Jaime Chilel</v>
      </c>
      <c r="F4587" s="21" t="s">
        <v>2540</v>
      </c>
      <c r="G4587" s="23">
        <v>46289</v>
      </c>
    </row>
    <row r="4588" spans="1:7" ht="24.5" x14ac:dyDescent="0.35">
      <c r="A4588" s="8">
        <v>13416</v>
      </c>
      <c r="B4588" s="10" t="s">
        <v>7143</v>
      </c>
      <c r="C4588" s="10" t="s">
        <v>21</v>
      </c>
      <c r="D4588" s="9" t="s">
        <v>371</v>
      </c>
      <c r="E4588" s="9" t="str">
        <f>_xlfn.TEXTAFTER(Condiciones_acumuladas[[#This Row],[Descripción]], " ", -2)</f>
        <v>Jessica Loarca</v>
      </c>
      <c r="F4588" s="21" t="s">
        <v>2522</v>
      </c>
      <c r="G4588" s="23">
        <v>46293</v>
      </c>
    </row>
    <row r="4589" spans="1:7" ht="24.5" x14ac:dyDescent="0.35">
      <c r="A4589" s="8">
        <v>13229</v>
      </c>
      <c r="B4589" s="10" t="s">
        <v>7144</v>
      </c>
      <c r="C4589" s="10" t="s">
        <v>96</v>
      </c>
      <c r="D4589" s="9" t="s">
        <v>96</v>
      </c>
      <c r="E4589" s="9" t="str">
        <f>_xlfn.TEXTAFTER(Condiciones_acumuladas[[#This Row],[Descripción]], " ", -2)</f>
        <v>Jimmy Velásquez</v>
      </c>
      <c r="F4589" s="21" t="s">
        <v>2540</v>
      </c>
      <c r="G4589" s="23">
        <v>46274</v>
      </c>
    </row>
    <row r="4590" spans="1:7" ht="48.5" x14ac:dyDescent="0.35">
      <c r="A4590" s="8">
        <v>13232</v>
      </c>
      <c r="B4590" s="10" t="s">
        <v>7145</v>
      </c>
      <c r="C4590" s="10" t="s">
        <v>96</v>
      </c>
      <c r="D4590" s="9" t="s">
        <v>96</v>
      </c>
      <c r="E4590" s="9" t="str">
        <f>_xlfn.TEXTAFTER(Condiciones_acumuladas[[#This Row],[Descripción]], " ", -2)</f>
        <v>Jimmy Velásquez</v>
      </c>
      <c r="F4590" s="21" t="s">
        <v>2559</v>
      </c>
      <c r="G4590" s="23">
        <v>46274</v>
      </c>
    </row>
    <row r="4591" spans="1:7" ht="24.5" x14ac:dyDescent="0.35">
      <c r="A4591" s="8">
        <v>13273</v>
      </c>
      <c r="B4591" s="10" t="s">
        <v>7146</v>
      </c>
      <c r="C4591" s="10" t="s">
        <v>96</v>
      </c>
      <c r="D4591" s="9" t="s">
        <v>96</v>
      </c>
      <c r="E4591" s="9" t="str">
        <f>_xlfn.TEXTAFTER(Condiciones_acumuladas[[#This Row],[Descripción]], " ", -2)</f>
        <v>Jimmy Velásquez</v>
      </c>
      <c r="F4591" s="21" t="s">
        <v>2537</v>
      </c>
      <c r="G4591" s="23">
        <v>46281</v>
      </c>
    </row>
    <row r="4592" spans="1:7" ht="36.5" x14ac:dyDescent="0.35">
      <c r="A4592" s="8">
        <v>13429</v>
      </c>
      <c r="B4592" s="10" t="s">
        <v>7147</v>
      </c>
      <c r="C4592" s="10" t="s">
        <v>96</v>
      </c>
      <c r="D4592" s="9" t="s">
        <v>96</v>
      </c>
      <c r="E4592" s="9" t="str">
        <f>_xlfn.TEXTAFTER(Condiciones_acumuladas[[#This Row],[Descripción]], " ", -2)</f>
        <v>Jimmy Velásquez</v>
      </c>
      <c r="F4592" s="21" t="s">
        <v>2516</v>
      </c>
      <c r="G4592" s="23">
        <v>46294</v>
      </c>
    </row>
    <row r="4593" spans="1:7" ht="36.5" x14ac:dyDescent="0.35">
      <c r="A4593" s="8">
        <v>13428</v>
      </c>
      <c r="B4593" s="10" t="s">
        <v>7148</v>
      </c>
      <c r="C4593" s="10" t="s">
        <v>96</v>
      </c>
      <c r="D4593" s="9" t="s">
        <v>96</v>
      </c>
      <c r="E4593" s="9" t="str">
        <f>_xlfn.TEXTAFTER(Condiciones_acumuladas[[#This Row],[Descripción]], " ", -2)</f>
        <v>Jimmy Velásquez</v>
      </c>
      <c r="F4593" s="21" t="s">
        <v>2516</v>
      </c>
      <c r="G4593" s="23">
        <v>46294</v>
      </c>
    </row>
    <row r="4594" spans="1:7" ht="24.5" x14ac:dyDescent="0.35">
      <c r="A4594" s="8">
        <v>13172</v>
      </c>
      <c r="B4594" s="10" t="s">
        <v>7149</v>
      </c>
      <c r="C4594" s="10" t="s">
        <v>371</v>
      </c>
      <c r="D4594" s="9" t="s">
        <v>371</v>
      </c>
      <c r="E4594" s="9" t="str">
        <f>_xlfn.TEXTAFTER(Condiciones_acumuladas[[#This Row],[Descripción]], " ", -2)</f>
        <v>Josué Lepe</v>
      </c>
      <c r="F4594" s="21" t="s">
        <v>2522</v>
      </c>
      <c r="G4594" s="23">
        <v>46269</v>
      </c>
    </row>
    <row r="4595" spans="1:7" ht="24.5" x14ac:dyDescent="0.35">
      <c r="A4595" s="8">
        <v>13173</v>
      </c>
      <c r="B4595" s="10" t="s">
        <v>7150</v>
      </c>
      <c r="C4595" s="10" t="s">
        <v>371</v>
      </c>
      <c r="D4595" s="9" t="s">
        <v>371</v>
      </c>
      <c r="E4595" s="9" t="str">
        <f>_xlfn.TEXTAFTER(Condiciones_acumuladas[[#This Row],[Descripción]], " ", -2)</f>
        <v>Josué Lepe</v>
      </c>
      <c r="F4595" s="21" t="s">
        <v>2522</v>
      </c>
      <c r="G4595" s="23">
        <v>46269</v>
      </c>
    </row>
    <row r="4596" spans="1:7" ht="24.5" x14ac:dyDescent="0.35">
      <c r="A4596" s="8">
        <v>13174</v>
      </c>
      <c r="B4596" s="10" t="s">
        <v>7151</v>
      </c>
      <c r="C4596" s="10" t="s">
        <v>371</v>
      </c>
      <c r="D4596" s="9" t="s">
        <v>371</v>
      </c>
      <c r="E4596" s="9" t="str">
        <f>_xlfn.TEXTAFTER(Condiciones_acumuladas[[#This Row],[Descripción]], " ", -2)</f>
        <v>Josué Lepe</v>
      </c>
      <c r="F4596" s="21" t="s">
        <v>2522</v>
      </c>
      <c r="G4596" s="23">
        <v>46269</v>
      </c>
    </row>
    <row r="4597" spans="1:7" ht="24.5" x14ac:dyDescent="0.35">
      <c r="A4597" s="8">
        <v>13175</v>
      </c>
      <c r="B4597" s="10" t="s">
        <v>7152</v>
      </c>
      <c r="C4597" s="10" t="s">
        <v>371</v>
      </c>
      <c r="D4597" s="9" t="s">
        <v>371</v>
      </c>
      <c r="E4597" s="9" t="str">
        <f>_xlfn.TEXTAFTER(Condiciones_acumuladas[[#This Row],[Descripción]], " ", -2)</f>
        <v>Josué Lepe</v>
      </c>
      <c r="F4597" s="21" t="s">
        <v>2522</v>
      </c>
      <c r="G4597" s="23">
        <v>46269</v>
      </c>
    </row>
    <row r="4598" spans="1:7" ht="24.5" x14ac:dyDescent="0.35">
      <c r="A4598" s="8">
        <v>13176</v>
      </c>
      <c r="B4598" s="10" t="s">
        <v>7153</v>
      </c>
      <c r="C4598" s="10" t="s">
        <v>371</v>
      </c>
      <c r="D4598" s="9" t="s">
        <v>371</v>
      </c>
      <c r="E4598" s="9" t="str">
        <f>_xlfn.TEXTAFTER(Condiciones_acumuladas[[#This Row],[Descripción]], " ", -2)</f>
        <v>Josué Lepe</v>
      </c>
      <c r="F4598" s="21" t="s">
        <v>2522</v>
      </c>
      <c r="G4598" s="23">
        <v>46269</v>
      </c>
    </row>
    <row r="4599" spans="1:7" ht="36.5" x14ac:dyDescent="0.35">
      <c r="A4599" s="8">
        <v>13157</v>
      </c>
      <c r="B4599" s="10" t="s">
        <v>7154</v>
      </c>
      <c r="C4599" s="10" t="s">
        <v>21</v>
      </c>
      <c r="D4599" s="9" t="s">
        <v>395</v>
      </c>
      <c r="E4599" s="9" t="str">
        <f>_xlfn.TEXTAFTER(Condiciones_acumuladas[[#This Row],[Descripción]], " ", -2)</f>
        <v>Josué Vásquez</v>
      </c>
      <c r="F4599" s="21" t="s">
        <v>2525</v>
      </c>
      <c r="G4599" s="23">
        <v>46268</v>
      </c>
    </row>
    <row r="4600" spans="1:7" ht="36.5" x14ac:dyDescent="0.35">
      <c r="A4600" s="8">
        <v>13182</v>
      </c>
      <c r="B4600" s="10" t="s">
        <v>7155</v>
      </c>
      <c r="C4600" s="10" t="s">
        <v>193</v>
      </c>
      <c r="D4600" s="9" t="s">
        <v>395</v>
      </c>
      <c r="E4600" s="9" t="str">
        <f>_xlfn.TEXTAFTER(Condiciones_acumuladas[[#This Row],[Descripción]], " ", -2)</f>
        <v>Josué Vásquez</v>
      </c>
      <c r="F4600" s="21" t="s">
        <v>2516</v>
      </c>
      <c r="G4600" s="23">
        <v>46269</v>
      </c>
    </row>
    <row r="4601" spans="1:7" ht="36.5" x14ac:dyDescent="0.35">
      <c r="A4601" s="8">
        <v>13189</v>
      </c>
      <c r="B4601" s="10" t="s">
        <v>7156</v>
      </c>
      <c r="C4601" s="10" t="s">
        <v>104</v>
      </c>
      <c r="D4601" s="9" t="s">
        <v>395</v>
      </c>
      <c r="E4601" s="9" t="str">
        <f>_xlfn.TEXTAFTER(Condiciones_acumuladas[[#This Row],[Descripción]], " ", -2)</f>
        <v>Josué Vásquez</v>
      </c>
      <c r="F4601" s="21" t="s">
        <v>2525</v>
      </c>
      <c r="G4601" s="23">
        <v>46266</v>
      </c>
    </row>
    <row r="4602" spans="1:7" ht="36.5" x14ac:dyDescent="0.35">
      <c r="A4602" s="8">
        <v>13190</v>
      </c>
      <c r="B4602" s="10" t="s">
        <v>7157</v>
      </c>
      <c r="C4602" s="10" t="s">
        <v>96</v>
      </c>
      <c r="D4602" s="9" t="s">
        <v>395</v>
      </c>
      <c r="E4602" s="9" t="str">
        <f>_xlfn.TEXTAFTER(Condiciones_acumuladas[[#This Row],[Descripción]], " ", -2)</f>
        <v>Josué Vásquez</v>
      </c>
      <c r="F4602" s="21" t="s">
        <v>2522</v>
      </c>
      <c r="G4602" s="23">
        <v>46266</v>
      </c>
    </row>
    <row r="4603" spans="1:7" ht="36.5" x14ac:dyDescent="0.35">
      <c r="A4603" s="8">
        <v>13191</v>
      </c>
      <c r="B4603" s="10" t="s">
        <v>7158</v>
      </c>
      <c r="C4603" s="10" t="s">
        <v>96</v>
      </c>
      <c r="D4603" s="9" t="s">
        <v>395</v>
      </c>
      <c r="E4603" s="9" t="str">
        <f>_xlfn.TEXTAFTER(Condiciones_acumuladas[[#This Row],[Descripción]], " ", -2)</f>
        <v>Josué Vásquez</v>
      </c>
      <c r="F4603" s="21" t="s">
        <v>2522</v>
      </c>
      <c r="G4603" s="23">
        <v>46266</v>
      </c>
    </row>
    <row r="4604" spans="1:7" ht="36.5" x14ac:dyDescent="0.35">
      <c r="A4604" s="8">
        <v>13192</v>
      </c>
      <c r="B4604" s="10" t="s">
        <v>7159</v>
      </c>
      <c r="C4604" s="10" t="s">
        <v>96</v>
      </c>
      <c r="D4604" s="9" t="s">
        <v>395</v>
      </c>
      <c r="E4604" s="9" t="str">
        <f>_xlfn.TEXTAFTER(Condiciones_acumuladas[[#This Row],[Descripción]], " ", -2)</f>
        <v>Josué Vásquez</v>
      </c>
      <c r="F4604" s="21" t="s">
        <v>2525</v>
      </c>
      <c r="G4604" s="23">
        <v>46266</v>
      </c>
    </row>
    <row r="4605" spans="1:7" ht="48.5" x14ac:dyDescent="0.35">
      <c r="A4605" s="8">
        <v>13193</v>
      </c>
      <c r="B4605" s="10" t="s">
        <v>7160</v>
      </c>
      <c r="C4605" s="10" t="s">
        <v>234</v>
      </c>
      <c r="D4605" s="9" t="s">
        <v>395</v>
      </c>
      <c r="E4605" s="9" t="str">
        <f>_xlfn.TEXTAFTER(Condiciones_acumuladas[[#This Row],[Descripción]], " ", -2)</f>
        <v>Josué Vásquez</v>
      </c>
      <c r="F4605" s="21" t="s">
        <v>2525</v>
      </c>
      <c r="G4605" s="23">
        <v>46266</v>
      </c>
    </row>
    <row r="4606" spans="1:7" ht="48.5" x14ac:dyDescent="0.35">
      <c r="A4606" s="8">
        <v>13194</v>
      </c>
      <c r="B4606" s="10" t="s">
        <v>7161</v>
      </c>
      <c r="C4606" s="10" t="s">
        <v>104</v>
      </c>
      <c r="D4606" s="9" t="s">
        <v>395</v>
      </c>
      <c r="E4606" s="9" t="str">
        <f>_xlfn.TEXTAFTER(Condiciones_acumuladas[[#This Row],[Descripción]], " ", -2)</f>
        <v>Josué Vásquez</v>
      </c>
      <c r="F4606" s="21" t="s">
        <v>2525</v>
      </c>
      <c r="G4606" s="23">
        <v>46266</v>
      </c>
    </row>
    <row r="4607" spans="1:7" ht="36.5" x14ac:dyDescent="0.35">
      <c r="A4607" s="8">
        <v>13195</v>
      </c>
      <c r="B4607" s="10" t="s">
        <v>7162</v>
      </c>
      <c r="C4607" s="10" t="s">
        <v>96</v>
      </c>
      <c r="D4607" s="9" t="s">
        <v>395</v>
      </c>
      <c r="E4607" s="9" t="str">
        <f>_xlfn.TEXTAFTER(Condiciones_acumuladas[[#This Row],[Descripción]], " ", -2)</f>
        <v>Josué Vásquez</v>
      </c>
      <c r="F4607" s="21" t="s">
        <v>2530</v>
      </c>
      <c r="G4607" s="23">
        <v>46266</v>
      </c>
    </row>
    <row r="4608" spans="1:7" ht="48.5" x14ac:dyDescent="0.35">
      <c r="A4608" s="8">
        <v>13262</v>
      </c>
      <c r="B4608" s="10" t="s">
        <v>7163</v>
      </c>
      <c r="C4608" s="10" t="s">
        <v>96</v>
      </c>
      <c r="D4608" s="9" t="s">
        <v>395</v>
      </c>
      <c r="E4608" s="9" t="str">
        <f>_xlfn.TEXTAFTER(Condiciones_acumuladas[[#This Row],[Descripción]], " ", -2)</f>
        <v>Josué Vásquez</v>
      </c>
      <c r="F4608" s="21" t="s">
        <v>2559</v>
      </c>
      <c r="G4608" s="23">
        <v>46279</v>
      </c>
    </row>
    <row r="4609" spans="1:7" ht="36.5" x14ac:dyDescent="0.35">
      <c r="A4609" s="8">
        <v>13441</v>
      </c>
      <c r="B4609" s="10" t="s">
        <v>7164</v>
      </c>
      <c r="C4609" s="10" t="s">
        <v>250</v>
      </c>
      <c r="D4609" s="9" t="s">
        <v>395</v>
      </c>
      <c r="E4609" s="9" t="str">
        <f>_xlfn.TEXTAFTER(Condiciones_acumuladas[[#This Row],[Descripción]], " ", -2)</f>
        <v>Josué Vásquez</v>
      </c>
      <c r="F4609" s="21" t="s">
        <v>2715</v>
      </c>
      <c r="G4609" s="23">
        <v>46295</v>
      </c>
    </row>
    <row r="4610" spans="1:7" ht="24.5" x14ac:dyDescent="0.35">
      <c r="A4610" s="8">
        <v>13431</v>
      </c>
      <c r="B4610" s="10" t="s">
        <v>7165</v>
      </c>
      <c r="C4610" s="10" t="s">
        <v>95</v>
      </c>
      <c r="D4610" s="9" t="s">
        <v>395</v>
      </c>
      <c r="E4610" s="9" t="str">
        <f>_xlfn.TEXTAFTER(Condiciones_acumuladas[[#This Row],[Descripción]], " ", -2)</f>
        <v>Josué Vásquez</v>
      </c>
      <c r="F4610" s="21" t="s">
        <v>2537</v>
      </c>
      <c r="G4610" s="23">
        <v>46294</v>
      </c>
    </row>
    <row r="4611" spans="1:7" ht="48.5" x14ac:dyDescent="0.35">
      <c r="A4611" s="8">
        <v>13142</v>
      </c>
      <c r="B4611" s="10" t="s">
        <v>7166</v>
      </c>
      <c r="C4611" s="10" t="s">
        <v>96</v>
      </c>
      <c r="D4611" s="9" t="s">
        <v>95</v>
      </c>
      <c r="E4611" s="9" t="str">
        <f>_xlfn.TEXTAFTER(Condiciones_acumuladas[[#This Row],[Descripción]], " ", -2)</f>
        <v>Juan Hernández</v>
      </c>
      <c r="F4611" s="21" t="s">
        <v>2559</v>
      </c>
      <c r="G4611" s="23">
        <v>46267</v>
      </c>
    </row>
    <row r="4612" spans="1:7" ht="24.5" x14ac:dyDescent="0.35">
      <c r="A4612" s="8">
        <v>13188</v>
      </c>
      <c r="B4612" s="10" t="s">
        <v>7167</v>
      </c>
      <c r="C4612" s="10" t="s">
        <v>196</v>
      </c>
      <c r="D4612" s="9" t="s">
        <v>196</v>
      </c>
      <c r="E4612" s="9" t="str">
        <f>_xlfn.TEXTAFTER(Condiciones_acumuladas[[#This Row],[Descripción]], " ", -2)</f>
        <v>Kelly Calderón</v>
      </c>
      <c r="F4612" s="21" t="s">
        <v>2537</v>
      </c>
      <c r="G4612" s="23">
        <v>46272</v>
      </c>
    </row>
    <row r="4613" spans="1:7" ht="24.5" x14ac:dyDescent="0.35">
      <c r="A4613" s="8">
        <v>13265</v>
      </c>
      <c r="B4613" s="10" t="s">
        <v>7168</v>
      </c>
      <c r="C4613" s="10" t="s">
        <v>193</v>
      </c>
      <c r="D4613" s="9" t="s">
        <v>196</v>
      </c>
      <c r="E4613" s="9" t="str">
        <f>_xlfn.TEXTAFTER(Condiciones_acumuladas[[#This Row],[Descripción]], " ", -2)</f>
        <v>Kelly Calderón</v>
      </c>
      <c r="F4613" s="21" t="s">
        <v>2540</v>
      </c>
      <c r="G4613" s="23">
        <v>46279</v>
      </c>
    </row>
    <row r="4614" spans="1:7" ht="24.5" x14ac:dyDescent="0.35">
      <c r="A4614" s="8">
        <v>13327</v>
      </c>
      <c r="B4614" s="10" t="s">
        <v>7169</v>
      </c>
      <c r="C4614" s="10" t="s">
        <v>196</v>
      </c>
      <c r="D4614" s="9" t="s">
        <v>196</v>
      </c>
      <c r="E4614" s="9" t="str">
        <f>_xlfn.TEXTAFTER(Condiciones_acumuladas[[#This Row],[Descripción]], " ", -2)</f>
        <v>Kelly Calderón</v>
      </c>
      <c r="F4614" s="21" t="s">
        <v>2537</v>
      </c>
      <c r="G4614" s="23">
        <v>46286</v>
      </c>
    </row>
    <row r="4615" spans="1:7" ht="36.5" x14ac:dyDescent="0.35">
      <c r="A4615" s="8">
        <v>13405</v>
      </c>
      <c r="B4615" s="10" t="s">
        <v>7170</v>
      </c>
      <c r="C4615" s="10" t="s">
        <v>234</v>
      </c>
      <c r="D4615" s="9" t="s">
        <v>95</v>
      </c>
      <c r="E4615" s="9" t="str">
        <f>_xlfn.TEXTAFTER(Condiciones_acumuladas[[#This Row],[Descripción]], " ", -2)</f>
        <v>Leidy Camey</v>
      </c>
      <c r="F4615" s="21" t="s">
        <v>2540</v>
      </c>
      <c r="G4615" s="23">
        <v>46287</v>
      </c>
    </row>
    <row r="4616" spans="1:7" ht="48.5" x14ac:dyDescent="0.35">
      <c r="A4616" s="8">
        <v>13341</v>
      </c>
      <c r="B4616" s="10" t="s">
        <v>7171</v>
      </c>
      <c r="C4616" s="10" t="s">
        <v>96</v>
      </c>
      <c r="D4616" s="9" t="s">
        <v>205</v>
      </c>
      <c r="E4616" s="9" t="str">
        <f>_xlfn.TEXTAFTER(Condiciones_acumuladas[[#This Row],[Descripción]], " ", -2)</f>
        <v>Lissette Loarca</v>
      </c>
      <c r="F4616" s="21" t="s">
        <v>2559</v>
      </c>
      <c r="G4616" s="23">
        <v>46288</v>
      </c>
    </row>
    <row r="4617" spans="1:7" ht="36.5" x14ac:dyDescent="0.35">
      <c r="A4617" s="8">
        <v>13340</v>
      </c>
      <c r="B4617" s="10" t="s">
        <v>7172</v>
      </c>
      <c r="C4617" s="10" t="s">
        <v>96</v>
      </c>
      <c r="D4617" s="9" t="s">
        <v>205</v>
      </c>
      <c r="E4617" s="9" t="str">
        <f>_xlfn.TEXTAFTER(Condiciones_acumuladas[[#This Row],[Descripción]], " ", -2)</f>
        <v>Lissette Loarca</v>
      </c>
      <c r="F4617" s="21" t="s">
        <v>2525</v>
      </c>
      <c r="G4617" s="23">
        <v>46288</v>
      </c>
    </row>
    <row r="4618" spans="1:7" ht="36.5" x14ac:dyDescent="0.35">
      <c r="A4618" s="8">
        <v>13339</v>
      </c>
      <c r="B4618" s="10" t="s">
        <v>7173</v>
      </c>
      <c r="C4618" s="10" t="s">
        <v>96</v>
      </c>
      <c r="D4618" s="9" t="s">
        <v>205</v>
      </c>
      <c r="E4618" s="9" t="str">
        <f>_xlfn.TEXTAFTER(Condiciones_acumuladas[[#This Row],[Descripción]], " ", -2)</f>
        <v>Lissette Loarca</v>
      </c>
      <c r="F4618" s="21" t="s">
        <v>2516</v>
      </c>
      <c r="G4618" s="23">
        <v>46288</v>
      </c>
    </row>
    <row r="4619" spans="1:7" ht="48.5" x14ac:dyDescent="0.35">
      <c r="A4619" s="8">
        <v>13338</v>
      </c>
      <c r="B4619" s="10" t="s">
        <v>7174</v>
      </c>
      <c r="C4619" s="10" t="s">
        <v>96</v>
      </c>
      <c r="D4619" s="9" t="s">
        <v>205</v>
      </c>
      <c r="E4619" s="9" t="str">
        <f>_xlfn.TEXTAFTER(Condiciones_acumuladas[[#This Row],[Descripción]], " ", -2)</f>
        <v>Lissette Loarca</v>
      </c>
      <c r="F4619" s="21" t="s">
        <v>2559</v>
      </c>
      <c r="G4619" s="23">
        <v>46288</v>
      </c>
    </row>
    <row r="4620" spans="1:7" ht="36.5" x14ac:dyDescent="0.35">
      <c r="A4620" s="8">
        <v>13336</v>
      </c>
      <c r="B4620" s="10" t="s">
        <v>7175</v>
      </c>
      <c r="C4620" s="10" t="s">
        <v>96</v>
      </c>
      <c r="D4620" s="9" t="s">
        <v>205</v>
      </c>
      <c r="E4620" s="9" t="str">
        <f>_xlfn.TEXTAFTER(Condiciones_acumuladas[[#This Row],[Descripción]], " ", -2)</f>
        <v>Lissette Loarca</v>
      </c>
      <c r="F4620" s="21" t="s">
        <v>2530</v>
      </c>
      <c r="G4620" s="23">
        <v>46288</v>
      </c>
    </row>
    <row r="4621" spans="1:7" ht="48.5" x14ac:dyDescent="0.35">
      <c r="A4621" s="8">
        <v>13333</v>
      </c>
      <c r="B4621" s="10" t="s">
        <v>7176</v>
      </c>
      <c r="C4621" s="10" t="s">
        <v>96</v>
      </c>
      <c r="D4621" s="9" t="s">
        <v>205</v>
      </c>
      <c r="E4621" s="9" t="str">
        <f>_xlfn.TEXTAFTER(Condiciones_acumuladas[[#This Row],[Descripción]], " ", -2)</f>
        <v>Lissette Loarca</v>
      </c>
      <c r="F4621" s="21" t="s">
        <v>2559</v>
      </c>
      <c r="G4621" s="23">
        <v>46288</v>
      </c>
    </row>
    <row r="4622" spans="1:7" ht="24.5" x14ac:dyDescent="0.35">
      <c r="A4622" s="8">
        <v>13399</v>
      </c>
      <c r="B4622" s="10" t="s">
        <v>7177</v>
      </c>
      <c r="C4622" s="10" t="s">
        <v>134</v>
      </c>
      <c r="D4622" s="9" t="s">
        <v>95</v>
      </c>
      <c r="E4622" s="9" t="str">
        <f>_xlfn.TEXTAFTER(Condiciones_acumuladas[[#This Row],[Descripción]], " ", -2)</f>
        <v>Luis Cabrera</v>
      </c>
      <c r="F4622" s="21" t="s">
        <v>2522</v>
      </c>
      <c r="G4622" s="23">
        <v>46294</v>
      </c>
    </row>
    <row r="4623" spans="1:7" ht="36.5" x14ac:dyDescent="0.35">
      <c r="A4623" s="8">
        <v>13448</v>
      </c>
      <c r="B4623" s="10" t="s">
        <v>7178</v>
      </c>
      <c r="C4623" s="10" t="s">
        <v>193</v>
      </c>
      <c r="D4623" s="9" t="s">
        <v>95</v>
      </c>
      <c r="E4623" s="9" t="str">
        <f>_xlfn.TEXTAFTER(Condiciones_acumuladas[[#This Row],[Descripción]], " ", -2)</f>
        <v>Luis Cabrera</v>
      </c>
      <c r="F4623" s="21" t="s">
        <v>2525</v>
      </c>
      <c r="G4623" s="23">
        <v>46295</v>
      </c>
    </row>
    <row r="4624" spans="1:7" ht="24.5" x14ac:dyDescent="0.35">
      <c r="A4624" s="8">
        <v>13144</v>
      </c>
      <c r="B4624" s="10" t="s">
        <v>7179</v>
      </c>
      <c r="C4624" s="10" t="s">
        <v>96</v>
      </c>
      <c r="D4624" s="9" t="s">
        <v>96</v>
      </c>
      <c r="E4624" s="9" t="str">
        <f>_xlfn.TEXTAFTER(Condiciones_acumuladas[[#This Row],[Descripción]], " ", -2)</f>
        <v>Luis Pérez</v>
      </c>
      <c r="F4624" s="21" t="s">
        <v>2522</v>
      </c>
      <c r="G4624" s="23">
        <v>46268</v>
      </c>
    </row>
    <row r="4625" spans="1:7" ht="24.5" x14ac:dyDescent="0.35">
      <c r="A4625" s="8">
        <v>13145</v>
      </c>
      <c r="B4625" s="10" t="s">
        <v>7180</v>
      </c>
      <c r="C4625" s="10" t="s">
        <v>96</v>
      </c>
      <c r="D4625" s="9" t="s">
        <v>96</v>
      </c>
      <c r="E4625" s="9" t="str">
        <f>_xlfn.TEXTAFTER(Condiciones_acumuladas[[#This Row],[Descripción]], " ", -2)</f>
        <v>Luis Pérez</v>
      </c>
      <c r="F4625" s="21" t="s">
        <v>2522</v>
      </c>
      <c r="G4625" s="23">
        <v>46268</v>
      </c>
    </row>
    <row r="4626" spans="1:7" ht="24.5" x14ac:dyDescent="0.35">
      <c r="A4626" s="8">
        <v>13155</v>
      </c>
      <c r="B4626" s="10" t="s">
        <v>7181</v>
      </c>
      <c r="C4626" s="10" t="s">
        <v>96</v>
      </c>
      <c r="D4626" s="9" t="s">
        <v>96</v>
      </c>
      <c r="E4626" s="9" t="str">
        <f>_xlfn.TEXTAFTER(Condiciones_acumuladas[[#This Row],[Descripción]], " ", -2)</f>
        <v>Luis Pérez</v>
      </c>
      <c r="F4626" s="21" t="s">
        <v>2540</v>
      </c>
      <c r="G4626" s="23">
        <v>46268</v>
      </c>
    </row>
    <row r="4627" spans="1:7" ht="60.5" x14ac:dyDescent="0.35">
      <c r="A4627" s="8">
        <v>13184</v>
      </c>
      <c r="B4627" s="10" t="s">
        <v>7182</v>
      </c>
      <c r="C4627" s="10" t="s">
        <v>96</v>
      </c>
      <c r="D4627" s="9" t="s">
        <v>96</v>
      </c>
      <c r="E4627" s="9" t="str">
        <f>_xlfn.TEXTAFTER(Condiciones_acumuladas[[#This Row],[Descripción]], " ", -2)</f>
        <v>Luis Pérez</v>
      </c>
      <c r="F4627" s="21" t="s">
        <v>2537</v>
      </c>
      <c r="G4627" s="23">
        <v>46270</v>
      </c>
    </row>
    <row r="4628" spans="1:7" ht="36.5" x14ac:dyDescent="0.35">
      <c r="A4628" s="8">
        <v>13201</v>
      </c>
      <c r="B4628" s="10" t="s">
        <v>7180</v>
      </c>
      <c r="C4628" s="10" t="s">
        <v>96</v>
      </c>
      <c r="D4628" s="9" t="s">
        <v>96</v>
      </c>
      <c r="E4628" s="9" t="str">
        <f>_xlfn.TEXTAFTER(Condiciones_acumuladas[[#This Row],[Descripción]], " ", -2)</f>
        <v>Luis Pérez</v>
      </c>
      <c r="F4628" s="21" t="s">
        <v>2516</v>
      </c>
      <c r="G4628" s="23">
        <v>46273</v>
      </c>
    </row>
    <row r="4629" spans="1:7" ht="36.5" x14ac:dyDescent="0.35">
      <c r="A4629" s="8">
        <v>13200</v>
      </c>
      <c r="B4629" s="10" t="s">
        <v>7183</v>
      </c>
      <c r="C4629" s="10" t="s">
        <v>96</v>
      </c>
      <c r="D4629" s="9" t="s">
        <v>96</v>
      </c>
      <c r="E4629" s="9" t="str">
        <f>_xlfn.TEXTAFTER(Condiciones_acumuladas[[#This Row],[Descripción]], " ", -2)</f>
        <v>Luis Pérez</v>
      </c>
      <c r="F4629" s="21" t="s">
        <v>2516</v>
      </c>
      <c r="G4629" s="23">
        <v>46273</v>
      </c>
    </row>
    <row r="4630" spans="1:7" ht="48.5" x14ac:dyDescent="0.35">
      <c r="A4630" s="8">
        <v>13207</v>
      </c>
      <c r="B4630" s="10" t="s">
        <v>7184</v>
      </c>
      <c r="C4630" s="10" t="s">
        <v>96</v>
      </c>
      <c r="D4630" s="9" t="s">
        <v>96</v>
      </c>
      <c r="E4630" s="9" t="str">
        <f>_xlfn.TEXTAFTER(Condiciones_acumuladas[[#This Row],[Descripción]], " ", -2)</f>
        <v>Luis Pérez</v>
      </c>
      <c r="F4630" s="21" t="s">
        <v>2559</v>
      </c>
      <c r="G4630" s="23">
        <v>46274</v>
      </c>
    </row>
    <row r="4631" spans="1:7" ht="36.5" x14ac:dyDescent="0.35">
      <c r="A4631" s="8">
        <v>13221</v>
      </c>
      <c r="B4631" s="10" t="s">
        <v>7185</v>
      </c>
      <c r="C4631" s="10" t="s">
        <v>96</v>
      </c>
      <c r="D4631" s="9" t="s">
        <v>96</v>
      </c>
      <c r="E4631" s="9" t="str">
        <f>_xlfn.TEXTAFTER(Condiciones_acumuladas[[#This Row],[Descripción]], " ", -2)</f>
        <v>Luis Pérez</v>
      </c>
      <c r="F4631" s="21" t="s">
        <v>2516</v>
      </c>
      <c r="G4631" s="23">
        <v>46277</v>
      </c>
    </row>
    <row r="4632" spans="1:7" ht="24.5" x14ac:dyDescent="0.35">
      <c r="A4632" s="8">
        <v>13286</v>
      </c>
      <c r="B4632" s="10" t="s">
        <v>7186</v>
      </c>
      <c r="C4632" s="10" t="s">
        <v>96</v>
      </c>
      <c r="D4632" s="9" t="s">
        <v>96</v>
      </c>
      <c r="E4632" s="9" t="str">
        <f>_xlfn.TEXTAFTER(Condiciones_acumuladas[[#This Row],[Descripción]], " ", -2)</f>
        <v>Luis Pérez</v>
      </c>
      <c r="F4632" s="21" t="s">
        <v>2537</v>
      </c>
      <c r="G4632" s="23">
        <v>46281</v>
      </c>
    </row>
    <row r="4633" spans="1:7" ht="24.5" x14ac:dyDescent="0.35">
      <c r="A4633" s="8">
        <v>13275</v>
      </c>
      <c r="B4633" s="10" t="s">
        <v>7187</v>
      </c>
      <c r="C4633" s="10" t="s">
        <v>96</v>
      </c>
      <c r="D4633" s="9" t="s">
        <v>96</v>
      </c>
      <c r="E4633" s="9" t="str">
        <f>_xlfn.TEXTAFTER(Condiciones_acumuladas[[#This Row],[Descripción]], " ", -2)</f>
        <v>Luis Pérez</v>
      </c>
      <c r="F4633" s="21" t="s">
        <v>2522</v>
      </c>
      <c r="G4633" s="23">
        <v>46282</v>
      </c>
    </row>
    <row r="4634" spans="1:7" ht="24.5" x14ac:dyDescent="0.35">
      <c r="A4634" s="8">
        <v>13276</v>
      </c>
      <c r="B4634" s="10" t="s">
        <v>7188</v>
      </c>
      <c r="C4634" s="10" t="s">
        <v>96</v>
      </c>
      <c r="D4634" s="9" t="s">
        <v>96</v>
      </c>
      <c r="E4634" s="9" t="str">
        <f>_xlfn.TEXTAFTER(Condiciones_acumuladas[[#This Row],[Descripción]], " ", -2)</f>
        <v>Luis Pérez</v>
      </c>
      <c r="F4634" s="21" t="s">
        <v>2522</v>
      </c>
      <c r="G4634" s="23">
        <v>46282</v>
      </c>
    </row>
    <row r="4635" spans="1:7" ht="24.5" x14ac:dyDescent="0.35">
      <c r="A4635" s="8">
        <v>13298</v>
      </c>
      <c r="B4635" s="10" t="s">
        <v>7189</v>
      </c>
      <c r="C4635" s="10" t="s">
        <v>96</v>
      </c>
      <c r="D4635" s="9" t="s">
        <v>96</v>
      </c>
      <c r="E4635" s="9" t="str">
        <f>_xlfn.TEXTAFTER(Condiciones_acumuladas[[#This Row],[Descripción]], " ", -2)</f>
        <v>Luis Pérez</v>
      </c>
      <c r="F4635" s="21" t="s">
        <v>2537</v>
      </c>
      <c r="G4635" s="23">
        <v>46284</v>
      </c>
    </row>
    <row r="4636" spans="1:7" ht="24.5" x14ac:dyDescent="0.35">
      <c r="A4636" s="8">
        <v>13297</v>
      </c>
      <c r="B4636" s="10" t="s">
        <v>7190</v>
      </c>
      <c r="C4636" s="10" t="s">
        <v>96</v>
      </c>
      <c r="D4636" s="9" t="s">
        <v>96</v>
      </c>
      <c r="E4636" s="9" t="str">
        <f>_xlfn.TEXTAFTER(Condiciones_acumuladas[[#This Row],[Descripción]], " ", -2)</f>
        <v>Luis Pérez</v>
      </c>
      <c r="F4636" s="21" t="s">
        <v>2537</v>
      </c>
      <c r="G4636" s="23">
        <v>46284</v>
      </c>
    </row>
    <row r="4637" spans="1:7" ht="24.5" x14ac:dyDescent="0.35">
      <c r="A4637" s="8">
        <v>13296</v>
      </c>
      <c r="B4637" s="10" t="s">
        <v>7191</v>
      </c>
      <c r="C4637" s="10" t="s">
        <v>96</v>
      </c>
      <c r="D4637" s="9" t="s">
        <v>96</v>
      </c>
      <c r="E4637" s="9" t="str">
        <f>_xlfn.TEXTAFTER(Condiciones_acumuladas[[#This Row],[Descripción]], " ", -2)</f>
        <v>Luis Pérez</v>
      </c>
      <c r="F4637" s="21" t="s">
        <v>2537</v>
      </c>
      <c r="G4637" s="23">
        <v>46284</v>
      </c>
    </row>
    <row r="4638" spans="1:7" ht="48.5" x14ac:dyDescent="0.35">
      <c r="A4638" s="8">
        <v>13295</v>
      </c>
      <c r="B4638" s="10" t="s">
        <v>7192</v>
      </c>
      <c r="C4638" s="10" t="s">
        <v>196</v>
      </c>
      <c r="D4638" s="9" t="s">
        <v>96</v>
      </c>
      <c r="E4638" s="9" t="str">
        <f>_xlfn.TEXTAFTER(Condiciones_acumuladas[[#This Row],[Descripción]], " ", -2)</f>
        <v>Luis Pérez</v>
      </c>
      <c r="F4638" s="21" t="s">
        <v>2559</v>
      </c>
      <c r="G4638" s="23">
        <v>46284</v>
      </c>
    </row>
    <row r="4639" spans="1:7" ht="36.5" x14ac:dyDescent="0.35">
      <c r="A4639" s="8">
        <v>13310</v>
      </c>
      <c r="B4639" s="10" t="s">
        <v>7193</v>
      </c>
      <c r="C4639" s="10" t="s">
        <v>96</v>
      </c>
      <c r="D4639" s="9" t="s">
        <v>96</v>
      </c>
      <c r="E4639" s="9" t="str">
        <f>_xlfn.TEXTAFTER(Condiciones_acumuladas[[#This Row],[Descripción]], " ", -2)</f>
        <v>Luis Pérez</v>
      </c>
      <c r="F4639" s="21" t="s">
        <v>2516</v>
      </c>
      <c r="G4639" s="23">
        <v>46284</v>
      </c>
    </row>
    <row r="4640" spans="1:7" ht="36.5" x14ac:dyDescent="0.35">
      <c r="A4640" s="8">
        <v>13347</v>
      </c>
      <c r="B4640" s="10" t="s">
        <v>7194</v>
      </c>
      <c r="C4640" s="10" t="s">
        <v>96</v>
      </c>
      <c r="D4640" s="9" t="s">
        <v>96</v>
      </c>
      <c r="E4640" s="9" t="str">
        <f>_xlfn.TEXTAFTER(Condiciones_acumuladas[[#This Row],[Descripción]], " ", -2)</f>
        <v>Luis Pérez</v>
      </c>
      <c r="F4640" s="21" t="s">
        <v>2516</v>
      </c>
      <c r="G4640" s="23">
        <v>46288</v>
      </c>
    </row>
    <row r="4641" spans="1:7" ht="36.5" x14ac:dyDescent="0.35">
      <c r="A4641" s="8">
        <v>13346</v>
      </c>
      <c r="B4641" s="10" t="s">
        <v>7195</v>
      </c>
      <c r="C4641" s="10" t="s">
        <v>96</v>
      </c>
      <c r="D4641" s="9" t="s">
        <v>96</v>
      </c>
      <c r="E4641" s="9" t="str">
        <f>_xlfn.TEXTAFTER(Condiciones_acumuladas[[#This Row],[Descripción]], " ", -2)</f>
        <v>Luis Pérez</v>
      </c>
      <c r="F4641" s="21" t="s">
        <v>2516</v>
      </c>
      <c r="G4641" s="23">
        <v>46288</v>
      </c>
    </row>
    <row r="4642" spans="1:7" ht="36.5" x14ac:dyDescent="0.35">
      <c r="A4642" s="8">
        <v>13331</v>
      </c>
      <c r="B4642" s="10" t="s">
        <v>7196</v>
      </c>
      <c r="C4642" s="10" t="s">
        <v>96</v>
      </c>
      <c r="D4642" s="9" t="s">
        <v>96</v>
      </c>
      <c r="E4642" s="9" t="str">
        <f>_xlfn.TEXTAFTER(Condiciones_acumuladas[[#This Row],[Descripción]], " ", -2)</f>
        <v>Luis Pérez</v>
      </c>
      <c r="F4642" s="21" t="s">
        <v>2537</v>
      </c>
      <c r="G4642" s="23">
        <v>46287</v>
      </c>
    </row>
    <row r="4643" spans="1:7" ht="24.5" x14ac:dyDescent="0.35">
      <c r="A4643" s="8">
        <v>13330</v>
      </c>
      <c r="B4643" s="10" t="s">
        <v>7197</v>
      </c>
      <c r="C4643" s="10" t="s">
        <v>96</v>
      </c>
      <c r="D4643" s="9" t="s">
        <v>96</v>
      </c>
      <c r="E4643" s="9" t="str">
        <f>_xlfn.TEXTAFTER(Condiciones_acumuladas[[#This Row],[Descripción]], " ", -2)</f>
        <v>Luis Pérez</v>
      </c>
      <c r="F4643" s="21" t="s">
        <v>2540</v>
      </c>
      <c r="G4643" s="23">
        <v>46287</v>
      </c>
    </row>
    <row r="4644" spans="1:7" ht="48.5" x14ac:dyDescent="0.35">
      <c r="A4644" s="8">
        <v>13365</v>
      </c>
      <c r="B4644" s="10" t="s">
        <v>7198</v>
      </c>
      <c r="C4644" s="10" t="s">
        <v>96</v>
      </c>
      <c r="D4644" s="9" t="s">
        <v>96</v>
      </c>
      <c r="E4644" s="9" t="str">
        <f>_xlfn.TEXTAFTER(Condiciones_acumuladas[[#This Row],[Descripción]], " ", -2)</f>
        <v>Luis Pérez</v>
      </c>
      <c r="F4644" s="21" t="s">
        <v>2540</v>
      </c>
      <c r="G4644" s="23">
        <v>46291</v>
      </c>
    </row>
    <row r="4645" spans="1:7" ht="36.5" x14ac:dyDescent="0.35">
      <c r="A4645" s="8">
        <v>13283</v>
      </c>
      <c r="B4645" s="10" t="s">
        <v>7199</v>
      </c>
      <c r="C4645" s="10" t="s">
        <v>250</v>
      </c>
      <c r="D4645" s="9" t="s">
        <v>95</v>
      </c>
      <c r="E4645" s="9" t="str">
        <f>_xlfn.TEXTAFTER(Condiciones_acumuladas[[#This Row],[Descripción]], " ", -2)</f>
        <v>María Obregón</v>
      </c>
      <c r="F4645" s="21" t="s">
        <v>2522</v>
      </c>
      <c r="G4645" s="23">
        <v>46281</v>
      </c>
    </row>
    <row r="4646" spans="1:7" ht="24.5" x14ac:dyDescent="0.35">
      <c r="A4646" s="8">
        <v>13281</v>
      </c>
      <c r="B4646" s="10" t="s">
        <v>7200</v>
      </c>
      <c r="C4646" s="10" t="s">
        <v>250</v>
      </c>
      <c r="D4646" s="9" t="s">
        <v>95</v>
      </c>
      <c r="E4646" s="9" t="str">
        <f>_xlfn.TEXTAFTER(Condiciones_acumuladas[[#This Row],[Descripción]], " ", -2)</f>
        <v>María Obregón</v>
      </c>
      <c r="F4646" s="21" t="s">
        <v>2522</v>
      </c>
      <c r="G4646" s="23">
        <v>46281</v>
      </c>
    </row>
    <row r="4647" spans="1:7" ht="36.5" x14ac:dyDescent="0.35">
      <c r="A4647" s="8">
        <v>13274</v>
      </c>
      <c r="B4647" s="10" t="s">
        <v>7201</v>
      </c>
      <c r="C4647" s="10" t="s">
        <v>250</v>
      </c>
      <c r="D4647" s="9" t="s">
        <v>95</v>
      </c>
      <c r="E4647" s="9" t="str">
        <f>_xlfn.TEXTAFTER(Condiciones_acumuladas[[#This Row],[Descripción]], " ", -2)</f>
        <v>María Obregón</v>
      </c>
      <c r="F4647" s="21" t="s">
        <v>2525</v>
      </c>
      <c r="G4647" s="23">
        <v>46281</v>
      </c>
    </row>
    <row r="4648" spans="1:7" ht="24.5" x14ac:dyDescent="0.35">
      <c r="A4648" s="8">
        <v>13272</v>
      </c>
      <c r="B4648" s="10" t="s">
        <v>7202</v>
      </c>
      <c r="C4648" s="10" t="s">
        <v>250</v>
      </c>
      <c r="D4648" s="9" t="s">
        <v>95</v>
      </c>
      <c r="E4648" s="9" t="str">
        <f>_xlfn.TEXTAFTER(Condiciones_acumuladas[[#This Row],[Descripción]], " ", -2)</f>
        <v>María Obregón</v>
      </c>
      <c r="F4648" s="21" t="s">
        <v>2522</v>
      </c>
      <c r="G4648" s="23">
        <v>46281</v>
      </c>
    </row>
    <row r="4649" spans="1:7" ht="24.5" x14ac:dyDescent="0.35">
      <c r="A4649" s="8">
        <v>13269</v>
      </c>
      <c r="B4649" s="10" t="s">
        <v>7203</v>
      </c>
      <c r="C4649" s="10" t="s">
        <v>250</v>
      </c>
      <c r="D4649" s="9" t="s">
        <v>95</v>
      </c>
      <c r="E4649" s="9" t="str">
        <f>_xlfn.TEXTAFTER(Condiciones_acumuladas[[#This Row],[Descripción]], " ", -2)</f>
        <v>María Obregón</v>
      </c>
      <c r="F4649" s="21" t="s">
        <v>2522</v>
      </c>
      <c r="G4649" s="23">
        <v>46281</v>
      </c>
    </row>
    <row r="4650" spans="1:7" ht="24.5" x14ac:dyDescent="0.35">
      <c r="A4650" s="8">
        <v>13345</v>
      </c>
      <c r="B4650" s="10" t="s">
        <v>7204</v>
      </c>
      <c r="C4650" s="10" t="s">
        <v>34</v>
      </c>
      <c r="D4650" s="9" t="s">
        <v>196</v>
      </c>
      <c r="E4650" s="9" t="str">
        <f>_xlfn.TEXTAFTER(Condiciones_acumuladas[[#This Row],[Descripción]], " ", -2)</f>
        <v>Mario Marroquin</v>
      </c>
      <c r="F4650" s="21" t="s">
        <v>2522</v>
      </c>
      <c r="G4650" s="23">
        <v>46288</v>
      </c>
    </row>
    <row r="4651" spans="1:7" ht="48.5" x14ac:dyDescent="0.35">
      <c r="A4651" s="8">
        <v>13321</v>
      </c>
      <c r="B4651" s="10" t="s">
        <v>7205</v>
      </c>
      <c r="C4651" s="10" t="s">
        <v>234</v>
      </c>
      <c r="D4651" s="9" t="s">
        <v>234</v>
      </c>
      <c r="E4651" s="9" t="str">
        <f>_xlfn.TEXTAFTER(Condiciones_acumuladas[[#This Row],[Descripción]], " ", -2)</f>
        <v>Mario Ramos</v>
      </c>
      <c r="F4651" s="21" t="s">
        <v>2522</v>
      </c>
      <c r="G4651" s="23">
        <v>46286</v>
      </c>
    </row>
    <row r="4652" spans="1:7" ht="36.5" x14ac:dyDescent="0.35">
      <c r="A4652" s="8">
        <v>13372</v>
      </c>
      <c r="B4652" s="10" t="s">
        <v>7206</v>
      </c>
      <c r="C4652" s="10" t="s">
        <v>234</v>
      </c>
      <c r="D4652" s="9" t="s">
        <v>134</v>
      </c>
      <c r="E4652" s="9" t="str">
        <f>_xlfn.TEXTAFTER(Condiciones_acumuladas[[#This Row],[Descripción]], " ", -2)</f>
        <v>Mario Ramos</v>
      </c>
      <c r="F4652" s="21" t="s">
        <v>2516</v>
      </c>
      <c r="G4652" s="23">
        <v>46290</v>
      </c>
    </row>
    <row r="4653" spans="1:7" ht="24.5" x14ac:dyDescent="0.35">
      <c r="A4653" s="8">
        <v>13231</v>
      </c>
      <c r="B4653" s="10" t="s">
        <v>7207</v>
      </c>
      <c r="C4653" s="10" t="s">
        <v>26</v>
      </c>
      <c r="D4653" s="9" t="s">
        <v>196</v>
      </c>
      <c r="E4653" s="9" t="str">
        <f>_xlfn.TEXTAFTER(Condiciones_acumuladas[[#This Row],[Descripción]], " ", -2)</f>
        <v>Miguel Godínez</v>
      </c>
      <c r="F4653" s="21" t="s">
        <v>2540</v>
      </c>
      <c r="G4653" s="23">
        <v>46274</v>
      </c>
    </row>
    <row r="4654" spans="1:7" ht="24.5" x14ac:dyDescent="0.35">
      <c r="A4654" s="8">
        <v>13235</v>
      </c>
      <c r="B4654" s="10" t="s">
        <v>7208</v>
      </c>
      <c r="C4654" s="10" t="s">
        <v>26</v>
      </c>
      <c r="D4654" s="9" t="s">
        <v>196</v>
      </c>
      <c r="E4654" s="9" t="str">
        <f>_xlfn.TEXTAFTER(Condiciones_acumuladas[[#This Row],[Descripción]], " ", -2)</f>
        <v>Miguel Godínez</v>
      </c>
      <c r="F4654" s="21" t="s">
        <v>2522</v>
      </c>
      <c r="G4654" s="23">
        <v>46274</v>
      </c>
    </row>
    <row r="4655" spans="1:7" ht="24.5" x14ac:dyDescent="0.35">
      <c r="A4655" s="8">
        <v>13236</v>
      </c>
      <c r="B4655" s="10" t="s">
        <v>7209</v>
      </c>
      <c r="C4655" s="10" t="s">
        <v>26</v>
      </c>
      <c r="D4655" s="9" t="s">
        <v>196</v>
      </c>
      <c r="E4655" s="9" t="str">
        <f>_xlfn.TEXTAFTER(Condiciones_acumuladas[[#This Row],[Descripción]], " ", -2)</f>
        <v>Miguel Godínez</v>
      </c>
      <c r="F4655" s="21" t="s">
        <v>2522</v>
      </c>
      <c r="G4655" s="23">
        <v>46274</v>
      </c>
    </row>
    <row r="4656" spans="1:7" ht="36.5" x14ac:dyDescent="0.35">
      <c r="A4656" s="8">
        <v>13238</v>
      </c>
      <c r="B4656" s="10" t="s">
        <v>7210</v>
      </c>
      <c r="C4656" s="10" t="s">
        <v>26</v>
      </c>
      <c r="D4656" s="9" t="s">
        <v>196</v>
      </c>
      <c r="E4656" s="9" t="str">
        <f>_xlfn.TEXTAFTER(Condiciones_acumuladas[[#This Row],[Descripción]], " ", -2)</f>
        <v>Miguel Godínez</v>
      </c>
      <c r="F4656" s="21" t="s">
        <v>2525</v>
      </c>
      <c r="G4656" s="23">
        <v>46274</v>
      </c>
    </row>
    <row r="4657" spans="1:7" ht="36.5" x14ac:dyDescent="0.35">
      <c r="A4657" s="8">
        <v>13364</v>
      </c>
      <c r="B4657" s="10" t="s">
        <v>7211</v>
      </c>
      <c r="C4657" s="10" t="s">
        <v>134</v>
      </c>
      <c r="D4657" s="9" t="s">
        <v>95</v>
      </c>
      <c r="E4657" s="9" t="str">
        <f>_xlfn.TEXTAFTER(Condiciones_acumuladas[[#This Row],[Descripción]], " ", -2)</f>
        <v>Nelson Godínez</v>
      </c>
      <c r="F4657" s="21" t="s">
        <v>2516</v>
      </c>
      <c r="G4657" s="23">
        <v>46290</v>
      </c>
    </row>
    <row r="4658" spans="1:7" ht="36.5" x14ac:dyDescent="0.35">
      <c r="A4658" s="8">
        <v>13436</v>
      </c>
      <c r="B4658" s="10" t="s">
        <v>7212</v>
      </c>
      <c r="C4658" s="10" t="s">
        <v>134</v>
      </c>
      <c r="D4658" s="9" t="s">
        <v>95</v>
      </c>
      <c r="E4658" s="9" t="str">
        <f>_xlfn.TEXTAFTER(Condiciones_acumuladas[[#This Row],[Descripción]], " ", -2)</f>
        <v>Nelson Godínez</v>
      </c>
      <c r="F4658" s="21" t="s">
        <v>2525</v>
      </c>
      <c r="G4658" s="23">
        <v>46295</v>
      </c>
    </row>
    <row r="4659" spans="1:7" ht="24.5" x14ac:dyDescent="0.35">
      <c r="A4659" s="8">
        <v>13208</v>
      </c>
      <c r="B4659" s="10" t="s">
        <v>7213</v>
      </c>
      <c r="C4659" s="10" t="s">
        <v>104</v>
      </c>
      <c r="D4659" s="9" t="s">
        <v>104</v>
      </c>
      <c r="E4659" s="9" t="str">
        <f>_xlfn.TEXTAFTER(Condiciones_acumuladas[[#This Row],[Descripción]], " ", -2)</f>
        <v>Obdulio Saquic</v>
      </c>
      <c r="F4659" s="21" t="s">
        <v>2522</v>
      </c>
      <c r="G4659" s="23">
        <v>46275</v>
      </c>
    </row>
    <row r="4660" spans="1:7" ht="24.5" x14ac:dyDescent="0.35">
      <c r="A4660" s="8">
        <v>13209</v>
      </c>
      <c r="B4660" s="10" t="s">
        <v>7214</v>
      </c>
      <c r="C4660" s="10" t="s">
        <v>104</v>
      </c>
      <c r="D4660" s="9" t="s">
        <v>104</v>
      </c>
      <c r="E4660" s="9" t="str">
        <f>_xlfn.TEXTAFTER(Condiciones_acumuladas[[#This Row],[Descripción]], " ", -2)</f>
        <v>Obdulio Saquic</v>
      </c>
      <c r="F4660" s="21" t="s">
        <v>2522</v>
      </c>
      <c r="G4660" s="23">
        <v>46275</v>
      </c>
    </row>
    <row r="4661" spans="1:7" ht="24.5" x14ac:dyDescent="0.35">
      <c r="A4661" s="8">
        <v>13247</v>
      </c>
      <c r="B4661" s="10" t="s">
        <v>6558</v>
      </c>
      <c r="C4661" s="10" t="s">
        <v>104</v>
      </c>
      <c r="D4661" s="9" t="s">
        <v>104</v>
      </c>
      <c r="E4661" s="9" t="str">
        <f>_xlfn.TEXTAFTER(Condiciones_acumuladas[[#This Row],[Descripción]], " ", -2)</f>
        <v>Obdulio Saquic</v>
      </c>
      <c r="F4661" s="21" t="s">
        <v>2522</v>
      </c>
      <c r="G4661" s="23">
        <v>46279</v>
      </c>
    </row>
    <row r="4662" spans="1:7" ht="24.5" x14ac:dyDescent="0.35">
      <c r="A4662" s="8">
        <v>13248</v>
      </c>
      <c r="B4662" s="10" t="s">
        <v>7215</v>
      </c>
      <c r="C4662" s="10" t="s">
        <v>104</v>
      </c>
      <c r="D4662" s="9" t="s">
        <v>104</v>
      </c>
      <c r="E4662" s="9" t="str">
        <f>_xlfn.TEXTAFTER(Condiciones_acumuladas[[#This Row],[Descripción]], " ", -2)</f>
        <v>Obdulio Saquic</v>
      </c>
      <c r="F4662" s="21" t="s">
        <v>2522</v>
      </c>
      <c r="G4662" s="23">
        <v>46279</v>
      </c>
    </row>
    <row r="4663" spans="1:7" ht="48.5" x14ac:dyDescent="0.35">
      <c r="A4663" s="8">
        <v>13294</v>
      </c>
      <c r="B4663" s="10" t="s">
        <v>7216</v>
      </c>
      <c r="C4663" s="10" t="s">
        <v>104</v>
      </c>
      <c r="D4663" s="9" t="s">
        <v>104</v>
      </c>
      <c r="E4663" s="9" t="str">
        <f>_xlfn.TEXTAFTER(Condiciones_acumuladas[[#This Row],[Descripción]], " ", -2)</f>
        <v>Obdulio Saquic</v>
      </c>
      <c r="F4663" s="21" t="s">
        <v>2559</v>
      </c>
      <c r="G4663" s="23">
        <v>46283</v>
      </c>
    </row>
    <row r="4664" spans="1:7" ht="24.5" x14ac:dyDescent="0.35">
      <c r="A4664" s="8">
        <v>13293</v>
      </c>
      <c r="B4664" s="10" t="s">
        <v>6558</v>
      </c>
      <c r="C4664" s="10" t="s">
        <v>104</v>
      </c>
      <c r="D4664" s="9" t="s">
        <v>104</v>
      </c>
      <c r="E4664" s="9" t="str">
        <f>_xlfn.TEXTAFTER(Condiciones_acumuladas[[#This Row],[Descripción]], " ", -2)</f>
        <v>Obdulio Saquic</v>
      </c>
      <c r="F4664" s="21" t="s">
        <v>2522</v>
      </c>
      <c r="G4664" s="23">
        <v>46283</v>
      </c>
    </row>
    <row r="4665" spans="1:7" ht="48.5" x14ac:dyDescent="0.35">
      <c r="A4665" s="8">
        <v>13309</v>
      </c>
      <c r="B4665" s="10" t="s">
        <v>7217</v>
      </c>
      <c r="C4665" s="10" t="s">
        <v>196</v>
      </c>
      <c r="D4665" s="9" t="s">
        <v>104</v>
      </c>
      <c r="E4665" s="9" t="str">
        <f>_xlfn.TEXTAFTER(Condiciones_acumuladas[[#This Row],[Descripción]], " ", -2)</f>
        <v>Obdulio Saquic</v>
      </c>
      <c r="F4665" s="21" t="s">
        <v>2559</v>
      </c>
      <c r="G4665" s="23">
        <v>46286</v>
      </c>
    </row>
    <row r="4666" spans="1:7" ht="48.5" x14ac:dyDescent="0.35">
      <c r="A4666" s="8">
        <v>13308</v>
      </c>
      <c r="B4666" s="10" t="s">
        <v>7218</v>
      </c>
      <c r="C4666" s="10" t="s">
        <v>104</v>
      </c>
      <c r="D4666" s="9" t="s">
        <v>104</v>
      </c>
      <c r="E4666" s="9" t="str">
        <f>_xlfn.TEXTAFTER(Condiciones_acumuladas[[#This Row],[Descripción]], " ", -2)</f>
        <v>Obdulio Saquic</v>
      </c>
      <c r="F4666" s="21" t="s">
        <v>2559</v>
      </c>
      <c r="G4666" s="23">
        <v>46286</v>
      </c>
    </row>
    <row r="4667" spans="1:7" ht="48.5" x14ac:dyDescent="0.35">
      <c r="A4667" s="8">
        <v>13307</v>
      </c>
      <c r="B4667" s="10" t="s">
        <v>7219</v>
      </c>
      <c r="C4667" s="10" t="s">
        <v>104</v>
      </c>
      <c r="D4667" s="9" t="s">
        <v>104</v>
      </c>
      <c r="E4667" s="9" t="str">
        <f>_xlfn.TEXTAFTER(Condiciones_acumuladas[[#This Row],[Descripción]], " ", -2)</f>
        <v>Obdulio Saquic</v>
      </c>
      <c r="F4667" s="21" t="s">
        <v>2559</v>
      </c>
      <c r="G4667" s="23">
        <v>46286</v>
      </c>
    </row>
    <row r="4668" spans="1:7" ht="24.5" x14ac:dyDescent="0.35">
      <c r="A4668" s="8">
        <v>13150</v>
      </c>
      <c r="B4668" s="10" t="s">
        <v>7220</v>
      </c>
      <c r="C4668" s="10" t="s">
        <v>250</v>
      </c>
      <c r="D4668" s="9" t="s">
        <v>21</v>
      </c>
      <c r="E4668" s="9" t="str">
        <f>_xlfn.TEXTAFTER(Condiciones_acumuladas[[#This Row],[Descripción]], " ", -2)</f>
        <v>Oscar Ramírez</v>
      </c>
      <c r="F4668" s="21" t="s">
        <v>2522</v>
      </c>
      <c r="G4668" s="23">
        <v>46268</v>
      </c>
    </row>
    <row r="4669" spans="1:7" ht="36.5" x14ac:dyDescent="0.35">
      <c r="A4669" s="8">
        <v>13152</v>
      </c>
      <c r="B4669" s="10" t="s">
        <v>7221</v>
      </c>
      <c r="C4669" s="10" t="s">
        <v>21</v>
      </c>
      <c r="D4669" s="9" t="s">
        <v>21</v>
      </c>
      <c r="E4669" s="9" t="str">
        <f>_xlfn.TEXTAFTER(Condiciones_acumuladas[[#This Row],[Descripción]], " ", -2)</f>
        <v>Oscar Ramírez</v>
      </c>
      <c r="F4669" s="21" t="s">
        <v>2516</v>
      </c>
      <c r="G4669" s="23">
        <v>46268</v>
      </c>
    </row>
    <row r="4670" spans="1:7" ht="24.5" x14ac:dyDescent="0.35">
      <c r="A4670" s="8">
        <v>13153</v>
      </c>
      <c r="B4670" s="10" t="s">
        <v>7222</v>
      </c>
      <c r="C4670" s="10" t="s">
        <v>21</v>
      </c>
      <c r="D4670" s="9" t="s">
        <v>21</v>
      </c>
      <c r="E4670" s="9" t="str">
        <f>_xlfn.TEXTAFTER(Condiciones_acumuladas[[#This Row],[Descripción]], " ", -2)</f>
        <v>Oscar Ramírez</v>
      </c>
      <c r="F4670" s="21" t="s">
        <v>2522</v>
      </c>
      <c r="G4670" s="23">
        <v>46268</v>
      </c>
    </row>
    <row r="4671" spans="1:7" ht="24.5" x14ac:dyDescent="0.35">
      <c r="A4671" s="8">
        <v>13154</v>
      </c>
      <c r="B4671" s="10" t="s">
        <v>7223</v>
      </c>
      <c r="C4671" s="10" t="s">
        <v>21</v>
      </c>
      <c r="D4671" s="9" t="s">
        <v>21</v>
      </c>
      <c r="E4671" s="9" t="str">
        <f>_xlfn.TEXTAFTER(Condiciones_acumuladas[[#This Row],[Descripción]], " ", -2)</f>
        <v>Oscar Ramírez</v>
      </c>
      <c r="F4671" s="21" t="s">
        <v>2522</v>
      </c>
      <c r="G4671" s="23">
        <v>46268</v>
      </c>
    </row>
    <row r="4672" spans="1:7" ht="24.5" x14ac:dyDescent="0.35">
      <c r="A4672" s="8">
        <v>13151</v>
      </c>
      <c r="B4672" s="10" t="s">
        <v>7224</v>
      </c>
      <c r="C4672" s="10" t="s">
        <v>21</v>
      </c>
      <c r="D4672" s="9" t="s">
        <v>21</v>
      </c>
      <c r="E4672" s="9" t="str">
        <f>_xlfn.TEXTAFTER(Condiciones_acumuladas[[#This Row],[Descripción]], " ", -2)</f>
        <v>Oscar Ramírez</v>
      </c>
      <c r="F4672" s="21" t="s">
        <v>2522</v>
      </c>
      <c r="G4672" s="23">
        <v>46268</v>
      </c>
    </row>
    <row r="4673" spans="1:7" ht="24.5" x14ac:dyDescent="0.35">
      <c r="A4673" s="8">
        <v>13179</v>
      </c>
      <c r="B4673" s="10" t="s">
        <v>7225</v>
      </c>
      <c r="C4673" s="10" t="s">
        <v>13</v>
      </c>
      <c r="D4673" s="9" t="s">
        <v>13</v>
      </c>
      <c r="E4673" s="9" t="str">
        <f>_xlfn.TEXTAFTER(Condiciones_acumuladas[[#This Row],[Descripción]], " ", -2)</f>
        <v>Oscar Ramírez</v>
      </c>
      <c r="F4673" s="21" t="s">
        <v>2522</v>
      </c>
      <c r="G4673" s="23">
        <v>46269</v>
      </c>
    </row>
    <row r="4674" spans="1:7" ht="36.5" x14ac:dyDescent="0.35">
      <c r="A4674" s="8">
        <v>13180</v>
      </c>
      <c r="B4674" s="10" t="s">
        <v>7226</v>
      </c>
      <c r="C4674" s="10" t="s">
        <v>21</v>
      </c>
      <c r="D4674" s="9" t="s">
        <v>21</v>
      </c>
      <c r="E4674" s="9" t="str">
        <f>_xlfn.TEXTAFTER(Condiciones_acumuladas[[#This Row],[Descripción]], " ", -2)</f>
        <v>Oscar Ramírez</v>
      </c>
      <c r="F4674" s="21" t="s">
        <v>2530</v>
      </c>
      <c r="G4674" s="23">
        <v>46269</v>
      </c>
    </row>
    <row r="4675" spans="1:7" ht="24.5" x14ac:dyDescent="0.35">
      <c r="A4675" s="8">
        <v>13225</v>
      </c>
      <c r="B4675" s="10" t="s">
        <v>7227</v>
      </c>
      <c r="C4675" s="10" t="s">
        <v>21</v>
      </c>
      <c r="D4675" s="9" t="s">
        <v>21</v>
      </c>
      <c r="E4675" s="9" t="str">
        <f>_xlfn.TEXTAFTER(Condiciones_acumuladas[[#This Row],[Descripción]], " ", -2)</f>
        <v>Oscar Ramírez</v>
      </c>
      <c r="F4675" s="21" t="s">
        <v>2522</v>
      </c>
      <c r="G4675" s="23">
        <v>46273</v>
      </c>
    </row>
    <row r="4676" spans="1:7" ht="24.5" x14ac:dyDescent="0.35">
      <c r="A4676" s="8">
        <v>13239</v>
      </c>
      <c r="B4676" s="10" t="s">
        <v>7228</v>
      </c>
      <c r="C4676" s="10" t="s">
        <v>13</v>
      </c>
      <c r="D4676" s="9" t="s">
        <v>13</v>
      </c>
      <c r="E4676" s="9" t="str">
        <f>_xlfn.TEXTAFTER(Condiciones_acumuladas[[#This Row],[Descripción]], " ", -2)</f>
        <v>Oscar Ramírez</v>
      </c>
      <c r="F4676" s="21" t="s">
        <v>2522</v>
      </c>
      <c r="G4676" s="23">
        <v>46275</v>
      </c>
    </row>
    <row r="4677" spans="1:7" ht="36.5" x14ac:dyDescent="0.35">
      <c r="A4677" s="8">
        <v>13344</v>
      </c>
      <c r="B4677" s="10" t="s">
        <v>7229</v>
      </c>
      <c r="C4677" s="10" t="s">
        <v>21</v>
      </c>
      <c r="D4677" s="9" t="s">
        <v>21</v>
      </c>
      <c r="E4677" s="9" t="str">
        <f>_xlfn.TEXTAFTER(Condiciones_acumuladas[[#This Row],[Descripción]], " ", -2)</f>
        <v>Oscar Ramírez</v>
      </c>
      <c r="F4677" s="21" t="s">
        <v>2572</v>
      </c>
      <c r="G4677" s="23">
        <v>46288</v>
      </c>
    </row>
    <row r="4678" spans="1:7" ht="24.5" x14ac:dyDescent="0.35">
      <c r="A4678" s="8">
        <v>13329</v>
      </c>
      <c r="B4678" s="10" t="s">
        <v>7230</v>
      </c>
      <c r="C4678" s="10" t="s">
        <v>13</v>
      </c>
      <c r="D4678" s="9" t="s">
        <v>13</v>
      </c>
      <c r="E4678" s="9" t="str">
        <f>_xlfn.TEXTAFTER(Condiciones_acumuladas[[#This Row],[Descripción]], " ", -2)</f>
        <v>Oscar Ramírez</v>
      </c>
      <c r="F4678" s="21" t="s">
        <v>2540</v>
      </c>
      <c r="G4678" s="23">
        <v>46286</v>
      </c>
    </row>
    <row r="4679" spans="1:7" ht="24.5" x14ac:dyDescent="0.35">
      <c r="A4679" s="8">
        <v>13434</v>
      </c>
      <c r="B4679" s="10" t="s">
        <v>7231</v>
      </c>
      <c r="C4679" s="10" t="s">
        <v>193</v>
      </c>
      <c r="D4679" s="9" t="s">
        <v>13</v>
      </c>
      <c r="E4679" s="9" t="str">
        <f>_xlfn.TEXTAFTER(Condiciones_acumuladas[[#This Row],[Descripción]], " ", -2)</f>
        <v>Oscar Ramírez</v>
      </c>
      <c r="F4679" s="21" t="s">
        <v>2522</v>
      </c>
      <c r="G4679" s="23">
        <v>46295</v>
      </c>
    </row>
    <row r="4680" spans="1:7" ht="24.5" x14ac:dyDescent="0.35">
      <c r="A4680" s="8">
        <v>13419</v>
      </c>
      <c r="B4680" s="10" t="s">
        <v>7232</v>
      </c>
      <c r="C4680" s="10" t="s">
        <v>26</v>
      </c>
      <c r="D4680" s="9" t="s">
        <v>13</v>
      </c>
      <c r="E4680" s="9" t="str">
        <f>_xlfn.TEXTAFTER(Condiciones_acumuladas[[#This Row],[Descripción]], " ", -2)</f>
        <v>Oscar Ramírez</v>
      </c>
      <c r="F4680" s="21" t="s">
        <v>2522</v>
      </c>
      <c r="G4680" s="23">
        <v>46293</v>
      </c>
    </row>
    <row r="4681" spans="1:7" ht="24.5" x14ac:dyDescent="0.35">
      <c r="A4681" s="8">
        <v>13420</v>
      </c>
      <c r="B4681" s="10" t="s">
        <v>7233</v>
      </c>
      <c r="C4681" s="10" t="s">
        <v>26</v>
      </c>
      <c r="D4681" s="9" t="s">
        <v>13</v>
      </c>
      <c r="E4681" s="9" t="str">
        <f>_xlfn.TEXTAFTER(Condiciones_acumuladas[[#This Row],[Descripción]], " ", -2)</f>
        <v>Oscar Ramírez</v>
      </c>
      <c r="F4681" s="21" t="s">
        <v>2522</v>
      </c>
      <c r="G4681" s="23">
        <v>46293</v>
      </c>
    </row>
    <row r="4682" spans="1:7" ht="36.5" x14ac:dyDescent="0.35">
      <c r="A4682" s="8">
        <v>13418</v>
      </c>
      <c r="B4682" s="10" t="s">
        <v>7234</v>
      </c>
      <c r="C4682" s="10" t="s">
        <v>21</v>
      </c>
      <c r="D4682" s="9" t="s">
        <v>13</v>
      </c>
      <c r="E4682" s="9" t="str">
        <f>_xlfn.TEXTAFTER(Condiciones_acumuladas[[#This Row],[Descripción]], " ", -2)</f>
        <v>Oscar Ramírez</v>
      </c>
      <c r="F4682" s="21" t="s">
        <v>2525</v>
      </c>
      <c r="G4682" s="23">
        <v>46293</v>
      </c>
    </row>
    <row r="4683" spans="1:7" ht="24.5" x14ac:dyDescent="0.35">
      <c r="A4683" s="8">
        <v>13417</v>
      </c>
      <c r="B4683" s="10" t="s">
        <v>7235</v>
      </c>
      <c r="C4683" s="10" t="s">
        <v>21</v>
      </c>
      <c r="D4683" s="9" t="s">
        <v>13</v>
      </c>
      <c r="E4683" s="9" t="str">
        <f>_xlfn.TEXTAFTER(Condiciones_acumuladas[[#This Row],[Descripción]], " ", -2)</f>
        <v>Oscar Ramírez</v>
      </c>
      <c r="F4683" s="21" t="s">
        <v>2522</v>
      </c>
      <c r="G4683" s="23">
        <v>46293</v>
      </c>
    </row>
    <row r="4684" spans="1:7" ht="24.5" x14ac:dyDescent="0.35">
      <c r="A4684" s="8">
        <v>13166</v>
      </c>
      <c r="B4684" s="10" t="s">
        <v>7236</v>
      </c>
      <c r="C4684" s="10" t="s">
        <v>26</v>
      </c>
      <c r="D4684" s="9" t="s">
        <v>26</v>
      </c>
      <c r="E4684" s="9" t="str">
        <f>_xlfn.TEXTAFTER(Condiciones_acumuladas[[#This Row],[Descripción]], " ", -2)</f>
        <v>Oscar Ramos</v>
      </c>
      <c r="F4684" s="21" t="s">
        <v>2540</v>
      </c>
      <c r="G4684" s="23">
        <v>46269</v>
      </c>
    </row>
    <row r="4685" spans="1:7" ht="36.5" x14ac:dyDescent="0.35">
      <c r="A4685" s="8">
        <v>13167</v>
      </c>
      <c r="B4685" s="10" t="s">
        <v>7237</v>
      </c>
      <c r="C4685" s="10" t="s">
        <v>26</v>
      </c>
      <c r="D4685" s="9" t="s">
        <v>26</v>
      </c>
      <c r="E4685" s="9" t="str">
        <f>_xlfn.TEXTAFTER(Condiciones_acumuladas[[#This Row],[Descripción]], " ", -2)</f>
        <v>Oscar Ramos</v>
      </c>
      <c r="F4685" s="21" t="s">
        <v>2540</v>
      </c>
      <c r="G4685" s="23">
        <v>46269</v>
      </c>
    </row>
    <row r="4686" spans="1:7" ht="36.5" x14ac:dyDescent="0.35">
      <c r="A4686" s="8">
        <v>13223</v>
      </c>
      <c r="B4686" s="10" t="s">
        <v>7238</v>
      </c>
      <c r="C4686" s="10" t="s">
        <v>26</v>
      </c>
      <c r="D4686" s="9" t="s">
        <v>34</v>
      </c>
      <c r="E4686" s="9" t="str">
        <f>_xlfn.TEXTAFTER(Condiciones_acumuladas[[#This Row],[Descripción]], " ", -2)</f>
        <v>Oscar Ramos</v>
      </c>
      <c r="F4686" s="21" t="s">
        <v>2572</v>
      </c>
      <c r="G4686" s="23">
        <v>46272</v>
      </c>
    </row>
    <row r="4687" spans="1:7" ht="36.5" x14ac:dyDescent="0.35">
      <c r="A4687" s="8">
        <v>13278</v>
      </c>
      <c r="B4687" s="10" t="s">
        <v>7239</v>
      </c>
      <c r="C4687" s="10" t="s">
        <v>26</v>
      </c>
      <c r="D4687" s="9" t="s">
        <v>34</v>
      </c>
      <c r="E4687" s="9" t="str">
        <f>_xlfn.TEXTAFTER(Condiciones_acumuladas[[#This Row],[Descripción]], " ", -2)</f>
        <v>Oscar Ramos</v>
      </c>
      <c r="F4687" s="21" t="s">
        <v>2516</v>
      </c>
      <c r="G4687" s="23">
        <v>46281</v>
      </c>
    </row>
    <row r="4688" spans="1:7" ht="36.5" x14ac:dyDescent="0.35">
      <c r="A4688" s="8">
        <v>13318</v>
      </c>
      <c r="B4688" s="10" t="s">
        <v>7240</v>
      </c>
      <c r="C4688" s="10" t="s">
        <v>34</v>
      </c>
      <c r="D4688" s="9" t="s">
        <v>34</v>
      </c>
      <c r="E4688" s="9" t="str">
        <f>_xlfn.TEXTAFTER(Condiciones_acumuladas[[#This Row],[Descripción]], " ", -2)</f>
        <v>Oscar Ramos</v>
      </c>
      <c r="F4688" s="21" t="s">
        <v>2525</v>
      </c>
      <c r="G4688" s="23">
        <v>46285</v>
      </c>
    </row>
    <row r="4689" spans="1:7" ht="36.5" x14ac:dyDescent="0.35">
      <c r="A4689" s="8">
        <v>13311</v>
      </c>
      <c r="B4689" s="10" t="s">
        <v>7241</v>
      </c>
      <c r="C4689" s="10" t="s">
        <v>34</v>
      </c>
      <c r="D4689" s="9" t="s">
        <v>34</v>
      </c>
      <c r="E4689" s="9" t="str">
        <f>_xlfn.TEXTAFTER(Condiciones_acumuladas[[#This Row],[Descripción]], " ", -2)</f>
        <v>Oscar Ramos</v>
      </c>
      <c r="F4689" s="21" t="s">
        <v>2525</v>
      </c>
      <c r="G4689" s="23">
        <v>46279</v>
      </c>
    </row>
    <row r="4690" spans="1:7" ht="48.5" x14ac:dyDescent="0.35">
      <c r="A4690" s="8">
        <v>13407</v>
      </c>
      <c r="B4690" s="10" t="s">
        <v>7242</v>
      </c>
      <c r="C4690" s="10" t="s">
        <v>26</v>
      </c>
      <c r="D4690" s="9" t="s">
        <v>26</v>
      </c>
      <c r="E4690" s="9" t="str">
        <f>_xlfn.TEXTAFTER(Condiciones_acumuladas[[#This Row],[Descripción]], " ", -2)</f>
        <v>Oscar Ramos</v>
      </c>
      <c r="F4690" s="21" t="s">
        <v>2559</v>
      </c>
      <c r="G4690" s="23">
        <v>46295</v>
      </c>
    </row>
    <row r="4691" spans="1:7" ht="24.5" x14ac:dyDescent="0.35">
      <c r="A4691" s="8">
        <v>13284</v>
      </c>
      <c r="B4691" s="10" t="s">
        <v>7243</v>
      </c>
      <c r="C4691" s="10" t="s">
        <v>95</v>
      </c>
      <c r="D4691" s="9" t="s">
        <v>371</v>
      </c>
      <c r="E4691" s="9" t="str">
        <f>_xlfn.TEXTAFTER(Condiciones_acumuladas[[#This Row],[Descripción]], " ", -2)</f>
        <v>Rodrigo Galindo</v>
      </c>
      <c r="F4691" s="21" t="s">
        <v>2540</v>
      </c>
      <c r="G4691" s="23">
        <v>46281</v>
      </c>
    </row>
    <row r="4692" spans="1:7" ht="24.5" x14ac:dyDescent="0.35">
      <c r="A4692" s="8">
        <v>13261</v>
      </c>
      <c r="B4692" s="10" t="s">
        <v>7244</v>
      </c>
      <c r="C4692" s="10" t="s">
        <v>234</v>
      </c>
      <c r="D4692" s="9" t="s">
        <v>371</v>
      </c>
      <c r="E4692" s="9" t="str">
        <f>_xlfn.TEXTAFTER(Condiciones_acumuladas[[#This Row],[Descripción]], " ", -2)</f>
        <v>Rodrigo Galindo</v>
      </c>
      <c r="F4692" s="21" t="s">
        <v>2522</v>
      </c>
      <c r="G4692" s="23">
        <v>46279</v>
      </c>
    </row>
    <row r="4693" spans="1:7" ht="24.5" x14ac:dyDescent="0.35">
      <c r="A4693" s="8">
        <v>13259</v>
      </c>
      <c r="B4693" s="10" t="s">
        <v>7245</v>
      </c>
      <c r="C4693" s="10" t="s">
        <v>234</v>
      </c>
      <c r="D4693" s="9" t="s">
        <v>371</v>
      </c>
      <c r="E4693" s="9" t="str">
        <f>_xlfn.TEXTAFTER(Condiciones_acumuladas[[#This Row],[Descripción]], " ", -2)</f>
        <v>Rodrigo Galindo</v>
      </c>
      <c r="F4693" s="21" t="s">
        <v>2522</v>
      </c>
      <c r="G4693" s="23">
        <v>46279</v>
      </c>
    </row>
    <row r="4694" spans="1:7" ht="24.5" x14ac:dyDescent="0.35">
      <c r="A4694" s="8">
        <v>13260</v>
      </c>
      <c r="B4694" s="10" t="s">
        <v>7246</v>
      </c>
      <c r="C4694" s="10" t="s">
        <v>234</v>
      </c>
      <c r="D4694" s="9" t="s">
        <v>371</v>
      </c>
      <c r="E4694" s="9" t="str">
        <f>_xlfn.TEXTAFTER(Condiciones_acumuladas[[#This Row],[Descripción]], " ", -2)</f>
        <v>Rodrigo Galindo</v>
      </c>
      <c r="F4694" s="21" t="s">
        <v>2522</v>
      </c>
      <c r="G4694" s="23">
        <v>46279</v>
      </c>
    </row>
    <row r="4695" spans="1:7" ht="24.5" x14ac:dyDescent="0.35">
      <c r="A4695" s="8">
        <v>13258</v>
      </c>
      <c r="B4695" s="10" t="s">
        <v>7247</v>
      </c>
      <c r="C4695" s="10" t="s">
        <v>104</v>
      </c>
      <c r="D4695" s="9" t="s">
        <v>371</v>
      </c>
      <c r="E4695" s="9" t="str">
        <f>_xlfn.TEXTAFTER(Condiciones_acumuladas[[#This Row],[Descripción]], " ", -2)</f>
        <v>Rodrigo Galindo</v>
      </c>
      <c r="F4695" s="21" t="s">
        <v>2522</v>
      </c>
      <c r="G4695" s="23">
        <v>46279</v>
      </c>
    </row>
    <row r="4696" spans="1:7" ht="36.5" x14ac:dyDescent="0.35">
      <c r="A4696" s="8">
        <v>13257</v>
      </c>
      <c r="B4696" s="10" t="s">
        <v>7248</v>
      </c>
      <c r="C4696" s="10" t="s">
        <v>96</v>
      </c>
      <c r="D4696" s="9" t="s">
        <v>371</v>
      </c>
      <c r="E4696" s="9" t="str">
        <f>_xlfn.TEXTAFTER(Condiciones_acumuladas[[#This Row],[Descripción]], " ", -2)</f>
        <v>Rodrigo Galindo</v>
      </c>
      <c r="F4696" s="21" t="s">
        <v>2516</v>
      </c>
      <c r="G4696" s="23">
        <v>46279</v>
      </c>
    </row>
    <row r="4697" spans="1:7" ht="36.5" x14ac:dyDescent="0.35">
      <c r="A4697" s="8">
        <v>13256</v>
      </c>
      <c r="B4697" s="10" t="s">
        <v>7249</v>
      </c>
      <c r="C4697" s="10" t="s">
        <v>134</v>
      </c>
      <c r="D4697" s="9" t="s">
        <v>371</v>
      </c>
      <c r="E4697" s="9" t="str">
        <f>_xlfn.TEXTAFTER(Condiciones_acumuladas[[#This Row],[Descripción]], " ", -2)</f>
        <v>Rodrigo Galindo</v>
      </c>
      <c r="F4697" s="21" t="s">
        <v>2522</v>
      </c>
      <c r="G4697" s="23">
        <v>46279</v>
      </c>
    </row>
    <row r="4698" spans="1:7" ht="24.5" x14ac:dyDescent="0.35">
      <c r="A4698" s="8">
        <v>13255</v>
      </c>
      <c r="B4698" s="10" t="s">
        <v>7250</v>
      </c>
      <c r="C4698" s="10" t="s">
        <v>134</v>
      </c>
      <c r="D4698" s="9" t="s">
        <v>371</v>
      </c>
      <c r="E4698" s="9" t="str">
        <f>_xlfn.TEXTAFTER(Condiciones_acumuladas[[#This Row],[Descripción]], " ", -2)</f>
        <v>Rodrigo Galindo</v>
      </c>
      <c r="F4698" s="21" t="s">
        <v>2522</v>
      </c>
      <c r="G4698" s="23">
        <v>46279</v>
      </c>
    </row>
    <row r="4699" spans="1:7" ht="36.5" x14ac:dyDescent="0.35">
      <c r="A4699" s="8">
        <v>13254</v>
      </c>
      <c r="B4699" s="10" t="s">
        <v>7251</v>
      </c>
      <c r="C4699" s="10" t="s">
        <v>21</v>
      </c>
      <c r="D4699" s="9" t="s">
        <v>371</v>
      </c>
      <c r="E4699" s="9" t="str">
        <f>_xlfn.TEXTAFTER(Condiciones_acumuladas[[#This Row],[Descripción]], " ", -2)</f>
        <v>Rodrigo Galindo</v>
      </c>
      <c r="F4699" s="21" t="s">
        <v>2522</v>
      </c>
      <c r="G4699" s="23">
        <v>46279</v>
      </c>
    </row>
    <row r="4700" spans="1:7" ht="36.5" x14ac:dyDescent="0.35">
      <c r="A4700" s="8">
        <v>13253</v>
      </c>
      <c r="B4700" s="10" t="s">
        <v>7252</v>
      </c>
      <c r="C4700" s="10" t="s">
        <v>26</v>
      </c>
      <c r="D4700" s="9" t="s">
        <v>371</v>
      </c>
      <c r="E4700" s="9" t="str">
        <f>_xlfn.TEXTAFTER(Condiciones_acumuladas[[#This Row],[Descripción]], " ", -2)</f>
        <v>Rodrigo Galindo</v>
      </c>
      <c r="F4700" s="21" t="s">
        <v>2516</v>
      </c>
      <c r="G4700" s="23">
        <v>46279</v>
      </c>
    </row>
    <row r="4701" spans="1:7" ht="36.5" x14ac:dyDescent="0.35">
      <c r="A4701" s="8">
        <v>13252</v>
      </c>
      <c r="B4701" s="10" t="s">
        <v>7253</v>
      </c>
      <c r="C4701" s="10" t="s">
        <v>250</v>
      </c>
      <c r="D4701" s="9" t="s">
        <v>371</v>
      </c>
      <c r="E4701" s="9" t="str">
        <f>_xlfn.TEXTAFTER(Condiciones_acumuladas[[#This Row],[Descripción]], " ", -2)</f>
        <v>Rodrigo Galindo</v>
      </c>
      <c r="F4701" s="21" t="s">
        <v>2516</v>
      </c>
      <c r="G4701" s="23">
        <v>46279</v>
      </c>
    </row>
    <row r="4702" spans="1:7" ht="24.5" x14ac:dyDescent="0.35">
      <c r="A4702" s="8">
        <v>13171</v>
      </c>
      <c r="B4702" s="10" t="s">
        <v>7254</v>
      </c>
      <c r="C4702" s="10" t="s">
        <v>134</v>
      </c>
      <c r="D4702" s="9" t="s">
        <v>134</v>
      </c>
      <c r="E4702" s="9" t="str">
        <f>_xlfn.TEXTAFTER(Condiciones_acumuladas[[#This Row],[Descripción]], " ", -2)</f>
        <v>Rolando Gómez</v>
      </c>
      <c r="F4702" s="21" t="s">
        <v>2522</v>
      </c>
      <c r="G4702" s="23">
        <v>46269</v>
      </c>
    </row>
    <row r="4703" spans="1:7" ht="36.5" x14ac:dyDescent="0.35">
      <c r="A4703" s="8">
        <v>13242</v>
      </c>
      <c r="B4703" s="10" t="s">
        <v>7255</v>
      </c>
      <c r="C4703" s="10" t="s">
        <v>134</v>
      </c>
      <c r="D4703" s="9" t="s">
        <v>134</v>
      </c>
      <c r="E4703" s="9" t="str">
        <f>_xlfn.TEXTAFTER(Condiciones_acumuladas[[#This Row],[Descripción]], " ", -2)</f>
        <v>Rolando Gómez</v>
      </c>
      <c r="F4703" s="21" t="s">
        <v>2516</v>
      </c>
      <c r="G4703" s="23">
        <v>46278</v>
      </c>
    </row>
    <row r="4704" spans="1:7" ht="24.5" x14ac:dyDescent="0.35">
      <c r="A4704" s="8">
        <v>13243</v>
      </c>
      <c r="B4704" s="10" t="s">
        <v>7256</v>
      </c>
      <c r="C4704" s="10" t="s">
        <v>21</v>
      </c>
      <c r="D4704" s="9" t="s">
        <v>21</v>
      </c>
      <c r="E4704" s="9" t="str">
        <f>_xlfn.TEXTAFTER(Condiciones_acumuladas[[#This Row],[Descripción]], " ", -2)</f>
        <v>Rolando Gómez</v>
      </c>
      <c r="F4704" s="21" t="s">
        <v>2522</v>
      </c>
      <c r="G4704" s="23">
        <v>46278</v>
      </c>
    </row>
    <row r="4705" spans="1:7" ht="24.5" x14ac:dyDescent="0.35">
      <c r="A4705" s="8">
        <v>13369</v>
      </c>
      <c r="B4705" s="10" t="s">
        <v>7257</v>
      </c>
      <c r="C4705" s="10" t="s">
        <v>234</v>
      </c>
      <c r="D4705" s="9" t="s">
        <v>234</v>
      </c>
      <c r="E4705" s="9" t="str">
        <f>_xlfn.TEXTAFTER(Condiciones_acumuladas[[#This Row],[Descripción]], " ", -2)</f>
        <v>Rolando Gómez</v>
      </c>
      <c r="F4705" s="21" t="s">
        <v>2522</v>
      </c>
      <c r="G4705" s="23">
        <v>46290</v>
      </c>
    </row>
    <row r="4706" spans="1:7" ht="24.5" x14ac:dyDescent="0.35">
      <c r="A4706" s="8">
        <v>13425</v>
      </c>
      <c r="B4706" s="10" t="s">
        <v>7258</v>
      </c>
      <c r="C4706" s="10" t="s">
        <v>234</v>
      </c>
      <c r="D4706" s="9" t="s">
        <v>234</v>
      </c>
      <c r="E4706" s="9" t="str">
        <f>_xlfn.TEXTAFTER(Condiciones_acumuladas[[#This Row],[Descripción]], " ", -2)</f>
        <v>Rolando Gómez</v>
      </c>
      <c r="F4706" s="21" t="s">
        <v>2522</v>
      </c>
      <c r="G4706" s="23">
        <v>46294</v>
      </c>
    </row>
    <row r="4707" spans="1:7" ht="24.5" x14ac:dyDescent="0.35">
      <c r="A4707" s="8">
        <v>13409</v>
      </c>
      <c r="B4707" s="10" t="s">
        <v>7259</v>
      </c>
      <c r="C4707" s="10" t="s">
        <v>134</v>
      </c>
      <c r="D4707" s="9" t="s">
        <v>134</v>
      </c>
      <c r="E4707" s="9" t="str">
        <f>_xlfn.TEXTAFTER(Condiciones_acumuladas[[#This Row],[Descripción]], " ", -2)</f>
        <v>Rolando Gómez</v>
      </c>
      <c r="F4707" s="21" t="s">
        <v>2522</v>
      </c>
      <c r="G4707" s="23">
        <v>46292</v>
      </c>
    </row>
    <row r="4708" spans="1:7" ht="48.5" x14ac:dyDescent="0.35">
      <c r="A4708" s="8">
        <v>13299</v>
      </c>
      <c r="B4708" s="10" t="s">
        <v>7260</v>
      </c>
      <c r="C4708" s="10" t="s">
        <v>234</v>
      </c>
      <c r="D4708" s="9" t="s">
        <v>234</v>
      </c>
      <c r="E4708" s="9" t="str">
        <f>_xlfn.TEXTAFTER(Condiciones_acumuladas[[#This Row],[Descripción]], " ", -2)</f>
        <v>Roy Luarca</v>
      </c>
      <c r="F4708" s="21" t="s">
        <v>2522</v>
      </c>
      <c r="G4708" s="23">
        <v>46285</v>
      </c>
    </row>
    <row r="4709" spans="1:7" ht="36.5" x14ac:dyDescent="0.35">
      <c r="A4709" s="8">
        <v>13300</v>
      </c>
      <c r="B4709" s="10" t="s">
        <v>7261</v>
      </c>
      <c r="C4709" s="10" t="s">
        <v>234</v>
      </c>
      <c r="D4709" s="9" t="s">
        <v>234</v>
      </c>
      <c r="E4709" s="9" t="str">
        <f>_xlfn.TEXTAFTER(Condiciones_acumuladas[[#This Row],[Descripción]], " ", -2)</f>
        <v>Roy Luarca</v>
      </c>
      <c r="F4709" s="21" t="s">
        <v>2522</v>
      </c>
      <c r="G4709" s="23">
        <v>46285</v>
      </c>
    </row>
    <row r="4710" spans="1:7" ht="48.5" x14ac:dyDescent="0.35">
      <c r="A4710" s="8">
        <v>13301</v>
      </c>
      <c r="B4710" s="10" t="s">
        <v>7262</v>
      </c>
      <c r="C4710" s="10" t="s">
        <v>234</v>
      </c>
      <c r="D4710" s="9" t="s">
        <v>234</v>
      </c>
      <c r="E4710" s="9" t="str">
        <f>_xlfn.TEXTAFTER(Condiciones_acumuladas[[#This Row],[Descripción]], " ", -2)</f>
        <v>Roy Luarca</v>
      </c>
      <c r="F4710" s="21" t="s">
        <v>2522</v>
      </c>
      <c r="G4710" s="23">
        <v>46285</v>
      </c>
    </row>
    <row r="4711" spans="1:7" ht="36.5" x14ac:dyDescent="0.35">
      <c r="A4711" s="8">
        <v>13315</v>
      </c>
      <c r="B4711" s="10" t="s">
        <v>7263</v>
      </c>
      <c r="C4711" s="10" t="s">
        <v>395</v>
      </c>
      <c r="D4711" s="9" t="s">
        <v>234</v>
      </c>
      <c r="E4711" s="9" t="str">
        <f>_xlfn.TEXTAFTER(Condiciones_acumuladas[[#This Row],[Descripción]], " ", -2)</f>
        <v>Roy Luarca</v>
      </c>
      <c r="F4711" s="21" t="s">
        <v>2525</v>
      </c>
      <c r="G4711" s="23">
        <v>46279</v>
      </c>
    </row>
    <row r="4712" spans="1:7" ht="36.5" x14ac:dyDescent="0.35">
      <c r="A4712" s="8">
        <v>13430</v>
      </c>
      <c r="B4712" s="10" t="s">
        <v>7264</v>
      </c>
      <c r="C4712" s="10" t="s">
        <v>234</v>
      </c>
      <c r="D4712" s="9" t="s">
        <v>234</v>
      </c>
      <c r="E4712" s="9" t="str">
        <f>_xlfn.TEXTAFTER(Condiciones_acumuladas[[#This Row],[Descripción]], " ", -2)</f>
        <v>Roy Luarca</v>
      </c>
      <c r="F4712" s="21" t="s">
        <v>2516</v>
      </c>
      <c r="G4712" s="23">
        <v>46294</v>
      </c>
    </row>
    <row r="4713" spans="1:7" ht="36.5" x14ac:dyDescent="0.35">
      <c r="A4713" s="8">
        <v>13227</v>
      </c>
      <c r="B4713" s="10" t="s">
        <v>7265</v>
      </c>
      <c r="C4713" s="10" t="s">
        <v>13</v>
      </c>
      <c r="D4713" s="9" t="s">
        <v>190</v>
      </c>
      <c r="E4713" s="9" t="str">
        <f>_xlfn.TEXTAFTER(Condiciones_acumuladas[[#This Row],[Descripción]], " ", -2)</f>
        <v>Walfred Guzmán</v>
      </c>
      <c r="F4713" s="21" t="s">
        <v>2572</v>
      </c>
      <c r="G4713" s="23">
        <v>46273</v>
      </c>
    </row>
    <row r="4714" spans="1:7" ht="36.5" x14ac:dyDescent="0.35">
      <c r="A4714" s="8">
        <v>13222</v>
      </c>
      <c r="B4714" s="10" t="s">
        <v>7266</v>
      </c>
      <c r="C4714" s="10" t="s">
        <v>190</v>
      </c>
      <c r="D4714" s="9" t="s">
        <v>190</v>
      </c>
      <c r="E4714" s="9" t="str">
        <f>_xlfn.TEXTAFTER(Condiciones_acumuladas[[#This Row],[Descripción]], " ", -2)</f>
        <v>Walfred Guzmán</v>
      </c>
      <c r="F4714" s="21" t="s">
        <v>2530</v>
      </c>
      <c r="G4714" s="23">
        <v>46272</v>
      </c>
    </row>
    <row r="4715" spans="1:7" ht="36.5" x14ac:dyDescent="0.35">
      <c r="A4715" s="8">
        <v>13317</v>
      </c>
      <c r="B4715" s="10" t="s">
        <v>7267</v>
      </c>
      <c r="C4715" s="10" t="s">
        <v>190</v>
      </c>
      <c r="D4715" s="9" t="s">
        <v>190</v>
      </c>
      <c r="E4715" s="9" t="str">
        <f>_xlfn.TEXTAFTER(Condiciones_acumuladas[[#This Row],[Descripción]], " ", -2)</f>
        <v>Walfred Guzmán</v>
      </c>
      <c r="F4715" s="21" t="s">
        <v>2715</v>
      </c>
      <c r="G4715" s="23">
        <v>46279</v>
      </c>
    </row>
    <row r="4716" spans="1:7" ht="24.5" x14ac:dyDescent="0.35">
      <c r="A4716" s="8">
        <v>13371</v>
      </c>
      <c r="B4716" s="10" t="s">
        <v>7268</v>
      </c>
      <c r="C4716" s="10" t="s">
        <v>26</v>
      </c>
      <c r="D4716" s="9" t="s">
        <v>190</v>
      </c>
      <c r="E4716" s="9" t="str">
        <f>_xlfn.TEXTAFTER(Condiciones_acumuladas[[#This Row],[Descripción]], " ", -2)</f>
        <v>Walfred Guzmán</v>
      </c>
      <c r="F4716" s="21" t="s">
        <v>2540</v>
      </c>
      <c r="G4716" s="23">
        <v>46290</v>
      </c>
    </row>
    <row r="4717" spans="1:7" ht="36.5" x14ac:dyDescent="0.35">
      <c r="A4717" s="8">
        <v>13233</v>
      </c>
      <c r="B4717" s="10" t="s">
        <v>7269</v>
      </c>
      <c r="C4717" s="10" t="s">
        <v>34</v>
      </c>
      <c r="D4717" s="9" t="s">
        <v>234</v>
      </c>
      <c r="E4717" s="9" t="str">
        <f>_xlfn.TEXTAFTER(Condiciones_acumuladas[[#This Row],[Descripción]], " ", -2)</f>
        <v>Wilber López</v>
      </c>
      <c r="F4717" s="21" t="s">
        <v>2522</v>
      </c>
      <c r="G4717" s="23">
        <v>46274</v>
      </c>
    </row>
    <row r="4718" spans="1:7" ht="36.5" x14ac:dyDescent="0.35">
      <c r="A4718" s="8">
        <v>13237</v>
      </c>
      <c r="B4718" s="10" t="s">
        <v>7270</v>
      </c>
      <c r="C4718" s="10" t="s">
        <v>395</v>
      </c>
      <c r="D4718" s="9" t="s">
        <v>104</v>
      </c>
      <c r="E4718" s="9" t="str">
        <f>_xlfn.TEXTAFTER(Condiciones_acumuladas[[#This Row],[Descripción]], " ", -2)</f>
        <v>Wilber López</v>
      </c>
      <c r="F4718" s="21" t="s">
        <v>2525</v>
      </c>
      <c r="G4718" s="23">
        <v>46274</v>
      </c>
    </row>
    <row r="4719" spans="1:7" ht="36.5" x14ac:dyDescent="0.35">
      <c r="A4719" s="8">
        <v>13457</v>
      </c>
      <c r="B4719" s="10" t="s">
        <v>7271</v>
      </c>
      <c r="C4719" s="10" t="s">
        <v>134</v>
      </c>
      <c r="D4719" s="9" t="s">
        <v>278</v>
      </c>
      <c r="E4719" s="9" t="str">
        <f>_xlfn.TEXTAFTER(Condiciones_acumuladas[[#This Row],[Descripción]], " ", -2)</f>
        <v>Fredy Fuentes</v>
      </c>
      <c r="F4719" s="21" t="s">
        <v>2572</v>
      </c>
      <c r="G4719" s="23">
        <v>46295</v>
      </c>
    </row>
    <row r="4720" spans="1:7" ht="36.5" x14ac:dyDescent="0.35">
      <c r="A4720" s="8">
        <v>13458</v>
      </c>
      <c r="B4720" s="10" t="s">
        <v>7272</v>
      </c>
      <c r="C4720" s="10" t="s">
        <v>134</v>
      </c>
      <c r="D4720" s="9" t="s">
        <v>278</v>
      </c>
      <c r="E4720" s="9" t="str">
        <f>_xlfn.TEXTAFTER(Condiciones_acumuladas[[#This Row],[Descripción]], " ", -2)</f>
        <v>Fredy Fuentes</v>
      </c>
      <c r="F4720" s="21" t="s">
        <v>2530</v>
      </c>
      <c r="G4720" s="23">
        <v>46295</v>
      </c>
    </row>
    <row r="4721" spans="1:7" ht="24.5" x14ac:dyDescent="0.35">
      <c r="A4721" s="8">
        <v>13456</v>
      </c>
      <c r="B4721" s="10" t="s">
        <v>7273</v>
      </c>
      <c r="C4721" s="10" t="s">
        <v>134</v>
      </c>
      <c r="D4721" s="9" t="s">
        <v>278</v>
      </c>
      <c r="E4721" s="9" t="str">
        <f>_xlfn.TEXTAFTER(Condiciones_acumuladas[[#This Row],[Descripción]], " ", -2)</f>
        <v>Fredy Fuentes</v>
      </c>
      <c r="F4721" s="21" t="s">
        <v>2540</v>
      </c>
      <c r="G4721" s="23">
        <v>46295</v>
      </c>
    </row>
    <row r="4722" spans="1:7" ht="24.5" x14ac:dyDescent="0.35">
      <c r="A4722" s="8">
        <v>13455</v>
      </c>
      <c r="B4722" s="10" t="s">
        <v>7274</v>
      </c>
      <c r="C4722" s="10" t="s">
        <v>134</v>
      </c>
      <c r="D4722" s="9" t="s">
        <v>278</v>
      </c>
      <c r="E4722" s="9" t="str">
        <f>_xlfn.TEXTAFTER(Condiciones_acumuladas[[#This Row],[Descripción]], " ", -2)</f>
        <v>Fredy Fuentes</v>
      </c>
      <c r="F4722" s="21" t="s">
        <v>2522</v>
      </c>
      <c r="G4722" s="23">
        <v>46295</v>
      </c>
    </row>
    <row r="4723" spans="1:7" ht="24.5" x14ac:dyDescent="0.35">
      <c r="A4723" s="8">
        <v>13452</v>
      </c>
      <c r="B4723" s="10" t="s">
        <v>6510</v>
      </c>
      <c r="C4723" s="10" t="s">
        <v>134</v>
      </c>
      <c r="D4723" s="9" t="s">
        <v>95</v>
      </c>
      <c r="E4723" s="9" t="str">
        <f>_xlfn.TEXTAFTER(Condiciones_acumuladas[[#This Row],[Descripción]], " ", -2)</f>
        <v>Nelson Godínez</v>
      </c>
      <c r="F4723" s="21" t="s">
        <v>2522</v>
      </c>
      <c r="G4723" s="23">
        <v>46295</v>
      </c>
    </row>
    <row r="4724" spans="1:7" ht="36.5" hidden="1" x14ac:dyDescent="0.35">
      <c r="A4724" s="8">
        <v>13460</v>
      </c>
      <c r="B4724" s="10" t="s">
        <v>7275</v>
      </c>
      <c r="C4724" s="10" t="s">
        <v>250</v>
      </c>
      <c r="D4724" s="9" t="s">
        <v>250</v>
      </c>
      <c r="E4724" s="9" t="str">
        <f>_xlfn.TEXTAFTER(Condiciones_acumuladas[[#This Row],[Descripción]], " ", -2)</f>
        <v>Edson Bonifacio</v>
      </c>
      <c r="F4724" s="21" t="s">
        <v>2834</v>
      </c>
      <c r="G4724" s="23">
        <v>46296</v>
      </c>
    </row>
    <row r="4725" spans="1:7" ht="48.5" hidden="1" x14ac:dyDescent="0.35">
      <c r="A4725" s="8">
        <v>13459</v>
      </c>
      <c r="B4725" s="10" t="s">
        <v>7276</v>
      </c>
      <c r="C4725" s="10" t="s">
        <v>250</v>
      </c>
      <c r="D4725" s="9" t="s">
        <v>250</v>
      </c>
      <c r="E4725" s="9" t="str">
        <f>_xlfn.TEXTAFTER(Condiciones_acumuladas[[#This Row],[Descripción]], " ", -2)</f>
        <v xml:space="preserve">Edson Bonifacio
</v>
      </c>
      <c r="F4725" s="21" t="s">
        <v>2516</v>
      </c>
      <c r="G4725" s="23">
        <v>46296</v>
      </c>
    </row>
    <row r="4726" spans="1:7" ht="36.5" hidden="1" x14ac:dyDescent="0.35">
      <c r="A4726" s="8">
        <v>13461</v>
      </c>
      <c r="B4726" s="10" t="s">
        <v>7277</v>
      </c>
      <c r="C4726" s="10" t="s">
        <v>250</v>
      </c>
      <c r="D4726" s="9" t="s">
        <v>250</v>
      </c>
      <c r="E4726" s="9" t="str">
        <f>_xlfn.TEXTAFTER(Condiciones_acumuladas[[#This Row],[Descripción]], " ", -2)</f>
        <v>Edson Bonifacio</v>
      </c>
      <c r="F4726" s="21" t="s">
        <v>2522</v>
      </c>
      <c r="G4726" s="23">
        <v>46296</v>
      </c>
    </row>
    <row r="4727" spans="1:7" ht="24.5" hidden="1" x14ac:dyDescent="0.35">
      <c r="A4727" s="8">
        <v>13491</v>
      </c>
      <c r="B4727" s="10" t="s">
        <v>7278</v>
      </c>
      <c r="C4727" s="10" t="s">
        <v>234</v>
      </c>
      <c r="D4727" s="9" t="s">
        <v>395</v>
      </c>
      <c r="E4727" s="9" t="str">
        <f>_xlfn.TEXTAFTER(Condiciones_acumuladas[[#This Row],[Descripción]], " ", -2)</f>
        <v>Línea 5.</v>
      </c>
      <c r="F4727" s="21" t="s">
        <v>2522</v>
      </c>
      <c r="G4727" s="23">
        <v>46303</v>
      </c>
    </row>
    <row r="4728" spans="1:7" ht="24.5" hidden="1" x14ac:dyDescent="0.35">
      <c r="A4728" s="8">
        <v>13490</v>
      </c>
      <c r="B4728" s="10" t="s">
        <v>7279</v>
      </c>
      <c r="C4728" s="10" t="s">
        <v>250</v>
      </c>
      <c r="D4728" s="9" t="s">
        <v>395</v>
      </c>
      <c r="E4728" s="9" t="str">
        <f>_xlfn.TEXTAFTER(Condiciones_acumuladas[[#This Row],[Descripción]], " ", -2)</f>
        <v>de calderas.</v>
      </c>
      <c r="F4728" s="21" t="s">
        <v>2522</v>
      </c>
      <c r="G4728" s="23">
        <v>46304</v>
      </c>
    </row>
    <row r="4729" spans="1:7" ht="24.5" hidden="1" x14ac:dyDescent="0.35">
      <c r="A4729" s="8">
        <v>13492</v>
      </c>
      <c r="B4729" s="10" t="s">
        <v>7280</v>
      </c>
      <c r="C4729" s="10" t="s">
        <v>937</v>
      </c>
      <c r="D4729" s="9" t="s">
        <v>395</v>
      </c>
      <c r="E4729" s="9" t="str">
        <f>_xlfn.TEXTAFTER(Condiciones_acumuladas[[#This Row],[Descripción]], " ", -2)</f>
        <v>de reciclaje.</v>
      </c>
      <c r="F4729" s="21" t="s">
        <v>2522</v>
      </c>
      <c r="G4729" s="23">
        <v>46303</v>
      </c>
    </row>
    <row r="4730" spans="1:7" ht="24.5" hidden="1" x14ac:dyDescent="0.35">
      <c r="A4730" s="8">
        <v>13528</v>
      </c>
      <c r="B4730" s="10" t="s">
        <v>7281</v>
      </c>
      <c r="C4730" s="10" t="s">
        <v>278</v>
      </c>
      <c r="D4730" s="9" t="s">
        <v>395</v>
      </c>
      <c r="E4730" s="9" t="str">
        <f>_xlfn.TEXTAFTER(Condiciones_acumuladas[[#This Row],[Descripción]], " ", -2)</f>
        <v>Daniel Pineda</v>
      </c>
      <c r="F4730" s="21" t="s">
        <v>2522</v>
      </c>
      <c r="G4730" s="23">
        <v>46304</v>
      </c>
    </row>
    <row r="4731" spans="1:7" ht="48.5" hidden="1" x14ac:dyDescent="0.35">
      <c r="A4731" s="8">
        <v>13530</v>
      </c>
      <c r="B4731" s="10" t="s">
        <v>7282</v>
      </c>
      <c r="C4731" s="10" t="s">
        <v>13</v>
      </c>
      <c r="D4731" s="9" t="s">
        <v>13</v>
      </c>
      <c r="E4731" s="9" t="str">
        <f>_xlfn.TEXTAFTER(Condiciones_acumuladas[[#This Row],[Descripción]], " ", -2)</f>
        <v>Oscar Ramírez</v>
      </c>
      <c r="F4731" s="21" t="s">
        <v>2559</v>
      </c>
      <c r="G4731" s="23">
        <v>46304</v>
      </c>
    </row>
    <row r="4732" spans="1:7" ht="24.5" hidden="1" x14ac:dyDescent="0.35">
      <c r="A4732" s="8">
        <v>13529</v>
      </c>
      <c r="B4732" s="10" t="s">
        <v>7283</v>
      </c>
      <c r="C4732" s="10" t="s">
        <v>278</v>
      </c>
      <c r="D4732" s="9" t="s">
        <v>395</v>
      </c>
      <c r="E4732" s="9" t="str">
        <f>_xlfn.TEXTAFTER(Condiciones_acumuladas[[#This Row],[Descripción]], " ", -2)</f>
        <v>Daniel Pineda</v>
      </c>
      <c r="F4732" s="21" t="s">
        <v>2522</v>
      </c>
      <c r="G4732" s="23">
        <v>46304</v>
      </c>
    </row>
    <row r="4733" spans="1:7" ht="24.5" hidden="1" x14ac:dyDescent="0.35">
      <c r="A4733" s="8">
        <v>13527</v>
      </c>
      <c r="B4733" s="10" t="s">
        <v>7284</v>
      </c>
      <c r="C4733" s="10" t="s">
        <v>278</v>
      </c>
      <c r="D4733" s="9" t="s">
        <v>395</v>
      </c>
      <c r="E4733" s="9" t="str">
        <f>_xlfn.TEXTAFTER(Condiciones_acumuladas[[#This Row],[Descripción]], " ", -2)</f>
        <v>Daniel Pineda</v>
      </c>
      <c r="F4733" s="21" t="s">
        <v>2522</v>
      </c>
      <c r="G4733" s="23">
        <v>46304</v>
      </c>
    </row>
    <row r="4734" spans="1:7" ht="24.5" hidden="1" x14ac:dyDescent="0.35">
      <c r="A4734" s="8">
        <v>13526</v>
      </c>
      <c r="B4734" s="10" t="s">
        <v>7285</v>
      </c>
      <c r="C4734" s="10" t="s">
        <v>937</v>
      </c>
      <c r="D4734" s="9" t="s">
        <v>395</v>
      </c>
      <c r="E4734" s="9" t="str">
        <f>_xlfn.TEXTAFTER(Condiciones_acumuladas[[#This Row],[Descripción]], " ", -2)</f>
        <v>Daniel Pineda</v>
      </c>
      <c r="F4734" s="21" t="s">
        <v>2540</v>
      </c>
      <c r="G4734" s="23">
        <v>46304</v>
      </c>
    </row>
    <row r="4735" spans="1:7" ht="24.5" hidden="1" x14ac:dyDescent="0.35">
      <c r="A4735" s="8">
        <v>13525</v>
      </c>
      <c r="B4735" s="10" t="s">
        <v>7286</v>
      </c>
      <c r="C4735" s="10" t="s">
        <v>13</v>
      </c>
      <c r="D4735" s="9" t="s">
        <v>13</v>
      </c>
      <c r="E4735" s="9" t="str">
        <f>_xlfn.TEXTAFTER(Condiciones_acumuladas[[#This Row],[Descripción]], " ", -2)</f>
        <v>Oscar Ramírez</v>
      </c>
      <c r="F4735" s="21" t="s">
        <v>2522</v>
      </c>
      <c r="G4735" s="23">
        <v>46304</v>
      </c>
    </row>
    <row r="4736" spans="1:7" ht="24.5" hidden="1" x14ac:dyDescent="0.35">
      <c r="A4736" s="8">
        <v>13524</v>
      </c>
      <c r="B4736" s="10" t="s">
        <v>7287</v>
      </c>
      <c r="C4736" s="10" t="s">
        <v>21</v>
      </c>
      <c r="D4736" s="9" t="s">
        <v>190</v>
      </c>
      <c r="E4736" s="9" t="str">
        <f>_xlfn.TEXTAFTER(Condiciones_acumuladas[[#This Row],[Descripción]], " ", -2)</f>
        <v>Walfred Guzmán</v>
      </c>
      <c r="F4736" s="21" t="s">
        <v>2540</v>
      </c>
      <c r="G4736" s="23">
        <v>46304</v>
      </c>
    </row>
    <row r="4737" spans="1:7" ht="36.5" hidden="1" x14ac:dyDescent="0.35">
      <c r="A4737" s="8">
        <v>13523</v>
      </c>
      <c r="B4737" s="10" t="s">
        <v>7288</v>
      </c>
      <c r="C4737" s="10" t="s">
        <v>34</v>
      </c>
      <c r="D4737" s="9" t="s">
        <v>395</v>
      </c>
      <c r="E4737" s="9" t="str">
        <f>_xlfn.TEXTAFTER(Condiciones_acumuladas[[#This Row],[Descripción]], " ", -2)</f>
        <v>Daniel Pineda</v>
      </c>
      <c r="F4737" s="21" t="s">
        <v>2525</v>
      </c>
      <c r="G4737" s="23">
        <v>46304</v>
      </c>
    </row>
    <row r="4738" spans="1:7" ht="24.5" hidden="1" x14ac:dyDescent="0.35">
      <c r="A4738" s="8">
        <v>13522</v>
      </c>
      <c r="B4738" s="10" t="s">
        <v>7289</v>
      </c>
      <c r="C4738" s="10" t="s">
        <v>250</v>
      </c>
      <c r="D4738" s="9" t="s">
        <v>250</v>
      </c>
      <c r="E4738" s="9" t="str">
        <f>_xlfn.TEXTAFTER(Condiciones_acumuladas[[#This Row],[Descripción]], " ", -2)</f>
        <v>Edson Bonifacio</v>
      </c>
      <c r="F4738" s="21" t="s">
        <v>2540</v>
      </c>
      <c r="G4738" s="23">
        <v>46304</v>
      </c>
    </row>
    <row r="4739" spans="1:7" ht="24.5" hidden="1" x14ac:dyDescent="0.35">
      <c r="A4739" s="8">
        <v>13520</v>
      </c>
      <c r="B4739" s="10" t="s">
        <v>7290</v>
      </c>
      <c r="C4739" s="10" t="s">
        <v>13</v>
      </c>
      <c r="D4739" s="9" t="s">
        <v>95</v>
      </c>
      <c r="E4739" s="9" t="str">
        <f>_xlfn.TEXTAFTER(Condiciones_acumuladas[[#This Row],[Descripción]], " ", -2)</f>
        <v>Luis Ángel</v>
      </c>
      <c r="F4739" s="21" t="s">
        <v>2522</v>
      </c>
      <c r="G4739" s="23">
        <v>46303</v>
      </c>
    </row>
    <row r="4740" spans="1:7" ht="36.5" hidden="1" x14ac:dyDescent="0.35">
      <c r="A4740" s="8">
        <v>13521</v>
      </c>
      <c r="B4740" s="10" t="s">
        <v>7291</v>
      </c>
      <c r="C4740" s="10" t="s">
        <v>193</v>
      </c>
      <c r="D4740" s="9" t="s">
        <v>104</v>
      </c>
      <c r="E4740" s="9" t="str">
        <f>_xlfn.TEXTAFTER(Condiciones_acumuladas[[#This Row],[Descripción]], " ", -2)</f>
        <v>Haydee Hernández</v>
      </c>
      <c r="F4740" s="21" t="s">
        <v>2540</v>
      </c>
      <c r="G4740" s="23">
        <v>46304</v>
      </c>
    </row>
    <row r="4741" spans="1:7" ht="36.5" hidden="1" x14ac:dyDescent="0.35">
      <c r="A4741" s="8">
        <v>13519</v>
      </c>
      <c r="B4741" s="10" t="s">
        <v>7292</v>
      </c>
      <c r="C4741" s="10" t="s">
        <v>134</v>
      </c>
      <c r="D4741" s="9" t="s">
        <v>395</v>
      </c>
      <c r="E4741" s="9" t="str">
        <f>_xlfn.TEXTAFTER(Condiciones_acumuladas[[#This Row],[Descripción]], " ", -2)</f>
        <v>Abraham Quiej</v>
      </c>
      <c r="F4741" s="21" t="s">
        <v>2516</v>
      </c>
      <c r="G4741" s="23">
        <v>46303</v>
      </c>
    </row>
    <row r="4742" spans="1:7" ht="24.5" hidden="1" x14ac:dyDescent="0.35">
      <c r="A4742" s="8">
        <v>13518</v>
      </c>
      <c r="B4742" s="10" t="s">
        <v>7293</v>
      </c>
      <c r="C4742" s="10" t="s">
        <v>96</v>
      </c>
      <c r="D4742" s="9" t="s">
        <v>96</v>
      </c>
      <c r="E4742" s="9" t="str">
        <f>_xlfn.TEXTAFTER(Condiciones_acumuladas[[#This Row],[Descripción]], " ", -2)</f>
        <v>Luis Pérez</v>
      </c>
      <c r="F4742" s="21" t="s">
        <v>2522</v>
      </c>
      <c r="G4742" s="23">
        <v>46303</v>
      </c>
    </row>
    <row r="4743" spans="1:7" ht="36.5" hidden="1" x14ac:dyDescent="0.35">
      <c r="A4743" s="8">
        <v>13517</v>
      </c>
      <c r="B4743" s="10" t="s">
        <v>7294</v>
      </c>
      <c r="C4743" s="10" t="s">
        <v>96</v>
      </c>
      <c r="D4743" s="9" t="s">
        <v>96</v>
      </c>
      <c r="E4743" s="9" t="str">
        <f>_xlfn.TEXTAFTER(Condiciones_acumuladas[[#This Row],[Descripción]], " ", -2)</f>
        <v>Luis Pérez</v>
      </c>
      <c r="F4743" s="21" t="s">
        <v>2516</v>
      </c>
      <c r="G4743" s="23">
        <v>46303</v>
      </c>
    </row>
    <row r="4744" spans="1:7" ht="48.5" hidden="1" x14ac:dyDescent="0.35">
      <c r="A4744" s="8">
        <v>13515</v>
      </c>
      <c r="B4744" s="10" t="s">
        <v>6737</v>
      </c>
      <c r="C4744" s="10" t="s">
        <v>104</v>
      </c>
      <c r="D4744" s="9" t="s">
        <v>95</v>
      </c>
      <c r="E4744" s="9" t="str">
        <f>_xlfn.TEXTAFTER(Condiciones_acumuladas[[#This Row],[Descripción]], " ", -2)</f>
        <v>Juan Hernández</v>
      </c>
      <c r="F4744" s="21" t="s">
        <v>2559</v>
      </c>
      <c r="G4744" s="23">
        <v>46302</v>
      </c>
    </row>
    <row r="4745" spans="1:7" ht="48.5" hidden="1" x14ac:dyDescent="0.35">
      <c r="A4745" s="8">
        <v>13516</v>
      </c>
      <c r="B4745" s="10" t="s">
        <v>7295</v>
      </c>
      <c r="C4745" s="10" t="s">
        <v>196</v>
      </c>
      <c r="D4745" s="9" t="s">
        <v>196</v>
      </c>
      <c r="E4745" s="9" t="str">
        <f>_xlfn.TEXTAFTER(Condiciones_acumuladas[[#This Row],[Descripción]], " ", -2)</f>
        <v>Kelly Calderón</v>
      </c>
      <c r="F4745" s="21" t="s">
        <v>2559</v>
      </c>
      <c r="G4745" s="23">
        <v>46302</v>
      </c>
    </row>
    <row r="4746" spans="1:7" ht="36.5" hidden="1" x14ac:dyDescent="0.35">
      <c r="A4746" s="8">
        <v>13513</v>
      </c>
      <c r="B4746" s="10" t="s">
        <v>7296</v>
      </c>
      <c r="C4746" s="10" t="s">
        <v>21</v>
      </c>
      <c r="D4746" s="9" t="s">
        <v>395</v>
      </c>
      <c r="E4746" s="9" t="str">
        <f>_xlfn.TEXTAFTER(Condiciones_acumuladas[[#This Row],[Descripción]], " ", -2)</f>
        <v>Bryan Barahona</v>
      </c>
      <c r="F4746" s="21" t="s">
        <v>2516</v>
      </c>
      <c r="G4746" s="23">
        <v>46302</v>
      </c>
    </row>
    <row r="4747" spans="1:7" ht="48.5" hidden="1" x14ac:dyDescent="0.35">
      <c r="A4747" s="8">
        <v>13514</v>
      </c>
      <c r="B4747" s="10" t="s">
        <v>7297</v>
      </c>
      <c r="C4747" s="10" t="s">
        <v>96</v>
      </c>
      <c r="D4747" s="9" t="s">
        <v>395</v>
      </c>
      <c r="E4747" s="9" t="str">
        <f>_xlfn.TEXTAFTER(Condiciones_acumuladas[[#This Row],[Descripción]], " ", -2)</f>
        <v>Bryan Barahona</v>
      </c>
      <c r="F4747" s="21" t="s">
        <v>2559</v>
      </c>
      <c r="G4747" s="23">
        <v>46302</v>
      </c>
    </row>
    <row r="4748" spans="1:7" ht="24.5" hidden="1" x14ac:dyDescent="0.35">
      <c r="A4748" s="8">
        <v>13512</v>
      </c>
      <c r="B4748" s="10" t="s">
        <v>7298</v>
      </c>
      <c r="C4748" s="10" t="s">
        <v>96</v>
      </c>
      <c r="D4748" s="9" t="s">
        <v>96</v>
      </c>
      <c r="E4748" s="9" t="str">
        <f>_xlfn.TEXTAFTER(Condiciones_acumuladas[[#This Row],[Descripción]], " ", -2)</f>
        <v>Carlos Poz</v>
      </c>
      <c r="F4748" s="21" t="s">
        <v>2537</v>
      </c>
      <c r="G4748" s="23">
        <v>46302</v>
      </c>
    </row>
    <row r="4749" spans="1:7" ht="24.5" hidden="1" x14ac:dyDescent="0.35">
      <c r="A4749" s="8">
        <v>13511</v>
      </c>
      <c r="B4749" s="10" t="s">
        <v>7299</v>
      </c>
      <c r="C4749" s="10" t="s">
        <v>13</v>
      </c>
      <c r="D4749" s="9" t="s">
        <v>13</v>
      </c>
      <c r="E4749" s="9" t="str">
        <f>_xlfn.TEXTAFTER(Condiciones_acumuladas[[#This Row],[Descripción]], " ", -2)</f>
        <v>Amilcar Ralda</v>
      </c>
      <c r="F4749" s="21" t="s">
        <v>2540</v>
      </c>
      <c r="G4749" s="23">
        <v>46302</v>
      </c>
    </row>
    <row r="4750" spans="1:7" ht="24.5" hidden="1" x14ac:dyDescent="0.35">
      <c r="A4750" s="8">
        <v>13510</v>
      </c>
      <c r="B4750" s="10" t="s">
        <v>7300</v>
      </c>
      <c r="C4750" s="10" t="s">
        <v>234</v>
      </c>
      <c r="D4750" s="9" t="s">
        <v>371</v>
      </c>
      <c r="E4750" s="9" t="str">
        <f>_xlfn.TEXTAFTER(Condiciones_acumuladas[[#This Row],[Descripción]], " ", -2)</f>
        <v>Rodrigo Galindo</v>
      </c>
      <c r="F4750" s="21" t="s">
        <v>2522</v>
      </c>
      <c r="G4750" s="23">
        <v>46302</v>
      </c>
    </row>
    <row r="4751" spans="1:7" ht="24.5" hidden="1" x14ac:dyDescent="0.35">
      <c r="A4751" s="8">
        <v>13509</v>
      </c>
      <c r="B4751" s="10" t="s">
        <v>7301</v>
      </c>
      <c r="C4751" s="10" t="s">
        <v>234</v>
      </c>
      <c r="D4751" s="9" t="s">
        <v>234</v>
      </c>
      <c r="E4751" s="9" t="str">
        <f>_xlfn.TEXTAFTER(Condiciones_acumuladas[[#This Row],[Descripción]], " ", -2)</f>
        <v>Roy Luarca</v>
      </c>
      <c r="F4751" s="21" t="s">
        <v>2522</v>
      </c>
      <c r="G4751" s="23">
        <v>46302</v>
      </c>
    </row>
    <row r="4752" spans="1:7" ht="36.5" hidden="1" x14ac:dyDescent="0.35">
      <c r="A4752" s="8">
        <v>13507</v>
      </c>
      <c r="B4752" s="10" t="s">
        <v>7302</v>
      </c>
      <c r="C4752" s="10" t="s">
        <v>21</v>
      </c>
      <c r="D4752" s="9" t="s">
        <v>395</v>
      </c>
      <c r="E4752" s="9" t="str">
        <f>_xlfn.TEXTAFTER(Condiciones_acumuladas[[#This Row],[Descripción]], " ", -2)</f>
        <v>German Orozco</v>
      </c>
      <c r="F4752" s="21" t="s">
        <v>2522</v>
      </c>
      <c r="G4752" s="23">
        <v>46302</v>
      </c>
    </row>
    <row r="4753" spans="1:7" ht="24.5" hidden="1" x14ac:dyDescent="0.35">
      <c r="A4753" s="8">
        <v>13506</v>
      </c>
      <c r="B4753" s="10" t="s">
        <v>7303</v>
      </c>
      <c r="C4753" s="10" t="s">
        <v>96</v>
      </c>
      <c r="D4753" s="9" t="s">
        <v>96</v>
      </c>
      <c r="E4753" s="9" t="str">
        <f>_xlfn.TEXTAFTER(Condiciones_acumuladas[[#This Row],[Descripción]], " ", -2)</f>
        <v>Luis Pérez</v>
      </c>
      <c r="F4753" s="21" t="s">
        <v>2540</v>
      </c>
      <c r="G4753" s="23">
        <v>46302</v>
      </c>
    </row>
    <row r="4754" spans="1:7" ht="36.5" hidden="1" x14ac:dyDescent="0.35">
      <c r="A4754" s="8">
        <v>13505</v>
      </c>
      <c r="B4754" s="10" t="s">
        <v>7304</v>
      </c>
      <c r="C4754" s="10" t="s">
        <v>196</v>
      </c>
      <c r="D4754" s="9" t="s">
        <v>395</v>
      </c>
      <c r="E4754" s="9" t="str">
        <f>_xlfn.TEXTAFTER(Condiciones_acumuladas[[#This Row],[Descripción]], " ", -2)</f>
        <v>Josué Vásquez</v>
      </c>
      <c r="F4754" s="21" t="s">
        <v>2530</v>
      </c>
      <c r="G4754" s="23">
        <v>46302</v>
      </c>
    </row>
    <row r="4755" spans="1:7" ht="36.5" hidden="1" x14ac:dyDescent="0.35">
      <c r="A4755" s="8">
        <v>13503</v>
      </c>
      <c r="B4755" s="10" t="s">
        <v>7305</v>
      </c>
      <c r="C4755" s="10" t="s">
        <v>21</v>
      </c>
      <c r="D4755" s="9" t="s">
        <v>21</v>
      </c>
      <c r="E4755" s="9" t="str">
        <f>_xlfn.TEXTAFTER(Condiciones_acumuladas[[#This Row],[Descripción]], " ", -2)</f>
        <v>Oscar Ramírez</v>
      </c>
      <c r="F4755" s="21" t="s">
        <v>2516</v>
      </c>
      <c r="G4755" s="23">
        <v>46302</v>
      </c>
    </row>
    <row r="4756" spans="1:7" ht="24.5" hidden="1" x14ac:dyDescent="0.35">
      <c r="A4756" s="8">
        <v>13504</v>
      </c>
      <c r="B4756" s="10" t="s">
        <v>7306</v>
      </c>
      <c r="C4756" s="10" t="s">
        <v>196</v>
      </c>
      <c r="D4756" s="9" t="s">
        <v>21</v>
      </c>
      <c r="E4756" s="9" t="str">
        <f>_xlfn.TEXTAFTER(Condiciones_acumuladas[[#This Row],[Descripción]], " ", -2)</f>
        <v>Oscar Ramírez</v>
      </c>
      <c r="F4756" s="21" t="s">
        <v>2522</v>
      </c>
      <c r="G4756" s="23">
        <v>46302</v>
      </c>
    </row>
    <row r="4757" spans="1:7" ht="36.5" hidden="1" x14ac:dyDescent="0.35">
      <c r="A4757" s="8">
        <v>13499</v>
      </c>
      <c r="B4757" s="10" t="s">
        <v>7307</v>
      </c>
      <c r="C4757" s="10" t="s">
        <v>96</v>
      </c>
      <c r="D4757" s="9" t="s">
        <v>395</v>
      </c>
      <c r="E4757" s="9" t="str">
        <f>_xlfn.TEXTAFTER(Condiciones_acumuladas[[#This Row],[Descripción]], " ", -2)</f>
        <v>Daniel Pineda</v>
      </c>
      <c r="F4757" s="21" t="s">
        <v>2530</v>
      </c>
      <c r="G4757" s="23">
        <v>46301</v>
      </c>
    </row>
    <row r="4758" spans="1:7" ht="36.5" hidden="1" x14ac:dyDescent="0.35">
      <c r="A4758" s="8">
        <v>13502</v>
      </c>
      <c r="B4758" s="10" t="s">
        <v>7308</v>
      </c>
      <c r="C4758" s="10" t="s">
        <v>104</v>
      </c>
      <c r="D4758" s="9" t="s">
        <v>21</v>
      </c>
      <c r="E4758" s="9" t="str">
        <f>_xlfn.TEXTAFTER(Condiciones_acumuladas[[#This Row],[Descripción]], " ", -2)</f>
        <v>Oscar Ramírez</v>
      </c>
      <c r="F4758" s="21" t="s">
        <v>2530</v>
      </c>
      <c r="G4758" s="23">
        <v>46302</v>
      </c>
    </row>
    <row r="4759" spans="1:7" ht="36.5" hidden="1" x14ac:dyDescent="0.35">
      <c r="A4759" s="8">
        <v>13498</v>
      </c>
      <c r="B4759" s="10" t="s">
        <v>7309</v>
      </c>
      <c r="C4759" s="10" t="s">
        <v>96</v>
      </c>
      <c r="D4759" s="9" t="s">
        <v>395</v>
      </c>
      <c r="E4759" s="9" t="str">
        <f>_xlfn.TEXTAFTER(Condiciones_acumuladas[[#This Row],[Descripción]], " ", -2)</f>
        <v>Daniel Pineda</v>
      </c>
      <c r="F4759" s="21" t="s">
        <v>2530</v>
      </c>
      <c r="G4759" s="23">
        <v>46301</v>
      </c>
    </row>
    <row r="4760" spans="1:7" ht="24.5" hidden="1" x14ac:dyDescent="0.35">
      <c r="A4760" s="8">
        <v>13495</v>
      </c>
      <c r="B4760" s="10" t="s">
        <v>7310</v>
      </c>
      <c r="C4760" s="10" t="s">
        <v>21</v>
      </c>
      <c r="D4760" s="9" t="s">
        <v>21</v>
      </c>
      <c r="E4760" s="9" t="str">
        <f>_xlfn.TEXTAFTER(Condiciones_acumuladas[[#This Row],[Descripción]], " ", -2)</f>
        <v>Oscar Ramírez</v>
      </c>
      <c r="F4760" s="21" t="s">
        <v>2522</v>
      </c>
      <c r="G4760" s="23">
        <v>46301</v>
      </c>
    </row>
    <row r="4761" spans="1:7" ht="24.5" hidden="1" x14ac:dyDescent="0.35">
      <c r="A4761" s="8">
        <v>13493</v>
      </c>
      <c r="B4761" s="10" t="s">
        <v>7311</v>
      </c>
      <c r="C4761" s="10" t="s">
        <v>13</v>
      </c>
      <c r="D4761" s="9" t="s">
        <v>13</v>
      </c>
      <c r="E4761" s="9" t="str">
        <f>_xlfn.TEXTAFTER(Condiciones_acumuladas[[#This Row],[Descripción]], " ", -2)</f>
        <v>Oscar Ramírez</v>
      </c>
      <c r="F4761" s="21" t="s">
        <v>2540</v>
      </c>
      <c r="G4761" s="23">
        <v>46301</v>
      </c>
    </row>
    <row r="4762" spans="1:7" ht="36.5" hidden="1" x14ac:dyDescent="0.35">
      <c r="A4762" s="8">
        <v>13487</v>
      </c>
      <c r="B4762" s="10" t="s">
        <v>7312</v>
      </c>
      <c r="C4762" s="10" t="s">
        <v>34</v>
      </c>
      <c r="D4762" s="9" t="s">
        <v>395</v>
      </c>
      <c r="E4762" s="9" t="str">
        <f>_xlfn.TEXTAFTER(Condiciones_acumuladas[[#This Row],[Descripción]], " ", -2)</f>
        <v>antiderrame incompleto</v>
      </c>
      <c r="F4762" s="21" t="s">
        <v>2715</v>
      </c>
      <c r="G4762" s="23">
        <v>46304</v>
      </c>
    </row>
    <row r="4763" spans="1:7" ht="24.5" hidden="1" x14ac:dyDescent="0.35">
      <c r="A4763" s="8">
        <v>13485</v>
      </c>
      <c r="B4763" s="10" t="s">
        <v>7313</v>
      </c>
      <c r="C4763" s="10" t="s">
        <v>250</v>
      </c>
      <c r="D4763" s="9" t="s">
        <v>21</v>
      </c>
      <c r="E4763" s="9" t="str">
        <f>_xlfn.TEXTAFTER(Condiciones_acumuladas[[#This Row],[Descripción]], " ", -2)</f>
        <v>Oscar Ramírez</v>
      </c>
      <c r="F4763" s="21" t="s">
        <v>2522</v>
      </c>
      <c r="G4763" s="23">
        <v>46301</v>
      </c>
    </row>
    <row r="4764" spans="1:7" ht="36.5" hidden="1" x14ac:dyDescent="0.35">
      <c r="A4764" s="8">
        <v>13501</v>
      </c>
      <c r="B4764" s="10" t="s">
        <v>7314</v>
      </c>
      <c r="C4764" s="10" t="s">
        <v>96</v>
      </c>
      <c r="D4764" s="9" t="s">
        <v>395</v>
      </c>
      <c r="E4764" s="9" t="str">
        <f>_xlfn.TEXTAFTER(Condiciones_acumuladas[[#This Row],[Descripción]], " ", -2)</f>
        <v>Daniel Pineda</v>
      </c>
      <c r="F4764" s="21" t="s">
        <v>2530</v>
      </c>
      <c r="G4764" s="23">
        <v>46301</v>
      </c>
    </row>
    <row r="4765" spans="1:7" ht="24.5" hidden="1" x14ac:dyDescent="0.35">
      <c r="A4765" s="8">
        <v>13496</v>
      </c>
      <c r="B4765" s="10" t="s">
        <v>7315</v>
      </c>
      <c r="C4765" s="10" t="s">
        <v>196</v>
      </c>
      <c r="D4765" s="9" t="s">
        <v>395</v>
      </c>
      <c r="E4765" s="9" t="str">
        <f>_xlfn.TEXTAFTER(Condiciones_acumuladas[[#This Row],[Descripción]], " ", -2)</f>
        <v>Daniel Pineda</v>
      </c>
      <c r="F4765" s="21" t="s">
        <v>2522</v>
      </c>
      <c r="G4765" s="23">
        <v>46301</v>
      </c>
    </row>
    <row r="4766" spans="1:7" ht="24.5" hidden="1" x14ac:dyDescent="0.35">
      <c r="A4766" s="8">
        <v>13500</v>
      </c>
      <c r="B4766" s="10" t="s">
        <v>7316</v>
      </c>
      <c r="C4766" s="10" t="s">
        <v>96</v>
      </c>
      <c r="D4766" s="9" t="s">
        <v>96</v>
      </c>
      <c r="E4766" s="9" t="str">
        <f>_xlfn.TEXTAFTER(Condiciones_acumuladas[[#This Row],[Descripción]], " ", -2)</f>
        <v>Daniel Pineda</v>
      </c>
      <c r="F4766" s="21" t="s">
        <v>2834</v>
      </c>
      <c r="G4766" s="23">
        <v>46301</v>
      </c>
    </row>
    <row r="4767" spans="1:7" ht="48.5" hidden="1" x14ac:dyDescent="0.35">
      <c r="A4767" s="8">
        <v>13494</v>
      </c>
      <c r="B4767" s="10" t="s">
        <v>7317</v>
      </c>
      <c r="C4767" s="10" t="s">
        <v>278</v>
      </c>
      <c r="D4767" s="9" t="s">
        <v>190</v>
      </c>
      <c r="E4767" s="9" t="str">
        <f>_xlfn.TEXTAFTER(Condiciones_acumuladas[[#This Row],[Descripción]], " ", -2)</f>
        <v>Walfred Guzmán</v>
      </c>
      <c r="F4767" s="21" t="s">
        <v>2559</v>
      </c>
      <c r="G4767" s="23">
        <v>46301</v>
      </c>
    </row>
    <row r="4768" spans="1:7" ht="36.5" hidden="1" x14ac:dyDescent="0.35">
      <c r="A4768" s="8">
        <v>13488</v>
      </c>
      <c r="B4768" s="10" t="s">
        <v>7312</v>
      </c>
      <c r="C4768" s="10" t="s">
        <v>250</v>
      </c>
      <c r="D4768" s="9" t="s">
        <v>395</v>
      </c>
      <c r="E4768" s="9" t="str">
        <f>_xlfn.TEXTAFTER(Condiciones_acumuladas[[#This Row],[Descripción]], " ", -2)</f>
        <v>antiderrame incompleto</v>
      </c>
      <c r="F4768" s="21" t="s">
        <v>2715</v>
      </c>
      <c r="G4768" s="23">
        <v>46304</v>
      </c>
    </row>
    <row r="4769" spans="1:7" ht="24.5" hidden="1" x14ac:dyDescent="0.35">
      <c r="A4769" s="8">
        <v>13486</v>
      </c>
      <c r="B4769" s="10" t="s">
        <v>7318</v>
      </c>
      <c r="C4769" s="10" t="s">
        <v>13</v>
      </c>
      <c r="D4769" s="9" t="s">
        <v>95</v>
      </c>
      <c r="E4769" s="9" t="str">
        <f>_xlfn.TEXTAFTER(Condiciones_acumuladas[[#This Row],[Descripción]], " ", -2)</f>
        <v>Nelson Godínez</v>
      </c>
      <c r="F4769" s="21" t="s">
        <v>2522</v>
      </c>
      <c r="G4769" s="23">
        <v>46301</v>
      </c>
    </row>
    <row r="4770" spans="1:7" ht="24.5" hidden="1" x14ac:dyDescent="0.35">
      <c r="A4770" s="8">
        <v>13484</v>
      </c>
      <c r="B4770" s="10" t="s">
        <v>7319</v>
      </c>
      <c r="C4770" s="10" t="s">
        <v>96</v>
      </c>
      <c r="D4770" s="9" t="s">
        <v>96</v>
      </c>
      <c r="E4770" s="9" t="str">
        <f>_xlfn.TEXTAFTER(Condiciones_acumuladas[[#This Row],[Descripción]], " ", -2)</f>
        <v>Isabel Saquilá</v>
      </c>
      <c r="F4770" s="21" t="s">
        <v>2540</v>
      </c>
      <c r="G4770" s="23">
        <v>46301</v>
      </c>
    </row>
    <row r="4771" spans="1:7" ht="24.5" hidden="1" x14ac:dyDescent="0.35">
      <c r="A4771" s="8">
        <v>13483</v>
      </c>
      <c r="B4771" s="10" t="s">
        <v>7320</v>
      </c>
      <c r="C4771" s="10" t="s">
        <v>21</v>
      </c>
      <c r="D4771" s="9" t="s">
        <v>395</v>
      </c>
      <c r="E4771" s="9" t="str">
        <f>_xlfn.TEXTAFTER(Condiciones_acumuladas[[#This Row],[Descripción]], " ", -2)</f>
        <v>Abraham Quiej</v>
      </c>
      <c r="F4771" s="21" t="s">
        <v>2522</v>
      </c>
      <c r="G4771" s="23">
        <v>46300</v>
      </c>
    </row>
    <row r="4772" spans="1:7" ht="36.5" hidden="1" x14ac:dyDescent="0.35">
      <c r="A4772" s="8">
        <v>13481</v>
      </c>
      <c r="B4772" s="10" t="s">
        <v>7321</v>
      </c>
      <c r="C4772" s="10" t="s">
        <v>196</v>
      </c>
      <c r="D4772" s="9" t="s">
        <v>96</v>
      </c>
      <c r="E4772" s="9" t="str">
        <f>_xlfn.TEXTAFTER(Condiciones_acumuladas[[#This Row],[Descripción]], " ", -2)</f>
        <v>Isabel Saquilá</v>
      </c>
      <c r="F4772" s="21" t="s">
        <v>2537</v>
      </c>
      <c r="G4772" s="23">
        <v>46297</v>
      </c>
    </row>
    <row r="4773" spans="1:7" ht="36.5" hidden="1" x14ac:dyDescent="0.35">
      <c r="A4773" s="8">
        <v>13482</v>
      </c>
      <c r="B4773" s="10" t="s">
        <v>7322</v>
      </c>
      <c r="C4773" s="10" t="s">
        <v>196</v>
      </c>
      <c r="D4773" s="9" t="s">
        <v>196</v>
      </c>
      <c r="E4773" s="9" t="str">
        <f>_xlfn.TEXTAFTER(Condiciones_acumuladas[[#This Row],[Descripción]], " ", -2)</f>
        <v>Kelly Calderón</v>
      </c>
      <c r="F4773" s="21" t="s">
        <v>2516</v>
      </c>
      <c r="G4773" s="23">
        <v>46300</v>
      </c>
    </row>
    <row r="4774" spans="1:7" ht="24.5" hidden="1" x14ac:dyDescent="0.35">
      <c r="A4774" s="8">
        <v>13480</v>
      </c>
      <c r="B4774" s="10" t="s">
        <v>7323</v>
      </c>
      <c r="C4774" s="10" t="s">
        <v>13</v>
      </c>
      <c r="D4774" s="9" t="s">
        <v>95</v>
      </c>
      <c r="E4774" s="9" t="str">
        <f>_xlfn.TEXTAFTER(Condiciones_acumuladas[[#This Row],[Descripción]], " ", -2)</f>
        <v>Nelson Godínez</v>
      </c>
      <c r="F4774" s="21" t="s">
        <v>2522</v>
      </c>
      <c r="G4774" s="23">
        <v>46297</v>
      </c>
    </row>
    <row r="4775" spans="1:7" ht="24.5" hidden="1" x14ac:dyDescent="0.35">
      <c r="A4775" s="8">
        <v>13479</v>
      </c>
      <c r="B4775" s="10" t="s">
        <v>7324</v>
      </c>
      <c r="C4775" s="10" t="s">
        <v>104</v>
      </c>
      <c r="D4775" s="9" t="s">
        <v>104</v>
      </c>
      <c r="E4775" s="9" t="str">
        <f>_xlfn.TEXTAFTER(Condiciones_acumuladas[[#This Row],[Descripción]], " ", -2)</f>
        <v>Rolando Gómez</v>
      </c>
      <c r="F4775" s="21" t="s">
        <v>2522</v>
      </c>
      <c r="G4775" s="23">
        <v>46297</v>
      </c>
    </row>
    <row r="4776" spans="1:7" ht="24.5" hidden="1" x14ac:dyDescent="0.35">
      <c r="A4776" s="8">
        <v>13478</v>
      </c>
      <c r="B4776" s="10" t="s">
        <v>7325</v>
      </c>
      <c r="C4776" s="10" t="s">
        <v>21</v>
      </c>
      <c r="D4776" s="9" t="s">
        <v>21</v>
      </c>
      <c r="E4776" s="9" t="str">
        <f>_xlfn.TEXTAFTER(Condiciones_acumuladas[[#This Row],[Descripción]], " ", -2)</f>
        <v>Rolando Gómez</v>
      </c>
      <c r="F4776" s="21" t="s">
        <v>2522</v>
      </c>
      <c r="G4776" s="23">
        <v>46297</v>
      </c>
    </row>
    <row r="4777" spans="1:7" ht="24.5" hidden="1" x14ac:dyDescent="0.35">
      <c r="A4777" s="8">
        <v>13477</v>
      </c>
      <c r="B4777" s="10" t="s">
        <v>7326</v>
      </c>
      <c r="C4777" s="10" t="s">
        <v>196</v>
      </c>
      <c r="D4777" s="9" t="s">
        <v>196</v>
      </c>
      <c r="E4777" s="9" t="str">
        <f>_xlfn.TEXTAFTER(Condiciones_acumuladas[[#This Row],[Descripción]], " ", -2)</f>
        <v>Kelly Calderón</v>
      </c>
      <c r="F4777" s="21" t="s">
        <v>2522</v>
      </c>
      <c r="G4777" s="23">
        <v>46297</v>
      </c>
    </row>
    <row r="4778" spans="1:7" ht="24.5" hidden="1" x14ac:dyDescent="0.35">
      <c r="A4778" s="8">
        <v>13476</v>
      </c>
      <c r="B4778" s="10" t="s">
        <v>7327</v>
      </c>
      <c r="C4778" s="10" t="s">
        <v>96</v>
      </c>
      <c r="D4778" s="9" t="s">
        <v>395</v>
      </c>
      <c r="E4778" s="9" t="str">
        <f>_xlfn.TEXTAFTER(Condiciones_acumuladas[[#This Row],[Descripción]], " ", -2)</f>
        <v>Bryan Barahona</v>
      </c>
      <c r="F4778" s="21" t="s">
        <v>2834</v>
      </c>
      <c r="G4778" s="23">
        <v>46297</v>
      </c>
    </row>
  </sheetData>
  <mergeCells count="1">
    <mergeCell ref="A2: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4F9E-9449-40CE-A815-06303EB08908}">
  <dimension ref="A1"/>
  <sheetViews>
    <sheetView zoomScale="40" zoomScaleNormal="40" workbookViewId="0">
      <selection activeCell="N21" sqref="N21"/>
    </sheetView>
  </sheetViews>
  <sheetFormatPr baseColWidth="10" defaultColWidth="11.4531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44FD-4B6B-4181-A0D2-DF8A6387A92B}">
  <dimension ref="A2:L14"/>
  <sheetViews>
    <sheetView topLeftCell="G1" workbookViewId="0">
      <selection activeCell="E23" sqref="E23"/>
    </sheetView>
  </sheetViews>
  <sheetFormatPr baseColWidth="10" defaultColWidth="11.453125" defaultRowHeight="14.5" x14ac:dyDescent="0.35"/>
  <cols>
    <col min="1" max="1" width="5.54296875" customWidth="1"/>
    <col min="2" max="2" width="14" customWidth="1"/>
    <col min="4" max="4" width="14.453125" customWidth="1"/>
    <col min="5" max="5" width="23.26953125" customWidth="1"/>
    <col min="6" max="6" width="13.81640625" customWidth="1"/>
    <col min="7" max="7" width="12.81640625" customWidth="1"/>
    <col min="8" max="9" width="26.81640625" customWidth="1"/>
    <col min="10" max="10" width="15.453125" customWidth="1"/>
    <col min="11" max="11" width="13.26953125" customWidth="1"/>
    <col min="12" max="12" width="161.1796875" customWidth="1"/>
  </cols>
  <sheetData>
    <row r="2" spans="1:12" s="19" customFormat="1" ht="43.5" x14ac:dyDescent="0.35">
      <c r="A2" s="19" t="s">
        <v>2509</v>
      </c>
      <c r="B2" s="19" t="s">
        <v>7328</v>
      </c>
      <c r="C2" s="19" t="s">
        <v>7329</v>
      </c>
      <c r="D2" s="19" t="s">
        <v>7330</v>
      </c>
      <c r="E2" s="19" t="s">
        <v>7331</v>
      </c>
      <c r="F2" s="19" t="s">
        <v>7332</v>
      </c>
      <c r="G2" s="19" t="s">
        <v>7333</v>
      </c>
      <c r="H2" s="19" t="s">
        <v>7334</v>
      </c>
      <c r="I2" s="19" t="s">
        <v>7335</v>
      </c>
      <c r="J2" s="19" t="s">
        <v>7336</v>
      </c>
      <c r="K2" s="19" t="s">
        <v>7337</v>
      </c>
      <c r="L2" s="19" t="s">
        <v>7338</v>
      </c>
    </row>
    <row r="3" spans="1:12" x14ac:dyDescent="0.35">
      <c r="A3" s="17">
        <v>1</v>
      </c>
      <c r="B3" s="18">
        <v>45428</v>
      </c>
      <c r="C3" t="s">
        <v>7339</v>
      </c>
      <c r="D3" t="s">
        <v>7340</v>
      </c>
      <c r="E3" s="17" t="s">
        <v>1151</v>
      </c>
      <c r="F3" s="17" t="s">
        <v>7341</v>
      </c>
      <c r="G3" t="s">
        <v>7342</v>
      </c>
      <c r="H3" t="s">
        <v>7343</v>
      </c>
      <c r="I3" t="s">
        <v>7344</v>
      </c>
      <c r="J3" t="s">
        <v>7345</v>
      </c>
      <c r="K3">
        <v>10</v>
      </c>
      <c r="L3" t="s">
        <v>7346</v>
      </c>
    </row>
    <row r="4" spans="1:12" x14ac:dyDescent="0.35">
      <c r="A4" s="17">
        <v>2</v>
      </c>
      <c r="B4" s="18">
        <v>45626</v>
      </c>
      <c r="C4" t="s">
        <v>7347</v>
      </c>
      <c r="D4" t="s">
        <v>250</v>
      </c>
      <c r="E4" s="17" t="s">
        <v>7348</v>
      </c>
      <c r="F4" s="17" t="s">
        <v>7341</v>
      </c>
      <c r="G4" t="s">
        <v>7342</v>
      </c>
      <c r="H4" t="s">
        <v>7343</v>
      </c>
      <c r="I4" t="s">
        <v>7344</v>
      </c>
      <c r="J4" t="s">
        <v>7345</v>
      </c>
      <c r="K4">
        <v>0</v>
      </c>
      <c r="L4" t="s">
        <v>7349</v>
      </c>
    </row>
    <row r="5" spans="1:12" x14ac:dyDescent="0.35">
      <c r="A5" s="17">
        <v>3</v>
      </c>
      <c r="B5" s="18">
        <v>45700</v>
      </c>
      <c r="C5" t="s">
        <v>7350</v>
      </c>
      <c r="D5" t="s">
        <v>26</v>
      </c>
      <c r="E5" s="17" t="s">
        <v>7351</v>
      </c>
      <c r="F5" s="17" t="s">
        <v>7341</v>
      </c>
      <c r="G5" t="s">
        <v>7352</v>
      </c>
      <c r="H5" t="s">
        <v>7343</v>
      </c>
      <c r="I5" t="s">
        <v>7344</v>
      </c>
      <c r="J5" t="s">
        <v>7345</v>
      </c>
      <c r="K5">
        <v>0</v>
      </c>
      <c r="L5" t="s">
        <v>7353</v>
      </c>
    </row>
    <row r="6" spans="1:12" x14ac:dyDescent="0.35">
      <c r="A6" s="17">
        <v>4</v>
      </c>
      <c r="B6" s="18">
        <v>45715</v>
      </c>
      <c r="C6" t="s">
        <v>7350</v>
      </c>
      <c r="D6" t="s">
        <v>193</v>
      </c>
      <c r="E6" s="17" t="s">
        <v>7354</v>
      </c>
      <c r="F6" s="17" t="s">
        <v>7341</v>
      </c>
      <c r="G6" t="s">
        <v>7342</v>
      </c>
      <c r="H6" t="s">
        <v>7355</v>
      </c>
      <c r="I6" t="s">
        <v>7344</v>
      </c>
      <c r="J6" t="s">
        <v>7356</v>
      </c>
      <c r="L6" t="s">
        <v>7357</v>
      </c>
    </row>
    <row r="7" spans="1:12" x14ac:dyDescent="0.35">
      <c r="A7" s="17">
        <v>5</v>
      </c>
      <c r="B7" s="18">
        <v>45771</v>
      </c>
      <c r="C7" t="s">
        <v>7358</v>
      </c>
      <c r="D7" t="s">
        <v>21</v>
      </c>
      <c r="E7" s="17" t="s">
        <v>7359</v>
      </c>
      <c r="F7" s="17" t="s">
        <v>7341</v>
      </c>
      <c r="G7" t="s">
        <v>7360</v>
      </c>
      <c r="H7" t="s">
        <v>7361</v>
      </c>
      <c r="I7" t="s">
        <v>7344</v>
      </c>
      <c r="J7" t="s">
        <v>7362</v>
      </c>
      <c r="K7">
        <v>0</v>
      </c>
      <c r="L7" t="s">
        <v>7363</v>
      </c>
    </row>
    <row r="8" spans="1:12" x14ac:dyDescent="0.35">
      <c r="A8" s="17">
        <v>6</v>
      </c>
      <c r="B8" s="18">
        <v>45799</v>
      </c>
      <c r="C8" t="s">
        <v>7339</v>
      </c>
      <c r="D8" t="s">
        <v>7364</v>
      </c>
      <c r="E8" s="17" t="s">
        <v>7344</v>
      </c>
      <c r="F8" s="17" t="s">
        <v>7365</v>
      </c>
      <c r="G8" t="s">
        <v>7344</v>
      </c>
      <c r="H8" t="s">
        <v>7344</v>
      </c>
      <c r="I8" t="s">
        <v>7366</v>
      </c>
      <c r="J8" t="s">
        <v>7344</v>
      </c>
      <c r="K8" t="s">
        <v>7344</v>
      </c>
      <c r="L8" t="s">
        <v>7367</v>
      </c>
    </row>
    <row r="9" spans="1:12" x14ac:dyDescent="0.35">
      <c r="A9" s="17">
        <v>7</v>
      </c>
      <c r="B9" s="18">
        <v>45688</v>
      </c>
      <c r="C9" t="s">
        <v>7368</v>
      </c>
      <c r="D9" t="s">
        <v>371</v>
      </c>
      <c r="E9" s="17" t="s">
        <v>7344</v>
      </c>
      <c r="F9" s="17" t="s">
        <v>7365</v>
      </c>
      <c r="G9" t="s">
        <v>7344</v>
      </c>
      <c r="H9" t="s">
        <v>7344</v>
      </c>
      <c r="I9" t="s">
        <v>7369</v>
      </c>
      <c r="J9" t="s">
        <v>7344</v>
      </c>
      <c r="K9" t="s">
        <v>7344</v>
      </c>
      <c r="L9" t="s">
        <v>7370</v>
      </c>
    </row>
    <row r="10" spans="1:12" x14ac:dyDescent="0.35">
      <c r="A10" s="17">
        <v>8</v>
      </c>
      <c r="B10" s="18">
        <v>45736</v>
      </c>
      <c r="C10" t="s">
        <v>7371</v>
      </c>
      <c r="D10" t="s">
        <v>7372</v>
      </c>
      <c r="E10" s="17" t="s">
        <v>7344</v>
      </c>
      <c r="F10" s="17" t="s">
        <v>7365</v>
      </c>
      <c r="G10" t="s">
        <v>7344</v>
      </c>
      <c r="H10" t="s">
        <v>7344</v>
      </c>
      <c r="I10" t="s">
        <v>7373</v>
      </c>
      <c r="J10" t="s">
        <v>7344</v>
      </c>
      <c r="K10" t="s">
        <v>7344</v>
      </c>
      <c r="L10" t="s">
        <v>7374</v>
      </c>
    </row>
    <row r="11" spans="1:12" x14ac:dyDescent="0.35">
      <c r="A11" s="17">
        <v>9</v>
      </c>
      <c r="B11" s="18">
        <v>45747</v>
      </c>
      <c r="C11" t="s">
        <v>7371</v>
      </c>
      <c r="D11" t="s">
        <v>7375</v>
      </c>
      <c r="E11" s="17" t="s">
        <v>7344</v>
      </c>
      <c r="F11" s="17" t="s">
        <v>7365</v>
      </c>
      <c r="G11" t="s">
        <v>7344</v>
      </c>
      <c r="H11" t="s">
        <v>7344</v>
      </c>
      <c r="I11" t="s">
        <v>7376</v>
      </c>
      <c r="J11" t="s">
        <v>7344</v>
      </c>
      <c r="K11" t="s">
        <v>7344</v>
      </c>
      <c r="L11" t="s">
        <v>7377</v>
      </c>
    </row>
    <row r="12" spans="1:12" x14ac:dyDescent="0.35">
      <c r="A12" s="17">
        <v>10</v>
      </c>
      <c r="B12" s="18">
        <v>45686</v>
      </c>
      <c r="C12" t="s">
        <v>7368</v>
      </c>
      <c r="D12" t="s">
        <v>3076</v>
      </c>
      <c r="E12" s="17" t="s">
        <v>7344</v>
      </c>
      <c r="F12" s="17" t="s">
        <v>7365</v>
      </c>
      <c r="G12" t="s">
        <v>7344</v>
      </c>
      <c r="H12" t="s">
        <v>7344</v>
      </c>
      <c r="I12" t="s">
        <v>7378</v>
      </c>
      <c r="J12" t="s">
        <v>7344</v>
      </c>
      <c r="K12" t="s">
        <v>7344</v>
      </c>
      <c r="L12" t="s">
        <v>7379</v>
      </c>
    </row>
    <row r="13" spans="1:12" x14ac:dyDescent="0.35">
      <c r="A13" s="17">
        <v>11</v>
      </c>
      <c r="B13" s="18">
        <v>45812</v>
      </c>
      <c r="C13" t="s">
        <v>7380</v>
      </c>
      <c r="D13" t="s">
        <v>7375</v>
      </c>
      <c r="E13" s="17" t="s">
        <v>7344</v>
      </c>
      <c r="F13" s="17" t="s">
        <v>7365</v>
      </c>
      <c r="G13" t="s">
        <v>7344</v>
      </c>
      <c r="H13" t="s">
        <v>7344</v>
      </c>
      <c r="I13" t="s">
        <v>7381</v>
      </c>
      <c r="J13" t="s">
        <v>7344</v>
      </c>
      <c r="K13" t="s">
        <v>7344</v>
      </c>
      <c r="L13" t="s">
        <v>7382</v>
      </c>
    </row>
    <row r="14" spans="1:12" x14ac:dyDescent="0.35">
      <c r="A14" s="17">
        <v>12</v>
      </c>
      <c r="B14" s="18">
        <v>45813</v>
      </c>
      <c r="C14" t="s">
        <v>7380</v>
      </c>
      <c r="D14" t="s">
        <v>7375</v>
      </c>
      <c r="E14" s="17" t="s">
        <v>7344</v>
      </c>
      <c r="F14" s="17" t="s">
        <v>7365</v>
      </c>
      <c r="G14" t="s">
        <v>7344</v>
      </c>
      <c r="H14" t="s">
        <v>7344</v>
      </c>
      <c r="I14" t="s">
        <v>7383</v>
      </c>
      <c r="J14" t="s">
        <v>7344</v>
      </c>
      <c r="K14" t="s">
        <v>7344</v>
      </c>
      <c r="L14" t="s">
        <v>7384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8EA7-2446-4E5C-BACF-5F85F94CAF23}">
  <dimension ref="A2:E3"/>
  <sheetViews>
    <sheetView zoomScale="68" workbookViewId="0">
      <selection activeCell="B4" sqref="B4"/>
    </sheetView>
  </sheetViews>
  <sheetFormatPr baseColWidth="10" defaultColWidth="11.453125" defaultRowHeight="14.5" x14ac:dyDescent="0.35"/>
  <cols>
    <col min="1" max="1" width="31.1796875" customWidth="1"/>
    <col min="2" max="2" width="29.54296875" customWidth="1"/>
    <col min="3" max="3" width="29.54296875" bestFit="1" customWidth="1"/>
    <col min="4" max="4" width="30.54296875" bestFit="1" customWidth="1"/>
    <col min="5" max="5" width="33.81640625" bestFit="1" customWidth="1"/>
  </cols>
  <sheetData>
    <row r="2" spans="1:5" x14ac:dyDescent="0.35">
      <c r="A2" t="s">
        <v>7385</v>
      </c>
      <c r="B2" t="s">
        <v>7386</v>
      </c>
      <c r="C2" t="s">
        <v>7387</v>
      </c>
      <c r="D2" t="s">
        <v>7388</v>
      </c>
      <c r="E2" t="s">
        <v>7389</v>
      </c>
    </row>
    <row r="3" spans="1:5" x14ac:dyDescent="0.35">
      <c r="A3" s="16">
        <f>_xlfn.MAXIFS(Incidentes_Accidentes[Fecha de Incidente/Accidente], Incidentes_Accidentes[Tipo de Accidente], "LTI")</f>
        <v>45715</v>
      </c>
      <c r="B3" s="16">
        <f>_xlfn.MAXIFS(Incidentes_Accidentes[Fecha de Incidente/Accidente], Incidentes_Accidentes[Tipo de Accidente], "MTI")</f>
        <v>45771</v>
      </c>
      <c r="C3" s="16">
        <f>_xlfn.MAXIFS(Incidentes_Accidentes[Fecha de Incidente/Accidente], Incidentes_Accidentes[Tipo de Accidente], "MDI")</f>
        <v>45700</v>
      </c>
      <c r="D3" s="16">
        <f>_xlfn.MAXIFS(Incidentes_Accidentes[Fecha de Incidente/Accidente], Incidentes_Accidentes[Tipo de Accidente], "FAI")</f>
        <v>0</v>
      </c>
      <c r="E3" s="16">
        <f>_xlfn.MAXIFS(Incidentes_Accidentes[Fecha de Incidente/Accidente], Incidentes_Accidentes[Incidente o Accidente?], "Incidente")</f>
        <v>45813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2536EC7782E94FA5CE220D24187C54" ma:contentTypeVersion="4" ma:contentTypeDescription="Create a new document." ma:contentTypeScope="" ma:versionID="6d68e7e1da960a7b8106b1b1b062201f">
  <xsd:schema xmlns:xsd="http://www.w3.org/2001/XMLSchema" xmlns:xs="http://www.w3.org/2001/XMLSchema" xmlns:p="http://schemas.microsoft.com/office/2006/metadata/properties" xmlns:ns2="0a1ed697-a0e3-44a2-b6f2-cf5c95ef896a" targetNamespace="http://schemas.microsoft.com/office/2006/metadata/properties" ma:root="true" ma:fieldsID="48bcaaef6f5e7aa6934b498de83e0357" ns2:_="">
    <xsd:import namespace="0a1ed697-a0e3-44a2-b6f2-cf5c95ef89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ed697-a0e3-44a2-b6f2-cf5c95ef89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B5E321-AC11-4432-84B7-2974DE5DA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1ed697-a0e3-44a2-b6f2-cf5c95ef89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E7C0E-AEA8-46E1-AC48-93B5CF2CC6E5}">
  <ds:schemaRefs>
    <ds:schemaRef ds:uri="http://purl.org/dc/terms/"/>
    <ds:schemaRef ds:uri="http://schemas.microsoft.com/office/2006/documentManagement/types"/>
    <ds:schemaRef ds:uri="0a1ed697-a0e3-44a2-b6f2-cf5c95ef896a"/>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purl.org/dc/elements/1.1/"/>
  </ds:schemaRefs>
</ds:datastoreItem>
</file>

<file path=customXml/itemProps3.xml><?xml version="1.0" encoding="utf-8"?>
<ds:datastoreItem xmlns:ds="http://schemas.openxmlformats.org/officeDocument/2006/customXml" ds:itemID="{DCFF642A-91E8-4D57-BC8F-D11924C455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Actos Acumulados</vt:lpstr>
      <vt:lpstr>Condiciones Acumuladas</vt:lpstr>
      <vt:lpstr>Hoja1</vt:lpstr>
      <vt:lpstr>Incidentes-Accidentes</vt:lpstr>
      <vt:lpstr>Fechas Inc-Acci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Jaime Manolo Chilel Lopez</dc:creator>
  <cp:keywords/>
  <dc:description/>
  <cp:lastModifiedBy>German Estuardo Orozco Perez</cp:lastModifiedBy>
  <cp:revision/>
  <dcterms:created xsi:type="dcterms:W3CDTF">2022-03-02T21:52:59Z</dcterms:created>
  <dcterms:modified xsi:type="dcterms:W3CDTF">2026-10-13T16:53:34Z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0x0101005A2536EC7782E94FA5CE220D24187C54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