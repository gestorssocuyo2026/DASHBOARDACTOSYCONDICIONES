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237" documentId="11_425E79763165A80B9DB442E442D9E0A19AA5C458" xr6:coauthVersionLast="47" xr6:coauthVersionMax="47" xr10:uidLastSave="{B8CC1B93-9E4F-4CF5-93D8-DC6F21136255}"/>
  <bookViews>
    <workbookView xWindow="-110" yWindow="-110" windowWidth="19420" windowHeight="11500" tabRatio="950" firstSheet="3" activeTab="13" xr2:uid="{00000000-000D-0000-FFFF-FFFF00000000}"/>
  </bookViews>
  <sheets>
    <sheet name="Portada" sheetId="1" state="hidden" r:id="rId1"/>
    <sheet name="Calculos" sheetId="2" state="hidden" r:id="rId2"/>
    <sheet name="Dashboard Ejecutivo" sheetId="3" state="hidden" r:id="rId3"/>
    <sheet name="Triángulo Accidentabilidad" sheetId="4" r:id="rId4"/>
    <sheet name="Parametros" sheetId="5" state="hidden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state="hidden" r:id="rId13"/>
    <sheet name="Captura Septiembre" sheetId="14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- 2026'!$A$3:$N$21</definedName>
    <definedName name="_xlnm.Print_Area" localSheetId="2">'Dashboard Ejecutivo'!$A$1:$Y$75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4" i="14" l="1"/>
  <c r="F17" i="14"/>
  <c r="G17" i="14" s="1"/>
  <c r="F15" i="14"/>
  <c r="G15" i="14" s="1"/>
  <c r="F14" i="14"/>
  <c r="G14" i="14" s="1"/>
  <c r="F13" i="14"/>
  <c r="G13" i="14" s="1"/>
  <c r="AB19" i="13"/>
  <c r="AC19" i="13" s="1"/>
  <c r="V18" i="13"/>
  <c r="AV16" i="13" s="1"/>
  <c r="M18" i="20"/>
  <c r="L18" i="20"/>
  <c r="K18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2" i="20"/>
  <c r="L12" i="20"/>
  <c r="K12" i="20"/>
  <c r="M10" i="20"/>
  <c r="L10" i="20"/>
  <c r="K10" i="20"/>
  <c r="M13" i="20"/>
  <c r="L13" i="20"/>
  <c r="K13" i="20"/>
  <c r="M11" i="20"/>
  <c r="L11" i="20"/>
  <c r="K11" i="20"/>
  <c r="M9" i="20"/>
  <c r="L9" i="20"/>
  <c r="K9" i="20"/>
  <c r="M8" i="20"/>
  <c r="L8" i="20"/>
  <c r="K8" i="20"/>
  <c r="M7" i="20"/>
  <c r="L7" i="20"/>
  <c r="K7" i="20"/>
  <c r="M6" i="20"/>
  <c r="L6" i="20"/>
  <c r="K6" i="20"/>
  <c r="M5" i="20"/>
  <c r="L5" i="20"/>
  <c r="K5" i="20"/>
  <c r="M4" i="20"/>
  <c r="M19" i="20" s="1"/>
  <c r="L4" i="20"/>
  <c r="L19" i="20" s="1"/>
  <c r="K4" i="20"/>
  <c r="K19" i="20" s="1"/>
  <c r="M18" i="19"/>
  <c r="L18" i="19"/>
  <c r="K18" i="19"/>
  <c r="M17" i="19"/>
  <c r="L17" i="19"/>
  <c r="K17" i="19"/>
  <c r="M16" i="19"/>
  <c r="L16" i="19"/>
  <c r="K16" i="19"/>
  <c r="M15" i="19"/>
  <c r="L15" i="19"/>
  <c r="K15" i="19"/>
  <c r="M14" i="19"/>
  <c r="L14" i="19"/>
  <c r="K14" i="19"/>
  <c r="M13" i="19"/>
  <c r="L13" i="19"/>
  <c r="K13" i="19"/>
  <c r="M12" i="19"/>
  <c r="L12" i="19"/>
  <c r="K12" i="19"/>
  <c r="M11" i="19"/>
  <c r="L11" i="19"/>
  <c r="K11" i="19"/>
  <c r="M10" i="19"/>
  <c r="L10" i="19"/>
  <c r="K10" i="19"/>
  <c r="M9" i="19"/>
  <c r="L9" i="19"/>
  <c r="K9" i="19"/>
  <c r="M8" i="19"/>
  <c r="L8" i="19"/>
  <c r="K8" i="19"/>
  <c r="M7" i="19"/>
  <c r="L7" i="19"/>
  <c r="K7" i="19"/>
  <c r="M6" i="19"/>
  <c r="L6" i="19"/>
  <c r="K6" i="19"/>
  <c r="M5" i="19"/>
  <c r="L5" i="19"/>
  <c r="K5" i="19"/>
  <c r="M4" i="19"/>
  <c r="M19" i="19" s="1"/>
  <c r="L4" i="19"/>
  <c r="L19" i="19" s="1"/>
  <c r="K4" i="19"/>
  <c r="K19" i="19" s="1"/>
  <c r="B17" i="18"/>
  <c r="C17" i="18" s="1"/>
  <c r="B16" i="18"/>
  <c r="C16" i="18" s="1"/>
  <c r="B15" i="18"/>
  <c r="C15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AT18" i="14" s="1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AT17" i="14" s="1"/>
  <c r="K19" i="14"/>
  <c r="F19" i="14"/>
  <c r="G19" i="14" s="1"/>
  <c r="C19" i="14"/>
  <c r="AZ18" i="14"/>
  <c r="AX18" i="14"/>
  <c r="AV18" i="14"/>
  <c r="AU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AT15" i="14" s="1"/>
  <c r="N17" i="14"/>
  <c r="K17" i="14"/>
  <c r="C17" i="14"/>
  <c r="AZ16" i="14"/>
  <c r="AX16" i="14"/>
  <c r="AV16" i="14"/>
  <c r="AU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AT14" i="14" s="1"/>
  <c r="K16" i="14"/>
  <c r="C16" i="14"/>
  <c r="AZ15" i="14"/>
  <c r="AX15" i="14"/>
  <c r="AV15" i="14"/>
  <c r="AU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C15" i="14"/>
  <c r="AZ14" i="14"/>
  <c r="AX14" i="14"/>
  <c r="AV14" i="14"/>
  <c r="AU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C14" i="14"/>
  <c r="AZ13" i="14"/>
  <c r="AX13" i="14"/>
  <c r="AV13" i="14"/>
  <c r="AU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C13" i="14"/>
  <c r="AZ12" i="14"/>
  <c r="AX12" i="14"/>
  <c r="AV12" i="14"/>
  <c r="AU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AT9" i="14" s="1"/>
  <c r="N11" i="14"/>
  <c r="K11" i="14"/>
  <c r="F11" i="14"/>
  <c r="G11" i="14" s="1"/>
  <c r="C11" i="14"/>
  <c r="AZ10" i="14"/>
  <c r="AX10" i="14"/>
  <c r="AV10" i="14"/>
  <c r="AU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AT8" i="14" s="1"/>
  <c r="N10" i="14"/>
  <c r="K10" i="14"/>
  <c r="F10" i="14"/>
  <c r="G10" i="14" s="1"/>
  <c r="C10" i="14"/>
  <c r="AZ9" i="14"/>
  <c r="AX9" i="14"/>
  <c r="AV9" i="14"/>
  <c r="AU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S8" i="14"/>
  <c r="AO8" i="14"/>
  <c r="AN8" i="14"/>
  <c r="AB8" i="14"/>
  <c r="AA8" i="14"/>
  <c r="AC8" i="14" s="1"/>
  <c r="AY6" i="14" s="1"/>
  <c r="X8" i="14"/>
  <c r="V8" i="14"/>
  <c r="T8" i="14"/>
  <c r="Q8" i="14"/>
  <c r="AT6" i="14" s="1"/>
  <c r="N8" i="14"/>
  <c r="K8" i="14"/>
  <c r="F8" i="14"/>
  <c r="G8" i="14" s="1"/>
  <c r="C8" i="14"/>
  <c r="AZ7" i="14"/>
  <c r="AX7" i="14"/>
  <c r="AV7" i="14"/>
  <c r="AU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AT4" i="14" s="1"/>
  <c r="K6" i="14"/>
  <c r="F6" i="14"/>
  <c r="G6" i="14" s="1"/>
  <c r="C6" i="14"/>
  <c r="AZ5" i="14"/>
  <c r="AX5" i="14"/>
  <c r="AV5" i="14"/>
  <c r="AU5" i="14"/>
  <c r="AS5" i="14"/>
  <c r="AZ4" i="14"/>
  <c r="AX4" i="14"/>
  <c r="AV4" i="14"/>
  <c r="AU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Q13" i="4" s="1"/>
  <c r="Y35" i="4"/>
  <c r="Y34" i="4"/>
  <c r="Y33" i="4"/>
  <c r="Q10" i="4" s="1"/>
  <c r="Y32" i="4"/>
  <c r="Y31" i="4"/>
  <c r="U22" i="4"/>
  <c r="S22" i="4"/>
  <c r="U18" i="4"/>
  <c r="S18" i="4"/>
  <c r="Q14" i="4"/>
  <c r="Q12" i="4"/>
  <c r="Q11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5" i="2"/>
  <c r="X31" i="4"/>
  <c r="C11" i="2"/>
  <c r="C24" i="2"/>
  <c r="E23" i="2"/>
  <c r="C29" i="2"/>
  <c r="X35" i="4"/>
  <c r="C28" i="2"/>
  <c r="C10" i="2"/>
  <c r="X37" i="4"/>
  <c r="C23" i="2"/>
  <c r="C25" i="2"/>
  <c r="X33" i="4"/>
  <c r="C34" i="2"/>
  <c r="C33" i="2"/>
  <c r="C6" i="2"/>
  <c r="C27" i="2"/>
  <c r="C9" i="2"/>
  <c r="X32" i="4"/>
  <c r="C31" i="2"/>
  <c r="C26" i="2"/>
  <c r="B19" i="2"/>
  <c r="C7" i="2"/>
  <c r="B14" i="2"/>
  <c r="B17" i="2"/>
  <c r="C32" i="2"/>
  <c r="X34" i="4"/>
  <c r="X36" i="4"/>
  <c r="B18" i="2"/>
  <c r="C37" i="2"/>
  <c r="C36" i="2"/>
  <c r="B15" i="2"/>
  <c r="C30" i="2"/>
  <c r="E37" i="2"/>
  <c r="B16" i="2"/>
  <c r="C8" i="2"/>
  <c r="AT5" i="14" l="1"/>
  <c r="AT16" i="14"/>
  <c r="AT7" i="14"/>
  <c r="AT13" i="14"/>
  <c r="AT12" i="14"/>
  <c r="AT11" i="14"/>
  <c r="AT10" i="14"/>
  <c r="F16" i="14"/>
  <c r="G16" i="14" s="1"/>
  <c r="AC15" i="13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Y17" i="13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AW18" i="14"/>
  <c r="AP19" i="14"/>
  <c r="AQ19" i="14" s="1"/>
  <c r="AW17" i="14"/>
  <c r="AP18" i="14"/>
  <c r="AQ18" i="14" s="1"/>
  <c r="AW16" i="14"/>
  <c r="AP17" i="14"/>
  <c r="AQ17" i="14" s="1"/>
  <c r="AW15" i="14"/>
  <c r="AP15" i="14"/>
  <c r="AQ15" i="14" s="1"/>
  <c r="AW13" i="14"/>
  <c r="AP14" i="14"/>
  <c r="AQ14" i="14" s="1"/>
  <c r="AW12" i="14"/>
  <c r="AP13" i="14"/>
  <c r="AQ13" i="14" s="1"/>
  <c r="AW11" i="14"/>
  <c r="AP12" i="14"/>
  <c r="AQ12" i="14" s="1"/>
  <c r="AW10" i="14"/>
  <c r="AP11" i="14"/>
  <c r="AQ11" i="14" s="1"/>
  <c r="AW9" i="14"/>
  <c r="AP10" i="14"/>
  <c r="AQ10" i="14" s="1"/>
  <c r="AW8" i="14"/>
  <c r="AP9" i="14"/>
  <c r="AQ9" i="14" s="1"/>
  <c r="AW7" i="14"/>
  <c r="AW6" i="14"/>
  <c r="AP8" i="14"/>
  <c r="AQ8" i="14" s="1"/>
  <c r="AP7" i="14"/>
  <c r="AQ7" i="14" s="1"/>
  <c r="AW5" i="14"/>
  <c r="AW4" i="14"/>
  <c r="AP6" i="14"/>
  <c r="AQ6" i="14" s="1"/>
  <c r="AP20" i="12"/>
  <c r="AQ20" i="12" s="1"/>
  <c r="AW18" i="12"/>
  <c r="AW17" i="12"/>
  <c r="AP19" i="12"/>
  <c r="AQ19" i="12" s="1"/>
  <c r="H17" i="19"/>
  <c r="H10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3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2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P13" i="13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E24" i="2"/>
  <c r="C5" i="2"/>
  <c r="BA5" i="14" l="1"/>
  <c r="J18" i="20"/>
  <c r="J15" i="19"/>
  <c r="BA18" i="14"/>
  <c r="J9" i="20"/>
  <c r="J16" i="19"/>
  <c r="BA16" i="14"/>
  <c r="J10" i="20"/>
  <c r="J17" i="19"/>
  <c r="BA17" i="14"/>
  <c r="J18" i="19"/>
  <c r="J12" i="20"/>
  <c r="BA15" i="14"/>
  <c r="J7" i="19"/>
  <c r="J15" i="20"/>
  <c r="BA13" i="14"/>
  <c r="J16" i="20"/>
  <c r="J14" i="19"/>
  <c r="BA12" i="14"/>
  <c r="J13" i="20"/>
  <c r="J8" i="19"/>
  <c r="BA11" i="14"/>
  <c r="J17" i="20"/>
  <c r="J10" i="19"/>
  <c r="AP16" i="14"/>
  <c r="AQ16" i="14" s="1"/>
  <c r="AW14" i="14"/>
  <c r="BA10" i="14"/>
  <c r="J14" i="20"/>
  <c r="J13" i="19"/>
  <c r="BA9" i="14"/>
  <c r="J9" i="19"/>
  <c r="J11" i="20"/>
  <c r="BA8" i="14"/>
  <c r="J8" i="20"/>
  <c r="J11" i="19"/>
  <c r="BA7" i="14"/>
  <c r="J5" i="20"/>
  <c r="J12" i="19"/>
  <c r="BA6" i="14"/>
  <c r="J4" i="19"/>
  <c r="J4" i="20"/>
  <c r="J7" i="20"/>
  <c r="J5" i="19"/>
  <c r="AQ20" i="13"/>
  <c r="AQ14" i="13"/>
  <c r="AQ13" i="13"/>
  <c r="I15" i="19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BA4" i="14"/>
  <c r="H16" i="19"/>
  <c r="H9" i="20"/>
  <c r="BA18" i="12"/>
  <c r="H12" i="20"/>
  <c r="BA17" i="12"/>
  <c r="H18" i="19"/>
  <c r="BA15" i="12"/>
  <c r="H7" i="19"/>
  <c r="H15" i="20"/>
  <c r="H6" i="19"/>
  <c r="H6" i="20"/>
  <c r="BA14" i="12"/>
  <c r="BA13" i="12"/>
  <c r="H16" i="20"/>
  <c r="H14" i="19"/>
  <c r="H13" i="20"/>
  <c r="BA12" i="12"/>
  <c r="H8" i="19"/>
  <c r="H10" i="19"/>
  <c r="H17" i="20"/>
  <c r="BA11" i="12"/>
  <c r="H13" i="19"/>
  <c r="H14" i="20"/>
  <c r="BA10" i="12"/>
  <c r="H11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2" i="20"/>
  <c r="BA16" i="11"/>
  <c r="G10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1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2" i="20"/>
  <c r="F18" i="19"/>
  <c r="BA17" i="10"/>
  <c r="BA16" i="10"/>
  <c r="F17" i="19"/>
  <c r="F10" i="20"/>
  <c r="F7" i="19"/>
  <c r="BA15" i="10"/>
  <c r="F15" i="20"/>
  <c r="F6" i="19"/>
  <c r="F6" i="20"/>
  <c r="BA14" i="10"/>
  <c r="F14" i="19"/>
  <c r="F16" i="20"/>
  <c r="BA13" i="10"/>
  <c r="BA12" i="10"/>
  <c r="F13" i="20"/>
  <c r="F8" i="19"/>
  <c r="F10" i="19"/>
  <c r="F17" i="20"/>
  <c r="BA11" i="10"/>
  <c r="F13" i="19"/>
  <c r="F14" i="20"/>
  <c r="BA10" i="10"/>
  <c r="F9" i="19"/>
  <c r="F11" i="20"/>
  <c r="BA9" i="10"/>
  <c r="F8" i="20"/>
  <c r="F11" i="19"/>
  <c r="BA8" i="10"/>
  <c r="F12" i="19"/>
  <c r="F5" i="20"/>
  <c r="BA7" i="10"/>
  <c r="F4" i="20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2" i="20"/>
  <c r="E18" i="19"/>
  <c r="BA17" i="9"/>
  <c r="E10" i="20"/>
  <c r="E17" i="19"/>
  <c r="BA16" i="9"/>
  <c r="E15" i="20"/>
  <c r="E7" i="19"/>
  <c r="BA15" i="9"/>
  <c r="E6" i="20"/>
  <c r="E6" i="19"/>
  <c r="BA14" i="9"/>
  <c r="E16" i="20"/>
  <c r="E14" i="19"/>
  <c r="BA13" i="9"/>
  <c r="E13" i="20"/>
  <c r="E8" i="19"/>
  <c r="BA12" i="9"/>
  <c r="E10" i="19"/>
  <c r="E17" i="20"/>
  <c r="BA11" i="9"/>
  <c r="E13" i="19"/>
  <c r="E14" i="20"/>
  <c r="BA10" i="9"/>
  <c r="E9" i="19"/>
  <c r="E11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2" i="20"/>
  <c r="BA17" i="8"/>
  <c r="D10" i="20"/>
  <c r="BA16" i="8"/>
  <c r="D17" i="19"/>
  <c r="BA14" i="8"/>
  <c r="D6" i="19"/>
  <c r="D6" i="20"/>
  <c r="D14" i="19"/>
  <c r="D16" i="20"/>
  <c r="BA13" i="8"/>
  <c r="D8" i="19"/>
  <c r="BA12" i="8"/>
  <c r="D13" i="20"/>
  <c r="D10" i="19"/>
  <c r="D17" i="20"/>
  <c r="BA11" i="8"/>
  <c r="D14" i="20"/>
  <c r="D13" i="19"/>
  <c r="BA10" i="8"/>
  <c r="D9" i="19"/>
  <c r="D11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2" i="20"/>
  <c r="C17" i="19"/>
  <c r="C10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3" i="20"/>
  <c r="C17" i="20"/>
  <c r="C10" i="19"/>
  <c r="BA11" i="7"/>
  <c r="C13" i="19"/>
  <c r="C14" i="20"/>
  <c r="BA10" i="7"/>
  <c r="C9" i="19"/>
  <c r="C11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0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3" i="20"/>
  <c r="BA12" i="6"/>
  <c r="B10" i="19"/>
  <c r="B17" i="20"/>
  <c r="BA11" i="6"/>
  <c r="B13" i="19"/>
  <c r="B14" i="20"/>
  <c r="BA10" i="6"/>
  <c r="B11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8" i="19"/>
  <c r="I12" i="20"/>
  <c r="BA17" i="13"/>
  <c r="BA16" i="13"/>
  <c r="I17" i="19"/>
  <c r="I10" i="20"/>
  <c r="I15" i="20"/>
  <c r="I7" i="19"/>
  <c r="BA15" i="13"/>
  <c r="I6" i="20"/>
  <c r="I6" i="19"/>
  <c r="BA14" i="13"/>
  <c r="I16" i="20"/>
  <c r="BA13" i="13"/>
  <c r="I14" i="19"/>
  <c r="I13" i="19"/>
  <c r="I14" i="20"/>
  <c r="BA10" i="13"/>
  <c r="I9" i="19"/>
  <c r="I11" i="20"/>
  <c r="I11" i="19"/>
  <c r="I8" i="20"/>
  <c r="BA8" i="13"/>
  <c r="I5" i="20"/>
  <c r="I12" i="19"/>
  <c r="BA7" i="13"/>
  <c r="BA6" i="13"/>
  <c r="I4" i="20"/>
  <c r="I4" i="19"/>
  <c r="I5" i="19"/>
  <c r="BA4" i="13"/>
  <c r="I7" i="20"/>
  <c r="E31" i="2"/>
  <c r="E28" i="2"/>
  <c r="E30" i="2"/>
  <c r="E27" i="2"/>
  <c r="E36" i="2"/>
  <c r="E29" i="2"/>
  <c r="E26" i="2"/>
  <c r="E32" i="2"/>
  <c r="E25" i="2"/>
  <c r="E34" i="2"/>
  <c r="E35" i="2"/>
  <c r="E33" i="2"/>
  <c r="J6" i="19" l="1"/>
  <c r="J6" i="20"/>
  <c r="N6" i="20" s="1"/>
  <c r="BA14" i="14"/>
  <c r="BA19" i="14" s="1"/>
  <c r="AQ23" i="14"/>
  <c r="B14" i="18" s="1"/>
  <c r="C14" i="18" s="1"/>
  <c r="J19" i="20"/>
  <c r="F19" i="20"/>
  <c r="I16" i="19"/>
  <c r="N16" i="19" s="1"/>
  <c r="BA18" i="13"/>
  <c r="I9" i="20"/>
  <c r="N9" i="20" s="1"/>
  <c r="I8" i="19"/>
  <c r="N8" i="19" s="1"/>
  <c r="I13" i="20"/>
  <c r="N13" i="20" s="1"/>
  <c r="BA12" i="13"/>
  <c r="BA11" i="13"/>
  <c r="I17" i="20"/>
  <c r="I10" i="19"/>
  <c r="AQ23" i="13"/>
  <c r="B13" i="18" s="1"/>
  <c r="C13" i="18" s="1"/>
  <c r="N18" i="20"/>
  <c r="N15" i="19"/>
  <c r="BA19" i="13"/>
  <c r="B19" i="20"/>
  <c r="N4" i="20"/>
  <c r="B19" i="19"/>
  <c r="N4" i="19"/>
  <c r="J8" i="3"/>
  <c r="U48" i="3"/>
  <c r="M8" i="3"/>
  <c r="U49" i="3"/>
  <c r="P8" i="3"/>
  <c r="U50" i="3"/>
  <c r="E19" i="19"/>
  <c r="E19" i="20"/>
  <c r="BA19" i="9"/>
  <c r="N18" i="19"/>
  <c r="C19" i="20"/>
  <c r="N17" i="19"/>
  <c r="N14" i="19"/>
  <c r="N9" i="19"/>
  <c r="N13" i="19"/>
  <c r="N14" i="20"/>
  <c r="N12" i="19"/>
  <c r="N5" i="19"/>
  <c r="H19" i="20"/>
  <c r="N11" i="20"/>
  <c r="N5" i="20"/>
  <c r="H19" i="19"/>
  <c r="G19" i="20"/>
  <c r="D19" i="19"/>
  <c r="C19" i="19"/>
  <c r="N7" i="19"/>
  <c r="N11" i="19"/>
  <c r="N12" i="20"/>
  <c r="N7" i="20"/>
  <c r="F19" i="19"/>
  <c r="D19" i="20"/>
  <c r="N10" i="20"/>
  <c r="N15" i="20"/>
  <c r="N16" i="20"/>
  <c r="N8" i="20"/>
  <c r="B24" i="2"/>
  <c r="B25" i="2"/>
  <c r="B31" i="2"/>
  <c r="B23" i="2"/>
  <c r="B36" i="2"/>
  <c r="B33" i="2"/>
  <c r="B44" i="2"/>
  <c r="B29" i="2"/>
  <c r="B26" i="2"/>
  <c r="B28" i="2"/>
  <c r="B32" i="2"/>
  <c r="B34" i="2"/>
  <c r="B30" i="2"/>
  <c r="B37" i="2"/>
  <c r="B35" i="2"/>
  <c r="B27" i="2"/>
  <c r="J19" i="19" l="1"/>
  <c r="N6" i="19"/>
  <c r="B23" i="3"/>
  <c r="B19" i="3"/>
  <c r="I19" i="20"/>
  <c r="N17" i="20"/>
  <c r="N10" i="19"/>
  <c r="I19" i="19"/>
  <c r="B22" i="3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<sst xmlns="http://schemas.openxmlformats.org/spreadsheetml/2006/main" count="3030" uniqueCount="299">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</sst>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52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45" fillId="21" borderId="13" xfId="0" applyFont="1" applyFill="1" applyBorder="1" applyAlignment="1">
      <alignment horizontal="left" vertical="center" wrapText="1" indent="1"/>
    </xf>
    <xf numFmtId="0" fontId="45" fillId="28" borderId="13" xfId="0" applyFont="1" applyFill="1" applyBorder="1" applyAlignment="1">
      <alignment horizontal="left" vertical="center" wrapText="1" indent="1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Centro de Distribucion</c:v>
                </c:pt>
                <c:pt idx="2">
                  <c:v>Materias Primas</c:v>
                </c:pt>
                <c:pt idx="3">
                  <c:v>Linea 3</c:v>
                </c:pt>
                <c:pt idx="4">
                  <c:v>Equipos Auxiliares</c:v>
                </c:pt>
                <c:pt idx="5">
                  <c:v>Jarabes</c:v>
                </c:pt>
                <c:pt idx="6">
                  <c:v>Linea 1</c:v>
                </c:pt>
                <c:pt idx="7">
                  <c:v>Linea 2</c:v>
                </c:pt>
                <c:pt idx="8">
                  <c:v>Mantenimiento</c:v>
                </c:pt>
                <c:pt idx="9">
                  <c:v>Linea 4</c:v>
                </c:pt>
                <c:pt idx="10">
                  <c:v>Alrededores</c:v>
                </c:pt>
                <c:pt idx="11">
                  <c:v>ETEI</c:v>
                </c:pt>
                <c:pt idx="12">
                  <c:v>Linea 5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0.4863333333333334</c:v>
                </c:pt>
                <c:pt idx="1">
                  <c:v>1</c:v>
                </c:pt>
                <c:pt idx="2">
                  <c:v>0.84466666666666668</c:v>
                </c:pt>
                <c:pt idx="3">
                  <c:v>0.84466666666666668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0.86230933333333326</c:v>
                </c:pt>
                <c:pt idx="8">
                  <c:v>0.56254666666666664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766DC6A-63FE-797F-7772-A786A5A63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0</xdr:rowOff>
    </xdr:from>
    <xdr:to>
      <xdr:col>10</xdr:col>
      <xdr:colOff>514350</xdr:colOff>
      <xdr:row>39</xdr:row>
      <xdr:rowOff>127000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036734-80E0-87A5-6FEF-22DCFCDD0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0882" y="4295588"/>
          <a:ext cx="7603939" cy="3481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509163</xdr:colOff>
      <xdr:row>21</xdr:row>
      <xdr:rowOff>0</xdr:rowOff>
    </xdr:from>
    <xdr:to>
      <xdr:col>11</xdr:col>
      <xdr:colOff>517630</xdr:colOff>
      <xdr:row>39</xdr:row>
      <xdr:rowOff>127000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1B2074-E31B-AECC-1F07-85E99A2C7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11240" y="4244731"/>
          <a:ext cx="750928" cy="3458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4" sqref="C14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4" t="s">
        <v>0</v>
      </c>
      <c r="C3" s="124"/>
      <c r="D3" s="124"/>
      <c r="E3" s="124"/>
    </row>
    <row r="4" spans="2:5" ht="21.75" customHeight="1" x14ac:dyDescent="0.35">
      <c r="B4" s="124"/>
      <c r="C4" s="124"/>
      <c r="D4" s="124"/>
      <c r="E4" s="124"/>
    </row>
    <row r="5" spans="2:5" ht="21.75" customHeight="1" x14ac:dyDescent="0.35">
      <c r="B5" s="124"/>
      <c r="C5" s="124"/>
      <c r="D5" s="124"/>
      <c r="E5" s="124"/>
    </row>
    <row r="6" spans="2:5" ht="21.75" customHeight="1" x14ac:dyDescent="0.35">
      <c r="B6" s="124"/>
      <c r="C6" s="124"/>
      <c r="D6" s="124"/>
      <c r="E6" s="124"/>
    </row>
    <row r="7" spans="2:5" ht="24" customHeight="1" x14ac:dyDescent="0.35">
      <c r="B7" s="125" t="s">
        <v>1</v>
      </c>
      <c r="C7" s="125"/>
      <c r="D7" s="125"/>
      <c r="E7" s="125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Septiembre</v>
      </c>
    </row>
    <row r="13" spans="2:5" ht="19.5" customHeight="1" x14ac:dyDescent="0.35">
      <c r="B13" s="1" t="s">
        <v>7</v>
      </c>
      <c r="C13" s="4">
        <f ca="1">TODAY()</f>
        <v>46287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6" t="s">
        <v>11</v>
      </c>
      <c r="C18" s="126"/>
      <c r="D18" s="126"/>
      <c r="E18" s="126"/>
    </row>
    <row r="19" spans="2:5" ht="18" customHeight="1" x14ac:dyDescent="0.35">
      <c r="B19" s="1" t="s">
        <v>12</v>
      </c>
      <c r="C19" s="123" t="s">
        <v>13</v>
      </c>
      <c r="D19" s="123"/>
      <c r="E19" s="123"/>
    </row>
    <row r="20" spans="2:5" ht="18" customHeight="1" x14ac:dyDescent="0.35">
      <c r="B20" s="1" t="s">
        <v>14</v>
      </c>
      <c r="C20" s="123" t="s">
        <v>15</v>
      </c>
      <c r="D20" s="123"/>
      <c r="E20" s="123"/>
    </row>
    <row r="21" spans="2:5" ht="18" customHeight="1" x14ac:dyDescent="0.35">
      <c r="B21" s="1" t="s">
        <v>16</v>
      </c>
      <c r="C21" s="123" t="s">
        <v>17</v>
      </c>
      <c r="D21" s="123"/>
      <c r="E21" s="123"/>
    </row>
    <row r="22" spans="2:5" ht="18" customHeight="1" x14ac:dyDescent="0.35">
      <c r="B22" s="1" t="s">
        <v>18</v>
      </c>
      <c r="C22" s="123" t="s">
        <v>19</v>
      </c>
      <c r="D22" s="123"/>
      <c r="E22" s="123"/>
    </row>
    <row r="23" spans="2:5" ht="18" customHeight="1" x14ac:dyDescent="0.35">
      <c r="B23" s="1" t="s">
        <v>20</v>
      </c>
      <c r="C23" s="123" t="s">
        <v>21</v>
      </c>
      <c r="D23" s="123"/>
      <c r="E23" s="123"/>
    </row>
    <row r="24" spans="2:5" ht="18" customHeight="1" x14ac:dyDescent="0.35">
      <c r="B24" s="1" t="s">
        <v>22</v>
      </c>
      <c r="C24" s="123" t="s">
        <v>23</v>
      </c>
      <c r="D24" s="123"/>
      <c r="E24" s="123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09" t="s">
        <v>24</v>
      </c>
      <c r="B1" s="109"/>
      <c r="C1" s="109"/>
      <c r="D1" s="109"/>
      <c r="E1" s="109"/>
      <c r="F1" s="109"/>
      <c r="G1" s="109"/>
      <c r="H1" s="109"/>
    </row>
    <row r="2" spans="1:8" ht="15" customHeight="1" x14ac:dyDescent="0.35">
      <c r="A2" s="5" t="s">
        <v>25</v>
      </c>
      <c r="B2" s="6" t="s">
        <v>293</v>
      </c>
    </row>
    <row r="3" spans="1:8" ht="15" customHeight="1" x14ac:dyDescent="0.35">
      <c r="A3" s="126" t="s">
        <v>27</v>
      </c>
      <c r="B3" s="126"/>
      <c r="C3" s="126"/>
      <c r="D3" s="126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9.7266666666666682E-2</v>
      </c>
      <c r="D5" s="11">
        <f t="shared" ref="D5:D11" ca="1" si="0">IFERROR(C5/B5,0)</f>
        <v>0.4863333333333334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6.7573333333333332E-2</v>
      </c>
      <c r="D7" s="11">
        <f t="shared" ca="1" si="0"/>
        <v>0.84466666666666668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6.7573333333333332E-2</v>
      </c>
      <c r="D8" s="11">
        <f t="shared" ca="1" si="0"/>
        <v>0.84466666666666668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0</v>
      </c>
      <c r="D9" s="11">
        <f t="shared" ca="1" si="0"/>
        <v>0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0.25</v>
      </c>
      <c r="D11" s="11">
        <f t="shared" ca="1" si="0"/>
        <v>1</v>
      </c>
    </row>
    <row r="13" spans="1:8" ht="26.25" customHeight="1" x14ac:dyDescent="0.35">
      <c r="A13" s="126" t="s">
        <v>39</v>
      </c>
      <c r="B13" s="126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0.25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15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0.01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6" t="s">
        <v>46</v>
      </c>
      <c r="B21" s="126"/>
      <c r="C21" s="126"/>
      <c r="D21" s="126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Centro de Distribucion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55593.000000000007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Materias Primas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58992.000000000007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Linea 3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58991.000000000007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Equipos Auxiliares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50990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Jarabes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58508.999999999993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1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58188.000000000007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2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58027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Mantenimiento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58026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4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58665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Alrededores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57644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ETEI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35662.999999999993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Linea 5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58022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58981.000000000007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6" t="s">
        <v>52</v>
      </c>
      <c r="B39" s="126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0.56254666666666664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9" t="s">
        <v>58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</row>
    <row r="3" spans="2:18" ht="21.75" customHeight="1" x14ac:dyDescent="0.35"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</row>
    <row r="4" spans="2:18" ht="18" customHeight="1" x14ac:dyDescent="0.35">
      <c r="B4" s="19" t="s">
        <v>59</v>
      </c>
      <c r="C4" s="20" t="str">
        <f>Calculos!$B$2</f>
        <v>Septiembre</v>
      </c>
      <c r="F4" s="130" t="s">
        <v>60</v>
      </c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</row>
    <row r="6" spans="2:18" ht="18" customHeight="1" x14ac:dyDescent="0.35">
      <c r="B6" s="131" t="s">
        <v>61</v>
      </c>
      <c r="C6" s="131"/>
      <c r="D6" s="131"/>
      <c r="E6" s="131"/>
      <c r="F6" s="131" t="s">
        <v>62</v>
      </c>
      <c r="G6" s="131"/>
      <c r="H6" s="131"/>
      <c r="I6" s="131"/>
      <c r="J6" s="131" t="s">
        <v>63</v>
      </c>
      <c r="K6" s="131"/>
      <c r="L6" s="131"/>
      <c r="M6" s="131" t="s">
        <v>64</v>
      </c>
      <c r="N6" s="131"/>
      <c r="O6" s="131"/>
      <c r="P6" s="131" t="s">
        <v>65</v>
      </c>
      <c r="Q6" s="131"/>
      <c r="R6" s="131"/>
    </row>
    <row r="7" spans="2:18" ht="13.5" customHeight="1" x14ac:dyDescent="0.35">
      <c r="B7" s="131"/>
      <c r="C7" s="131"/>
      <c r="D7" s="131"/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</row>
    <row r="8" spans="2:18" ht="19.5" customHeight="1" x14ac:dyDescent="0.35">
      <c r="B8" s="132">
        <f ca="1">Calculos!B44</f>
        <v>0.56254666666666664</v>
      </c>
      <c r="C8" s="132"/>
      <c r="D8" s="132"/>
      <c r="E8" s="132"/>
      <c r="F8" s="133" t="str">
        <f ca="1">Calculos!B45</f>
        <v>Rojo</v>
      </c>
      <c r="G8" s="133"/>
      <c r="H8" s="133"/>
      <c r="I8" s="133"/>
      <c r="J8" s="134">
        <f ca="1">Calculos!B40</f>
        <v>0</v>
      </c>
      <c r="K8" s="134"/>
      <c r="L8" s="134"/>
      <c r="M8" s="127">
        <f ca="1">Calculos!B41</f>
        <v>0</v>
      </c>
      <c r="N8" s="127"/>
      <c r="O8" s="127"/>
      <c r="P8" s="128">
        <f ca="1">Calculos!B42</f>
        <v>15</v>
      </c>
      <c r="Q8" s="128"/>
      <c r="R8" s="128"/>
    </row>
    <row r="9" spans="2:18" ht="19.5" customHeight="1" x14ac:dyDescent="0.35">
      <c r="B9" s="132"/>
      <c r="C9" s="132"/>
      <c r="D9" s="132"/>
      <c r="E9" s="132"/>
      <c r="F9" s="133"/>
      <c r="G9" s="133"/>
      <c r="H9" s="133"/>
      <c r="I9" s="133"/>
      <c r="J9" s="134"/>
      <c r="K9" s="134"/>
      <c r="L9" s="134"/>
      <c r="M9" s="127"/>
      <c r="N9" s="127"/>
      <c r="O9" s="127"/>
      <c r="P9" s="128"/>
      <c r="Q9" s="128"/>
      <c r="R9" s="128"/>
    </row>
    <row r="10" spans="2:18" ht="13.5" customHeight="1" x14ac:dyDescent="0.35">
      <c r="B10" s="132"/>
      <c r="C10" s="132"/>
      <c r="D10" s="132"/>
      <c r="E10" s="132"/>
      <c r="F10" s="133"/>
      <c r="G10" s="133"/>
      <c r="H10" s="133"/>
      <c r="I10" s="133"/>
      <c r="J10" s="134"/>
      <c r="K10" s="134"/>
      <c r="L10" s="134"/>
      <c r="M10" s="127"/>
      <c r="N10" s="127"/>
      <c r="O10" s="127"/>
      <c r="P10" s="128"/>
      <c r="Q10" s="128"/>
      <c r="R10" s="128"/>
    </row>
    <row r="12" spans="2:18" ht="26.25" customHeight="1" x14ac:dyDescent="0.35">
      <c r="B12" s="126" t="s">
        <v>66</v>
      </c>
      <c r="C12" s="126"/>
      <c r="D12" s="126"/>
      <c r="E12" s="126"/>
      <c r="G12" s="126" t="s">
        <v>67</v>
      </c>
      <c r="H12" s="126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0.4863333333333334</v>
      </c>
    </row>
    <row r="15" spans="2:18" ht="14.25" customHeight="1" x14ac:dyDescent="0.35">
      <c r="B15" s="3" t="str">
        <f ca="1">Calculos!B24</f>
        <v>Centro de Distribucion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Materias Primas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0.84466666666666668</v>
      </c>
    </row>
    <row r="17" spans="2:8" ht="14.25" customHeight="1" x14ac:dyDescent="0.35">
      <c r="B17" s="3" t="str">
        <f ca="1">Calculos!B26</f>
        <v>Linea 3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0.84466666666666668</v>
      </c>
    </row>
    <row r="18" spans="2:8" ht="14.25" customHeight="1" x14ac:dyDescent="0.35">
      <c r="B18" s="3" t="str">
        <f ca="1">Calculos!B27</f>
        <v>Equipos Auxiliares</v>
      </c>
      <c r="C18" s="21">
        <f ca="1">Calculos!C27</f>
        <v>0</v>
      </c>
      <c r="G18" s="3" t="str">
        <f>Calculos!A9</f>
        <v>Cruzada 4</v>
      </c>
      <c r="H18" s="22">
        <f ca="1">Calculos!D9</f>
        <v>0</v>
      </c>
    </row>
    <row r="19" spans="2:8" ht="14.25" customHeight="1" x14ac:dyDescent="0.35">
      <c r="B19" s="3" t="str">
        <f ca="1">Calculos!B28</f>
        <v>Jarabes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Linea 1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1</v>
      </c>
    </row>
    <row r="21" spans="2:8" ht="14.25" customHeight="1" x14ac:dyDescent="0.35">
      <c r="B21" s="3" t="str">
        <f ca="1">Calculos!B30</f>
        <v>Linea 2</v>
      </c>
      <c r="C21" s="21">
        <f ca="1">Calculos!C30</f>
        <v>0</v>
      </c>
    </row>
    <row r="22" spans="2:8" ht="14.25" customHeight="1" x14ac:dyDescent="0.35">
      <c r="B22" s="3" t="str">
        <f ca="1">Calculos!B31</f>
        <v>Mantenimiento</v>
      </c>
      <c r="C22" s="21">
        <f ca="1">Calculos!C31</f>
        <v>0</v>
      </c>
    </row>
    <row r="23" spans="2:8" ht="14.25" customHeight="1" x14ac:dyDescent="0.35">
      <c r="B23" s="3" t="str">
        <f ca="1">Calculos!B32</f>
        <v>Linea 4</v>
      </c>
      <c r="C23" s="21">
        <f ca="1">Calculos!C32</f>
        <v>0</v>
      </c>
    </row>
    <row r="24" spans="2:8" ht="14.25" customHeight="1" x14ac:dyDescent="0.35">
      <c r="B24" s="3" t="str">
        <f ca="1">Calculos!B33</f>
        <v>Alrededores</v>
      </c>
      <c r="C24" s="21">
        <f ca="1">Calculos!C33</f>
        <v>0</v>
      </c>
    </row>
    <row r="25" spans="2:8" ht="14.25" customHeight="1" x14ac:dyDescent="0.35">
      <c r="B25" s="3" t="str">
        <f ca="1">Calculos!B34</f>
        <v>ETEI</v>
      </c>
      <c r="C25" s="21">
        <f ca="1">Calculos!C34</f>
        <v>0</v>
      </c>
    </row>
    <row r="26" spans="2:8" ht="14.25" customHeight="1" x14ac:dyDescent="0.35">
      <c r="B26" s="3" t="str">
        <f ca="1">Calculos!B35</f>
        <v>Linea 5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U20" sqref="U20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45" t="s">
        <v>70</v>
      </c>
      <c r="C2" s="145"/>
      <c r="D2" s="145"/>
      <c r="E2" s="146" t="s">
        <v>293</v>
      </c>
      <c r="F2" s="146"/>
      <c r="G2" s="146"/>
      <c r="H2" s="27" t="s">
        <v>71</v>
      </c>
    </row>
    <row r="3" spans="1:22" ht="7.5" customHeight="1" x14ac:dyDescent="0.35"/>
    <row r="4" spans="1:22" ht="30" customHeight="1" x14ac:dyDescent="0.35">
      <c r="B4" s="147" t="s">
        <v>72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</row>
    <row r="5" spans="1:22" ht="18" customHeight="1" x14ac:dyDescent="0.35">
      <c r="B5" s="148" t="str">
        <f>UPPER("Planta Cuyotenango  ·  "&amp;Calculos!$B$2&amp;" 2026  ·  Acumulado Año")</f>
        <v>PLANTA CUYOTENANGO  ·  SEPTIEMBRE 2026  ·  ACUMULADO AÑO</v>
      </c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5" t="str">
        <f>UPPER(Calculos!$B$2)</f>
        <v>SEPTIEMBRE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5"/>
      <c r="G8" s="136">
        <f ca="1">X31</f>
        <v>0</v>
      </c>
      <c r="H8" s="136"/>
      <c r="I8" s="136"/>
      <c r="P8" s="31" t="s">
        <v>76</v>
      </c>
      <c r="Q8" s="32">
        <f t="shared" si="0"/>
        <v>0</v>
      </c>
    </row>
    <row r="9" spans="1:22" ht="25.5" customHeight="1" x14ac:dyDescent="0.35">
      <c r="A9" s="135"/>
      <c r="F9" s="137">
        <f ca="1">X32</f>
        <v>0</v>
      </c>
      <c r="G9" s="137"/>
      <c r="H9" s="137"/>
      <c r="I9" s="137"/>
      <c r="J9" s="137"/>
      <c r="P9" s="31" t="s">
        <v>77</v>
      </c>
      <c r="Q9" s="32">
        <f t="shared" si="0"/>
        <v>0</v>
      </c>
    </row>
    <row r="10" spans="1:22" ht="25.5" customHeight="1" x14ac:dyDescent="0.35">
      <c r="A10" s="135"/>
      <c r="E10" s="138">
        <f ca="1">X33</f>
        <v>1</v>
      </c>
      <c r="F10" s="138"/>
      <c r="G10" s="138"/>
      <c r="H10" s="138"/>
      <c r="I10" s="138"/>
      <c r="J10" s="138"/>
      <c r="K10" s="138"/>
      <c r="P10" s="31" t="s">
        <v>78</v>
      </c>
      <c r="Q10" s="32">
        <f t="shared" si="0"/>
        <v>4</v>
      </c>
    </row>
    <row r="11" spans="1:22" ht="25.5" customHeight="1" x14ac:dyDescent="0.35">
      <c r="A11" s="135"/>
      <c r="D11" s="139">
        <f ca="1">X34</f>
        <v>0</v>
      </c>
      <c r="E11" s="139"/>
      <c r="F11" s="139"/>
      <c r="G11" s="139"/>
      <c r="H11" s="139"/>
      <c r="I11" s="139"/>
      <c r="J11" s="139"/>
      <c r="K11" s="139"/>
      <c r="L11" s="139"/>
      <c r="P11" s="31" t="s">
        <v>79</v>
      </c>
      <c r="Q11" s="32">
        <f t="shared" si="0"/>
        <v>7</v>
      </c>
    </row>
    <row r="12" spans="1:22" ht="25.5" customHeight="1" x14ac:dyDescent="0.35">
      <c r="A12" s="135"/>
      <c r="C12" s="140">
        <f ca="1">X35</f>
        <v>0</v>
      </c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P12" s="31" t="s">
        <v>80</v>
      </c>
      <c r="Q12" s="33">
        <f t="shared" si="0"/>
        <v>4</v>
      </c>
    </row>
    <row r="13" spans="1:22" ht="25.5" customHeight="1" x14ac:dyDescent="0.35">
      <c r="A13" s="135"/>
      <c r="B13" s="141">
        <f ca="1">X36</f>
        <v>24</v>
      </c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P13" s="31" t="s">
        <v>81</v>
      </c>
      <c r="Q13" s="34">
        <f>Y36</f>
        <v>487</v>
      </c>
    </row>
    <row r="14" spans="1:22" ht="25.5" customHeight="1" x14ac:dyDescent="0.35">
      <c r="A14" s="135"/>
      <c r="B14" s="142">
        <f ca="1">X37</f>
        <v>153</v>
      </c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P14" s="31" t="s">
        <v>82</v>
      </c>
      <c r="Q14" s="34">
        <f t="shared" si="0"/>
        <v>2077</v>
      </c>
    </row>
    <row r="15" spans="1:22" ht="13.5" customHeight="1" x14ac:dyDescent="0.35"/>
    <row r="16" spans="1:22" ht="25.5" customHeight="1" x14ac:dyDescent="0.35">
      <c r="S16" s="143" t="s">
        <v>83</v>
      </c>
      <c r="T16" s="143"/>
      <c r="U16" s="143"/>
      <c r="V16" s="143"/>
    </row>
    <row r="17" spans="2:25" ht="6" customHeight="1" x14ac:dyDescent="0.35"/>
    <row r="18" spans="2:25" ht="43.5" customHeight="1" x14ac:dyDescent="0.35">
      <c r="S18" s="35">
        <f ca="1">IF(T20="","—",INT(TODAY()-T20))</f>
        <v>418</v>
      </c>
      <c r="U18" s="35">
        <f ca="1">IF(V20="","—",INT(TODAY()-V20))</f>
        <v>6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46281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321</v>
      </c>
      <c r="U22" s="35">
        <f ca="1">IF(V24="","—",INT(TODAY()-V24))</f>
        <v>29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44" t="s">
        <v>85</v>
      </c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</row>
    <row r="28" spans="2:25" ht="13.5" customHeight="1" x14ac:dyDescent="0.35"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1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4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0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24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487</v>
      </c>
    </row>
    <row r="37" spans="23:25" x14ac:dyDescent="0.35">
      <c r="W37" s="39" t="s">
        <v>82</v>
      </c>
      <c r="X37" s="42">
        <f ca="1">IFERROR(INDIRECT("'Captura "&amp;Calculos!$B$2&amp;"'!BC4"),0)</f>
        <v>153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2077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09" t="s">
        <v>86</v>
      </c>
      <c r="C2" s="109"/>
      <c r="D2" s="109"/>
      <c r="E2" s="109"/>
      <c r="F2" s="109"/>
    </row>
    <row r="4" spans="2:10" ht="19.5" customHeight="1" x14ac:dyDescent="0.35">
      <c r="B4" s="126" t="s">
        <v>87</v>
      </c>
      <c r="C4" s="126"/>
      <c r="D4" s="126"/>
      <c r="E4" s="126"/>
      <c r="F4" s="126"/>
      <c r="H4" s="126" t="s">
        <v>88</v>
      </c>
      <c r="I4" s="126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6" t="s">
        <v>132</v>
      </c>
      <c r="C16" s="126"/>
      <c r="D16" s="126"/>
      <c r="E16" s="126"/>
      <c r="F16" s="126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6" t="s">
        <v>144</v>
      </c>
      <c r="C21" s="126"/>
      <c r="D21" s="126"/>
      <c r="E21" s="126"/>
      <c r="F21" s="126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6" t="s">
        <v>149</v>
      </c>
      <c r="C27" s="126"/>
      <c r="D27" s="126"/>
      <c r="E27" s="126"/>
      <c r="F27" s="126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6" t="s">
        <v>156</v>
      </c>
      <c r="C35" s="126"/>
      <c r="D35" s="126"/>
      <c r="E35" s="126"/>
      <c r="F35" s="126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160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161</v>
      </c>
      <c r="AT1" s="110"/>
      <c r="AU1" s="110"/>
      <c r="AV1" s="110"/>
      <c r="AW1" s="110"/>
      <c r="AX1" s="110"/>
      <c r="AY1" s="110"/>
      <c r="AZ1" s="110"/>
      <c r="BA1" s="110"/>
      <c r="BB1" s="111" t="s">
        <v>162</v>
      </c>
      <c r="BC1" s="111"/>
    </row>
    <row r="2" spans="1:55" ht="18" customHeight="1" x14ac:dyDescent="0.35">
      <c r="A2" s="5" t="s">
        <v>163</v>
      </c>
      <c r="B2" s="112" t="s">
        <v>164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7" t="s">
        <v>224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226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227</v>
      </c>
      <c r="AT1" s="110"/>
      <c r="AU1" s="110"/>
      <c r="AV1" s="110"/>
      <c r="AW1" s="110"/>
      <c r="AX1" s="110"/>
      <c r="AY1" s="110"/>
      <c r="AZ1" s="110"/>
      <c r="BA1" s="110"/>
      <c r="BB1" s="111" t="s">
        <v>228</v>
      </c>
      <c r="BC1" s="111"/>
    </row>
    <row r="2" spans="1:55" ht="18" customHeight="1" x14ac:dyDescent="0.35">
      <c r="A2" s="5" t="s">
        <v>163</v>
      </c>
      <c r="B2" s="112" t="s">
        <v>229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7" t="s">
        <v>230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231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232</v>
      </c>
      <c r="AT1" s="110"/>
      <c r="AU1" s="110"/>
      <c r="AV1" s="110"/>
      <c r="AW1" s="110"/>
      <c r="AX1" s="110"/>
      <c r="AY1" s="110"/>
      <c r="AZ1" s="110"/>
      <c r="BA1" s="110"/>
      <c r="BB1" s="111" t="s">
        <v>233</v>
      </c>
      <c r="BC1" s="111"/>
    </row>
    <row r="2" spans="1:55" ht="18" customHeight="1" x14ac:dyDescent="0.35">
      <c r="A2" s="5" t="s">
        <v>163</v>
      </c>
      <c r="B2" s="112" t="s">
        <v>234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7" t="s">
        <v>235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236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237</v>
      </c>
      <c r="AT1" s="110"/>
      <c r="AU1" s="110"/>
      <c r="AV1" s="110"/>
      <c r="AW1" s="110"/>
      <c r="AX1" s="110"/>
      <c r="AY1" s="110"/>
      <c r="AZ1" s="110"/>
      <c r="BA1" s="110"/>
      <c r="BB1" s="111" t="s">
        <v>238</v>
      </c>
      <c r="BC1" s="111"/>
    </row>
    <row r="2" spans="1:55" ht="18" customHeight="1" x14ac:dyDescent="0.35">
      <c r="A2" s="5" t="s">
        <v>163</v>
      </c>
      <c r="B2" s="112" t="s">
        <v>239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7" t="s">
        <v>240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241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242</v>
      </c>
      <c r="AT1" s="110"/>
      <c r="AU1" s="110"/>
      <c r="AV1" s="110"/>
      <c r="AW1" s="110"/>
      <c r="AX1" s="110"/>
      <c r="AY1" s="110"/>
      <c r="AZ1" s="110"/>
      <c r="BA1" s="110"/>
      <c r="BB1" s="111" t="s">
        <v>243</v>
      </c>
      <c r="BC1" s="111"/>
    </row>
    <row r="2" spans="1:55" ht="18" customHeight="1" x14ac:dyDescent="0.35">
      <c r="A2" s="5" t="s">
        <v>163</v>
      </c>
      <c r="B2" s="112" t="s">
        <v>244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17" t="s">
        <v>245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247</v>
      </c>
      <c r="AT1" s="110"/>
      <c r="AU1" s="110"/>
      <c r="AV1" s="110"/>
      <c r="AW1" s="110"/>
      <c r="AX1" s="110"/>
      <c r="AY1" s="110"/>
      <c r="AZ1" s="110"/>
      <c r="BA1" s="110"/>
      <c r="BB1" s="111" t="s">
        <v>248</v>
      </c>
      <c r="BC1" s="111"/>
    </row>
    <row r="2" spans="1:55" ht="18" customHeight="1" x14ac:dyDescent="0.35">
      <c r="A2" s="5" t="s">
        <v>163</v>
      </c>
      <c r="B2" s="112" t="s">
        <v>249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17" t="s">
        <v>250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251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252</v>
      </c>
      <c r="AT1" s="110"/>
      <c r="AU1" s="110"/>
      <c r="AV1" s="110"/>
      <c r="AW1" s="110"/>
      <c r="AX1" s="110"/>
      <c r="AY1" s="110"/>
      <c r="AZ1" s="110"/>
      <c r="BA1" s="110"/>
      <c r="BB1" s="111" t="s">
        <v>253</v>
      </c>
      <c r="BC1" s="111"/>
    </row>
    <row r="2" spans="1:55" ht="18" customHeight="1" x14ac:dyDescent="0.35">
      <c r="A2" s="5" t="s">
        <v>163</v>
      </c>
      <c r="B2" s="112" t="s">
        <v>254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17" t="s">
        <v>255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Z6" activePane="bottomRight" state="frozen"/>
      <selection pane="topRight" activeCell="Y1" sqref="Y1"/>
      <selection pane="bottomLeft" activeCell="A6" sqref="A6"/>
      <selection pane="bottomRight" activeCell="AF17" sqref="AF1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256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257</v>
      </c>
      <c r="AT1" s="110"/>
      <c r="AU1" s="110"/>
      <c r="AV1" s="110"/>
      <c r="AW1" s="110"/>
      <c r="AX1" s="110"/>
      <c r="AY1" s="110"/>
      <c r="AZ1" s="110"/>
      <c r="BA1" s="110"/>
      <c r="BB1" s="111" t="s">
        <v>258</v>
      </c>
      <c r="BC1" s="111"/>
    </row>
    <row r="2" spans="1:55" ht="18" customHeight="1" x14ac:dyDescent="0.35">
      <c r="A2" s="5" t="s">
        <v>163</v>
      </c>
      <c r="B2" s="112" t="s">
        <v>259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4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4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0.2</v>
      </c>
      <c r="AY17" s="80">
        <f>'Captura Agosto'!AC19</f>
        <v>0.04</v>
      </c>
      <c r="AZ17" s="81">
        <f>-'Captura Agosto'!AN19</f>
        <v>0</v>
      </c>
      <c r="BA17" s="82">
        <f>'Captura Agosto'!AQ19</f>
        <v>0.97124999999999995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1</v>
      </c>
      <c r="X19" s="86">
        <f>MAX(0,Parametros!$E$12-Parametros!$E$18*W19)</f>
        <v>0.2</v>
      </c>
      <c r="Y19" s="87">
        <v>3</v>
      </c>
      <c r="Z19" s="87">
        <v>10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>AA19+AB19</f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0.93124999999999991</v>
      </c>
      <c r="AQ19" s="90">
        <f>MAX(0,MIN(1,MAX(0,AP19-IF(S19="NO",Parametros!$E$17,0))+AC19-AN19-IF(AO19="SI",Parametros!$E$33,0)))</f>
        <v>0.97124999999999995</v>
      </c>
      <c r="AR19" s="58"/>
      <c r="AS19" s="117" t="s">
        <v>260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0.86230933333333326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0.86230933333333326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tabSelected="1" zoomScale="85" zoomScaleNormal="85" workbookViewId="0">
      <pane xSplit="3" ySplit="5" topLeftCell="AN6" activePane="bottomRight" state="frozen"/>
      <selection pane="topRight" activeCell="D1" sqref="D1"/>
      <selection pane="bottomLeft" activeCell="A6" sqref="A6"/>
      <selection pane="bottomRight" activeCell="AZ15" sqref="AZ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9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261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262</v>
      </c>
      <c r="AT1" s="110"/>
      <c r="AU1" s="110"/>
      <c r="AV1" s="110"/>
      <c r="AW1" s="110"/>
      <c r="AX1" s="110"/>
      <c r="AY1" s="110"/>
      <c r="AZ1" s="110"/>
      <c r="BA1" s="110"/>
      <c r="BB1" s="111" t="s">
        <v>263</v>
      </c>
      <c r="BC1" s="111"/>
    </row>
    <row r="2" spans="1:55" ht="31.5" customHeight="1" x14ac:dyDescent="0.35">
      <c r="A2" s="5" t="s">
        <v>163</v>
      </c>
      <c r="B2" s="112" t="s">
        <v>264</v>
      </c>
      <c r="C2" s="112"/>
      <c r="D2" s="112"/>
      <c r="F2" s="5" t="s">
        <v>165</v>
      </c>
      <c r="G2" s="115" t="s">
        <v>166</v>
      </c>
      <c r="H2" s="115"/>
      <c r="I2" s="115"/>
      <c r="J2" s="115"/>
      <c r="K2" s="115"/>
      <c r="L2" s="115"/>
      <c r="M2" s="115"/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24</v>
      </c>
    </row>
    <row r="4" spans="1:55" ht="28.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107" t="str">
        <f>'Captura Septiembre'!B6</f>
        <v>Almacen de Repuestos</v>
      </c>
      <c r="AT4" s="72">
        <f>'Captura Septiembre'!K6+'Captura Septiembre'!N6+'Captura Septiembre'!Q6</f>
        <v>0.24</v>
      </c>
      <c r="AU4" s="72">
        <f>'Captura Septiembre'!T6</f>
        <v>0</v>
      </c>
      <c r="AV4" s="72">
        <f>'Captura Septiembre'!V6</f>
        <v>0</v>
      </c>
      <c r="AW4" s="72">
        <f>'Captura Septiembre'!G6</f>
        <v>0.1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0.59000000000000008</v>
      </c>
      <c r="BB4" s="68" t="s">
        <v>191</v>
      </c>
      <c r="BC4" s="75">
        <v>153</v>
      </c>
    </row>
    <row r="5" spans="1:55" ht="37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0.24</v>
      </c>
      <c r="AU5" s="80">
        <f>'Captura Septiembre'!T7</f>
        <v>0</v>
      </c>
      <c r="AV5" s="80">
        <f>'Captura Septiembre'!V7</f>
        <v>0</v>
      </c>
      <c r="AW5" s="80">
        <f>'Captura Septiembre'!G7</f>
        <v>6.6000000000000003E-2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0.55600000000000005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0.59000000000000008</v>
      </c>
      <c r="AQ6" s="90">
        <f>MAX(0,MIN(1,MAX(0,AP6-IF(S6="NO",Parametros!$E$17,0))+AC6-AN6-IF(AO6="SI",Parametros!$E$33,0)))</f>
        <v>0.59000000000000008</v>
      </c>
      <c r="AR6" s="58"/>
      <c r="AS6" s="71" t="str">
        <f>'Captura Septiembre'!B8</f>
        <v>Calidad</v>
      </c>
      <c r="AT6" s="72">
        <f>'Captura Septiembre'!K8+'Captura Septiembre'!N8+'Captura Septiembre'!Q8</f>
        <v>0.24</v>
      </c>
      <c r="AU6" s="72">
        <f>'Captura Septiembre'!T8</f>
        <v>0</v>
      </c>
      <c r="AV6" s="72">
        <f>'Captura Septiembre'!V8</f>
        <v>0</v>
      </c>
      <c r="AW6" s="72">
        <f>'Captura Septiembre'!G8</f>
        <v>0.1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0.59000000000000008</v>
      </c>
      <c r="BB6" s="58"/>
      <c r="BC6" s="58"/>
    </row>
    <row r="7" spans="1:55" ht="26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0.66</v>
      </c>
      <c r="E7" s="85">
        <v>0</v>
      </c>
      <c r="F7" s="11">
        <f t="shared" si="0"/>
        <v>0.33</v>
      </c>
      <c r="G7" s="86">
        <f>F7*Parametros!$E$6</f>
        <v>6.6000000000000003E-2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0.55600000000000005</v>
      </c>
      <c r="AQ7" s="90">
        <f>MAX(0,MIN(1,MAX(0,AP7-IF(S7="NO",Parametros!$E$17,0))+AC7-AN7-IF(AO7="SI",Parametros!$E$33,0)))</f>
        <v>0.55600000000000005</v>
      </c>
      <c r="AR7" s="58"/>
      <c r="AS7" s="108" t="str">
        <f>'Captura Septiembre'!B9</f>
        <v>Centro de Distribucion</v>
      </c>
      <c r="AT7" s="80">
        <f>'Captura Septiembre'!K9+'Captura Septiembre'!N9+'Captura Septiembre'!Q9</f>
        <v>0.24</v>
      </c>
      <c r="AU7" s="80">
        <f>'Captura Septiembre'!T9</f>
        <v>0</v>
      </c>
      <c r="AV7" s="80">
        <f>'Captura Septiembre'!V9</f>
        <v>0</v>
      </c>
      <c r="AW7" s="80">
        <f>'Captura Septiembre'!G9</f>
        <v>0.1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0.59000000000000008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0.59000000000000008</v>
      </c>
      <c r="AQ8" s="90">
        <f>MAX(0,MIN(1,MAX(0,AP8-IF(S8="NO",Parametros!$E$17,0))+AC8-AN8-IF(AO8="SI",Parametros!$E$33,0)))</f>
        <v>0.59000000000000008</v>
      </c>
      <c r="AR8" s="58"/>
      <c r="AS8" s="71" t="str">
        <f>'Captura Septiembre'!B10</f>
        <v>ETEI</v>
      </c>
      <c r="AT8" s="72">
        <f>'Captura Septiembre'!K10+'Captura Septiembre'!N10+'Captura Septiembre'!Q10</f>
        <v>0.16</v>
      </c>
      <c r="AU8" s="72">
        <f>'Captura Septiembre'!T10</f>
        <v>0</v>
      </c>
      <c r="AV8" s="72">
        <f>'Captura Septiembre'!V10</f>
        <v>0</v>
      </c>
      <c r="AW8" s="72">
        <f>'Captura Septiembre'!G10</f>
        <v>0.1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0.51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0.59000000000000008</v>
      </c>
      <c r="AQ9" s="90">
        <f>MAX(0,MIN(1,MAX(0,AP9-IF(S9="NO",Parametros!$E$17,0))+AC9-AN9-IF(AO9="SI",Parametros!$E$33,0)))</f>
        <v>0.59000000000000008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0.23520000000000002</v>
      </c>
      <c r="AU9" s="80">
        <f>'Captura Septiembre'!T11</f>
        <v>0</v>
      </c>
      <c r="AV9" s="80">
        <f>'Captura Septiembre'!V11</f>
        <v>0</v>
      </c>
      <c r="AW9" s="80">
        <f>'Captura Septiembre'!G11</f>
        <v>0.1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0.58519999999999994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</v>
      </c>
      <c r="F10" s="11">
        <f t="shared" si="0"/>
        <v>0.5</v>
      </c>
      <c r="G10" s="86">
        <f>F10*Parametros!$E$6</f>
        <v>0.1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222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0.51</v>
      </c>
      <c r="AQ10" s="90">
        <f>MAX(0,MIN(1,MAX(0,AP10-IF(S10="NO",Parametros!$E$17,0))+AC10-AN10-IF(AO10="SI",Parametros!$E$33,0)))</f>
        <v>0.51</v>
      </c>
      <c r="AR10" s="58"/>
      <c r="AS10" s="71" t="str">
        <f>'Captura Septiembre'!B12</f>
        <v>Jarabes</v>
      </c>
      <c r="AT10" s="72">
        <f>'Captura Septiembre'!K12+'Captura Septiembre'!N12+'Captura Septiembre'!Q12</f>
        <v>0.23199999999999998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0.1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0.58200000000000007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0.94</v>
      </c>
      <c r="M11" s="88" t="s">
        <v>222</v>
      </c>
      <c r="N11" s="86">
        <f>IF(M11="NO",0,L11*Parametros!$E$8)</f>
        <v>7.5200000000000003E-2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0.58519999999999994</v>
      </c>
      <c r="AQ11" s="90">
        <f>MAX(0,MIN(1,MAX(0,AP11-IF(S11="NO",Parametros!$E$17,0))+AC11-AN11-IF(AO11="SI",Parametros!$E$33,0)))</f>
        <v>0.58519999999999994</v>
      </c>
      <c r="AR11" s="58"/>
      <c r="AS11" s="79" t="str">
        <f>'Captura Septiembre'!B13</f>
        <v>Linea 1</v>
      </c>
      <c r="AT11" s="80">
        <f>'Captura Septiembre'!K13+'Captura Septiembre'!N13+'Captura Septiembre'!Q13</f>
        <v>0.23039999999999999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0.1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0.58040000000000003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0</v>
      </c>
      <c r="F12" s="11">
        <f t="shared" si="0"/>
        <v>0.5</v>
      </c>
      <c r="G12" s="86">
        <f>F12*Parametros!$E$6</f>
        <v>0.1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0.95</v>
      </c>
      <c r="M12" s="88" t="s">
        <v>222</v>
      </c>
      <c r="N12" s="86">
        <f>IF(M12="NO",0,L12*Parametros!$E$8)</f>
        <v>7.5999999999999998E-2</v>
      </c>
      <c r="O12" s="85">
        <v>0.95</v>
      </c>
      <c r="P12" s="88" t="s">
        <v>222</v>
      </c>
      <c r="Q12" s="86">
        <f>IF(P12="NO",0,O12*Parametros!$E$9)</f>
        <v>7.5999999999999998E-2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0.58200000000000007</v>
      </c>
      <c r="AQ12" s="90">
        <f>MAX(0,MIN(1,MAX(0,AP12-IF(S12="NO",Parametros!$E$17,0))+AC12-AN12-IF(AO12="SI",Parametros!$E$33,0)))</f>
        <v>0.58200000000000007</v>
      </c>
      <c r="AR12" s="58"/>
      <c r="AS12" s="71" t="str">
        <f>'Captura Septiembre'!B14</f>
        <v>Linea 2</v>
      </c>
      <c r="AT12" s="72">
        <f>'Captura Septiembre'!K14+'Captura Septiembre'!N14+'Captura Septiembre'!Q14</f>
        <v>0.23039999999999999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0.1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0.58040000000000003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0</v>
      </c>
      <c r="F13" s="11">
        <f t="shared" si="0"/>
        <v>0.5</v>
      </c>
      <c r="G13" s="86">
        <f>F13*Parametros!$E$6</f>
        <v>0.1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0.96</v>
      </c>
      <c r="M13" s="88" t="s">
        <v>222</v>
      </c>
      <c r="N13" s="86">
        <f>IF(M13="NO",0,L13*Parametros!$E$8)</f>
        <v>7.6799999999999993E-2</v>
      </c>
      <c r="O13" s="85">
        <v>0.92</v>
      </c>
      <c r="P13" s="88" t="s">
        <v>222</v>
      </c>
      <c r="Q13" s="86">
        <f>IF(P13="NO",0,O13*Parametros!$E$9)</f>
        <v>7.3599999999999999E-2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0.58040000000000003</v>
      </c>
      <c r="AQ13" s="90">
        <f>MAX(0,MIN(1,MAX(0,AP13-IF(S13="NO",Parametros!$E$17,0))+AC13-AN13-IF(AO13="SI",Parametros!$E$33,0)))</f>
        <v>0.58040000000000003</v>
      </c>
      <c r="AR13" s="58"/>
      <c r="AS13" s="79" t="str">
        <f>'Captura Septiembre'!B15</f>
        <v>Linea 3</v>
      </c>
      <c r="AT13" s="80">
        <f>'Captura Septiembre'!K15+'Captura Septiembre'!N15+'Captura Septiembre'!Q15</f>
        <v>0.23680000000000001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0.1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0.58679999999999999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0.96</v>
      </c>
      <c r="M14" s="88" t="s">
        <v>222</v>
      </c>
      <c r="N14" s="86">
        <f>IF(M14="NO",0,L14*Parametros!$E$8)</f>
        <v>7.6799999999999993E-2</v>
      </c>
      <c r="O14" s="85">
        <v>0.92</v>
      </c>
      <c r="P14" s="88" t="s">
        <v>222</v>
      </c>
      <c r="Q14" s="86">
        <f>IF(P14="NO",0,O14*Parametros!$E$9)</f>
        <v>7.3599999999999999E-2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0.58040000000000003</v>
      </c>
      <c r="AQ14" s="90">
        <f>MAX(0,MIN(1,MAX(0,AP14-IF(S14="NO",Parametros!$E$17,0))+AC14-AN14-IF(AO14="SI",Parametros!$E$33,0)))</f>
        <v>0.58040000000000003</v>
      </c>
      <c r="AR14" s="58"/>
      <c r="AS14" s="71" t="str">
        <f>'Captura Septiembre'!B16</f>
        <v>Linea 4</v>
      </c>
      <c r="AT14" s="72">
        <f>'Captura Septiembre'!K16+'Captura Septiembre'!N16+'Captura Septiembre'!Q16</f>
        <v>0.23359999999999997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9.3000000000000013E-2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0.5766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</v>
      </c>
      <c r="F15" s="11">
        <f t="shared" si="0"/>
        <v>0.5</v>
      </c>
      <c r="G15" s="86">
        <f>F15*Parametros!$E$6</f>
        <v>0.1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0.96</v>
      </c>
      <c r="P15" s="88" t="s">
        <v>222</v>
      </c>
      <c r="Q15" s="86">
        <f>IF(P15="NO",0,O15*Parametros!$E$9)</f>
        <v>7.6799999999999993E-2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0.58679999999999999</v>
      </c>
      <c r="AQ15" s="90">
        <f>MAX(0,MIN(1,MAX(0,AP15-IF(S15="NO",Parametros!$E$17,0))+AC15-AN15-IF(AO15="SI",Parametros!$E$33,0)))</f>
        <v>0.58679999999999999</v>
      </c>
      <c r="AR15" s="58"/>
      <c r="AS15" s="79" t="str">
        <f>'Captura Septiembre'!B17</f>
        <v>Linea 5</v>
      </c>
      <c r="AT15" s="80">
        <f>'Captura Septiembre'!K17+'Captura Septiembre'!N17+'Captura Septiembre'!Q17</f>
        <v>0.15679999999999999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0.1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-0.15</v>
      </c>
      <c r="BA15" s="82">
        <f>'Captura Septiembre'!AQ17</f>
        <v>0.3567999999999999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0.93</v>
      </c>
      <c r="E16" s="85">
        <v>0</v>
      </c>
      <c r="F16" s="11">
        <f t="shared" si="0"/>
        <v>0.46500000000000002</v>
      </c>
      <c r="G16" s="86">
        <f>F16*Parametros!$E$6</f>
        <v>9.3000000000000013E-2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0.96</v>
      </c>
      <c r="M16" s="88" t="s">
        <v>222</v>
      </c>
      <c r="N16" s="86">
        <f>IF(M16="NO",0,L16*Parametros!$E$8)</f>
        <v>7.6799999999999993E-2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0.5766</v>
      </c>
      <c r="AQ16" s="90">
        <f>MAX(0,MIN(1,MAX(0,AP16-IF(S16="NO",Parametros!$E$17,0))+AC16-AN16-IF(AO16="SI",Parametros!$E$33,0)))</f>
        <v>0.5766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0.23039999999999999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0.1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0.58040000000000003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</v>
      </c>
      <c r="F17" s="11">
        <f t="shared" si="0"/>
        <v>0.5</v>
      </c>
      <c r="G17" s="86">
        <f>F17*Parametros!$E$6</f>
        <v>0.1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</v>
      </c>
      <c r="M17" s="88" t="s">
        <v>222</v>
      </c>
      <c r="N17" s="86">
        <f>IF(M17="NO",0,L17*Parametros!$E$8)</f>
        <v>0</v>
      </c>
      <c r="O17" s="85">
        <v>0.96</v>
      </c>
      <c r="P17" s="88" t="s">
        <v>222</v>
      </c>
      <c r="Q17" s="86">
        <f>IF(P17="NO",0,O17*Parametros!$E$9)</f>
        <v>7.6799999999999993E-2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1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0.15</v>
      </c>
      <c r="AO17" s="12" t="str">
        <f t="shared" si="2"/>
        <v>NO</v>
      </c>
      <c r="AP17" s="11">
        <f t="shared" si="3"/>
        <v>0.50679999999999992</v>
      </c>
      <c r="AQ17" s="90">
        <f>MAX(0,MIN(1,MAX(0,AP17-IF(S17="NO",Parametros!$E$17,0))+AC17-AN17-IF(AO17="SI",Parametros!$E$33,0)))</f>
        <v>0.3567999999999999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0.24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0.1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0.59000000000000008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0</v>
      </c>
      <c r="F18" s="11">
        <f t="shared" si="0"/>
        <v>0.5</v>
      </c>
      <c r="G18" s="86">
        <f>F18*Parametros!$E$6</f>
        <v>0.1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0.94</v>
      </c>
      <c r="M18" s="88" t="s">
        <v>222</v>
      </c>
      <c r="N18" s="86">
        <f>IF(M18="NO",0,L18*Parametros!$E$8)</f>
        <v>7.5200000000000003E-2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0.58040000000000003</v>
      </c>
      <c r="AQ18" s="90">
        <f>MAX(0,MIN(1,MAX(0,AP18-IF(S18="NO",Parametros!$E$17,0))+AC18-AN18-IF(AO18="SI",Parametros!$E$33,0)))</f>
        <v>0.58040000000000003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0.23359999999999997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0.1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0.5835999999999999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0.59000000000000008</v>
      </c>
      <c r="AQ19" s="90">
        <f>MAX(0,MIN(1,MAX(0,AP19-IF(S19="NO",Parametros!$E$17,0))+AC19-AN19-IF(AO19="SI",Parametros!$E$33,0)))</f>
        <v>0.59000000000000008</v>
      </c>
      <c r="AR19" s="58"/>
      <c r="AS19" s="117" t="s">
        <v>265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0.56254666666666664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0.96</v>
      </c>
      <c r="M20" s="88" t="s">
        <v>222</v>
      </c>
      <c r="N20" s="86">
        <f>IF(M20="NO",0,L20*Parametros!$E$8)</f>
        <v>7.6799999999999993E-2</v>
      </c>
      <c r="O20" s="85">
        <v>0.96</v>
      </c>
      <c r="P20" s="88" t="s">
        <v>222</v>
      </c>
      <c r="Q20" s="86">
        <f>IF(P20="NO",0,O20*Parametros!$E$9)</f>
        <v>7.6799999999999993E-2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0.5835999999999999</v>
      </c>
      <c r="AQ20" s="90">
        <f>MAX(0,MIN(1,MAX(0,AP20-IF(S20="NO",Parametros!$E$17,0))+AC20-AN20-IF(AO20="SI",Parametros!$E$33,0)))</f>
        <v>0.5835999999999999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0.56254666666666664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1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  <mergeCell ref="G2:M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19:AV20">
    <cfRule type="cellIs" dxfId="35" priority="2" operator="greaterThanOrEqual">
      <formula>0.9</formula>
    </cfRule>
    <cfRule type="expression" dxfId="34" priority="3">
      <formula>AND(AV19&gt;=0.7,AV19&lt;0.9)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266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267</v>
      </c>
      <c r="AT1" s="110"/>
      <c r="AU1" s="110"/>
      <c r="AV1" s="110"/>
      <c r="AW1" s="110"/>
      <c r="AX1" s="110"/>
      <c r="AY1" s="110"/>
      <c r="AZ1" s="110"/>
      <c r="BA1" s="110"/>
      <c r="BB1" s="111" t="s">
        <v>268</v>
      </c>
      <c r="BC1" s="111"/>
    </row>
    <row r="2" spans="1:55" ht="18" customHeight="1" x14ac:dyDescent="0.35">
      <c r="A2" s="5" t="s">
        <v>163</v>
      </c>
      <c r="B2" s="112" t="s">
        <v>269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7" t="s">
        <v>270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271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272</v>
      </c>
      <c r="AT1" s="110"/>
      <c r="AU1" s="110"/>
      <c r="AV1" s="110"/>
      <c r="AW1" s="110"/>
      <c r="AX1" s="110"/>
      <c r="AY1" s="110"/>
      <c r="AZ1" s="110"/>
      <c r="BA1" s="110"/>
      <c r="BB1" s="111" t="s">
        <v>273</v>
      </c>
      <c r="BC1" s="111"/>
    </row>
    <row r="2" spans="1:55" ht="18" customHeight="1" x14ac:dyDescent="0.35">
      <c r="A2" s="5" t="s">
        <v>163</v>
      </c>
      <c r="B2" s="112" t="s">
        <v>274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7" t="s">
        <v>275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9" t="s">
        <v>276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R1" s="58"/>
      <c r="AS1" s="110" t="s">
        <v>277</v>
      </c>
      <c r="AT1" s="110"/>
      <c r="AU1" s="110"/>
      <c r="AV1" s="110"/>
      <c r="AW1" s="110"/>
      <c r="AX1" s="110"/>
      <c r="AY1" s="110"/>
      <c r="AZ1" s="110"/>
      <c r="BA1" s="110"/>
      <c r="BB1" s="111" t="s">
        <v>278</v>
      </c>
      <c r="BC1" s="111"/>
    </row>
    <row r="2" spans="1:55" ht="18" customHeight="1" x14ac:dyDescent="0.35">
      <c r="A2" s="5" t="s">
        <v>163</v>
      </c>
      <c r="B2" s="112" t="s">
        <v>279</v>
      </c>
      <c r="C2" s="112"/>
      <c r="D2" s="112"/>
      <c r="F2" s="5" t="s">
        <v>165</v>
      </c>
      <c r="G2" s="59" t="s">
        <v>166</v>
      </c>
      <c r="AR2" s="58"/>
      <c r="AS2" s="60"/>
      <c r="AT2" s="113" t="s">
        <v>167</v>
      </c>
      <c r="AU2" s="113"/>
      <c r="AV2" s="113"/>
      <c r="AW2" s="61" t="s">
        <v>96</v>
      </c>
      <c r="AX2" s="114" t="s">
        <v>168</v>
      </c>
      <c r="AY2" s="114"/>
      <c r="AZ2" s="114"/>
      <c r="BA2" s="11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20" t="s">
        <v>181</v>
      </c>
      <c r="E4" s="120"/>
      <c r="F4" s="120"/>
      <c r="G4" s="120"/>
      <c r="H4" s="120" t="s">
        <v>182</v>
      </c>
      <c r="I4" s="120"/>
      <c r="J4" s="120"/>
      <c r="K4" s="120"/>
      <c r="L4" s="120" t="s">
        <v>183</v>
      </c>
      <c r="M4" s="120"/>
      <c r="N4" s="120"/>
      <c r="O4" s="120" t="s">
        <v>184</v>
      </c>
      <c r="P4" s="120"/>
      <c r="Q4" s="120"/>
      <c r="R4" s="120" t="s">
        <v>185</v>
      </c>
      <c r="S4" s="120"/>
      <c r="T4" s="120"/>
      <c r="U4" s="120" t="s">
        <v>186</v>
      </c>
      <c r="V4" s="120"/>
      <c r="W4" s="121" t="s">
        <v>187</v>
      </c>
      <c r="X4" s="121"/>
      <c r="Y4" s="120" t="s">
        <v>188</v>
      </c>
      <c r="Z4" s="120"/>
      <c r="AA4" s="120"/>
      <c r="AB4" s="120"/>
      <c r="AC4" s="120"/>
      <c r="AD4" s="121" t="s">
        <v>189</v>
      </c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 t="s">
        <v>190</v>
      </c>
      <c r="AQ4" s="122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16" t="s">
        <v>221</v>
      </c>
      <c r="BC5" s="11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7" t="s">
        <v>280</v>
      </c>
      <c r="AT19" s="117"/>
      <c r="AU19" s="117"/>
      <c r="AV19" s="117"/>
      <c r="AW19" s="117"/>
      <c r="AX19" s="117"/>
      <c r="AY19" s="117"/>
      <c r="AZ19" s="11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8"/>
      <c r="B22" s="118"/>
      <c r="C22" s="11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9" t="s">
        <v>225</v>
      </c>
      <c r="B23" s="119"/>
      <c r="C23" s="11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09" t="s">
        <v>281</v>
      </c>
      <c r="B1" s="109"/>
      <c r="C1" s="109"/>
    </row>
    <row r="3" spans="1:6" ht="30" customHeight="1" x14ac:dyDescent="0.35">
      <c r="A3" s="149" t="s">
        <v>282</v>
      </c>
      <c r="B3" s="149"/>
      <c r="C3" s="149"/>
      <c r="D3" s="149"/>
      <c r="E3" s="149"/>
      <c r="F3" s="149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0.86230933333333326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>
        <f>IF(AVERAGE('Captura Septiembre'!D6:D20)=0,"",'Captura Septiembre'!AQ23)</f>
        <v>0.56254666666666664</v>
      </c>
      <c r="C14" s="12" t="str">
        <f>IF(B14="","",IF(B14&gt;=Parametros!$C$37,"Verde",IF(B14&gt;=Parametros!$C$38,"Amarillo","Rojo")))</f>
        <v>Rojo</v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50" t="s">
        <v>285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0.59000000000000008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0.95169444444444451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>
        <f>IFERROR(IF('Captura Septiembre'!D6=0,"",'Captura Septiembre'!AQ6),"")</f>
        <v>0.59000000000000008</v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0.91999444444444434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0.5766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0.9278761904761903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>
        <f>IFERROR(IF('Captura Septiembre'!D17=0,"",'Captura Septiembre'!AQ17),"")</f>
        <v>0.3567999999999999</v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0.79350091575091575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>
        <f>IFERROR(IF('Captura Septiembre'!D14=0,"",'Captura Septiembre'!AQ14),"")</f>
        <v>0.58040000000000003</v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0.86540666666666677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>
        <f>IFERROR(IF('Captura Septiembre'!D11=0,"",'Captura Septiembre'!AQ11),"")</f>
        <v>0.58519999999999994</v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0.88668888888888886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>
        <f>IFERROR(IF('Captura Septiembre'!D13=0,"",'Captura Septiembre'!AQ13),"")</f>
        <v>0.58040000000000003</v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0.79534222222222217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>
        <f>IFERROR(IF('Captura Septiembre'!D10=0,"",'Captura Septiembre'!AQ10),"")</f>
        <v>0.51</v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0.90722222222222237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>
        <f>IFERROR(IF('Captura Septiembre'!D9=0,"",'Captura Septiembre'!AQ9),"")</f>
        <v>0.59000000000000008</v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0.94216111111111112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>
        <f>IFERROR(IF('Captura Septiembre'!D12=0,"",'Captura Septiembre'!AQ12),"")</f>
        <v>0.58200000000000007</v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0.82781159420289863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>
        <f>IFERROR(IF('Captura Septiembre'!D15=0,"",'Captura Septiembre'!AQ15),"")</f>
        <v>0.58679999999999999</v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0.80663680961663431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>
        <f>IFERROR(IF('Captura Septiembre'!D7=0,"",'Captura Septiembre'!AQ7),"")</f>
        <v>0.55600000000000005</v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0.75783333333333336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>
        <f>IFERROR(IF('Captura Septiembre'!D20=0,"",'Captura Septiembre'!AQ20),"")</f>
        <v>0.5835999999999999</v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0.90340000000000009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>
        <f>IFERROR(IF('Captura Septiembre'!D18=0,"",'Captura Septiembre'!AQ18),"")</f>
        <v>0.58040000000000003</v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0.90141721132897601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0.97124999999999995</v>
      </c>
      <c r="J18" s="10">
        <f>IFERROR(IF('Captura Septiembre'!D19=0,"",'Captura Septiembre'!AQ19),"")</f>
        <v>0.59000000000000008</v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0.87263888888888885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0.86230933333333337</v>
      </c>
      <c r="J19" s="104">
        <f t="shared" si="1"/>
        <v>0.56254666666666664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51" t="s">
        <v>22</v>
      </c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topLeftCell="A6" zoomScale="85" zoomScaleNormal="85" workbookViewId="0">
      <selection activeCell="M27" sqref="M27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50" t="s">
        <v>285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0.59000000000000008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0.95169444444444451</v>
      </c>
      <c r="O4" s="106"/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>
        <f>IFERROR(IF('Captura Septiembre'!D9=0,"",'Captura Septiembre'!AQ9),"")</f>
        <v>0.59000000000000008</v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0.94216111111111112</v>
      </c>
      <c r="O5" s="106"/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0.5766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0.9278761904761903</v>
      </c>
      <c r="O6" s="106"/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>
        <f>IFERROR(IF('Captura Septiembre'!D6=0,"",'Captura Septiembre'!AQ6),"")</f>
        <v>0.59000000000000008</v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0.91999444444444434</v>
      </c>
      <c r="O7" s="106"/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>
        <f>IFERROR(IF('Captura Septiembre'!D10=0,"",'Captura Septiembre'!AQ10),"")</f>
        <v>0.51</v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0.90722222222222237</v>
      </c>
      <c r="O8" s="106"/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>
        <f>IFERROR(IF('Captura Septiembre'!D20=0,"",'Captura Septiembre'!AQ20),"")</f>
        <v>0.5835999999999999</v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0.90340000000000009</v>
      </c>
      <c r="O9" s="106"/>
    </row>
    <row r="10" spans="1:15" ht="14.25" customHeight="1" x14ac:dyDescent="0.35">
      <c r="A10" s="101" t="s">
        <v>140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>
        <f>IFERROR(IF('Captura Agosto'!D18=0,"",'Captura Agosto'!AQ18),"")</f>
        <v>0.9951000000000001</v>
      </c>
      <c r="J10" s="10">
        <f>IFERROR(IF('Captura Septiembre'!D18=0,"",'Captura Septiembre'!AQ18),"")</f>
        <v>0.58040000000000003</v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102">
        <f t="shared" si="0"/>
        <v>0.90141721132897601</v>
      </c>
      <c r="O10" s="106"/>
    </row>
    <row r="11" spans="1:15" ht="14.25" customHeight="1" x14ac:dyDescent="0.35">
      <c r="A11" s="101" t="s">
        <v>117</v>
      </c>
      <c r="B11" s="10">
        <f>IFERROR(IF('Captura Enero'!D11=0,"",'Captura Enero'!AQ11),"")</f>
        <v>0.84000000000000008</v>
      </c>
      <c r="C11" s="10">
        <f>IFERROR(IF('Captura Febrero'!D11=0,"",'Captura Febrero'!AQ11),"")</f>
        <v>1</v>
      </c>
      <c r="D11" s="10">
        <f>IFERROR(IF('Captura Marzo'!D11=0,"",'Captura Marzo'!AQ11),"")</f>
        <v>0.97500000000000009</v>
      </c>
      <c r="E11" s="10">
        <f>IFERROR(IF('Captura Abril'!D11=0,"",'Captura Abril'!AQ11),"")</f>
        <v>1</v>
      </c>
      <c r="F11" s="10">
        <f>IFERROR(IF('Captura Mayo'!D11=0,"",'Captura Mayo'!AQ11),"")</f>
        <v>1</v>
      </c>
      <c r="G11" s="10">
        <f>IFERROR(IF('Captura Junio'!D11=0,"",'Captura Junio'!AQ11),"")</f>
        <v>0.85</v>
      </c>
      <c r="H11" s="10">
        <f>IFERROR(IF('Captura Julio'!D11=0,"",'Captura Julio'!AQ11),"")</f>
        <v>0.94000000000000006</v>
      </c>
      <c r="I11" s="10">
        <f>IFERROR(IF('Captura Agosto'!D11=0,"",'Captura Agosto'!AQ11),"")</f>
        <v>0.79</v>
      </c>
      <c r="J11" s="10">
        <f>IFERROR(IF('Captura Septiembre'!D11=0,"",'Captura Septiembre'!AQ11),"")</f>
        <v>0.58519999999999994</v>
      </c>
      <c r="K11" s="10" t="str">
        <f>IFERROR(IF('Captura Octubre'!D11=0,"",'Captura Octubre'!AQ11),"")</f>
        <v/>
      </c>
      <c r="L11" s="10" t="str">
        <f>IFERROR(IF('Captura Noviembre'!D11=0,"",'Captura Noviembre'!AQ11),"")</f>
        <v/>
      </c>
      <c r="M11" s="10" t="str">
        <f>IFERROR(IF('Captura Diciembre'!D11=0,"",'Captura Diciembre'!AQ11),"")</f>
        <v/>
      </c>
      <c r="N11" s="102">
        <f t="shared" si="0"/>
        <v>0.88668888888888886</v>
      </c>
      <c r="O11" s="106"/>
    </row>
    <row r="12" spans="1:15" ht="14.25" customHeight="1" x14ac:dyDescent="0.35">
      <c r="A12" s="101" t="s">
        <v>142</v>
      </c>
      <c r="B12" s="10">
        <f>IFERROR(IF('Captura Enero'!D19=0,"",'Captura Enero'!AQ19),"")</f>
        <v>1</v>
      </c>
      <c r="C12" s="10">
        <f>IFERROR(IF('Captura Febrero'!D19=0,"",'Captura Febrero'!AQ19),"")</f>
        <v>1</v>
      </c>
      <c r="D12" s="10">
        <f>IFERROR(IF('Captura Marzo'!D19=0,"",'Captura Marzo'!AQ19),"")</f>
        <v>1</v>
      </c>
      <c r="E12" s="10">
        <f>IFERROR(IF('Captura Abril'!D19=0,"",'Captura Abril'!AQ19),"")</f>
        <v>1</v>
      </c>
      <c r="F12" s="10">
        <f>IFERROR(IF('Captura Mayo'!D19=0,"",'Captura Mayo'!AQ19),"")</f>
        <v>0.84000000000000008</v>
      </c>
      <c r="G12" s="10">
        <f>IFERROR(IF('Captura Junio'!D19=0,"",'Captura Junio'!AQ19),"")</f>
        <v>0.71500000000000008</v>
      </c>
      <c r="H12" s="10">
        <f>IFERROR(IF('Captura Julio'!D19=0,"",'Captura Julio'!AQ19),"")</f>
        <v>0.73750000000000004</v>
      </c>
      <c r="I12" s="10">
        <f>IFERROR(IF('Captura Agosto'!D19=0,"",'Captura Agosto'!AQ19),"")</f>
        <v>0.97124999999999995</v>
      </c>
      <c r="J12" s="10">
        <f>IFERROR(IF('Captura Septiembre'!D19=0,"",'Captura Septiembre'!AQ19),"")</f>
        <v>0.59000000000000008</v>
      </c>
      <c r="K12" s="10" t="str">
        <f>IFERROR(IF('Captura Octubre'!D19=0,"",'Captura Octubre'!AQ19),"")</f>
        <v/>
      </c>
      <c r="L12" s="10" t="str">
        <f>IFERROR(IF('Captura Noviembre'!D19=0,"",'Captura Noviembre'!AQ19),"")</f>
        <v/>
      </c>
      <c r="M12" s="10" t="str">
        <f>IFERROR(IF('Captura Diciembre'!D19=0,"",'Captura Diciembre'!AQ19),"")</f>
        <v/>
      </c>
      <c r="N12" s="102">
        <f t="shared" si="0"/>
        <v>0.87263888888888885</v>
      </c>
      <c r="O12" s="106"/>
    </row>
    <row r="13" spans="1:15" ht="14.25" customHeight="1" x14ac:dyDescent="0.35">
      <c r="A13" s="101" t="s">
        <v>113</v>
      </c>
      <c r="B13" s="10">
        <f>IFERROR(IF('Captura Enero'!D14=0,"",'Captura Enero'!AQ14),"")</f>
        <v>0.99</v>
      </c>
      <c r="C13" s="10">
        <f>IFERROR(IF('Captura Febrero'!D14=0,"",'Captura Febrero'!AQ14),"")</f>
        <v>0.95</v>
      </c>
      <c r="D13" s="10">
        <f>IFERROR(IF('Captura Marzo'!D14=0,"",'Captura Marzo'!AQ14),"")</f>
        <v>0.99</v>
      </c>
      <c r="E13" s="10">
        <f>IFERROR(IF('Captura Abril'!D14=0,"",'Captura Abril'!AQ14),"")</f>
        <v>1</v>
      </c>
      <c r="F13" s="10">
        <f>IFERROR(IF('Captura Mayo'!D14=0,"",'Captura Mayo'!AQ14),"")</f>
        <v>0.9</v>
      </c>
      <c r="G13" s="10">
        <f>IFERROR(IF('Captura Junio'!D14=0,"",'Captura Junio'!AQ14),"")</f>
        <v>0.94000000000000006</v>
      </c>
      <c r="H13" s="10">
        <f>IFERROR(IF('Captura Julio'!D14=0,"",'Captura Julio'!AQ14),"")</f>
        <v>0.79</v>
      </c>
      <c r="I13" s="10">
        <f>IFERROR(IF('Captura Agosto'!D14=0,"",'Captura Agosto'!AQ14),"")</f>
        <v>0.64826000000000006</v>
      </c>
      <c r="J13" s="10">
        <f>IFERROR(IF('Captura Septiembre'!D14=0,"",'Captura Septiembre'!AQ14),"")</f>
        <v>0.58040000000000003</v>
      </c>
      <c r="K13" s="10" t="str">
        <f>IFERROR(IF('Captura Octubre'!D14=0,"",'Captura Octubre'!AQ14),"")</f>
        <v/>
      </c>
      <c r="L13" s="10" t="str">
        <f>IFERROR(IF('Captura Noviembre'!D14=0,"",'Captura Noviembre'!AQ14),"")</f>
        <v/>
      </c>
      <c r="M13" s="10" t="str">
        <f>IFERROR(IF('Captura Diciembre'!D14=0,"",'Captura Diciembre'!AQ14),"")</f>
        <v/>
      </c>
      <c r="N13" s="102">
        <f t="shared" si="0"/>
        <v>0.86540666666666677</v>
      </c>
      <c r="O13" s="106"/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>
        <f>IFERROR(IF('Captura Septiembre'!D12=0,"",'Captura Septiembre'!AQ12),"")</f>
        <v>0.58200000000000007</v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0.82781159420289863</v>
      </c>
      <c r="O14" s="106"/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>
        <f>IFERROR(IF('Captura Septiembre'!D17=0,"",'Captura Septiembre'!AQ17),"")</f>
        <v>0.3567999999999999</v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0.79350091575091575</v>
      </c>
      <c r="O15" s="106"/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>
        <f>IFERROR(IF('Captura Septiembre'!D15=0,"",'Captura Septiembre'!AQ15),"")</f>
        <v>0.58679999999999999</v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0.80663680961663431</v>
      </c>
      <c r="O16" s="106"/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>
        <f>IFERROR(IF('Captura Septiembre'!D13=0,"",'Captura Septiembre'!AQ13),"")</f>
        <v>0.58040000000000003</v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0.79534222222222217</v>
      </c>
      <c r="O17" s="106"/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>
        <f>IFERROR(IF('Captura Septiembre'!D7=0,"",'Captura Septiembre'!AQ7),"")</f>
        <v>0.55600000000000005</v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0.75783333333333336</v>
      </c>
      <c r="O18" s="106"/>
    </row>
    <row r="19" spans="1:15" ht="18" customHeight="1" x14ac:dyDescent="0.35">
      <c r="A19" s="103" t="s">
        <v>298</v>
      </c>
      <c r="B19" s="104">
        <f t="shared" ref="B19:M19" si="1">IFERROR(AVERAGE(B4:B18),"")</f>
        <v>0.9329743589743591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0.8793333333333333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0.86230933333333348</v>
      </c>
      <c r="J19" s="104">
        <f t="shared" si="1"/>
        <v>0.56254666666666664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4" spans="1:15" ht="14.25" customHeight="1" x14ac:dyDescent="0.35">
      <c r="M24" s="98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EFD81E-D775-40C0-B455-ADBB6CF11754}">
  <ds:schemaRefs>
    <ds:schemaRef ds:uri="4bae7dba-0f75-4d38-a352-dd7a188b5c30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fbb49d05-d3df-47ef-b263-f54790ad9dd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2026-09-22T18:24:14Z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