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mariposacbc.sharepoint.com/sites/CharlascortasSSOsemanalesCuyotenango/Shared Documents/General/04. Registros 2026/09. Nivel De Seguridad/NUEVO NIVEL DE SEGURIDAD - 2026/"/>
    </mc:Choice>
  </mc:AlternateContent>
  <xr:revisionPtr revIDLastSave="343" documentId="11_425E79763165A80B9DB442E442D9E0A19AA5C458" xr6:coauthVersionLast="47" xr6:coauthVersionMax="47" xr10:uidLastSave="{92C06F2F-1DEF-44E1-8CBB-CE1043074280}"/>
  <bookViews>
    <workbookView xWindow="-110" yWindow="-110" windowWidth="19420" windowHeight="11500" tabRatio="950" firstSheet="3" activeTab="13" xr2:uid="{00000000-000D-0000-FFFF-FFFF00000000}"/>
  </bookViews>
  <sheets>
    <sheet name="Portada" sheetId="1" state="hidden" r:id="rId1"/>
    <sheet name="Calculos" sheetId="2" state="hidden" r:id="rId2"/>
    <sheet name="Dashboard Ejecutivo" sheetId="3" state="hidden" r:id="rId3"/>
    <sheet name="Triángulo Accidentabilidad" sheetId="4" r:id="rId4"/>
    <sheet name="Parametros" sheetId="5" state="hidden" r:id="rId5"/>
    <sheet name="Captura Enero" sheetId="6" state="hidden" r:id="rId6"/>
    <sheet name="Captura Febrero" sheetId="7" state="hidden" r:id="rId7"/>
    <sheet name="Captura Marzo" sheetId="8" state="hidden" r:id="rId8"/>
    <sheet name="Captura Abril" sheetId="9" state="hidden" r:id="rId9"/>
    <sheet name="Captura Mayo" sheetId="10" state="hidden" r:id="rId10"/>
    <sheet name="Captura Junio" sheetId="11" state="hidden" r:id="rId11"/>
    <sheet name="Captura Julio" sheetId="12" state="hidden" r:id="rId12"/>
    <sheet name="Captura Agosto" sheetId="13" state="hidden" r:id="rId13"/>
    <sheet name="Captura Septiembre" sheetId="14" r:id="rId14"/>
    <sheet name="Captura Octubre" sheetId="15" state="hidden" r:id="rId15"/>
    <sheet name="Captura Noviembre" sheetId="16" state="hidden" r:id="rId16"/>
    <sheet name="Captura Diciembre" sheetId="17" state="hidden" r:id="rId17"/>
    <sheet name="Historico" sheetId="18" state="hidden" r:id="rId18"/>
    <sheet name="Acumulado 2026" sheetId="19" r:id="rId19"/>
    <sheet name="ACUMULADO - 2026" sheetId="20" r:id="rId20"/>
  </sheets>
  <definedNames>
    <definedName name="_xlnm._FilterDatabase" localSheetId="19" hidden="1">'ACUMULADO - 2026'!$A$3:$N$21</definedName>
    <definedName name="_xlnm.Print_Area" localSheetId="2">'Dashboard Ejecutivo'!$A$1:$Y$75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S4" i="14" l="1"/>
  <c r="F17" i="14"/>
  <c r="G17" i="14" s="1"/>
  <c r="F15" i="14"/>
  <c r="G15" i="14" s="1"/>
  <c r="F14" i="14"/>
  <c r="G14" i="14" s="1"/>
  <c r="F13" i="14"/>
  <c r="G13" i="14" s="1"/>
  <c r="AB19" i="13"/>
  <c r="AC19" i="13" s="1"/>
  <c r="V18" i="13"/>
  <c r="AV16" i="13" s="1"/>
  <c r="M18" i="20"/>
  <c r="L18" i="20"/>
  <c r="K18" i="20"/>
  <c r="M17" i="20"/>
  <c r="L17" i="20"/>
  <c r="K17" i="20"/>
  <c r="M16" i="20"/>
  <c r="L16" i="20"/>
  <c r="K16" i="20"/>
  <c r="M15" i="20"/>
  <c r="L15" i="20"/>
  <c r="K15" i="20"/>
  <c r="M14" i="20"/>
  <c r="L14" i="20"/>
  <c r="K14" i="20"/>
  <c r="M12" i="20"/>
  <c r="L12" i="20"/>
  <c r="K12" i="20"/>
  <c r="M10" i="20"/>
  <c r="L10" i="20"/>
  <c r="K10" i="20"/>
  <c r="M13" i="20"/>
  <c r="L13" i="20"/>
  <c r="K13" i="20"/>
  <c r="M11" i="20"/>
  <c r="L11" i="20"/>
  <c r="K11" i="20"/>
  <c r="M9" i="20"/>
  <c r="L9" i="20"/>
  <c r="K9" i="20"/>
  <c r="M8" i="20"/>
  <c r="L8" i="20"/>
  <c r="K8" i="20"/>
  <c r="M7" i="20"/>
  <c r="L7" i="20"/>
  <c r="K7" i="20"/>
  <c r="M6" i="20"/>
  <c r="L6" i="20"/>
  <c r="K6" i="20"/>
  <c r="M5" i="20"/>
  <c r="L5" i="20"/>
  <c r="K5" i="20"/>
  <c r="M4" i="20"/>
  <c r="M19" i="20" s="1"/>
  <c r="L4" i="20"/>
  <c r="L19" i="20" s="1"/>
  <c r="K4" i="20"/>
  <c r="K19" i="20" s="1"/>
  <c r="M18" i="19"/>
  <c r="L18" i="19"/>
  <c r="K18" i="19"/>
  <c r="M17" i="19"/>
  <c r="L17" i="19"/>
  <c r="K17" i="19"/>
  <c r="M16" i="19"/>
  <c r="L16" i="19"/>
  <c r="K16" i="19"/>
  <c r="M15" i="19"/>
  <c r="L15" i="19"/>
  <c r="K15" i="19"/>
  <c r="M14" i="19"/>
  <c r="L14" i="19"/>
  <c r="K14" i="19"/>
  <c r="M13" i="19"/>
  <c r="L13" i="19"/>
  <c r="K13" i="19"/>
  <c r="M12" i="19"/>
  <c r="L12" i="19"/>
  <c r="K12" i="19"/>
  <c r="M11" i="19"/>
  <c r="L11" i="19"/>
  <c r="K11" i="19"/>
  <c r="M10" i="19"/>
  <c r="L10" i="19"/>
  <c r="K10" i="19"/>
  <c r="M9" i="19"/>
  <c r="L9" i="19"/>
  <c r="K9" i="19"/>
  <c r="M8" i="19"/>
  <c r="L8" i="19"/>
  <c r="K8" i="19"/>
  <c r="M7" i="19"/>
  <c r="L7" i="19"/>
  <c r="K7" i="19"/>
  <c r="M6" i="19"/>
  <c r="L6" i="19"/>
  <c r="K6" i="19"/>
  <c r="M5" i="19"/>
  <c r="L5" i="19"/>
  <c r="K5" i="19"/>
  <c r="M4" i="19"/>
  <c r="M19" i="19" s="1"/>
  <c r="L4" i="19"/>
  <c r="L19" i="19" s="1"/>
  <c r="K4" i="19"/>
  <c r="K19" i="19" s="1"/>
  <c r="B17" i="18"/>
  <c r="C17" i="18" s="1"/>
  <c r="B16" i="18"/>
  <c r="C16" i="18" s="1"/>
  <c r="B15" i="18"/>
  <c r="C15" i="18" s="1"/>
  <c r="AO20" i="17"/>
  <c r="AN20" i="17"/>
  <c r="AB20" i="17"/>
  <c r="AA20" i="17"/>
  <c r="AC20" i="17" s="1"/>
  <c r="AY18" i="17" s="1"/>
  <c r="X20" i="17"/>
  <c r="V20" i="17"/>
  <c r="T20" i="17"/>
  <c r="Q20" i="17"/>
  <c r="N20" i="17"/>
  <c r="K20" i="17"/>
  <c r="F20" i="17"/>
  <c r="G20" i="17" s="1"/>
  <c r="C20" i="17"/>
  <c r="AO19" i="17"/>
  <c r="AN19" i="17"/>
  <c r="AB19" i="17"/>
  <c r="AA19" i="17"/>
  <c r="AC19" i="17" s="1"/>
  <c r="AY17" i="17" s="1"/>
  <c r="X19" i="17"/>
  <c r="V19" i="17"/>
  <c r="T19" i="17"/>
  <c r="Q19" i="17"/>
  <c r="N19" i="17"/>
  <c r="K19" i="17"/>
  <c r="F19" i="17"/>
  <c r="G19" i="17" s="1"/>
  <c r="C19" i="17"/>
  <c r="AZ18" i="17"/>
  <c r="AX18" i="17"/>
  <c r="AV18" i="17"/>
  <c r="AU18" i="17"/>
  <c r="AT18" i="17"/>
  <c r="AS18" i="17"/>
  <c r="AO18" i="17"/>
  <c r="AN18" i="17"/>
  <c r="AB18" i="17"/>
  <c r="AA18" i="17"/>
  <c r="AC18" i="17" s="1"/>
  <c r="AY16" i="17" s="1"/>
  <c r="X18" i="17"/>
  <c r="V18" i="17"/>
  <c r="T18" i="17"/>
  <c r="Q18" i="17"/>
  <c r="N18" i="17"/>
  <c r="K18" i="17"/>
  <c r="F18" i="17"/>
  <c r="G18" i="17" s="1"/>
  <c r="C18" i="17"/>
  <c r="AZ17" i="17"/>
  <c r="AX17" i="17"/>
  <c r="AV17" i="17"/>
  <c r="AU17" i="17"/>
  <c r="AT17" i="17"/>
  <c r="AS17" i="17"/>
  <c r="AO17" i="17"/>
  <c r="AN17" i="17"/>
  <c r="AB17" i="17"/>
  <c r="AA17" i="17"/>
  <c r="AC17" i="17" s="1"/>
  <c r="AY15" i="17" s="1"/>
  <c r="X17" i="17"/>
  <c r="V17" i="17"/>
  <c r="T17" i="17"/>
  <c r="Q17" i="17"/>
  <c r="N17" i="17"/>
  <c r="K17" i="17"/>
  <c r="F17" i="17"/>
  <c r="G17" i="17" s="1"/>
  <c r="C17" i="17"/>
  <c r="AZ16" i="17"/>
  <c r="AX16" i="17"/>
  <c r="AV16" i="17"/>
  <c r="AU16" i="17"/>
  <c r="AT16" i="17"/>
  <c r="AS16" i="17"/>
  <c r="AO16" i="17"/>
  <c r="AN16" i="17"/>
  <c r="AB16" i="17"/>
  <c r="AA16" i="17"/>
  <c r="AC16" i="17" s="1"/>
  <c r="AY14" i="17" s="1"/>
  <c r="X16" i="17"/>
  <c r="V16" i="17"/>
  <c r="T16" i="17"/>
  <c r="Q16" i="17"/>
  <c r="N16" i="17"/>
  <c r="K16" i="17"/>
  <c r="F16" i="17"/>
  <c r="G16" i="17" s="1"/>
  <c r="C16" i="17"/>
  <c r="AZ15" i="17"/>
  <c r="AX15" i="17"/>
  <c r="AV15" i="17"/>
  <c r="AU15" i="17"/>
  <c r="AT15" i="17"/>
  <c r="AS15" i="17"/>
  <c r="AO15" i="17"/>
  <c r="AN15" i="17"/>
  <c r="AB15" i="17"/>
  <c r="AA15" i="17"/>
  <c r="AC15" i="17" s="1"/>
  <c r="AY13" i="17" s="1"/>
  <c r="X15" i="17"/>
  <c r="V15" i="17"/>
  <c r="T15" i="17"/>
  <c r="Q15" i="17"/>
  <c r="N15" i="17"/>
  <c r="K15" i="17"/>
  <c r="F15" i="17"/>
  <c r="G15" i="17" s="1"/>
  <c r="C15" i="17"/>
  <c r="AZ14" i="17"/>
  <c r="AX14" i="17"/>
  <c r="AV14" i="17"/>
  <c r="AU14" i="17"/>
  <c r="AT14" i="17"/>
  <c r="AS14" i="17"/>
  <c r="AO14" i="17"/>
  <c r="AN14" i="17"/>
  <c r="AB14" i="17"/>
  <c r="AA14" i="17"/>
  <c r="AC14" i="17" s="1"/>
  <c r="AY12" i="17" s="1"/>
  <c r="X14" i="17"/>
  <c r="V14" i="17"/>
  <c r="T14" i="17"/>
  <c r="Q14" i="17"/>
  <c r="N14" i="17"/>
  <c r="K14" i="17"/>
  <c r="F14" i="17"/>
  <c r="G14" i="17" s="1"/>
  <c r="C14" i="17"/>
  <c r="AZ13" i="17"/>
  <c r="AX13" i="17"/>
  <c r="AV13" i="17"/>
  <c r="AU13" i="17"/>
  <c r="AT13" i="17"/>
  <c r="AS13" i="17"/>
  <c r="AO13" i="17"/>
  <c r="AN13" i="17"/>
  <c r="AB13" i="17"/>
  <c r="AA13" i="17"/>
  <c r="AC13" i="17" s="1"/>
  <c r="AY11" i="17" s="1"/>
  <c r="X13" i="17"/>
  <c r="V13" i="17"/>
  <c r="T13" i="17"/>
  <c r="Q13" i="17"/>
  <c r="N13" i="17"/>
  <c r="K13" i="17"/>
  <c r="F13" i="17"/>
  <c r="G13" i="17" s="1"/>
  <c r="C13" i="17"/>
  <c r="AZ12" i="17"/>
  <c r="AX12" i="17"/>
  <c r="AV12" i="17"/>
  <c r="AU12" i="17"/>
  <c r="AT12" i="17"/>
  <c r="AS12" i="17"/>
  <c r="AO12" i="17"/>
  <c r="AN12" i="17"/>
  <c r="AB12" i="17"/>
  <c r="AA12" i="17"/>
  <c r="AC12" i="17" s="1"/>
  <c r="AY10" i="17" s="1"/>
  <c r="X12" i="17"/>
  <c r="V12" i="17"/>
  <c r="T12" i="17"/>
  <c r="Q12" i="17"/>
  <c r="N12" i="17"/>
  <c r="K12" i="17"/>
  <c r="F12" i="17"/>
  <c r="G12" i="17" s="1"/>
  <c r="C12" i="17"/>
  <c r="AZ11" i="17"/>
  <c r="AX11" i="17"/>
  <c r="AV11" i="17"/>
  <c r="AU11" i="17"/>
  <c r="AT11" i="17"/>
  <c r="AS11" i="17"/>
  <c r="AO11" i="17"/>
  <c r="AN11" i="17"/>
  <c r="AB11" i="17"/>
  <c r="AA11" i="17"/>
  <c r="AC11" i="17" s="1"/>
  <c r="AY9" i="17" s="1"/>
  <c r="X11" i="17"/>
  <c r="V11" i="17"/>
  <c r="T11" i="17"/>
  <c r="Q11" i="17"/>
  <c r="N11" i="17"/>
  <c r="K11" i="17"/>
  <c r="F11" i="17"/>
  <c r="G11" i="17" s="1"/>
  <c r="C11" i="17"/>
  <c r="AZ10" i="17"/>
  <c r="AX10" i="17"/>
  <c r="AV10" i="17"/>
  <c r="AU10" i="17"/>
  <c r="AT10" i="17"/>
  <c r="AS10" i="17"/>
  <c r="AO10" i="17"/>
  <c r="AN10" i="17"/>
  <c r="AB10" i="17"/>
  <c r="AA10" i="17"/>
  <c r="AC10" i="17" s="1"/>
  <c r="AY8" i="17" s="1"/>
  <c r="X10" i="17"/>
  <c r="V10" i="17"/>
  <c r="T10" i="17"/>
  <c r="Q10" i="17"/>
  <c r="N10" i="17"/>
  <c r="K10" i="17"/>
  <c r="F10" i="17"/>
  <c r="G10" i="17" s="1"/>
  <c r="C10" i="17"/>
  <c r="AZ9" i="17"/>
  <c r="AX9" i="17"/>
  <c r="AV9" i="17"/>
  <c r="AU9" i="17"/>
  <c r="AT9" i="17"/>
  <c r="AS9" i="17"/>
  <c r="AO9" i="17"/>
  <c r="AN9" i="17"/>
  <c r="AB9" i="17"/>
  <c r="AA9" i="17"/>
  <c r="AC9" i="17" s="1"/>
  <c r="AY7" i="17" s="1"/>
  <c r="X9" i="17"/>
  <c r="V9" i="17"/>
  <c r="T9" i="17"/>
  <c r="Q9" i="17"/>
  <c r="N9" i="17"/>
  <c r="K9" i="17"/>
  <c r="F9" i="17"/>
  <c r="G9" i="17" s="1"/>
  <c r="C9" i="17"/>
  <c r="AZ8" i="17"/>
  <c r="AX8" i="17"/>
  <c r="AV8" i="17"/>
  <c r="AU8" i="17"/>
  <c r="AT8" i="17"/>
  <c r="AS8" i="17"/>
  <c r="AO8" i="17"/>
  <c r="AN8" i="17"/>
  <c r="AB8" i="17"/>
  <c r="AA8" i="17"/>
  <c r="AC8" i="17" s="1"/>
  <c r="AY6" i="17" s="1"/>
  <c r="X8" i="17"/>
  <c r="V8" i="17"/>
  <c r="T8" i="17"/>
  <c r="Q8" i="17"/>
  <c r="N8" i="17"/>
  <c r="K8" i="17"/>
  <c r="F8" i="17"/>
  <c r="G8" i="17" s="1"/>
  <c r="C8" i="17"/>
  <c r="AZ7" i="17"/>
  <c r="AX7" i="17"/>
  <c r="AV7" i="17"/>
  <c r="AU7" i="17"/>
  <c r="AT7" i="17"/>
  <c r="AS7" i="17"/>
  <c r="AO7" i="17"/>
  <c r="AN7" i="17"/>
  <c r="AB7" i="17"/>
  <c r="AA7" i="17"/>
  <c r="AC7" i="17" s="1"/>
  <c r="AY5" i="17" s="1"/>
  <c r="X7" i="17"/>
  <c r="V7" i="17"/>
  <c r="T7" i="17"/>
  <c r="Q7" i="17"/>
  <c r="N7" i="17"/>
  <c r="K7" i="17"/>
  <c r="F7" i="17"/>
  <c r="G7" i="17" s="1"/>
  <c r="C7" i="17"/>
  <c r="AZ6" i="17"/>
  <c r="AX6" i="17"/>
  <c r="AV6" i="17"/>
  <c r="AU6" i="17"/>
  <c r="AT6" i="17"/>
  <c r="AS6" i="17"/>
  <c r="AO6" i="17"/>
  <c r="AN6" i="17"/>
  <c r="AB6" i="17"/>
  <c r="AA6" i="17"/>
  <c r="AC6" i="17" s="1"/>
  <c r="AY4" i="17" s="1"/>
  <c r="X6" i="17"/>
  <c r="V6" i="17"/>
  <c r="T6" i="17"/>
  <c r="Q6" i="17"/>
  <c r="N6" i="17"/>
  <c r="K6" i="17"/>
  <c r="F6" i="17"/>
  <c r="G6" i="17" s="1"/>
  <c r="C6" i="17"/>
  <c r="AZ5" i="17"/>
  <c r="AX5" i="17"/>
  <c r="AV5" i="17"/>
  <c r="AU5" i="17"/>
  <c r="AT5" i="17"/>
  <c r="AS5" i="17"/>
  <c r="AZ4" i="17"/>
  <c r="AX4" i="17"/>
  <c r="AV4" i="17"/>
  <c r="AU4" i="17"/>
  <c r="AT4" i="17"/>
  <c r="AS4" i="17"/>
  <c r="AO20" i="16"/>
  <c r="AN20" i="16"/>
  <c r="AC20" i="16"/>
  <c r="AB20" i="16"/>
  <c r="AA20" i="16"/>
  <c r="X20" i="16"/>
  <c r="V20" i="16"/>
  <c r="T20" i="16"/>
  <c r="Q20" i="16"/>
  <c r="N20" i="16"/>
  <c r="K20" i="16"/>
  <c r="F20" i="16"/>
  <c r="G20" i="16" s="1"/>
  <c r="C20" i="16"/>
  <c r="AO19" i="16"/>
  <c r="AN19" i="16"/>
  <c r="AB19" i="16"/>
  <c r="AA19" i="16"/>
  <c r="AC19" i="16" s="1"/>
  <c r="AY17" i="16" s="1"/>
  <c r="X19" i="16"/>
  <c r="V19" i="16"/>
  <c r="T19" i="16"/>
  <c r="Q19" i="16"/>
  <c r="N19" i="16"/>
  <c r="K19" i="16"/>
  <c r="F19" i="16"/>
  <c r="G19" i="16" s="1"/>
  <c r="C19" i="16"/>
  <c r="AZ18" i="16"/>
  <c r="AY18" i="16"/>
  <c r="AX18" i="16"/>
  <c r="AV18" i="16"/>
  <c r="AU18" i="16"/>
  <c r="AT18" i="16"/>
  <c r="AS18" i="16"/>
  <c r="AO18" i="16"/>
  <c r="AN18" i="16"/>
  <c r="AB18" i="16"/>
  <c r="AA18" i="16"/>
  <c r="AC18" i="16" s="1"/>
  <c r="AY16" i="16" s="1"/>
  <c r="X18" i="16"/>
  <c r="V18" i="16"/>
  <c r="T18" i="16"/>
  <c r="Q18" i="16"/>
  <c r="N18" i="16"/>
  <c r="K18" i="16"/>
  <c r="F18" i="16"/>
  <c r="G18" i="16" s="1"/>
  <c r="C18" i="16"/>
  <c r="AZ17" i="16"/>
  <c r="AX17" i="16"/>
  <c r="AV17" i="16"/>
  <c r="AU17" i="16"/>
  <c r="AT17" i="16"/>
  <c r="AS17" i="16"/>
  <c r="AO17" i="16"/>
  <c r="AN17" i="16"/>
  <c r="AB17" i="16"/>
  <c r="AA17" i="16"/>
  <c r="AC17" i="16" s="1"/>
  <c r="AY15" i="16" s="1"/>
  <c r="X17" i="16"/>
  <c r="V17" i="16"/>
  <c r="T17" i="16"/>
  <c r="Q17" i="16"/>
  <c r="N17" i="16"/>
  <c r="K17" i="16"/>
  <c r="F17" i="16"/>
  <c r="G17" i="16" s="1"/>
  <c r="C17" i="16"/>
  <c r="AZ16" i="16"/>
  <c r="AX16" i="16"/>
  <c r="AV16" i="16"/>
  <c r="AU16" i="16"/>
  <c r="AT16" i="16"/>
  <c r="AS16" i="16"/>
  <c r="AO16" i="16"/>
  <c r="AN16" i="16"/>
  <c r="AB16" i="16"/>
  <c r="AA16" i="16"/>
  <c r="AC16" i="16" s="1"/>
  <c r="AY14" i="16" s="1"/>
  <c r="X16" i="16"/>
  <c r="V16" i="16"/>
  <c r="T16" i="16"/>
  <c r="Q16" i="16"/>
  <c r="N16" i="16"/>
  <c r="K16" i="16"/>
  <c r="F16" i="16"/>
  <c r="G16" i="16" s="1"/>
  <c r="C16" i="16"/>
  <c r="AZ15" i="16"/>
  <c r="AX15" i="16"/>
  <c r="AV15" i="16"/>
  <c r="AU15" i="16"/>
  <c r="AT15" i="16"/>
  <c r="AS15" i="16"/>
  <c r="AO15" i="16"/>
  <c r="AN15" i="16"/>
  <c r="AB15" i="16"/>
  <c r="AA15" i="16"/>
  <c r="AC15" i="16" s="1"/>
  <c r="AY13" i="16" s="1"/>
  <c r="X15" i="16"/>
  <c r="V15" i="16"/>
  <c r="T15" i="16"/>
  <c r="Q15" i="16"/>
  <c r="N15" i="16"/>
  <c r="K15" i="16"/>
  <c r="F15" i="16"/>
  <c r="G15" i="16" s="1"/>
  <c r="C15" i="16"/>
  <c r="AZ14" i="16"/>
  <c r="AX14" i="16"/>
  <c r="AV14" i="16"/>
  <c r="AU14" i="16"/>
  <c r="AT14" i="16"/>
  <c r="AS14" i="16"/>
  <c r="AO14" i="16"/>
  <c r="AN14" i="16"/>
  <c r="AB14" i="16"/>
  <c r="AA14" i="16"/>
  <c r="AC14" i="16" s="1"/>
  <c r="AY12" i="16" s="1"/>
  <c r="X14" i="16"/>
  <c r="V14" i="16"/>
  <c r="T14" i="16"/>
  <c r="Q14" i="16"/>
  <c r="N14" i="16"/>
  <c r="K14" i="16"/>
  <c r="F14" i="16"/>
  <c r="G14" i="16" s="1"/>
  <c r="C14" i="16"/>
  <c r="AZ13" i="16"/>
  <c r="AX13" i="16"/>
  <c r="AV13" i="16"/>
  <c r="AU13" i="16"/>
  <c r="AT13" i="16"/>
  <c r="AS13" i="16"/>
  <c r="AO13" i="16"/>
  <c r="AN13" i="16"/>
  <c r="AB13" i="16"/>
  <c r="AA13" i="16"/>
  <c r="AC13" i="16" s="1"/>
  <c r="AY11" i="16" s="1"/>
  <c r="X13" i="16"/>
  <c r="V13" i="16"/>
  <c r="T13" i="16"/>
  <c r="Q13" i="16"/>
  <c r="N13" i="16"/>
  <c r="K13" i="16"/>
  <c r="F13" i="16"/>
  <c r="G13" i="16" s="1"/>
  <c r="C13" i="16"/>
  <c r="AZ12" i="16"/>
  <c r="AX12" i="16"/>
  <c r="AV12" i="16"/>
  <c r="AU12" i="16"/>
  <c r="AT12" i="16"/>
  <c r="AS12" i="16"/>
  <c r="AO12" i="16"/>
  <c r="AN12" i="16"/>
  <c r="AB12" i="16"/>
  <c r="AA12" i="16"/>
  <c r="AC12" i="16" s="1"/>
  <c r="AY10" i="16" s="1"/>
  <c r="X12" i="16"/>
  <c r="V12" i="16"/>
  <c r="T12" i="16"/>
  <c r="Q12" i="16"/>
  <c r="N12" i="16"/>
  <c r="K12" i="16"/>
  <c r="F12" i="16"/>
  <c r="G12" i="16" s="1"/>
  <c r="C12" i="16"/>
  <c r="AZ11" i="16"/>
  <c r="AX11" i="16"/>
  <c r="AV11" i="16"/>
  <c r="AU11" i="16"/>
  <c r="AT11" i="16"/>
  <c r="AS11" i="16"/>
  <c r="AO11" i="16"/>
  <c r="AN11" i="16"/>
  <c r="AB11" i="16"/>
  <c r="AA11" i="16"/>
  <c r="AC11" i="16" s="1"/>
  <c r="AY9" i="16" s="1"/>
  <c r="X11" i="16"/>
  <c r="V11" i="16"/>
  <c r="T11" i="16"/>
  <c r="Q11" i="16"/>
  <c r="N11" i="16"/>
  <c r="K11" i="16"/>
  <c r="F11" i="16"/>
  <c r="G11" i="16" s="1"/>
  <c r="C11" i="16"/>
  <c r="AZ10" i="16"/>
  <c r="AX10" i="16"/>
  <c r="AV10" i="16"/>
  <c r="AU10" i="16"/>
  <c r="AT10" i="16"/>
  <c r="AS10" i="16"/>
  <c r="AO10" i="16"/>
  <c r="AN10" i="16"/>
  <c r="AB10" i="16"/>
  <c r="AA10" i="16"/>
  <c r="AC10" i="16" s="1"/>
  <c r="AY8" i="16" s="1"/>
  <c r="X10" i="16"/>
  <c r="V10" i="16"/>
  <c r="T10" i="16"/>
  <c r="Q10" i="16"/>
  <c r="N10" i="16"/>
  <c r="AT8" i="16" s="1"/>
  <c r="K10" i="16"/>
  <c r="F10" i="16"/>
  <c r="G10" i="16" s="1"/>
  <c r="C10" i="16"/>
  <c r="AZ9" i="16"/>
  <c r="AX9" i="16"/>
  <c r="AV9" i="16"/>
  <c r="AU9" i="16"/>
  <c r="AT9" i="16"/>
  <c r="AS9" i="16"/>
  <c r="AO9" i="16"/>
  <c r="AN9" i="16"/>
  <c r="AB9" i="16"/>
  <c r="AA9" i="16"/>
  <c r="AC9" i="16" s="1"/>
  <c r="AY7" i="16" s="1"/>
  <c r="X9" i="16"/>
  <c r="V9" i="16"/>
  <c r="T9" i="16"/>
  <c r="Q9" i="16"/>
  <c r="N9" i="16"/>
  <c r="K9" i="16"/>
  <c r="F9" i="16"/>
  <c r="G9" i="16" s="1"/>
  <c r="C9" i="16"/>
  <c r="AZ8" i="16"/>
  <c r="AX8" i="16"/>
  <c r="AV8" i="16"/>
  <c r="AU8" i="16"/>
  <c r="AS8" i="16"/>
  <c r="AO8" i="16"/>
  <c r="AN8" i="16"/>
  <c r="AB8" i="16"/>
  <c r="AA8" i="16"/>
  <c r="AC8" i="16" s="1"/>
  <c r="AY6" i="16" s="1"/>
  <c r="X8" i="16"/>
  <c r="V8" i="16"/>
  <c r="T8" i="16"/>
  <c r="Q8" i="16"/>
  <c r="N8" i="16"/>
  <c r="K8" i="16"/>
  <c r="F8" i="16"/>
  <c r="G8" i="16" s="1"/>
  <c r="C8" i="16"/>
  <c r="AZ7" i="16"/>
  <c r="AX7" i="16"/>
  <c r="AV7" i="16"/>
  <c r="AU7" i="16"/>
  <c r="AT7" i="16"/>
  <c r="AS7" i="16"/>
  <c r="AO7" i="16"/>
  <c r="AN7" i="16"/>
  <c r="AB7" i="16"/>
  <c r="AA7" i="16"/>
  <c r="AC7" i="16" s="1"/>
  <c r="AY5" i="16" s="1"/>
  <c r="X7" i="16"/>
  <c r="V7" i="16"/>
  <c r="T7" i="16"/>
  <c r="Q7" i="16"/>
  <c r="N7" i="16"/>
  <c r="K7" i="16"/>
  <c r="F7" i="16"/>
  <c r="G7" i="16" s="1"/>
  <c r="C7" i="16"/>
  <c r="AZ6" i="16"/>
  <c r="AX6" i="16"/>
  <c r="AV6" i="16"/>
  <c r="AU6" i="16"/>
  <c r="AT6" i="16"/>
  <c r="AS6" i="16"/>
  <c r="AO6" i="16"/>
  <c r="AN6" i="16"/>
  <c r="AB6" i="16"/>
  <c r="AA6" i="16"/>
  <c r="AC6" i="16" s="1"/>
  <c r="AY4" i="16" s="1"/>
  <c r="X6" i="16"/>
  <c r="V6" i="16"/>
  <c r="T6" i="16"/>
  <c r="Q6" i="16"/>
  <c r="N6" i="16"/>
  <c r="K6" i="16"/>
  <c r="F6" i="16"/>
  <c r="G6" i="16" s="1"/>
  <c r="C6" i="16"/>
  <c r="AZ5" i="16"/>
  <c r="AX5" i="16"/>
  <c r="AV5" i="16"/>
  <c r="AU5" i="16"/>
  <c r="AT5" i="16"/>
  <c r="AS5" i="16"/>
  <c r="AZ4" i="16"/>
  <c r="AX4" i="16"/>
  <c r="AV4" i="16"/>
  <c r="AU4" i="16"/>
  <c r="AT4" i="16"/>
  <c r="AS4" i="16"/>
  <c r="AO20" i="15"/>
  <c r="AN20" i="15"/>
  <c r="AB20" i="15"/>
  <c r="AA20" i="15"/>
  <c r="AC20" i="15" s="1"/>
  <c r="AY18" i="15" s="1"/>
  <c r="X20" i="15"/>
  <c r="V20" i="15"/>
  <c r="T20" i="15"/>
  <c r="Q20" i="15"/>
  <c r="N20" i="15"/>
  <c r="K20" i="15"/>
  <c r="F20" i="15"/>
  <c r="G20" i="15" s="1"/>
  <c r="C20" i="15"/>
  <c r="AO19" i="15"/>
  <c r="AN19" i="15"/>
  <c r="AB19" i="15"/>
  <c r="AA19" i="15"/>
  <c r="AC19" i="15" s="1"/>
  <c r="AY17" i="15" s="1"/>
  <c r="X19" i="15"/>
  <c r="V19" i="15"/>
  <c r="T19" i="15"/>
  <c r="Q19" i="15"/>
  <c r="N19" i="15"/>
  <c r="K19" i="15"/>
  <c r="F19" i="15"/>
  <c r="G19" i="15" s="1"/>
  <c r="C19" i="15"/>
  <c r="AZ18" i="15"/>
  <c r="AX18" i="15"/>
  <c r="AV18" i="15"/>
  <c r="AU18" i="15"/>
  <c r="AT18" i="15"/>
  <c r="AS18" i="15"/>
  <c r="AO18" i="15"/>
  <c r="AN18" i="15"/>
  <c r="AB18" i="15"/>
  <c r="AA18" i="15"/>
  <c r="AC18" i="15" s="1"/>
  <c r="AY16" i="15" s="1"/>
  <c r="X18" i="15"/>
  <c r="V18" i="15"/>
  <c r="T18" i="15"/>
  <c r="Q18" i="15"/>
  <c r="N18" i="15"/>
  <c r="K18" i="15"/>
  <c r="G18" i="15"/>
  <c r="AP18" i="15" s="1"/>
  <c r="AQ18" i="15" s="1"/>
  <c r="BA16" i="15" s="1"/>
  <c r="F18" i="15"/>
  <c r="C18" i="15"/>
  <c r="AZ17" i="15"/>
  <c r="AX17" i="15"/>
  <c r="AV17" i="15"/>
  <c r="AU17" i="15"/>
  <c r="AT17" i="15"/>
  <c r="AS17" i="15"/>
  <c r="AO17" i="15"/>
  <c r="AN17" i="15"/>
  <c r="AB17" i="15"/>
  <c r="AA17" i="15"/>
  <c r="AC17" i="15" s="1"/>
  <c r="AY15" i="15" s="1"/>
  <c r="X17" i="15"/>
  <c r="V17" i="15"/>
  <c r="T17" i="15"/>
  <c r="Q17" i="15"/>
  <c r="N17" i="15"/>
  <c r="K17" i="15"/>
  <c r="F17" i="15"/>
  <c r="G17" i="15" s="1"/>
  <c r="C17" i="15"/>
  <c r="AZ16" i="15"/>
  <c r="AX16" i="15"/>
  <c r="AW16" i="15"/>
  <c r="AV16" i="15"/>
  <c r="AU16" i="15"/>
  <c r="AT16" i="15"/>
  <c r="AS16" i="15"/>
  <c r="AO16" i="15"/>
  <c r="AN16" i="15"/>
  <c r="AB16" i="15"/>
  <c r="AA16" i="15"/>
  <c r="AC16" i="15" s="1"/>
  <c r="AY14" i="15" s="1"/>
  <c r="X16" i="15"/>
  <c r="V16" i="15"/>
  <c r="T16" i="15"/>
  <c r="Q16" i="15"/>
  <c r="N16" i="15"/>
  <c r="K16" i="15"/>
  <c r="F16" i="15"/>
  <c r="G16" i="15" s="1"/>
  <c r="C16" i="15"/>
  <c r="AZ15" i="15"/>
  <c r="AX15" i="15"/>
  <c r="AV15" i="15"/>
  <c r="AU15" i="15"/>
  <c r="AT15" i="15"/>
  <c r="AS15" i="15"/>
  <c r="AO15" i="15"/>
  <c r="AN15" i="15"/>
  <c r="AB15" i="15"/>
  <c r="AA15" i="15"/>
  <c r="AC15" i="15" s="1"/>
  <c r="AY13" i="15" s="1"/>
  <c r="X15" i="15"/>
  <c r="V15" i="15"/>
  <c r="T15" i="15"/>
  <c r="Q15" i="15"/>
  <c r="N15" i="15"/>
  <c r="K15" i="15"/>
  <c r="F15" i="15"/>
  <c r="G15" i="15" s="1"/>
  <c r="C15" i="15"/>
  <c r="AZ14" i="15"/>
  <c r="AX14" i="15"/>
  <c r="AV14" i="15"/>
  <c r="AU14" i="15"/>
  <c r="AT14" i="15"/>
  <c r="AS14" i="15"/>
  <c r="AO14" i="15"/>
  <c r="AN14" i="15"/>
  <c r="AB14" i="15"/>
  <c r="AA14" i="15"/>
  <c r="AC14" i="15" s="1"/>
  <c r="AY12" i="15" s="1"/>
  <c r="X14" i="15"/>
  <c r="V14" i="15"/>
  <c r="T14" i="15"/>
  <c r="Q14" i="15"/>
  <c r="N14" i="15"/>
  <c r="K14" i="15"/>
  <c r="G14" i="15"/>
  <c r="AP14" i="15" s="1"/>
  <c r="AQ14" i="15" s="1"/>
  <c r="BA12" i="15" s="1"/>
  <c r="F14" i="15"/>
  <c r="C14" i="15"/>
  <c r="AZ13" i="15"/>
  <c r="AX13" i="15"/>
  <c r="AV13" i="15"/>
  <c r="AU13" i="15"/>
  <c r="AT13" i="15"/>
  <c r="AS13" i="15"/>
  <c r="AO13" i="15"/>
  <c r="AN13" i="15"/>
  <c r="AB13" i="15"/>
  <c r="AA13" i="15"/>
  <c r="AC13" i="15" s="1"/>
  <c r="AY11" i="15" s="1"/>
  <c r="X13" i="15"/>
  <c r="V13" i="15"/>
  <c r="T13" i="15"/>
  <c r="Q13" i="15"/>
  <c r="N13" i="15"/>
  <c r="K13" i="15"/>
  <c r="F13" i="15"/>
  <c r="G13" i="15" s="1"/>
  <c r="C13" i="15"/>
  <c r="AZ12" i="15"/>
  <c r="AX12" i="15"/>
  <c r="AW12" i="15"/>
  <c r="AV12" i="15"/>
  <c r="AU12" i="15"/>
  <c r="AT12" i="15"/>
  <c r="AS12" i="15"/>
  <c r="AO12" i="15"/>
  <c r="AN12" i="15"/>
  <c r="AZ10" i="15" s="1"/>
  <c r="AB12" i="15"/>
  <c r="AA12" i="15"/>
  <c r="AC12" i="15" s="1"/>
  <c r="AY10" i="15" s="1"/>
  <c r="X12" i="15"/>
  <c r="AX10" i="15" s="1"/>
  <c r="V12" i="15"/>
  <c r="AV10" i="15" s="1"/>
  <c r="T12" i="15"/>
  <c r="AU10" i="15" s="1"/>
  <c r="Q12" i="15"/>
  <c r="N12" i="15"/>
  <c r="K12" i="15"/>
  <c r="AT10" i="15" s="1"/>
  <c r="F12" i="15"/>
  <c r="G12" i="15" s="1"/>
  <c r="C12" i="15"/>
  <c r="AZ11" i="15"/>
  <c r="AX11" i="15"/>
  <c r="AV11" i="15"/>
  <c r="AU11" i="15"/>
  <c r="AT11" i="15"/>
  <c r="AS11" i="15"/>
  <c r="AO11" i="15"/>
  <c r="AN11" i="15"/>
  <c r="AZ9" i="15" s="1"/>
  <c r="AB11" i="15"/>
  <c r="AA11" i="15"/>
  <c r="AC11" i="15" s="1"/>
  <c r="AY9" i="15" s="1"/>
  <c r="X11" i="15"/>
  <c r="AX9" i="15" s="1"/>
  <c r="V11" i="15"/>
  <c r="AV9" i="15" s="1"/>
  <c r="T11" i="15"/>
  <c r="AU9" i="15" s="1"/>
  <c r="Q11" i="15"/>
  <c r="N11" i="15"/>
  <c r="K11" i="15"/>
  <c r="AT9" i="15" s="1"/>
  <c r="F11" i="15"/>
  <c r="G11" i="15" s="1"/>
  <c r="C11" i="15"/>
  <c r="AS10" i="15"/>
  <c r="AO10" i="15"/>
  <c r="AN10" i="15"/>
  <c r="AB10" i="15"/>
  <c r="AA10" i="15"/>
  <c r="AC10" i="15" s="1"/>
  <c r="AY8" i="15" s="1"/>
  <c r="X10" i="15"/>
  <c r="V10" i="15"/>
  <c r="T10" i="15"/>
  <c r="Q10" i="15"/>
  <c r="N10" i="15"/>
  <c r="K10" i="15"/>
  <c r="F10" i="15"/>
  <c r="G10" i="15" s="1"/>
  <c r="C10" i="15"/>
  <c r="AS9" i="15"/>
  <c r="AO9" i="15"/>
  <c r="AN9" i="15"/>
  <c r="AB9" i="15"/>
  <c r="AA9" i="15"/>
  <c r="AC9" i="15" s="1"/>
  <c r="AY7" i="15" s="1"/>
  <c r="X9" i="15"/>
  <c r="V9" i="15"/>
  <c r="T9" i="15"/>
  <c r="Q9" i="15"/>
  <c r="N9" i="15"/>
  <c r="K9" i="15"/>
  <c r="F9" i="15"/>
  <c r="G9" i="15" s="1"/>
  <c r="C9" i="15"/>
  <c r="AZ8" i="15"/>
  <c r="AX8" i="15"/>
  <c r="AV8" i="15"/>
  <c r="AU8" i="15"/>
  <c r="AT8" i="15"/>
  <c r="AS8" i="15"/>
  <c r="AO8" i="15"/>
  <c r="AN8" i="15"/>
  <c r="AB8" i="15"/>
  <c r="AA8" i="15"/>
  <c r="AC8" i="15" s="1"/>
  <c r="AY6" i="15" s="1"/>
  <c r="X8" i="15"/>
  <c r="V8" i="15"/>
  <c r="T8" i="15"/>
  <c r="Q8" i="15"/>
  <c r="N8" i="15"/>
  <c r="K8" i="15"/>
  <c r="F8" i="15"/>
  <c r="G8" i="15" s="1"/>
  <c r="C8" i="15"/>
  <c r="AZ7" i="15"/>
  <c r="AX7" i="15"/>
  <c r="AV7" i="15"/>
  <c r="AU7" i="15"/>
  <c r="AT7" i="15"/>
  <c r="AS7" i="15"/>
  <c r="AO7" i="15"/>
  <c r="AN7" i="15"/>
  <c r="AB7" i="15"/>
  <c r="AA7" i="15"/>
  <c r="AC7" i="15" s="1"/>
  <c r="AY5" i="15" s="1"/>
  <c r="X7" i="15"/>
  <c r="V7" i="15"/>
  <c r="T7" i="15"/>
  <c r="Q7" i="15"/>
  <c r="N7" i="15"/>
  <c r="K7" i="15"/>
  <c r="F7" i="15"/>
  <c r="G7" i="15" s="1"/>
  <c r="C7" i="15"/>
  <c r="AZ6" i="15"/>
  <c r="AX6" i="15"/>
  <c r="AV6" i="15"/>
  <c r="AU6" i="15"/>
  <c r="AT6" i="15"/>
  <c r="AS6" i="15"/>
  <c r="AO6" i="15"/>
  <c r="AN6" i="15"/>
  <c r="AB6" i="15"/>
  <c r="AA6" i="15"/>
  <c r="AC6" i="15" s="1"/>
  <c r="AY4" i="15" s="1"/>
  <c r="X6" i="15"/>
  <c r="V6" i="15"/>
  <c r="T6" i="15"/>
  <c r="Q6" i="15"/>
  <c r="N6" i="15"/>
  <c r="K6" i="15"/>
  <c r="F6" i="15"/>
  <c r="G6" i="15" s="1"/>
  <c r="C6" i="15"/>
  <c r="AZ5" i="15"/>
  <c r="AX5" i="15"/>
  <c r="AV5" i="15"/>
  <c r="AU5" i="15"/>
  <c r="AT5" i="15"/>
  <c r="AS5" i="15"/>
  <c r="AZ4" i="15"/>
  <c r="AX4" i="15"/>
  <c r="AV4" i="15"/>
  <c r="AU4" i="15"/>
  <c r="AT4" i="15"/>
  <c r="AS4" i="15"/>
  <c r="AO20" i="14"/>
  <c r="AN20" i="14"/>
  <c r="AB20" i="14"/>
  <c r="AA20" i="14"/>
  <c r="X20" i="14"/>
  <c r="AX18" i="14" s="1"/>
  <c r="V20" i="14"/>
  <c r="AV18" i="14" s="1"/>
  <c r="T20" i="14"/>
  <c r="AU18" i="14" s="1"/>
  <c r="Q20" i="14"/>
  <c r="N20" i="14"/>
  <c r="AT18" i="14" s="1"/>
  <c r="K20" i="14"/>
  <c r="F20" i="14"/>
  <c r="G20" i="14" s="1"/>
  <c r="C20" i="14"/>
  <c r="AO19" i="14"/>
  <c r="AN19" i="14"/>
  <c r="AB19" i="14"/>
  <c r="AA19" i="14"/>
  <c r="X19" i="14"/>
  <c r="V19" i="14"/>
  <c r="AV17" i="14" s="1"/>
  <c r="T19" i="14"/>
  <c r="Q19" i="14"/>
  <c r="N19" i="14"/>
  <c r="AT17" i="14" s="1"/>
  <c r="K19" i="14"/>
  <c r="F19" i="14"/>
  <c r="G19" i="14" s="1"/>
  <c r="C19" i="14"/>
  <c r="AZ18" i="14"/>
  <c r="AS18" i="14"/>
  <c r="AO18" i="14"/>
  <c r="AN18" i="14"/>
  <c r="AB18" i="14"/>
  <c r="AA18" i="14"/>
  <c r="AC18" i="14" s="1"/>
  <c r="AY16" i="14" s="1"/>
  <c r="X18" i="14"/>
  <c r="V18" i="14"/>
  <c r="AV16" i="14" s="1"/>
  <c r="T18" i="14"/>
  <c r="Q18" i="14"/>
  <c r="N18" i="14"/>
  <c r="K18" i="14"/>
  <c r="F18" i="14"/>
  <c r="G18" i="14" s="1"/>
  <c r="C18" i="14"/>
  <c r="AZ17" i="14"/>
  <c r="AX17" i="14"/>
  <c r="AU17" i="14"/>
  <c r="AS17" i="14"/>
  <c r="AO17" i="14"/>
  <c r="AN17" i="14"/>
  <c r="AB17" i="14"/>
  <c r="AA17" i="14"/>
  <c r="X17" i="14"/>
  <c r="AX15" i="14" s="1"/>
  <c r="V17" i="14"/>
  <c r="T17" i="14"/>
  <c r="Q17" i="14"/>
  <c r="N17" i="14"/>
  <c r="K17" i="14"/>
  <c r="C17" i="14"/>
  <c r="AZ16" i="14"/>
  <c r="AX16" i="14"/>
  <c r="AU16" i="14"/>
  <c r="AS16" i="14"/>
  <c r="AO16" i="14"/>
  <c r="AN16" i="14"/>
  <c r="AB16" i="14"/>
  <c r="AA16" i="14"/>
  <c r="X16" i="14"/>
  <c r="V16" i="14"/>
  <c r="AV14" i="14" s="1"/>
  <c r="T16" i="14"/>
  <c r="Q16" i="14"/>
  <c r="N16" i="14"/>
  <c r="AT14" i="14" s="1"/>
  <c r="K16" i="14"/>
  <c r="C16" i="14"/>
  <c r="AZ15" i="14"/>
  <c r="AV15" i="14"/>
  <c r="AU15" i="14"/>
  <c r="AS15" i="14"/>
  <c r="AO15" i="14"/>
  <c r="AN15" i="14"/>
  <c r="AB15" i="14"/>
  <c r="AA15" i="14"/>
  <c r="AC15" i="14" s="1"/>
  <c r="AY13" i="14" s="1"/>
  <c r="X15" i="14"/>
  <c r="V15" i="14"/>
  <c r="AV13" i="14" s="1"/>
  <c r="T15" i="14"/>
  <c r="AU13" i="14" s="1"/>
  <c r="Q15" i="14"/>
  <c r="N15" i="14"/>
  <c r="K15" i="14"/>
  <c r="C15" i="14"/>
  <c r="AZ14" i="14"/>
  <c r="AX14" i="14"/>
  <c r="AU14" i="14"/>
  <c r="AS14" i="14"/>
  <c r="AO14" i="14"/>
  <c r="AN14" i="14"/>
  <c r="AB14" i="14"/>
  <c r="AA14" i="14"/>
  <c r="X14" i="14"/>
  <c r="AX12" i="14" s="1"/>
  <c r="V14" i="14"/>
  <c r="T14" i="14"/>
  <c r="Q14" i="14"/>
  <c r="N14" i="14"/>
  <c r="K14" i="14"/>
  <c r="C14" i="14"/>
  <c r="AZ13" i="14"/>
  <c r="AX13" i="14"/>
  <c r="AS13" i="14"/>
  <c r="AO13" i="14"/>
  <c r="AN13" i="14"/>
  <c r="AB13" i="14"/>
  <c r="AA13" i="14"/>
  <c r="X13" i="14"/>
  <c r="AX11" i="14" s="1"/>
  <c r="V13" i="14"/>
  <c r="AV11" i="14" s="1"/>
  <c r="T13" i="14"/>
  <c r="Q13" i="14"/>
  <c r="N13" i="14"/>
  <c r="K13" i="14"/>
  <c r="C13" i="14"/>
  <c r="AZ12" i="14"/>
  <c r="AV12" i="14"/>
  <c r="AU12" i="14"/>
  <c r="AS12" i="14"/>
  <c r="AO12" i="14"/>
  <c r="AN12" i="14"/>
  <c r="AB12" i="14"/>
  <c r="AA12" i="14"/>
  <c r="X12" i="14"/>
  <c r="V12" i="14"/>
  <c r="T12" i="14"/>
  <c r="AU10" i="14" s="1"/>
  <c r="Q12" i="14"/>
  <c r="N12" i="14"/>
  <c r="K12" i="14"/>
  <c r="F12" i="14"/>
  <c r="G12" i="14" s="1"/>
  <c r="C12" i="14"/>
  <c r="AZ11" i="14"/>
  <c r="AU11" i="14"/>
  <c r="AS11" i="14"/>
  <c r="AO11" i="14"/>
  <c r="AN11" i="14"/>
  <c r="AZ9" i="14" s="1"/>
  <c r="AB11" i="14"/>
  <c r="AA11" i="14"/>
  <c r="X11" i="14"/>
  <c r="V11" i="14"/>
  <c r="T11" i="14"/>
  <c r="AU9" i="14" s="1"/>
  <c r="Q11" i="14"/>
  <c r="AT9" i="14" s="1"/>
  <c r="N11" i="14"/>
  <c r="K11" i="14"/>
  <c r="F11" i="14"/>
  <c r="G11" i="14" s="1"/>
  <c r="C11" i="14"/>
  <c r="AZ10" i="14"/>
  <c r="AX10" i="14"/>
  <c r="AV10" i="14"/>
  <c r="AS10" i="14"/>
  <c r="AO10" i="14"/>
  <c r="AN10" i="14"/>
  <c r="AB10" i="14"/>
  <c r="AA10" i="14"/>
  <c r="X10" i="14"/>
  <c r="V10" i="14"/>
  <c r="AV8" i="14" s="1"/>
  <c r="T10" i="14"/>
  <c r="AU8" i="14" s="1"/>
  <c r="Q10" i="14"/>
  <c r="N10" i="14"/>
  <c r="K10" i="14"/>
  <c r="F10" i="14"/>
  <c r="G10" i="14" s="1"/>
  <c r="C10" i="14"/>
  <c r="AX9" i="14"/>
  <c r="AV9" i="14"/>
  <c r="AS9" i="14"/>
  <c r="AO9" i="14"/>
  <c r="AN9" i="14"/>
  <c r="AB9" i="14"/>
  <c r="AA9" i="14"/>
  <c r="AC9" i="14" s="1"/>
  <c r="AY7" i="14" s="1"/>
  <c r="X9" i="14"/>
  <c r="AX7" i="14" s="1"/>
  <c r="V9" i="14"/>
  <c r="T9" i="14"/>
  <c r="Q9" i="14"/>
  <c r="N9" i="14"/>
  <c r="K9" i="14"/>
  <c r="F9" i="14"/>
  <c r="G9" i="14" s="1"/>
  <c r="C9" i="14"/>
  <c r="AZ8" i="14"/>
  <c r="AX8" i="14"/>
  <c r="AS8" i="14"/>
  <c r="AO8" i="14"/>
  <c r="AN8" i="14"/>
  <c r="AB8" i="14"/>
  <c r="AA8" i="14"/>
  <c r="X8" i="14"/>
  <c r="V8" i="14"/>
  <c r="T8" i="14"/>
  <c r="Q8" i="14"/>
  <c r="AT6" i="14" s="1"/>
  <c r="N8" i="14"/>
  <c r="K8" i="14"/>
  <c r="F8" i="14"/>
  <c r="G8" i="14" s="1"/>
  <c r="C8" i="14"/>
  <c r="AZ7" i="14"/>
  <c r="AV7" i="14"/>
  <c r="AU7" i="14"/>
  <c r="AS7" i="14"/>
  <c r="AO7" i="14"/>
  <c r="AN7" i="14"/>
  <c r="AB7" i="14"/>
  <c r="AA7" i="14"/>
  <c r="AC7" i="14" s="1"/>
  <c r="AY5" i="14" s="1"/>
  <c r="X7" i="14"/>
  <c r="AX5" i="14" s="1"/>
  <c r="V7" i="14"/>
  <c r="T7" i="14"/>
  <c r="Q7" i="14"/>
  <c r="N7" i="14"/>
  <c r="K7" i="14"/>
  <c r="F7" i="14"/>
  <c r="G7" i="14" s="1"/>
  <c r="C7" i="14"/>
  <c r="AZ6" i="14"/>
  <c r="AX6" i="14"/>
  <c r="AV6" i="14"/>
  <c r="AU6" i="14"/>
  <c r="AS6" i="14"/>
  <c r="AO6" i="14"/>
  <c r="AN6" i="14"/>
  <c r="AB6" i="14"/>
  <c r="AA6" i="14"/>
  <c r="X6" i="14"/>
  <c r="AX4" i="14" s="1"/>
  <c r="V6" i="14"/>
  <c r="T6" i="14"/>
  <c r="Q6" i="14"/>
  <c r="N6" i="14"/>
  <c r="AT4" i="14" s="1"/>
  <c r="K6" i="14"/>
  <c r="F6" i="14"/>
  <c r="G6" i="14" s="1"/>
  <c r="C6" i="14"/>
  <c r="AZ5" i="14"/>
  <c r="AV5" i="14"/>
  <c r="AU5" i="14"/>
  <c r="AS5" i="14"/>
  <c r="AZ4" i="14"/>
  <c r="AV4" i="14"/>
  <c r="AU4" i="14"/>
  <c r="AO20" i="12"/>
  <c r="AN20" i="12"/>
  <c r="AB20" i="12"/>
  <c r="AA20" i="12"/>
  <c r="AC20" i="12" s="1"/>
  <c r="AY18" i="12" s="1"/>
  <c r="X20" i="12"/>
  <c r="V20" i="12"/>
  <c r="T20" i="12"/>
  <c r="Q20" i="12"/>
  <c r="N20" i="12"/>
  <c r="K20" i="12"/>
  <c r="F20" i="12"/>
  <c r="G20" i="12" s="1"/>
  <c r="C20" i="12"/>
  <c r="AO19" i="12"/>
  <c r="AN19" i="12"/>
  <c r="AB19" i="12"/>
  <c r="AA19" i="12"/>
  <c r="AC19" i="12" s="1"/>
  <c r="AY17" i="12" s="1"/>
  <c r="X19" i="12"/>
  <c r="V19" i="12"/>
  <c r="T19" i="12"/>
  <c r="Q19" i="12"/>
  <c r="N19" i="12"/>
  <c r="K19" i="12"/>
  <c r="F19" i="12"/>
  <c r="G19" i="12" s="1"/>
  <c r="C19" i="12"/>
  <c r="AZ18" i="12"/>
  <c r="AX18" i="12"/>
  <c r="AV18" i="12"/>
  <c r="AU18" i="12"/>
  <c r="AT18" i="12"/>
  <c r="AS18" i="12"/>
  <c r="AO18" i="12"/>
  <c r="AN18" i="12"/>
  <c r="AB18" i="12"/>
  <c r="AA18" i="12"/>
  <c r="AC18" i="12" s="1"/>
  <c r="AY16" i="12" s="1"/>
  <c r="X18" i="12"/>
  <c r="V18" i="12"/>
  <c r="T18" i="12"/>
  <c r="Q18" i="12"/>
  <c r="N18" i="12"/>
  <c r="K18" i="12"/>
  <c r="G18" i="12"/>
  <c r="AP18" i="12" s="1"/>
  <c r="AQ18" i="12" s="1"/>
  <c r="F18" i="12"/>
  <c r="C18" i="12"/>
  <c r="AZ17" i="12"/>
  <c r="AX17" i="12"/>
  <c r="AV17" i="12"/>
  <c r="AU17" i="12"/>
  <c r="AT17" i="12"/>
  <c r="AS17" i="12"/>
  <c r="AO17" i="12"/>
  <c r="AN17" i="12"/>
  <c r="AB17" i="12"/>
  <c r="AA17" i="12"/>
  <c r="AC17" i="12" s="1"/>
  <c r="AY15" i="12" s="1"/>
  <c r="X17" i="12"/>
  <c r="V17" i="12"/>
  <c r="T17" i="12"/>
  <c r="Q17" i="12"/>
  <c r="N17" i="12"/>
  <c r="K17" i="12"/>
  <c r="AT15" i="12" s="1"/>
  <c r="F17" i="12"/>
  <c r="G17" i="12" s="1"/>
  <c r="C17" i="12"/>
  <c r="AZ16" i="12"/>
  <c r="AX16" i="12"/>
  <c r="AW16" i="12"/>
  <c r="AV16" i="12"/>
  <c r="AU16" i="12"/>
  <c r="AT16" i="12"/>
  <c r="AS16" i="12"/>
  <c r="AO16" i="12"/>
  <c r="AN16" i="12"/>
  <c r="AB16" i="12"/>
  <c r="AA16" i="12"/>
  <c r="AC16" i="12" s="1"/>
  <c r="AY14" i="12" s="1"/>
  <c r="X16" i="12"/>
  <c r="V16" i="12"/>
  <c r="T16" i="12"/>
  <c r="Q16" i="12"/>
  <c r="N16" i="12"/>
  <c r="K16" i="12"/>
  <c r="F16" i="12"/>
  <c r="G16" i="12" s="1"/>
  <c r="C16" i="12"/>
  <c r="AZ15" i="12"/>
  <c r="AX15" i="12"/>
  <c r="AV15" i="12"/>
  <c r="AU15" i="12"/>
  <c r="AS15" i="12"/>
  <c r="AO15" i="12"/>
  <c r="AN15" i="12"/>
  <c r="AB15" i="12"/>
  <c r="AA15" i="12"/>
  <c r="AC15" i="12" s="1"/>
  <c r="AY13" i="12" s="1"/>
  <c r="X15" i="12"/>
  <c r="V15" i="12"/>
  <c r="T15" i="12"/>
  <c r="Q15" i="12"/>
  <c r="N15" i="12"/>
  <c r="K15" i="12"/>
  <c r="F15" i="12"/>
  <c r="G15" i="12" s="1"/>
  <c r="C15" i="12"/>
  <c r="AZ14" i="12"/>
  <c r="AX14" i="12"/>
  <c r="AV14" i="12"/>
  <c r="AU14" i="12"/>
  <c r="AT14" i="12"/>
  <c r="AS14" i="12"/>
  <c r="AO14" i="12"/>
  <c r="AN14" i="12"/>
  <c r="AB14" i="12"/>
  <c r="AA14" i="12"/>
  <c r="AC14" i="12" s="1"/>
  <c r="AY12" i="12" s="1"/>
  <c r="X14" i="12"/>
  <c r="V14" i="12"/>
  <c r="T14" i="12"/>
  <c r="Q14" i="12"/>
  <c r="N14" i="12"/>
  <c r="K14" i="12"/>
  <c r="F14" i="12"/>
  <c r="G14" i="12" s="1"/>
  <c r="C14" i="12"/>
  <c r="AZ13" i="12"/>
  <c r="AX13" i="12"/>
  <c r="AV13" i="12"/>
  <c r="AU13" i="12"/>
  <c r="AT13" i="12"/>
  <c r="AS13" i="12"/>
  <c r="AO13" i="12"/>
  <c r="AN13" i="12"/>
  <c r="AB13" i="12"/>
  <c r="AA13" i="12"/>
  <c r="AC13" i="12" s="1"/>
  <c r="AY11" i="12" s="1"/>
  <c r="X13" i="12"/>
  <c r="V13" i="12"/>
  <c r="T13" i="12"/>
  <c r="Q13" i="12"/>
  <c r="N13" i="12"/>
  <c r="K13" i="12"/>
  <c r="F13" i="12"/>
  <c r="G13" i="12" s="1"/>
  <c r="C13" i="12"/>
  <c r="AZ12" i="12"/>
  <c r="AX12" i="12"/>
  <c r="AV12" i="12"/>
  <c r="AU12" i="12"/>
  <c r="AT12" i="12"/>
  <c r="AS12" i="12"/>
  <c r="AO12" i="12"/>
  <c r="AN12" i="12"/>
  <c r="AB12" i="12"/>
  <c r="AA12" i="12"/>
  <c r="AC12" i="12" s="1"/>
  <c r="AY10" i="12" s="1"/>
  <c r="X12" i="12"/>
  <c r="V12" i="12"/>
  <c r="T12" i="12"/>
  <c r="Q12" i="12"/>
  <c r="N12" i="12"/>
  <c r="K12" i="12"/>
  <c r="F12" i="12"/>
  <c r="G12" i="12" s="1"/>
  <c r="C12" i="12"/>
  <c r="AZ11" i="12"/>
  <c r="AX11" i="12"/>
  <c r="AV11" i="12"/>
  <c r="AU11" i="12"/>
  <c r="AT11" i="12"/>
  <c r="AS11" i="12"/>
  <c r="AO11" i="12"/>
  <c r="AN11" i="12"/>
  <c r="AB11" i="12"/>
  <c r="AA11" i="12"/>
  <c r="AC11" i="12" s="1"/>
  <c r="AY9" i="12" s="1"/>
  <c r="X11" i="12"/>
  <c r="V11" i="12"/>
  <c r="T11" i="12"/>
  <c r="Q11" i="12"/>
  <c r="N11" i="12"/>
  <c r="K11" i="12"/>
  <c r="F11" i="12"/>
  <c r="G11" i="12" s="1"/>
  <c r="C11" i="12"/>
  <c r="AZ10" i="12"/>
  <c r="AX10" i="12"/>
  <c r="AV10" i="12"/>
  <c r="AU10" i="12"/>
  <c r="AT10" i="12"/>
  <c r="AS10" i="12"/>
  <c r="AO10" i="12"/>
  <c r="AN10" i="12"/>
  <c r="AB10" i="12"/>
  <c r="AA10" i="12"/>
  <c r="AC10" i="12" s="1"/>
  <c r="AY8" i="12" s="1"/>
  <c r="X10" i="12"/>
  <c r="V10" i="12"/>
  <c r="T10" i="12"/>
  <c r="Q10" i="12"/>
  <c r="N10" i="12"/>
  <c r="K10" i="12"/>
  <c r="F10" i="12"/>
  <c r="G10" i="12" s="1"/>
  <c r="C10" i="12"/>
  <c r="AZ9" i="12"/>
  <c r="AX9" i="12"/>
  <c r="AV9" i="12"/>
  <c r="AU9" i="12"/>
  <c r="AT9" i="12"/>
  <c r="AS9" i="12"/>
  <c r="AO9" i="12"/>
  <c r="AN9" i="12"/>
  <c r="AB9" i="12"/>
  <c r="AA9" i="12"/>
  <c r="AC9" i="12" s="1"/>
  <c r="AY7" i="12" s="1"/>
  <c r="X9" i="12"/>
  <c r="V9" i="12"/>
  <c r="T9" i="12"/>
  <c r="Q9" i="12"/>
  <c r="N9" i="12"/>
  <c r="K9" i="12"/>
  <c r="F9" i="12"/>
  <c r="G9" i="12" s="1"/>
  <c r="C9" i="12"/>
  <c r="AZ8" i="12"/>
  <c r="AX8" i="12"/>
  <c r="AV8" i="12"/>
  <c r="AU8" i="12"/>
  <c r="AT8" i="12"/>
  <c r="AS8" i="12"/>
  <c r="AO8" i="12"/>
  <c r="AN8" i="12"/>
  <c r="AB8" i="12"/>
  <c r="AA8" i="12"/>
  <c r="AC8" i="12" s="1"/>
  <c r="AY6" i="12" s="1"/>
  <c r="X8" i="12"/>
  <c r="V8" i="12"/>
  <c r="T8" i="12"/>
  <c r="Q8" i="12"/>
  <c r="N8" i="12"/>
  <c r="K8" i="12"/>
  <c r="F8" i="12"/>
  <c r="G8" i="12" s="1"/>
  <c r="C8" i="12"/>
  <c r="AZ7" i="12"/>
  <c r="AX7" i="12"/>
  <c r="AV7" i="12"/>
  <c r="AU7" i="12"/>
  <c r="AT7" i="12"/>
  <c r="AS7" i="12"/>
  <c r="AO7" i="12"/>
  <c r="AN7" i="12"/>
  <c r="AB7" i="12"/>
  <c r="AA7" i="12"/>
  <c r="AC7" i="12" s="1"/>
  <c r="AY5" i="12" s="1"/>
  <c r="X7" i="12"/>
  <c r="V7" i="12"/>
  <c r="T7" i="12"/>
  <c r="Q7" i="12"/>
  <c r="N7" i="12"/>
  <c r="K7" i="12"/>
  <c r="F7" i="12"/>
  <c r="G7" i="12" s="1"/>
  <c r="C7" i="12"/>
  <c r="AZ6" i="12"/>
  <c r="AX6" i="12"/>
  <c r="AV6" i="12"/>
  <c r="AU6" i="12"/>
  <c r="AT6" i="12"/>
  <c r="AS6" i="12"/>
  <c r="AO6" i="12"/>
  <c r="AN6" i="12"/>
  <c r="AB6" i="12"/>
  <c r="AA6" i="12"/>
  <c r="AC6" i="12" s="1"/>
  <c r="AY4" i="12" s="1"/>
  <c r="X6" i="12"/>
  <c r="V6" i="12"/>
  <c r="T6" i="12"/>
  <c r="Q6" i="12"/>
  <c r="N6" i="12"/>
  <c r="K6" i="12"/>
  <c r="F6" i="12"/>
  <c r="G6" i="12" s="1"/>
  <c r="C6" i="12"/>
  <c r="AZ5" i="12"/>
  <c r="AX5" i="12"/>
  <c r="AV5" i="12"/>
  <c r="AU5" i="12"/>
  <c r="AT5" i="12"/>
  <c r="AS5" i="12"/>
  <c r="AZ4" i="12"/>
  <c r="AX4" i="12"/>
  <c r="AV4" i="12"/>
  <c r="AU4" i="12"/>
  <c r="AT4" i="12"/>
  <c r="AS4" i="12"/>
  <c r="AO20" i="11"/>
  <c r="AN20" i="11"/>
  <c r="AB20" i="11"/>
  <c r="AA20" i="11"/>
  <c r="AC20" i="11" s="1"/>
  <c r="AY18" i="11" s="1"/>
  <c r="X20" i="11"/>
  <c r="V20" i="11"/>
  <c r="T20" i="11"/>
  <c r="Q20" i="11"/>
  <c r="N20" i="11"/>
  <c r="K20" i="11"/>
  <c r="F20" i="11"/>
  <c r="G20" i="11" s="1"/>
  <c r="C20" i="11"/>
  <c r="AO19" i="11"/>
  <c r="AN19" i="11"/>
  <c r="AB19" i="11"/>
  <c r="AA19" i="11"/>
  <c r="AC19" i="11" s="1"/>
  <c r="AY17" i="11" s="1"/>
  <c r="X19" i="11"/>
  <c r="V19" i="11"/>
  <c r="T19" i="11"/>
  <c r="Q19" i="11"/>
  <c r="N19" i="11"/>
  <c r="K19" i="11"/>
  <c r="F19" i="11"/>
  <c r="G19" i="11" s="1"/>
  <c r="C19" i="11"/>
  <c r="AZ18" i="11"/>
  <c r="AX18" i="11"/>
  <c r="AV18" i="11"/>
  <c r="AU18" i="11"/>
  <c r="AT18" i="11"/>
  <c r="AS18" i="11"/>
  <c r="AO18" i="11"/>
  <c r="AN18" i="11"/>
  <c r="AB18" i="11"/>
  <c r="AA18" i="11"/>
  <c r="AC18" i="11" s="1"/>
  <c r="AY16" i="11" s="1"/>
  <c r="X18" i="11"/>
  <c r="V18" i="11"/>
  <c r="T18" i="11"/>
  <c r="Q18" i="11"/>
  <c r="N18" i="11"/>
  <c r="K18" i="11"/>
  <c r="F18" i="11"/>
  <c r="G18" i="11" s="1"/>
  <c r="C18" i="11"/>
  <c r="AZ17" i="11"/>
  <c r="AX17" i="11"/>
  <c r="AV17" i="11"/>
  <c r="AU17" i="11"/>
  <c r="AT17" i="11"/>
  <c r="AS17" i="11"/>
  <c r="AO17" i="11"/>
  <c r="AN17" i="11"/>
  <c r="AB17" i="11"/>
  <c r="AA17" i="11"/>
  <c r="AC17" i="11" s="1"/>
  <c r="AY15" i="11" s="1"/>
  <c r="X17" i="11"/>
  <c r="V17" i="11"/>
  <c r="T17" i="11"/>
  <c r="Q17" i="11"/>
  <c r="N17" i="11"/>
  <c r="K17" i="11"/>
  <c r="F17" i="11"/>
  <c r="G17" i="11" s="1"/>
  <c r="C17" i="11"/>
  <c r="AZ16" i="11"/>
  <c r="AX16" i="11"/>
  <c r="AV16" i="11"/>
  <c r="AU16" i="11"/>
  <c r="AT16" i="11"/>
  <c r="AS16" i="11"/>
  <c r="AO16" i="11"/>
  <c r="AN16" i="11"/>
  <c r="AB16" i="11"/>
  <c r="AA16" i="11"/>
  <c r="AC16" i="11" s="1"/>
  <c r="AY14" i="11" s="1"/>
  <c r="X16" i="11"/>
  <c r="V16" i="11"/>
  <c r="T16" i="11"/>
  <c r="Q16" i="11"/>
  <c r="N16" i="11"/>
  <c r="K16" i="11"/>
  <c r="F16" i="11"/>
  <c r="G16" i="11" s="1"/>
  <c r="C16" i="11"/>
  <c r="AZ15" i="11"/>
  <c r="AX15" i="11"/>
  <c r="AV15" i="11"/>
  <c r="AU15" i="11"/>
  <c r="AT15" i="11"/>
  <c r="AS15" i="11"/>
  <c r="AO15" i="11"/>
  <c r="AN15" i="11"/>
  <c r="AB15" i="11"/>
  <c r="AA15" i="11"/>
  <c r="AC15" i="11" s="1"/>
  <c r="AY13" i="11" s="1"/>
  <c r="X15" i="11"/>
  <c r="V15" i="11"/>
  <c r="T15" i="11"/>
  <c r="Q15" i="11"/>
  <c r="N15" i="11"/>
  <c r="K15" i="11"/>
  <c r="G15" i="11"/>
  <c r="AP15" i="11" s="1"/>
  <c r="AQ15" i="11" s="1"/>
  <c r="F15" i="11"/>
  <c r="C15" i="11"/>
  <c r="AZ14" i="11"/>
  <c r="AX14" i="11"/>
  <c r="AV14" i="11"/>
  <c r="AU14" i="11"/>
  <c r="AT14" i="11"/>
  <c r="AS14" i="11"/>
  <c r="AO14" i="11"/>
  <c r="AN14" i="11"/>
  <c r="AB14" i="11"/>
  <c r="AA14" i="11"/>
  <c r="AC14" i="11" s="1"/>
  <c r="AY12" i="11" s="1"/>
  <c r="X14" i="11"/>
  <c r="V14" i="11"/>
  <c r="T14" i="11"/>
  <c r="Q14" i="11"/>
  <c r="N14" i="11"/>
  <c r="K14" i="11"/>
  <c r="G14" i="11"/>
  <c r="AP14" i="11" s="1"/>
  <c r="AQ14" i="11" s="1"/>
  <c r="F14" i="11"/>
  <c r="C14" i="11"/>
  <c r="AZ13" i="11"/>
  <c r="AX13" i="11"/>
  <c r="AW13" i="11"/>
  <c r="AV13" i="11"/>
  <c r="AU13" i="11"/>
  <c r="AT13" i="11"/>
  <c r="AS13" i="11"/>
  <c r="AO13" i="11"/>
  <c r="AN13" i="11"/>
  <c r="AB13" i="11"/>
  <c r="AA13" i="11"/>
  <c r="AC13" i="11" s="1"/>
  <c r="AY11" i="11" s="1"/>
  <c r="X13" i="11"/>
  <c r="V13" i="11"/>
  <c r="T13" i="11"/>
  <c r="Q13" i="11"/>
  <c r="N13" i="11"/>
  <c r="K13" i="11"/>
  <c r="F13" i="11"/>
  <c r="G13" i="11" s="1"/>
  <c r="C13" i="11"/>
  <c r="AZ12" i="11"/>
  <c r="AX12" i="11"/>
  <c r="AW12" i="11"/>
  <c r="AV12" i="11"/>
  <c r="AU12" i="11"/>
  <c r="AT12" i="11"/>
  <c r="AS12" i="11"/>
  <c r="AO12" i="11"/>
  <c r="AN12" i="11"/>
  <c r="AB12" i="11"/>
  <c r="AA12" i="11"/>
  <c r="AC12" i="11" s="1"/>
  <c r="AY10" i="11" s="1"/>
  <c r="X12" i="11"/>
  <c r="V12" i="11"/>
  <c r="T12" i="11"/>
  <c r="Q12" i="11"/>
  <c r="N12" i="11"/>
  <c r="K12" i="11"/>
  <c r="F12" i="11"/>
  <c r="G12" i="11" s="1"/>
  <c r="C12" i="11"/>
  <c r="AZ11" i="11"/>
  <c r="AX11" i="11"/>
  <c r="AV11" i="11"/>
  <c r="AU11" i="11"/>
  <c r="AT11" i="11"/>
  <c r="AS11" i="11"/>
  <c r="AO11" i="11"/>
  <c r="AN11" i="11"/>
  <c r="AB11" i="11"/>
  <c r="AA11" i="11"/>
  <c r="AC11" i="11" s="1"/>
  <c r="AY9" i="11" s="1"/>
  <c r="X11" i="11"/>
  <c r="V11" i="11"/>
  <c r="T11" i="11"/>
  <c r="Q11" i="11"/>
  <c r="N11" i="11"/>
  <c r="K11" i="11"/>
  <c r="F11" i="11"/>
  <c r="G11" i="11" s="1"/>
  <c r="C11" i="11"/>
  <c r="AZ10" i="11"/>
  <c r="AX10" i="11"/>
  <c r="AV10" i="11"/>
  <c r="AU10" i="11"/>
  <c r="AT10" i="11"/>
  <c r="AS10" i="11"/>
  <c r="AO10" i="11"/>
  <c r="AN10" i="11"/>
  <c r="AB10" i="11"/>
  <c r="AA10" i="11"/>
  <c r="AC10" i="11" s="1"/>
  <c r="AY8" i="11" s="1"/>
  <c r="X10" i="11"/>
  <c r="V10" i="11"/>
  <c r="T10" i="11"/>
  <c r="Q10" i="11"/>
  <c r="N10" i="11"/>
  <c r="K10" i="11"/>
  <c r="F10" i="11"/>
  <c r="G10" i="11" s="1"/>
  <c r="C10" i="11"/>
  <c r="AZ9" i="11"/>
  <c r="AX9" i="11"/>
  <c r="AV9" i="11"/>
  <c r="AU9" i="11"/>
  <c r="AT9" i="11"/>
  <c r="AS9" i="11"/>
  <c r="AO9" i="11"/>
  <c r="AN9" i="11"/>
  <c r="AB9" i="11"/>
  <c r="AA9" i="11"/>
  <c r="AC9" i="11" s="1"/>
  <c r="AY7" i="11" s="1"/>
  <c r="X9" i="11"/>
  <c r="V9" i="11"/>
  <c r="T9" i="11"/>
  <c r="Q9" i="11"/>
  <c r="N9" i="11"/>
  <c r="K9" i="11"/>
  <c r="F9" i="11"/>
  <c r="G9" i="11" s="1"/>
  <c r="C9" i="11"/>
  <c r="AZ8" i="11"/>
  <c r="AX8" i="11"/>
  <c r="AV8" i="11"/>
  <c r="AU8" i="11"/>
  <c r="AT8" i="11"/>
  <c r="AS8" i="11"/>
  <c r="AO8" i="11"/>
  <c r="AN8" i="11"/>
  <c r="AB8" i="11"/>
  <c r="AA8" i="11"/>
  <c r="AC8" i="11" s="1"/>
  <c r="AY6" i="11" s="1"/>
  <c r="X8" i="11"/>
  <c r="V8" i="11"/>
  <c r="T8" i="11"/>
  <c r="Q8" i="11"/>
  <c r="N8" i="11"/>
  <c r="K8" i="11"/>
  <c r="F8" i="11"/>
  <c r="G8" i="11" s="1"/>
  <c r="C8" i="11"/>
  <c r="AZ7" i="11"/>
  <c r="AX7" i="11"/>
  <c r="AV7" i="11"/>
  <c r="AU7" i="11"/>
  <c r="AT7" i="11"/>
  <c r="AS7" i="11"/>
  <c r="AO7" i="11"/>
  <c r="AN7" i="11"/>
  <c r="AB7" i="11"/>
  <c r="AA7" i="11"/>
  <c r="AC7" i="11" s="1"/>
  <c r="AY5" i="11" s="1"/>
  <c r="X7" i="11"/>
  <c r="V7" i="11"/>
  <c r="T7" i="11"/>
  <c r="Q7" i="11"/>
  <c r="N7" i="11"/>
  <c r="K7" i="11"/>
  <c r="F7" i="11"/>
  <c r="G7" i="11" s="1"/>
  <c r="C7" i="11"/>
  <c r="AZ6" i="11"/>
  <c r="AX6" i="11"/>
  <c r="AV6" i="11"/>
  <c r="AU6" i="11"/>
  <c r="AT6" i="11"/>
  <c r="AS6" i="11"/>
  <c r="AO6" i="11"/>
  <c r="AN6" i="11"/>
  <c r="AB6" i="11"/>
  <c r="AA6" i="11"/>
  <c r="AC6" i="11" s="1"/>
  <c r="AY4" i="11" s="1"/>
  <c r="X6" i="11"/>
  <c r="V6" i="11"/>
  <c r="T6" i="11"/>
  <c r="Q6" i="11"/>
  <c r="N6" i="11"/>
  <c r="K6" i="11"/>
  <c r="F6" i="11"/>
  <c r="G6" i="11" s="1"/>
  <c r="C6" i="11"/>
  <c r="AZ5" i="11"/>
  <c r="AX5" i="11"/>
  <c r="AV5" i="11"/>
  <c r="AU5" i="11"/>
  <c r="AT5" i="11"/>
  <c r="AS5" i="11"/>
  <c r="AZ4" i="11"/>
  <c r="AX4" i="11"/>
  <c r="AV4" i="11"/>
  <c r="AU4" i="11"/>
  <c r="AT4" i="11"/>
  <c r="AS4" i="11"/>
  <c r="AO20" i="10"/>
  <c r="AN20" i="10"/>
  <c r="AB20" i="10"/>
  <c r="AA20" i="10"/>
  <c r="AC20" i="10" s="1"/>
  <c r="AY18" i="10" s="1"/>
  <c r="X20" i="10"/>
  <c r="V20" i="10"/>
  <c r="T20" i="10"/>
  <c r="Q20" i="10"/>
  <c r="N20" i="10"/>
  <c r="K20" i="10"/>
  <c r="F20" i="10"/>
  <c r="G20" i="10" s="1"/>
  <c r="C20" i="10"/>
  <c r="AO19" i="10"/>
  <c r="AN19" i="10"/>
  <c r="AB19" i="10"/>
  <c r="AA19" i="10"/>
  <c r="AC19" i="10" s="1"/>
  <c r="AY17" i="10" s="1"/>
  <c r="X19" i="10"/>
  <c r="V19" i="10"/>
  <c r="T19" i="10"/>
  <c r="Q19" i="10"/>
  <c r="N19" i="10"/>
  <c r="K19" i="10"/>
  <c r="F19" i="10"/>
  <c r="G19" i="10" s="1"/>
  <c r="C19" i="10"/>
  <c r="AZ18" i="10"/>
  <c r="AX18" i="10"/>
  <c r="AV18" i="10"/>
  <c r="AU18" i="10"/>
  <c r="AT18" i="10"/>
  <c r="AS18" i="10"/>
  <c r="AO18" i="10"/>
  <c r="AN18" i="10"/>
  <c r="AB18" i="10"/>
  <c r="AA18" i="10"/>
  <c r="AC18" i="10" s="1"/>
  <c r="AY16" i="10" s="1"/>
  <c r="X18" i="10"/>
  <c r="V18" i="10"/>
  <c r="T18" i="10"/>
  <c r="Q18" i="10"/>
  <c r="N18" i="10"/>
  <c r="K18" i="10"/>
  <c r="F18" i="10"/>
  <c r="G18" i="10" s="1"/>
  <c r="C18" i="10"/>
  <c r="AZ17" i="10"/>
  <c r="AX17" i="10"/>
  <c r="AV17" i="10"/>
  <c r="AU17" i="10"/>
  <c r="AT17" i="10"/>
  <c r="AS17" i="10"/>
  <c r="AO17" i="10"/>
  <c r="AN17" i="10"/>
  <c r="AB17" i="10"/>
  <c r="AA17" i="10"/>
  <c r="AC17" i="10" s="1"/>
  <c r="AY15" i="10" s="1"/>
  <c r="X17" i="10"/>
  <c r="V17" i="10"/>
  <c r="T17" i="10"/>
  <c r="Q17" i="10"/>
  <c r="N17" i="10"/>
  <c r="K17" i="10"/>
  <c r="F17" i="10"/>
  <c r="G17" i="10" s="1"/>
  <c r="C17" i="10"/>
  <c r="AZ16" i="10"/>
  <c r="AX16" i="10"/>
  <c r="AV16" i="10"/>
  <c r="AU16" i="10"/>
  <c r="AT16" i="10"/>
  <c r="AS16" i="10"/>
  <c r="AO16" i="10"/>
  <c r="AN16" i="10"/>
  <c r="AB16" i="10"/>
  <c r="AA16" i="10"/>
  <c r="AC16" i="10" s="1"/>
  <c r="AY14" i="10" s="1"/>
  <c r="X16" i="10"/>
  <c r="V16" i="10"/>
  <c r="T16" i="10"/>
  <c r="Q16" i="10"/>
  <c r="N16" i="10"/>
  <c r="K16" i="10"/>
  <c r="F16" i="10"/>
  <c r="G16" i="10" s="1"/>
  <c r="C16" i="10"/>
  <c r="AZ15" i="10"/>
  <c r="AX15" i="10"/>
  <c r="AV15" i="10"/>
  <c r="AU15" i="10"/>
  <c r="AT15" i="10"/>
  <c r="AS15" i="10"/>
  <c r="AO15" i="10"/>
  <c r="AN15" i="10"/>
  <c r="AZ13" i="10" s="1"/>
  <c r="AB15" i="10"/>
  <c r="AA15" i="10"/>
  <c r="AC15" i="10" s="1"/>
  <c r="AY13" i="10" s="1"/>
  <c r="X15" i="10"/>
  <c r="AX13" i="10" s="1"/>
  <c r="V15" i="10"/>
  <c r="AV13" i="10" s="1"/>
  <c r="T15" i="10"/>
  <c r="AU13" i="10" s="1"/>
  <c r="Q15" i="10"/>
  <c r="N15" i="10"/>
  <c r="K15" i="10"/>
  <c r="AT13" i="10" s="1"/>
  <c r="F15" i="10"/>
  <c r="G15" i="10" s="1"/>
  <c r="C15" i="10"/>
  <c r="AZ14" i="10"/>
  <c r="AX14" i="10"/>
  <c r="AV14" i="10"/>
  <c r="AU14" i="10"/>
  <c r="AT14" i="10"/>
  <c r="AS14" i="10"/>
  <c r="AO14" i="10"/>
  <c r="AN14" i="10"/>
  <c r="AZ12" i="10" s="1"/>
  <c r="AB14" i="10"/>
  <c r="AA14" i="10"/>
  <c r="AC14" i="10" s="1"/>
  <c r="AY12" i="10" s="1"/>
  <c r="X14" i="10"/>
  <c r="AX12" i="10" s="1"/>
  <c r="V14" i="10"/>
  <c r="AV12" i="10" s="1"/>
  <c r="T14" i="10"/>
  <c r="AU12" i="10" s="1"/>
  <c r="Q14" i="10"/>
  <c r="N14" i="10"/>
  <c r="AT12" i="10" s="1"/>
  <c r="K14" i="10"/>
  <c r="F14" i="10"/>
  <c r="G14" i="10" s="1"/>
  <c r="C14" i="10"/>
  <c r="AS13" i="10"/>
  <c r="AO13" i="10"/>
  <c r="AN13" i="10"/>
  <c r="AB13" i="10"/>
  <c r="AA13" i="10"/>
  <c r="AC13" i="10" s="1"/>
  <c r="AY11" i="10" s="1"/>
  <c r="X13" i="10"/>
  <c r="V13" i="10"/>
  <c r="T13" i="10"/>
  <c r="Q13" i="10"/>
  <c r="N13" i="10"/>
  <c r="K13" i="10"/>
  <c r="F13" i="10"/>
  <c r="G13" i="10" s="1"/>
  <c r="C13" i="10"/>
  <c r="AS12" i="10"/>
  <c r="AO12" i="10"/>
  <c r="AN12" i="10"/>
  <c r="AB12" i="10"/>
  <c r="AA12" i="10"/>
  <c r="AC12" i="10" s="1"/>
  <c r="AY10" i="10" s="1"/>
  <c r="X12" i="10"/>
  <c r="V12" i="10"/>
  <c r="T12" i="10"/>
  <c r="Q12" i="10"/>
  <c r="N12" i="10"/>
  <c r="K12" i="10"/>
  <c r="F12" i="10"/>
  <c r="G12" i="10" s="1"/>
  <c r="C12" i="10"/>
  <c r="AZ11" i="10"/>
  <c r="AX11" i="10"/>
  <c r="AV11" i="10"/>
  <c r="AU11" i="10"/>
  <c r="AT11" i="10"/>
  <c r="AS11" i="10"/>
  <c r="AO11" i="10"/>
  <c r="AN11" i="10"/>
  <c r="AB11" i="10"/>
  <c r="AA11" i="10"/>
  <c r="AC11" i="10" s="1"/>
  <c r="AY9" i="10" s="1"/>
  <c r="X11" i="10"/>
  <c r="V11" i="10"/>
  <c r="T11" i="10"/>
  <c r="Q11" i="10"/>
  <c r="N11" i="10"/>
  <c r="K11" i="10"/>
  <c r="F11" i="10"/>
  <c r="G11" i="10" s="1"/>
  <c r="C11" i="10"/>
  <c r="AZ10" i="10"/>
  <c r="AX10" i="10"/>
  <c r="AV10" i="10"/>
  <c r="AU10" i="10"/>
  <c r="AT10" i="10"/>
  <c r="AS10" i="10"/>
  <c r="AO10" i="10"/>
  <c r="AN10" i="10"/>
  <c r="AB10" i="10"/>
  <c r="AA10" i="10"/>
  <c r="AC10" i="10" s="1"/>
  <c r="AY8" i="10" s="1"/>
  <c r="X10" i="10"/>
  <c r="V10" i="10"/>
  <c r="T10" i="10"/>
  <c r="Q10" i="10"/>
  <c r="N10" i="10"/>
  <c r="K10" i="10"/>
  <c r="F10" i="10"/>
  <c r="G10" i="10" s="1"/>
  <c r="C10" i="10"/>
  <c r="AZ9" i="10"/>
  <c r="AX9" i="10"/>
  <c r="AV9" i="10"/>
  <c r="AU9" i="10"/>
  <c r="AT9" i="10"/>
  <c r="AS9" i="10"/>
  <c r="AO9" i="10"/>
  <c r="AN9" i="10"/>
  <c r="AB9" i="10"/>
  <c r="AA9" i="10"/>
  <c r="AC9" i="10" s="1"/>
  <c r="AY7" i="10" s="1"/>
  <c r="X9" i="10"/>
  <c r="V9" i="10"/>
  <c r="T9" i="10"/>
  <c r="Q9" i="10"/>
  <c r="N9" i="10"/>
  <c r="K9" i="10"/>
  <c r="F9" i="10"/>
  <c r="G9" i="10" s="1"/>
  <c r="C9" i="10"/>
  <c r="AZ8" i="10"/>
  <c r="AX8" i="10"/>
  <c r="AV8" i="10"/>
  <c r="AU8" i="10"/>
  <c r="AT8" i="10"/>
  <c r="AS8" i="10"/>
  <c r="AO8" i="10"/>
  <c r="AN8" i="10"/>
  <c r="AB8" i="10"/>
  <c r="AA8" i="10"/>
  <c r="AC8" i="10" s="1"/>
  <c r="AY6" i="10" s="1"/>
  <c r="X8" i="10"/>
  <c r="V8" i="10"/>
  <c r="T8" i="10"/>
  <c r="Q8" i="10"/>
  <c r="N8" i="10"/>
  <c r="K8" i="10"/>
  <c r="F8" i="10"/>
  <c r="G8" i="10" s="1"/>
  <c r="C8" i="10"/>
  <c r="AZ7" i="10"/>
  <c r="AX7" i="10"/>
  <c r="AV7" i="10"/>
  <c r="AU7" i="10"/>
  <c r="AT7" i="10"/>
  <c r="AS7" i="10"/>
  <c r="AO7" i="10"/>
  <c r="AN7" i="10"/>
  <c r="AB7" i="10"/>
  <c r="AA7" i="10"/>
  <c r="AC7" i="10" s="1"/>
  <c r="AY5" i="10" s="1"/>
  <c r="X7" i="10"/>
  <c r="V7" i="10"/>
  <c r="T7" i="10"/>
  <c r="Q7" i="10"/>
  <c r="N7" i="10"/>
  <c r="K7" i="10"/>
  <c r="F7" i="10"/>
  <c r="G7" i="10" s="1"/>
  <c r="C7" i="10"/>
  <c r="AZ6" i="10"/>
  <c r="AX6" i="10"/>
  <c r="AV6" i="10"/>
  <c r="AU6" i="10"/>
  <c r="AT6" i="10"/>
  <c r="AS6" i="10"/>
  <c r="AO6" i="10"/>
  <c r="AN6" i="10"/>
  <c r="AB6" i="10"/>
  <c r="AA6" i="10"/>
  <c r="AC6" i="10" s="1"/>
  <c r="AY4" i="10" s="1"/>
  <c r="X6" i="10"/>
  <c r="V6" i="10"/>
  <c r="T6" i="10"/>
  <c r="Q6" i="10"/>
  <c r="N6" i="10"/>
  <c r="K6" i="10"/>
  <c r="F6" i="10"/>
  <c r="G6" i="10" s="1"/>
  <c r="C6" i="10"/>
  <c r="AZ5" i="10"/>
  <c r="AX5" i="10"/>
  <c r="AV5" i="10"/>
  <c r="AU5" i="10"/>
  <c r="AT5" i="10"/>
  <c r="AS5" i="10"/>
  <c r="AZ4" i="10"/>
  <c r="AX4" i="10"/>
  <c r="AV4" i="10"/>
  <c r="AU4" i="10"/>
  <c r="AT4" i="10"/>
  <c r="AS4" i="10"/>
  <c r="AO20" i="9"/>
  <c r="AN20" i="9"/>
  <c r="AB20" i="9"/>
  <c r="AA20" i="9"/>
  <c r="AC20" i="9" s="1"/>
  <c r="AY18" i="9" s="1"/>
  <c r="X20" i="9"/>
  <c r="V20" i="9"/>
  <c r="T20" i="9"/>
  <c r="Q20" i="9"/>
  <c r="N20" i="9"/>
  <c r="K20" i="9"/>
  <c r="F20" i="9"/>
  <c r="G20" i="9" s="1"/>
  <c r="C20" i="9"/>
  <c r="AO19" i="9"/>
  <c r="AN19" i="9"/>
  <c r="AB19" i="9"/>
  <c r="AA19" i="9"/>
  <c r="AC19" i="9" s="1"/>
  <c r="AY17" i="9" s="1"/>
  <c r="X19" i="9"/>
  <c r="V19" i="9"/>
  <c r="T19" i="9"/>
  <c r="Q19" i="9"/>
  <c r="N19" i="9"/>
  <c r="K19" i="9"/>
  <c r="F19" i="9"/>
  <c r="G19" i="9" s="1"/>
  <c r="C19" i="9"/>
  <c r="AZ18" i="9"/>
  <c r="AX18" i="9"/>
  <c r="AV18" i="9"/>
  <c r="AU18" i="9"/>
  <c r="AT18" i="9"/>
  <c r="AS18" i="9"/>
  <c r="AO18" i="9"/>
  <c r="AN18" i="9"/>
  <c r="AB18" i="9"/>
  <c r="AA18" i="9"/>
  <c r="AC18" i="9" s="1"/>
  <c r="AY16" i="9" s="1"/>
  <c r="X18" i="9"/>
  <c r="V18" i="9"/>
  <c r="T18" i="9"/>
  <c r="Q18" i="9"/>
  <c r="N18" i="9"/>
  <c r="K18" i="9"/>
  <c r="F18" i="9"/>
  <c r="G18" i="9" s="1"/>
  <c r="C18" i="9"/>
  <c r="AZ17" i="9"/>
  <c r="AX17" i="9"/>
  <c r="AV17" i="9"/>
  <c r="AU17" i="9"/>
  <c r="AT17" i="9"/>
  <c r="AS17" i="9"/>
  <c r="AO17" i="9"/>
  <c r="AN17" i="9"/>
  <c r="AB17" i="9"/>
  <c r="AA17" i="9"/>
  <c r="AC17" i="9" s="1"/>
  <c r="AY15" i="9" s="1"/>
  <c r="X17" i="9"/>
  <c r="V17" i="9"/>
  <c r="T17" i="9"/>
  <c r="Q17" i="9"/>
  <c r="N17" i="9"/>
  <c r="K17" i="9"/>
  <c r="F17" i="9"/>
  <c r="G17" i="9" s="1"/>
  <c r="C17" i="9"/>
  <c r="AZ16" i="9"/>
  <c r="AX16" i="9"/>
  <c r="AV16" i="9"/>
  <c r="AU16" i="9"/>
  <c r="AT16" i="9"/>
  <c r="AS16" i="9"/>
  <c r="AO16" i="9"/>
  <c r="AN16" i="9"/>
  <c r="AB16" i="9"/>
  <c r="AA16" i="9"/>
  <c r="AC16" i="9" s="1"/>
  <c r="AY14" i="9" s="1"/>
  <c r="X16" i="9"/>
  <c r="V16" i="9"/>
  <c r="T16" i="9"/>
  <c r="Q16" i="9"/>
  <c r="N16" i="9"/>
  <c r="K16" i="9"/>
  <c r="F16" i="9"/>
  <c r="G16" i="9" s="1"/>
  <c r="C16" i="9"/>
  <c r="AZ15" i="9"/>
  <c r="AX15" i="9"/>
  <c r="AV15" i="9"/>
  <c r="AU15" i="9"/>
  <c r="AT15" i="9"/>
  <c r="AS15" i="9"/>
  <c r="AO15" i="9"/>
  <c r="AN15" i="9"/>
  <c r="AB15" i="9"/>
  <c r="AA15" i="9"/>
  <c r="AC15" i="9" s="1"/>
  <c r="AY13" i="9" s="1"/>
  <c r="X15" i="9"/>
  <c r="V15" i="9"/>
  <c r="T15" i="9"/>
  <c r="Q15" i="9"/>
  <c r="N15" i="9"/>
  <c r="K15" i="9"/>
  <c r="F15" i="9"/>
  <c r="G15" i="9" s="1"/>
  <c r="C15" i="9"/>
  <c r="AZ14" i="9"/>
  <c r="AX14" i="9"/>
  <c r="AV14" i="9"/>
  <c r="AU14" i="9"/>
  <c r="AT14" i="9"/>
  <c r="AS14" i="9"/>
  <c r="AO14" i="9"/>
  <c r="AN14" i="9"/>
  <c r="AB14" i="9"/>
  <c r="AA14" i="9"/>
  <c r="AC14" i="9" s="1"/>
  <c r="AY12" i="9" s="1"/>
  <c r="X14" i="9"/>
  <c r="V14" i="9"/>
  <c r="T14" i="9"/>
  <c r="Q14" i="9"/>
  <c r="N14" i="9"/>
  <c r="K14" i="9"/>
  <c r="F14" i="9"/>
  <c r="G14" i="9" s="1"/>
  <c r="C14" i="9"/>
  <c r="AZ13" i="9"/>
  <c r="AX13" i="9"/>
  <c r="AV13" i="9"/>
  <c r="AU13" i="9"/>
  <c r="AT13" i="9"/>
  <c r="AS13" i="9"/>
  <c r="AO13" i="9"/>
  <c r="AN13" i="9"/>
  <c r="AB13" i="9"/>
  <c r="AA13" i="9"/>
  <c r="AC13" i="9" s="1"/>
  <c r="AY11" i="9" s="1"/>
  <c r="X13" i="9"/>
  <c r="V13" i="9"/>
  <c r="T13" i="9"/>
  <c r="Q13" i="9"/>
  <c r="N13" i="9"/>
  <c r="K13" i="9"/>
  <c r="F13" i="9"/>
  <c r="G13" i="9" s="1"/>
  <c r="C13" i="9"/>
  <c r="AZ12" i="9"/>
  <c r="AX12" i="9"/>
  <c r="AV12" i="9"/>
  <c r="AU12" i="9"/>
  <c r="AT12" i="9"/>
  <c r="AS12" i="9"/>
  <c r="AO12" i="9"/>
  <c r="AN12" i="9"/>
  <c r="AB12" i="9"/>
  <c r="AA12" i="9"/>
  <c r="AC12" i="9" s="1"/>
  <c r="AY10" i="9" s="1"/>
  <c r="X12" i="9"/>
  <c r="V12" i="9"/>
  <c r="T12" i="9"/>
  <c r="Q12" i="9"/>
  <c r="N12" i="9"/>
  <c r="K12" i="9"/>
  <c r="F12" i="9"/>
  <c r="G12" i="9" s="1"/>
  <c r="C12" i="9"/>
  <c r="AZ11" i="9"/>
  <c r="AX11" i="9"/>
  <c r="AV11" i="9"/>
  <c r="AU11" i="9"/>
  <c r="AT11" i="9"/>
  <c r="AS11" i="9"/>
  <c r="AO11" i="9"/>
  <c r="AN11" i="9"/>
  <c r="AB11" i="9"/>
  <c r="AA11" i="9"/>
  <c r="AC11" i="9" s="1"/>
  <c r="AY9" i="9" s="1"/>
  <c r="X11" i="9"/>
  <c r="V11" i="9"/>
  <c r="T11" i="9"/>
  <c r="Q11" i="9"/>
  <c r="N11" i="9"/>
  <c r="K11" i="9"/>
  <c r="F11" i="9"/>
  <c r="G11" i="9" s="1"/>
  <c r="C11" i="9"/>
  <c r="AZ10" i="9"/>
  <c r="AX10" i="9"/>
  <c r="AV10" i="9"/>
  <c r="AU10" i="9"/>
  <c r="AT10" i="9"/>
  <c r="AS10" i="9"/>
  <c r="AO10" i="9"/>
  <c r="AN10" i="9"/>
  <c r="AB10" i="9"/>
  <c r="AA10" i="9"/>
  <c r="AC10" i="9" s="1"/>
  <c r="AY8" i="9" s="1"/>
  <c r="X10" i="9"/>
  <c r="V10" i="9"/>
  <c r="T10" i="9"/>
  <c r="Q10" i="9"/>
  <c r="N10" i="9"/>
  <c r="K10" i="9"/>
  <c r="F10" i="9"/>
  <c r="G10" i="9" s="1"/>
  <c r="C10" i="9"/>
  <c r="AZ9" i="9"/>
  <c r="AX9" i="9"/>
  <c r="AV9" i="9"/>
  <c r="AU9" i="9"/>
  <c r="AT9" i="9"/>
  <c r="AS9" i="9"/>
  <c r="AO9" i="9"/>
  <c r="AN9" i="9"/>
  <c r="AB9" i="9"/>
  <c r="AA9" i="9"/>
  <c r="AC9" i="9" s="1"/>
  <c r="AY7" i="9" s="1"/>
  <c r="X9" i="9"/>
  <c r="V9" i="9"/>
  <c r="T9" i="9"/>
  <c r="Q9" i="9"/>
  <c r="N9" i="9"/>
  <c r="K9" i="9"/>
  <c r="F9" i="9"/>
  <c r="G9" i="9" s="1"/>
  <c r="C9" i="9"/>
  <c r="AZ8" i="9"/>
  <c r="AX8" i="9"/>
  <c r="AV8" i="9"/>
  <c r="AU8" i="9"/>
  <c r="AT8" i="9"/>
  <c r="AS8" i="9"/>
  <c r="AO8" i="9"/>
  <c r="AN8" i="9"/>
  <c r="AB8" i="9"/>
  <c r="AA8" i="9"/>
  <c r="AC8" i="9" s="1"/>
  <c r="AY6" i="9" s="1"/>
  <c r="X8" i="9"/>
  <c r="V8" i="9"/>
  <c r="T8" i="9"/>
  <c r="Q8" i="9"/>
  <c r="N8" i="9"/>
  <c r="K8" i="9"/>
  <c r="F8" i="9"/>
  <c r="G8" i="9" s="1"/>
  <c r="C8" i="9"/>
  <c r="AZ7" i="9"/>
  <c r="AX7" i="9"/>
  <c r="AV7" i="9"/>
  <c r="AU7" i="9"/>
  <c r="AT7" i="9"/>
  <c r="AS7" i="9"/>
  <c r="AO7" i="9"/>
  <c r="AN7" i="9"/>
  <c r="AB7" i="9"/>
  <c r="AA7" i="9"/>
  <c r="AC7" i="9" s="1"/>
  <c r="AY5" i="9" s="1"/>
  <c r="X7" i="9"/>
  <c r="V7" i="9"/>
  <c r="T7" i="9"/>
  <c r="Q7" i="9"/>
  <c r="N7" i="9"/>
  <c r="K7" i="9"/>
  <c r="F7" i="9"/>
  <c r="G7" i="9" s="1"/>
  <c r="C7" i="9"/>
  <c r="AZ6" i="9"/>
  <c r="AX6" i="9"/>
  <c r="AV6" i="9"/>
  <c r="AU6" i="9"/>
  <c r="AT6" i="9"/>
  <c r="AS6" i="9"/>
  <c r="AO6" i="9"/>
  <c r="AN6" i="9"/>
  <c r="AB6" i="9"/>
  <c r="AA6" i="9"/>
  <c r="AC6" i="9" s="1"/>
  <c r="AY4" i="9" s="1"/>
  <c r="X6" i="9"/>
  <c r="V6" i="9"/>
  <c r="T6" i="9"/>
  <c r="Q6" i="9"/>
  <c r="N6" i="9"/>
  <c r="K6" i="9"/>
  <c r="F6" i="9"/>
  <c r="G6" i="9" s="1"/>
  <c r="C6" i="9"/>
  <c r="AZ5" i="9"/>
  <c r="AX5" i="9"/>
  <c r="AV5" i="9"/>
  <c r="AU5" i="9"/>
  <c r="AT5" i="9"/>
  <c r="AS5" i="9"/>
  <c r="AZ4" i="9"/>
  <c r="AX4" i="9"/>
  <c r="AV4" i="9"/>
  <c r="AU4" i="9"/>
  <c r="AT4" i="9"/>
  <c r="AS4" i="9"/>
  <c r="AO20" i="8"/>
  <c r="AN20" i="8"/>
  <c r="AB20" i="8"/>
  <c r="AA20" i="8"/>
  <c r="AC20" i="8" s="1"/>
  <c r="AY18" i="8" s="1"/>
  <c r="X20" i="8"/>
  <c r="V20" i="8"/>
  <c r="T20" i="8"/>
  <c r="Q20" i="8"/>
  <c r="N20" i="8"/>
  <c r="K20" i="8"/>
  <c r="F20" i="8"/>
  <c r="G20" i="8" s="1"/>
  <c r="C20" i="8"/>
  <c r="AO19" i="8"/>
  <c r="AN19" i="8"/>
  <c r="AB19" i="8"/>
  <c r="AA19" i="8"/>
  <c r="AC19" i="8" s="1"/>
  <c r="AY17" i="8" s="1"/>
  <c r="X19" i="8"/>
  <c r="V19" i="8"/>
  <c r="T19" i="8"/>
  <c r="Q19" i="8"/>
  <c r="N19" i="8"/>
  <c r="K19" i="8"/>
  <c r="F19" i="8"/>
  <c r="G19" i="8" s="1"/>
  <c r="C19" i="8"/>
  <c r="AZ18" i="8"/>
  <c r="AX18" i="8"/>
  <c r="AV18" i="8"/>
  <c r="AU18" i="8"/>
  <c r="AT18" i="8"/>
  <c r="AS18" i="8"/>
  <c r="AO18" i="8"/>
  <c r="AN18" i="8"/>
  <c r="AB18" i="8"/>
  <c r="AA18" i="8"/>
  <c r="AC18" i="8" s="1"/>
  <c r="AY16" i="8" s="1"/>
  <c r="X18" i="8"/>
  <c r="V18" i="8"/>
  <c r="T18" i="8"/>
  <c r="Q18" i="8"/>
  <c r="N18" i="8"/>
  <c r="K18" i="8"/>
  <c r="F18" i="8"/>
  <c r="G18" i="8" s="1"/>
  <c r="C18" i="8"/>
  <c r="AZ17" i="8"/>
  <c r="AX17" i="8"/>
  <c r="AV17" i="8"/>
  <c r="AU17" i="8"/>
  <c r="AT17" i="8"/>
  <c r="AS17" i="8"/>
  <c r="AO17" i="8"/>
  <c r="AN17" i="8"/>
  <c r="AB17" i="8"/>
  <c r="AA17" i="8"/>
  <c r="AC17" i="8" s="1"/>
  <c r="AY15" i="8" s="1"/>
  <c r="X17" i="8"/>
  <c r="V17" i="8"/>
  <c r="T17" i="8"/>
  <c r="Q17" i="8"/>
  <c r="N17" i="8"/>
  <c r="K17" i="8"/>
  <c r="G17" i="8"/>
  <c r="AP17" i="8" s="1"/>
  <c r="AQ17" i="8" s="1"/>
  <c r="F17" i="8"/>
  <c r="C17" i="8"/>
  <c r="AZ16" i="8"/>
  <c r="AX16" i="8"/>
  <c r="AV16" i="8"/>
  <c r="AU16" i="8"/>
  <c r="AT16" i="8"/>
  <c r="AS16" i="8"/>
  <c r="AO16" i="8"/>
  <c r="AN16" i="8"/>
  <c r="AB16" i="8"/>
  <c r="AA16" i="8"/>
  <c r="AC16" i="8" s="1"/>
  <c r="AY14" i="8" s="1"/>
  <c r="X16" i="8"/>
  <c r="V16" i="8"/>
  <c r="T16" i="8"/>
  <c r="Q16" i="8"/>
  <c r="N16" i="8"/>
  <c r="K16" i="8"/>
  <c r="F16" i="8"/>
  <c r="G16" i="8" s="1"/>
  <c r="C16" i="8"/>
  <c r="AZ15" i="8"/>
  <c r="AX15" i="8"/>
  <c r="AW15" i="8"/>
  <c r="AV15" i="8"/>
  <c r="AU15" i="8"/>
  <c r="AT15" i="8"/>
  <c r="AS15" i="8"/>
  <c r="AO15" i="8"/>
  <c r="AN15" i="8"/>
  <c r="AB15" i="8"/>
  <c r="AA15" i="8"/>
  <c r="AC15" i="8" s="1"/>
  <c r="AY13" i="8" s="1"/>
  <c r="X15" i="8"/>
  <c r="V15" i="8"/>
  <c r="T15" i="8"/>
  <c r="Q15" i="8"/>
  <c r="N15" i="8"/>
  <c r="K15" i="8"/>
  <c r="F15" i="8"/>
  <c r="G15" i="8" s="1"/>
  <c r="C15" i="8"/>
  <c r="AZ14" i="8"/>
  <c r="AX14" i="8"/>
  <c r="AV14" i="8"/>
  <c r="AU14" i="8"/>
  <c r="AT14" i="8"/>
  <c r="AS14" i="8"/>
  <c r="AO14" i="8"/>
  <c r="AN14" i="8"/>
  <c r="AB14" i="8"/>
  <c r="AA14" i="8"/>
  <c r="AC14" i="8" s="1"/>
  <c r="AY12" i="8" s="1"/>
  <c r="X14" i="8"/>
  <c r="V14" i="8"/>
  <c r="T14" i="8"/>
  <c r="Q14" i="8"/>
  <c r="N14" i="8"/>
  <c r="K14" i="8"/>
  <c r="F14" i="8"/>
  <c r="G14" i="8" s="1"/>
  <c r="C14" i="8"/>
  <c r="AZ13" i="8"/>
  <c r="AX13" i="8"/>
  <c r="AV13" i="8"/>
  <c r="AU13" i="8"/>
  <c r="AT13" i="8"/>
  <c r="AS13" i="8"/>
  <c r="AO13" i="8"/>
  <c r="AN13" i="8"/>
  <c r="AB13" i="8"/>
  <c r="AA13" i="8"/>
  <c r="AC13" i="8" s="1"/>
  <c r="AY11" i="8" s="1"/>
  <c r="X13" i="8"/>
  <c r="V13" i="8"/>
  <c r="T13" i="8"/>
  <c r="Q13" i="8"/>
  <c r="N13" i="8"/>
  <c r="K13" i="8"/>
  <c r="F13" i="8"/>
  <c r="G13" i="8" s="1"/>
  <c r="C13" i="8"/>
  <c r="AZ12" i="8"/>
  <c r="AX12" i="8"/>
  <c r="AV12" i="8"/>
  <c r="AU12" i="8"/>
  <c r="AT12" i="8"/>
  <c r="AS12" i="8"/>
  <c r="AO12" i="8"/>
  <c r="AN12" i="8"/>
  <c r="AB12" i="8"/>
  <c r="AA12" i="8"/>
  <c r="AC12" i="8" s="1"/>
  <c r="AY10" i="8" s="1"/>
  <c r="X12" i="8"/>
  <c r="V12" i="8"/>
  <c r="T12" i="8"/>
  <c r="Q12" i="8"/>
  <c r="N12" i="8"/>
  <c r="K12" i="8"/>
  <c r="F12" i="8"/>
  <c r="G12" i="8" s="1"/>
  <c r="C12" i="8"/>
  <c r="AZ11" i="8"/>
  <c r="AX11" i="8"/>
  <c r="AV11" i="8"/>
  <c r="AU11" i="8"/>
  <c r="AT11" i="8"/>
  <c r="AS11" i="8"/>
  <c r="AO11" i="8"/>
  <c r="AN11" i="8"/>
  <c r="AB11" i="8"/>
  <c r="AA11" i="8"/>
  <c r="AC11" i="8" s="1"/>
  <c r="AY9" i="8" s="1"/>
  <c r="X11" i="8"/>
  <c r="V11" i="8"/>
  <c r="T11" i="8"/>
  <c r="Q11" i="8"/>
  <c r="N11" i="8"/>
  <c r="K11" i="8"/>
  <c r="F11" i="8"/>
  <c r="G11" i="8" s="1"/>
  <c r="C11" i="8"/>
  <c r="AZ10" i="8"/>
  <c r="AX10" i="8"/>
  <c r="AV10" i="8"/>
  <c r="AU10" i="8"/>
  <c r="AT10" i="8"/>
  <c r="AS10" i="8"/>
  <c r="AO10" i="8"/>
  <c r="AN10" i="8"/>
  <c r="AB10" i="8"/>
  <c r="AA10" i="8"/>
  <c r="AC10" i="8" s="1"/>
  <c r="AY8" i="8" s="1"/>
  <c r="X10" i="8"/>
  <c r="V10" i="8"/>
  <c r="T10" i="8"/>
  <c r="Q10" i="8"/>
  <c r="N10" i="8"/>
  <c r="K10" i="8"/>
  <c r="F10" i="8"/>
  <c r="G10" i="8" s="1"/>
  <c r="C10" i="8"/>
  <c r="AZ9" i="8"/>
  <c r="AX9" i="8"/>
  <c r="AV9" i="8"/>
  <c r="AU9" i="8"/>
  <c r="AT9" i="8"/>
  <c r="AS9" i="8"/>
  <c r="AO9" i="8"/>
  <c r="AN9" i="8"/>
  <c r="AB9" i="8"/>
  <c r="AA9" i="8"/>
  <c r="AC9" i="8" s="1"/>
  <c r="AY7" i="8" s="1"/>
  <c r="X9" i="8"/>
  <c r="V9" i="8"/>
  <c r="T9" i="8"/>
  <c r="Q9" i="8"/>
  <c r="N9" i="8"/>
  <c r="K9" i="8"/>
  <c r="F9" i="8"/>
  <c r="G9" i="8" s="1"/>
  <c r="C9" i="8"/>
  <c r="AZ8" i="8"/>
  <c r="AX8" i="8"/>
  <c r="AV8" i="8"/>
  <c r="AU8" i="8"/>
  <c r="AT8" i="8"/>
  <c r="AS8" i="8"/>
  <c r="AO8" i="8"/>
  <c r="AN8" i="8"/>
  <c r="AB8" i="8"/>
  <c r="AA8" i="8"/>
  <c r="AC8" i="8" s="1"/>
  <c r="AY6" i="8" s="1"/>
  <c r="X8" i="8"/>
  <c r="V8" i="8"/>
  <c r="T8" i="8"/>
  <c r="Q8" i="8"/>
  <c r="N8" i="8"/>
  <c r="K8" i="8"/>
  <c r="F8" i="8"/>
  <c r="G8" i="8" s="1"/>
  <c r="C8" i="8"/>
  <c r="AZ7" i="8"/>
  <c r="AX7" i="8"/>
  <c r="AV7" i="8"/>
  <c r="AU7" i="8"/>
  <c r="AT7" i="8"/>
  <c r="AS7" i="8"/>
  <c r="AO7" i="8"/>
  <c r="AN7" i="8"/>
  <c r="AB7" i="8"/>
  <c r="AA7" i="8"/>
  <c r="AC7" i="8" s="1"/>
  <c r="AY5" i="8" s="1"/>
  <c r="X7" i="8"/>
  <c r="V7" i="8"/>
  <c r="T7" i="8"/>
  <c r="Q7" i="8"/>
  <c r="N7" i="8"/>
  <c r="K7" i="8"/>
  <c r="F7" i="8"/>
  <c r="G7" i="8" s="1"/>
  <c r="C7" i="8"/>
  <c r="AZ6" i="8"/>
  <c r="AX6" i="8"/>
  <c r="AV6" i="8"/>
  <c r="AU6" i="8"/>
  <c r="AT6" i="8"/>
  <c r="AS6" i="8"/>
  <c r="AO6" i="8"/>
  <c r="AN6" i="8"/>
  <c r="AB6" i="8"/>
  <c r="AA6" i="8"/>
  <c r="AC6" i="8" s="1"/>
  <c r="AY4" i="8" s="1"/>
  <c r="X6" i="8"/>
  <c r="V6" i="8"/>
  <c r="T6" i="8"/>
  <c r="Q6" i="8"/>
  <c r="N6" i="8"/>
  <c r="K6" i="8"/>
  <c r="F6" i="8"/>
  <c r="G6" i="8" s="1"/>
  <c r="C6" i="8"/>
  <c r="AZ5" i="8"/>
  <c r="AX5" i="8"/>
  <c r="AV5" i="8"/>
  <c r="AU5" i="8"/>
  <c r="AT5" i="8"/>
  <c r="AS5" i="8"/>
  <c r="AZ4" i="8"/>
  <c r="AX4" i="8"/>
  <c r="AV4" i="8"/>
  <c r="AU4" i="8"/>
  <c r="AT4" i="8"/>
  <c r="AS4" i="8"/>
  <c r="AO20" i="7"/>
  <c r="AN20" i="7"/>
  <c r="AB20" i="7"/>
  <c r="AA20" i="7"/>
  <c r="AC20" i="7" s="1"/>
  <c r="AY18" i="7" s="1"/>
  <c r="X20" i="7"/>
  <c r="V20" i="7"/>
  <c r="T20" i="7"/>
  <c r="Q20" i="7"/>
  <c r="N20" i="7"/>
  <c r="K20" i="7"/>
  <c r="F20" i="7"/>
  <c r="G20" i="7" s="1"/>
  <c r="C20" i="7"/>
  <c r="AO19" i="7"/>
  <c r="AN19" i="7"/>
  <c r="AB19" i="7"/>
  <c r="AA19" i="7"/>
  <c r="AC19" i="7" s="1"/>
  <c r="AY17" i="7" s="1"/>
  <c r="X19" i="7"/>
  <c r="V19" i="7"/>
  <c r="T19" i="7"/>
  <c r="Q19" i="7"/>
  <c r="N19" i="7"/>
  <c r="K19" i="7"/>
  <c r="F19" i="7"/>
  <c r="G19" i="7" s="1"/>
  <c r="C19" i="7"/>
  <c r="AZ18" i="7"/>
  <c r="AX18" i="7"/>
  <c r="AV18" i="7"/>
  <c r="AU18" i="7"/>
  <c r="AT18" i="7"/>
  <c r="AS18" i="7"/>
  <c r="AO18" i="7"/>
  <c r="AN18" i="7"/>
  <c r="AB18" i="7"/>
  <c r="AA18" i="7"/>
  <c r="AC18" i="7" s="1"/>
  <c r="AY16" i="7" s="1"/>
  <c r="X18" i="7"/>
  <c r="V18" i="7"/>
  <c r="T18" i="7"/>
  <c r="Q18" i="7"/>
  <c r="N18" i="7"/>
  <c r="K18" i="7"/>
  <c r="F18" i="7"/>
  <c r="G18" i="7" s="1"/>
  <c r="C18" i="7"/>
  <c r="AZ17" i="7"/>
  <c r="AX17" i="7"/>
  <c r="AV17" i="7"/>
  <c r="AU17" i="7"/>
  <c r="AT17" i="7"/>
  <c r="AS17" i="7"/>
  <c r="AO17" i="7"/>
  <c r="AN17" i="7"/>
  <c r="AB17" i="7"/>
  <c r="AA17" i="7"/>
  <c r="AC17" i="7" s="1"/>
  <c r="AY15" i="7" s="1"/>
  <c r="X17" i="7"/>
  <c r="V17" i="7"/>
  <c r="T17" i="7"/>
  <c r="Q17" i="7"/>
  <c r="N17" i="7"/>
  <c r="K17" i="7"/>
  <c r="F17" i="7"/>
  <c r="G17" i="7" s="1"/>
  <c r="C17" i="7"/>
  <c r="AZ16" i="7"/>
  <c r="AX16" i="7"/>
  <c r="AV16" i="7"/>
  <c r="AU16" i="7"/>
  <c r="AT16" i="7"/>
  <c r="AS16" i="7"/>
  <c r="AO16" i="7"/>
  <c r="AN16" i="7"/>
  <c r="AB16" i="7"/>
  <c r="AA16" i="7"/>
  <c r="AC16" i="7" s="1"/>
  <c r="AY14" i="7" s="1"/>
  <c r="X16" i="7"/>
  <c r="V16" i="7"/>
  <c r="T16" i="7"/>
  <c r="Q16" i="7"/>
  <c r="N16" i="7"/>
  <c r="K16" i="7"/>
  <c r="F16" i="7"/>
  <c r="G16" i="7" s="1"/>
  <c r="C16" i="7"/>
  <c r="AZ15" i="7"/>
  <c r="AX15" i="7"/>
  <c r="AV15" i="7"/>
  <c r="AU15" i="7"/>
  <c r="AT15" i="7"/>
  <c r="AS15" i="7"/>
  <c r="AO15" i="7"/>
  <c r="AN15" i="7"/>
  <c r="AB15" i="7"/>
  <c r="AA15" i="7"/>
  <c r="AC15" i="7" s="1"/>
  <c r="AY13" i="7" s="1"/>
  <c r="X15" i="7"/>
  <c r="V15" i="7"/>
  <c r="T15" i="7"/>
  <c r="Q15" i="7"/>
  <c r="N15" i="7"/>
  <c r="K15" i="7"/>
  <c r="F15" i="7"/>
  <c r="G15" i="7" s="1"/>
  <c r="C15" i="7"/>
  <c r="AZ14" i="7"/>
  <c r="AX14" i="7"/>
  <c r="AV14" i="7"/>
  <c r="AU14" i="7"/>
  <c r="AT14" i="7"/>
  <c r="AS14" i="7"/>
  <c r="AO14" i="7"/>
  <c r="AN14" i="7"/>
  <c r="AB14" i="7"/>
  <c r="AA14" i="7"/>
  <c r="AC14" i="7" s="1"/>
  <c r="AY12" i="7" s="1"/>
  <c r="X14" i="7"/>
  <c r="V14" i="7"/>
  <c r="T14" i="7"/>
  <c r="Q14" i="7"/>
  <c r="N14" i="7"/>
  <c r="K14" i="7"/>
  <c r="F14" i="7"/>
  <c r="G14" i="7" s="1"/>
  <c r="C14" i="7"/>
  <c r="AZ13" i="7"/>
  <c r="AX13" i="7"/>
  <c r="AV13" i="7"/>
  <c r="AU13" i="7"/>
  <c r="AT13" i="7"/>
  <c r="AS13" i="7"/>
  <c r="AO13" i="7"/>
  <c r="AN13" i="7"/>
  <c r="AB13" i="7"/>
  <c r="AA13" i="7"/>
  <c r="AC13" i="7" s="1"/>
  <c r="AY11" i="7" s="1"/>
  <c r="X13" i="7"/>
  <c r="V13" i="7"/>
  <c r="T13" i="7"/>
  <c r="Q13" i="7"/>
  <c r="N13" i="7"/>
  <c r="K13" i="7"/>
  <c r="F13" i="7"/>
  <c r="G13" i="7" s="1"/>
  <c r="C13" i="7"/>
  <c r="AZ12" i="7"/>
  <c r="AX12" i="7"/>
  <c r="AV12" i="7"/>
  <c r="AU12" i="7"/>
  <c r="AT12" i="7"/>
  <c r="AS12" i="7"/>
  <c r="AO12" i="7"/>
  <c r="AN12" i="7"/>
  <c r="AB12" i="7"/>
  <c r="AA12" i="7"/>
  <c r="AC12" i="7" s="1"/>
  <c r="AY10" i="7" s="1"/>
  <c r="X12" i="7"/>
  <c r="V12" i="7"/>
  <c r="T12" i="7"/>
  <c r="Q12" i="7"/>
  <c r="N12" i="7"/>
  <c r="K12" i="7"/>
  <c r="F12" i="7"/>
  <c r="G12" i="7" s="1"/>
  <c r="C12" i="7"/>
  <c r="AZ11" i="7"/>
  <c r="AX11" i="7"/>
  <c r="AV11" i="7"/>
  <c r="AU11" i="7"/>
  <c r="AT11" i="7"/>
  <c r="AS11" i="7"/>
  <c r="AO11" i="7"/>
  <c r="AN11" i="7"/>
  <c r="AB11" i="7"/>
  <c r="AA11" i="7"/>
  <c r="AC11" i="7" s="1"/>
  <c r="AY9" i="7" s="1"/>
  <c r="X11" i="7"/>
  <c r="V11" i="7"/>
  <c r="T11" i="7"/>
  <c r="Q11" i="7"/>
  <c r="N11" i="7"/>
  <c r="K11" i="7"/>
  <c r="F11" i="7"/>
  <c r="G11" i="7" s="1"/>
  <c r="C11" i="7"/>
  <c r="AZ10" i="7"/>
  <c r="AX10" i="7"/>
  <c r="AV10" i="7"/>
  <c r="AU10" i="7"/>
  <c r="AT10" i="7"/>
  <c r="AS10" i="7"/>
  <c r="AO10" i="7"/>
  <c r="AN10" i="7"/>
  <c r="AB10" i="7"/>
  <c r="AA10" i="7"/>
  <c r="AC10" i="7" s="1"/>
  <c r="AY8" i="7" s="1"/>
  <c r="X10" i="7"/>
  <c r="V10" i="7"/>
  <c r="T10" i="7"/>
  <c r="Q10" i="7"/>
  <c r="N10" i="7"/>
  <c r="K10" i="7"/>
  <c r="G10" i="7"/>
  <c r="AP10" i="7" s="1"/>
  <c r="AQ10" i="7" s="1"/>
  <c r="F10" i="7"/>
  <c r="C10" i="7"/>
  <c r="AZ9" i="7"/>
  <c r="AX9" i="7"/>
  <c r="AV9" i="7"/>
  <c r="AU9" i="7"/>
  <c r="AT9" i="7"/>
  <c r="AS9" i="7"/>
  <c r="AO9" i="7"/>
  <c r="AN9" i="7"/>
  <c r="AB9" i="7"/>
  <c r="AA9" i="7"/>
  <c r="AC9" i="7" s="1"/>
  <c r="AY7" i="7" s="1"/>
  <c r="X9" i="7"/>
  <c r="V9" i="7"/>
  <c r="T9" i="7"/>
  <c r="Q9" i="7"/>
  <c r="N9" i="7"/>
  <c r="K9" i="7"/>
  <c r="F9" i="7"/>
  <c r="G9" i="7" s="1"/>
  <c r="C9" i="7"/>
  <c r="AZ8" i="7"/>
  <c r="AX8" i="7"/>
  <c r="AW8" i="7"/>
  <c r="AV8" i="7"/>
  <c r="AU8" i="7"/>
  <c r="AT8" i="7"/>
  <c r="AS8" i="7"/>
  <c r="AO8" i="7"/>
  <c r="AN8" i="7"/>
  <c r="AB8" i="7"/>
  <c r="AA8" i="7"/>
  <c r="AC8" i="7" s="1"/>
  <c r="AY6" i="7" s="1"/>
  <c r="X8" i="7"/>
  <c r="V8" i="7"/>
  <c r="T8" i="7"/>
  <c r="Q8" i="7"/>
  <c r="N8" i="7"/>
  <c r="K8" i="7"/>
  <c r="F8" i="7"/>
  <c r="G8" i="7" s="1"/>
  <c r="C8" i="7"/>
  <c r="AZ7" i="7"/>
  <c r="AX7" i="7"/>
  <c r="AV7" i="7"/>
  <c r="AU7" i="7"/>
  <c r="AT7" i="7"/>
  <c r="AS7" i="7"/>
  <c r="AO7" i="7"/>
  <c r="AN7" i="7"/>
  <c r="AB7" i="7"/>
  <c r="AA7" i="7"/>
  <c r="AC7" i="7" s="1"/>
  <c r="AY5" i="7" s="1"/>
  <c r="X7" i="7"/>
  <c r="V7" i="7"/>
  <c r="T7" i="7"/>
  <c r="Q7" i="7"/>
  <c r="N7" i="7"/>
  <c r="K7" i="7"/>
  <c r="F7" i="7"/>
  <c r="G7" i="7" s="1"/>
  <c r="C7" i="7"/>
  <c r="AZ6" i="7"/>
  <c r="AX6" i="7"/>
  <c r="AV6" i="7"/>
  <c r="AU6" i="7"/>
  <c r="AT6" i="7"/>
  <c r="AS6" i="7"/>
  <c r="AO6" i="7"/>
  <c r="AN6" i="7"/>
  <c r="AB6" i="7"/>
  <c r="AA6" i="7"/>
  <c r="AC6" i="7" s="1"/>
  <c r="AY4" i="7" s="1"/>
  <c r="X6" i="7"/>
  <c r="V6" i="7"/>
  <c r="T6" i="7"/>
  <c r="Q6" i="7"/>
  <c r="N6" i="7"/>
  <c r="K6" i="7"/>
  <c r="F6" i="7"/>
  <c r="G6" i="7" s="1"/>
  <c r="C6" i="7"/>
  <c r="AZ5" i="7"/>
  <c r="AX5" i="7"/>
  <c r="AV5" i="7"/>
  <c r="AU5" i="7"/>
  <c r="AT5" i="7"/>
  <c r="AS5" i="7"/>
  <c r="AZ4" i="7"/>
  <c r="AX4" i="7"/>
  <c r="AV4" i="7"/>
  <c r="AU4" i="7"/>
  <c r="AT4" i="7"/>
  <c r="AS4" i="7"/>
  <c r="AO20" i="6"/>
  <c r="AN20" i="6"/>
  <c r="AB20" i="6"/>
  <c r="AA20" i="6"/>
  <c r="AC20" i="6" s="1"/>
  <c r="AY18" i="6" s="1"/>
  <c r="X20" i="6"/>
  <c r="V20" i="6"/>
  <c r="T20" i="6"/>
  <c r="Q20" i="6"/>
  <c r="N20" i="6"/>
  <c r="K20" i="6"/>
  <c r="F20" i="6"/>
  <c r="G20" i="6" s="1"/>
  <c r="C20" i="6"/>
  <c r="AO19" i="6"/>
  <c r="AN19" i="6"/>
  <c r="AB19" i="6"/>
  <c r="AA19" i="6"/>
  <c r="AC19" i="6" s="1"/>
  <c r="AY17" i="6" s="1"/>
  <c r="X19" i="6"/>
  <c r="V19" i="6"/>
  <c r="T19" i="6"/>
  <c r="Q19" i="6"/>
  <c r="N19" i="6"/>
  <c r="K19" i="6"/>
  <c r="G19" i="6"/>
  <c r="AP19" i="6" s="1"/>
  <c r="AQ19" i="6" s="1"/>
  <c r="F19" i="6"/>
  <c r="C19" i="6"/>
  <c r="AZ18" i="6"/>
  <c r="AX18" i="6"/>
  <c r="AV18" i="6"/>
  <c r="AU18" i="6"/>
  <c r="AT18" i="6"/>
  <c r="AS18" i="6"/>
  <c r="AO18" i="6"/>
  <c r="AN18" i="6"/>
  <c r="AZ16" i="6" s="1"/>
  <c r="AB18" i="6"/>
  <c r="AA18" i="6"/>
  <c r="AC18" i="6" s="1"/>
  <c r="AY16" i="6" s="1"/>
  <c r="X18" i="6"/>
  <c r="AX16" i="6" s="1"/>
  <c r="V18" i="6"/>
  <c r="AV16" i="6" s="1"/>
  <c r="T18" i="6"/>
  <c r="AU16" i="6" s="1"/>
  <c r="Q18" i="6"/>
  <c r="N18" i="6"/>
  <c r="K18" i="6"/>
  <c r="AT16" i="6" s="1"/>
  <c r="F18" i="6"/>
  <c r="G18" i="6" s="1"/>
  <c r="C18" i="6"/>
  <c r="AZ17" i="6"/>
  <c r="AX17" i="6"/>
  <c r="AW17" i="6"/>
  <c r="AV17" i="6"/>
  <c r="AU17" i="6"/>
  <c r="AT17" i="6"/>
  <c r="AS17" i="6"/>
  <c r="AO17" i="6"/>
  <c r="AN17" i="6"/>
  <c r="AZ15" i="6" s="1"/>
  <c r="AB17" i="6"/>
  <c r="AA17" i="6"/>
  <c r="AC17" i="6" s="1"/>
  <c r="AY15" i="6" s="1"/>
  <c r="X17" i="6"/>
  <c r="AX15" i="6" s="1"/>
  <c r="V17" i="6"/>
  <c r="T17" i="6"/>
  <c r="Q17" i="6"/>
  <c r="N17" i="6"/>
  <c r="K17" i="6"/>
  <c r="F17" i="6"/>
  <c r="G17" i="6" s="1"/>
  <c r="C17" i="6"/>
  <c r="AS16" i="6"/>
  <c r="AO16" i="6"/>
  <c r="AN16" i="6"/>
  <c r="AB16" i="6"/>
  <c r="AA16" i="6"/>
  <c r="AC16" i="6" s="1"/>
  <c r="AY14" i="6" s="1"/>
  <c r="X16" i="6"/>
  <c r="V16" i="6"/>
  <c r="T16" i="6"/>
  <c r="Q16" i="6"/>
  <c r="N16" i="6"/>
  <c r="K16" i="6"/>
  <c r="F16" i="6"/>
  <c r="G16" i="6" s="1"/>
  <c r="C16" i="6"/>
  <c r="AV15" i="6"/>
  <c r="AU15" i="6"/>
  <c r="AT15" i="6"/>
  <c r="AS15" i="6"/>
  <c r="AO15" i="6"/>
  <c r="AN15" i="6"/>
  <c r="AB15" i="6"/>
  <c r="AA15" i="6"/>
  <c r="AC15" i="6" s="1"/>
  <c r="AY13" i="6" s="1"/>
  <c r="X15" i="6"/>
  <c r="V15" i="6"/>
  <c r="T15" i="6"/>
  <c r="Q15" i="6"/>
  <c r="N15" i="6"/>
  <c r="K15" i="6"/>
  <c r="F15" i="6"/>
  <c r="G15" i="6" s="1"/>
  <c r="C15" i="6"/>
  <c r="AZ14" i="6"/>
  <c r="AX14" i="6"/>
  <c r="AV14" i="6"/>
  <c r="AU14" i="6"/>
  <c r="AT14" i="6"/>
  <c r="AS14" i="6"/>
  <c r="AO14" i="6"/>
  <c r="AN14" i="6"/>
  <c r="AB14" i="6"/>
  <c r="AA14" i="6"/>
  <c r="AC14" i="6" s="1"/>
  <c r="AY12" i="6" s="1"/>
  <c r="X14" i="6"/>
  <c r="V14" i="6"/>
  <c r="T14" i="6"/>
  <c r="Q14" i="6"/>
  <c r="N14" i="6"/>
  <c r="K14" i="6"/>
  <c r="F14" i="6"/>
  <c r="G14" i="6" s="1"/>
  <c r="C14" i="6"/>
  <c r="AZ13" i="6"/>
  <c r="AX13" i="6"/>
  <c r="AV13" i="6"/>
  <c r="AU13" i="6"/>
  <c r="AT13" i="6"/>
  <c r="AS13" i="6"/>
  <c r="AO13" i="6"/>
  <c r="AN13" i="6"/>
  <c r="AB13" i="6"/>
  <c r="AA13" i="6"/>
  <c r="AC13" i="6" s="1"/>
  <c r="AY11" i="6" s="1"/>
  <c r="X13" i="6"/>
  <c r="V13" i="6"/>
  <c r="T13" i="6"/>
  <c r="Q13" i="6"/>
  <c r="N13" i="6"/>
  <c r="K13" i="6"/>
  <c r="F13" i="6"/>
  <c r="G13" i="6" s="1"/>
  <c r="C13" i="6"/>
  <c r="AZ12" i="6"/>
  <c r="AX12" i="6"/>
  <c r="AV12" i="6"/>
  <c r="AU12" i="6"/>
  <c r="AT12" i="6"/>
  <c r="AS12" i="6"/>
  <c r="AO12" i="6"/>
  <c r="AN12" i="6"/>
  <c r="AB12" i="6"/>
  <c r="AA12" i="6"/>
  <c r="AC12" i="6" s="1"/>
  <c r="AY10" i="6" s="1"/>
  <c r="X12" i="6"/>
  <c r="V12" i="6"/>
  <c r="T12" i="6"/>
  <c r="Q12" i="6"/>
  <c r="N12" i="6"/>
  <c r="K12" i="6"/>
  <c r="F12" i="6"/>
  <c r="G12" i="6" s="1"/>
  <c r="C12" i="6"/>
  <c r="AZ11" i="6"/>
  <c r="AX11" i="6"/>
  <c r="AV11" i="6"/>
  <c r="AU11" i="6"/>
  <c r="AT11" i="6"/>
  <c r="AS11" i="6"/>
  <c r="AO11" i="6"/>
  <c r="AN11" i="6"/>
  <c r="AB11" i="6"/>
  <c r="AA11" i="6"/>
  <c r="AC11" i="6" s="1"/>
  <c r="AY9" i="6" s="1"/>
  <c r="X11" i="6"/>
  <c r="V11" i="6"/>
  <c r="T11" i="6"/>
  <c r="Q11" i="6"/>
  <c r="N11" i="6"/>
  <c r="K11" i="6"/>
  <c r="F11" i="6"/>
  <c r="G11" i="6" s="1"/>
  <c r="C11" i="6"/>
  <c r="AZ10" i="6"/>
  <c r="AX10" i="6"/>
  <c r="AV10" i="6"/>
  <c r="AU10" i="6"/>
  <c r="AT10" i="6"/>
  <c r="AS10" i="6"/>
  <c r="AO10" i="6"/>
  <c r="AN10" i="6"/>
  <c r="AB10" i="6"/>
  <c r="AA10" i="6"/>
  <c r="AC10" i="6" s="1"/>
  <c r="AY8" i="6" s="1"/>
  <c r="X10" i="6"/>
  <c r="V10" i="6"/>
  <c r="T10" i="6"/>
  <c r="Q10" i="6"/>
  <c r="N10" i="6"/>
  <c r="K10" i="6"/>
  <c r="F10" i="6"/>
  <c r="G10" i="6" s="1"/>
  <c r="C10" i="6"/>
  <c r="AZ9" i="6"/>
  <c r="AX9" i="6"/>
  <c r="AV9" i="6"/>
  <c r="AU9" i="6"/>
  <c r="AT9" i="6"/>
  <c r="AS9" i="6"/>
  <c r="AO9" i="6"/>
  <c r="AN9" i="6"/>
  <c r="AB9" i="6"/>
  <c r="AA9" i="6"/>
  <c r="AC9" i="6" s="1"/>
  <c r="AY7" i="6" s="1"/>
  <c r="X9" i="6"/>
  <c r="V9" i="6"/>
  <c r="T9" i="6"/>
  <c r="Q9" i="6"/>
  <c r="N9" i="6"/>
  <c r="K9" i="6"/>
  <c r="F9" i="6"/>
  <c r="G9" i="6" s="1"/>
  <c r="C9" i="6"/>
  <c r="AZ8" i="6"/>
  <c r="AX8" i="6"/>
  <c r="AV8" i="6"/>
  <c r="AU8" i="6"/>
  <c r="AT8" i="6"/>
  <c r="AS8" i="6"/>
  <c r="AO8" i="6"/>
  <c r="AN8" i="6"/>
  <c r="AB8" i="6"/>
  <c r="AA8" i="6"/>
  <c r="AC8" i="6" s="1"/>
  <c r="AY6" i="6" s="1"/>
  <c r="X8" i="6"/>
  <c r="V8" i="6"/>
  <c r="T8" i="6"/>
  <c r="Q8" i="6"/>
  <c r="N8" i="6"/>
  <c r="K8" i="6"/>
  <c r="F8" i="6"/>
  <c r="G8" i="6" s="1"/>
  <c r="C8" i="6"/>
  <c r="AZ7" i="6"/>
  <c r="AX7" i="6"/>
  <c r="AV7" i="6"/>
  <c r="AU7" i="6"/>
  <c r="AT7" i="6"/>
  <c r="AS7" i="6"/>
  <c r="AO7" i="6"/>
  <c r="AN7" i="6"/>
  <c r="AB7" i="6"/>
  <c r="AA7" i="6"/>
  <c r="AC7" i="6" s="1"/>
  <c r="AY5" i="6" s="1"/>
  <c r="X7" i="6"/>
  <c r="V7" i="6"/>
  <c r="T7" i="6"/>
  <c r="Q7" i="6"/>
  <c r="N7" i="6"/>
  <c r="K7" i="6"/>
  <c r="F7" i="6"/>
  <c r="G7" i="6" s="1"/>
  <c r="C7" i="6"/>
  <c r="AZ6" i="6"/>
  <c r="AX6" i="6"/>
  <c r="AV6" i="6"/>
  <c r="AU6" i="6"/>
  <c r="AT6" i="6"/>
  <c r="AS6" i="6"/>
  <c r="AO6" i="6"/>
  <c r="AN6" i="6"/>
  <c r="AB6" i="6"/>
  <c r="AA6" i="6"/>
  <c r="AC6" i="6" s="1"/>
  <c r="AY4" i="6" s="1"/>
  <c r="X6" i="6"/>
  <c r="V6" i="6"/>
  <c r="T6" i="6"/>
  <c r="Q6" i="6"/>
  <c r="N6" i="6"/>
  <c r="K6" i="6"/>
  <c r="F6" i="6"/>
  <c r="G6" i="6" s="1"/>
  <c r="C6" i="6"/>
  <c r="AZ5" i="6"/>
  <c r="AX5" i="6"/>
  <c r="AV5" i="6"/>
  <c r="AU5" i="6"/>
  <c r="AT5" i="6"/>
  <c r="AS5" i="6"/>
  <c r="AZ4" i="6"/>
  <c r="AX4" i="6"/>
  <c r="AV4" i="6"/>
  <c r="AU4" i="6"/>
  <c r="AT4" i="6"/>
  <c r="AS4" i="6"/>
  <c r="E13" i="5"/>
  <c r="E14" i="5" s="1"/>
  <c r="Y37" i="4"/>
  <c r="Y36" i="4"/>
  <c r="Q13" i="4" s="1"/>
  <c r="Y35" i="4"/>
  <c r="Y34" i="4"/>
  <c r="Q11" i="4" s="1"/>
  <c r="Y33" i="4"/>
  <c r="Q10" i="4" s="1"/>
  <c r="Y32" i="4"/>
  <c r="Y31" i="4"/>
  <c r="U22" i="4"/>
  <c r="S22" i="4"/>
  <c r="U18" i="4"/>
  <c r="S18" i="4"/>
  <c r="Q14" i="4"/>
  <c r="Q12" i="4"/>
  <c r="Q9" i="4"/>
  <c r="Q8" i="4"/>
  <c r="Q7" i="4"/>
  <c r="H7" i="4"/>
  <c r="A7" i="4"/>
  <c r="B5" i="4"/>
  <c r="G20" i="3"/>
  <c r="G19" i="3"/>
  <c r="G18" i="3"/>
  <c r="G17" i="3"/>
  <c r="G16" i="3"/>
  <c r="G15" i="3"/>
  <c r="G14" i="3"/>
  <c r="C4" i="3"/>
  <c r="B11" i="2"/>
  <c r="B10" i="2"/>
  <c r="B9" i="2"/>
  <c r="B8" i="2"/>
  <c r="B7" i="2"/>
  <c r="B6" i="2"/>
  <c r="B5" i="2"/>
  <c r="C14" i="1"/>
  <c r="C13" i="1"/>
  <c r="C12" i="1"/>
  <c r="AO20" i="13"/>
  <c r="AN20" i="13"/>
  <c r="AB20" i="13"/>
  <c r="AA20" i="13"/>
  <c r="X20" i="13"/>
  <c r="AX18" i="13" s="1"/>
  <c r="V20" i="13"/>
  <c r="AV18" i="13" s="1"/>
  <c r="T20" i="13"/>
  <c r="AU18" i="13" s="1"/>
  <c r="Q20" i="13"/>
  <c r="AT18" i="13" s="1"/>
  <c r="N20" i="13"/>
  <c r="K20" i="13"/>
  <c r="F20" i="13"/>
  <c r="G20" i="13" s="1"/>
  <c r="C20" i="13"/>
  <c r="AO19" i="13"/>
  <c r="AN19" i="13"/>
  <c r="AA19" i="13"/>
  <c r="X19" i="13"/>
  <c r="AX17" i="13" s="1"/>
  <c r="V19" i="13"/>
  <c r="T19" i="13"/>
  <c r="AU17" i="13" s="1"/>
  <c r="Q19" i="13"/>
  <c r="AT17" i="13" s="1"/>
  <c r="N19" i="13"/>
  <c r="K19" i="13"/>
  <c r="F19" i="13"/>
  <c r="G19" i="13" s="1"/>
  <c r="C19" i="13"/>
  <c r="AZ18" i="13"/>
  <c r="AS18" i="13"/>
  <c r="AO18" i="13"/>
  <c r="AN18" i="13"/>
  <c r="AZ16" i="13" s="1"/>
  <c r="AB18" i="13"/>
  <c r="AA18" i="13"/>
  <c r="X18" i="13"/>
  <c r="AX16" i="13" s="1"/>
  <c r="T18" i="13"/>
  <c r="Q18" i="13"/>
  <c r="AT16" i="13" s="1"/>
  <c r="N18" i="13"/>
  <c r="K18" i="13"/>
  <c r="F18" i="13"/>
  <c r="G18" i="13" s="1"/>
  <c r="C18" i="13"/>
  <c r="AZ17" i="13"/>
  <c r="AV17" i="13"/>
  <c r="AS17" i="13"/>
  <c r="AO17" i="13"/>
  <c r="AN17" i="13"/>
  <c r="AB17" i="13"/>
  <c r="AA17" i="13"/>
  <c r="X17" i="13"/>
  <c r="AX15" i="13" s="1"/>
  <c r="V17" i="13"/>
  <c r="AV15" i="13" s="1"/>
  <c r="T17" i="13"/>
  <c r="AU15" i="13" s="1"/>
  <c r="Q17" i="13"/>
  <c r="N17" i="13"/>
  <c r="K17" i="13"/>
  <c r="F17" i="13"/>
  <c r="G17" i="13" s="1"/>
  <c r="C17" i="13"/>
  <c r="AU16" i="13"/>
  <c r="AS16" i="13"/>
  <c r="AO16" i="13"/>
  <c r="AN16" i="13"/>
  <c r="AB16" i="13"/>
  <c r="AA16" i="13"/>
  <c r="X16" i="13"/>
  <c r="AX14" i="13" s="1"/>
  <c r="V16" i="13"/>
  <c r="AV14" i="13" s="1"/>
  <c r="T16" i="13"/>
  <c r="AU14" i="13" s="1"/>
  <c r="Q16" i="13"/>
  <c r="AT14" i="13" s="1"/>
  <c r="N16" i="13"/>
  <c r="K16" i="13"/>
  <c r="F16" i="13"/>
  <c r="G16" i="13" s="1"/>
  <c r="C16" i="13"/>
  <c r="AZ15" i="13"/>
  <c r="AT15" i="13"/>
  <c r="AS15" i="13"/>
  <c r="AO15" i="13"/>
  <c r="AN15" i="13"/>
  <c r="AB15" i="13"/>
  <c r="AA15" i="13"/>
  <c r="X15" i="13"/>
  <c r="AX13" i="13" s="1"/>
  <c r="V15" i="13"/>
  <c r="AV13" i="13" s="1"/>
  <c r="T15" i="13"/>
  <c r="AU13" i="13" s="1"/>
  <c r="Q15" i="13"/>
  <c r="AT13" i="13" s="1"/>
  <c r="N15" i="13"/>
  <c r="K15" i="13"/>
  <c r="F15" i="13"/>
  <c r="G15" i="13" s="1"/>
  <c r="C15" i="13"/>
  <c r="AZ14" i="13"/>
  <c r="AS14" i="13"/>
  <c r="AO14" i="13"/>
  <c r="AN14" i="13"/>
  <c r="AB14" i="13"/>
  <c r="AA14" i="13"/>
  <c r="X14" i="13"/>
  <c r="AX12" i="13" s="1"/>
  <c r="V14" i="13"/>
  <c r="AV12" i="13" s="1"/>
  <c r="T14" i="13"/>
  <c r="AU12" i="13" s="1"/>
  <c r="Q14" i="13"/>
  <c r="N14" i="13"/>
  <c r="K14" i="13"/>
  <c r="F14" i="13"/>
  <c r="G14" i="13" s="1"/>
  <c r="C14" i="13"/>
  <c r="AZ13" i="13"/>
  <c r="AS13" i="13"/>
  <c r="AO13" i="13"/>
  <c r="AN13" i="13"/>
  <c r="AB13" i="13"/>
  <c r="AA13" i="13"/>
  <c r="X13" i="13"/>
  <c r="AX11" i="13" s="1"/>
  <c r="V13" i="13"/>
  <c r="AV11" i="13" s="1"/>
  <c r="T13" i="13"/>
  <c r="AU11" i="13" s="1"/>
  <c r="Q13" i="13"/>
  <c r="N13" i="13"/>
  <c r="K13" i="13"/>
  <c r="F13" i="13"/>
  <c r="G13" i="13" s="1"/>
  <c r="C13" i="13"/>
  <c r="AZ12" i="13"/>
  <c r="AT12" i="13"/>
  <c r="AS12" i="13"/>
  <c r="AO12" i="13"/>
  <c r="AN12" i="13"/>
  <c r="AB12" i="13"/>
  <c r="AA12" i="13"/>
  <c r="X12" i="13"/>
  <c r="AX10" i="13" s="1"/>
  <c r="V12" i="13"/>
  <c r="AV10" i="13" s="1"/>
  <c r="T12" i="13"/>
  <c r="AU10" i="13" s="1"/>
  <c r="Q12" i="13"/>
  <c r="AT10" i="13" s="1"/>
  <c r="N12" i="13"/>
  <c r="K12" i="13"/>
  <c r="F12" i="13"/>
  <c r="G12" i="13" s="1"/>
  <c r="C12" i="13"/>
  <c r="AZ11" i="13"/>
  <c r="AT11" i="13"/>
  <c r="AS11" i="13"/>
  <c r="AO11" i="13"/>
  <c r="AN11" i="13"/>
  <c r="AZ9" i="13" s="1"/>
  <c r="AB11" i="13"/>
  <c r="AA11" i="13"/>
  <c r="X11" i="13"/>
  <c r="AX9" i="13" s="1"/>
  <c r="V11" i="13"/>
  <c r="T11" i="13"/>
  <c r="Q11" i="13"/>
  <c r="AT9" i="13" s="1"/>
  <c r="N11" i="13"/>
  <c r="K11" i="13"/>
  <c r="F11" i="13"/>
  <c r="G11" i="13" s="1"/>
  <c r="C11" i="13"/>
  <c r="AZ10" i="13"/>
  <c r="AS10" i="13"/>
  <c r="AO10" i="13"/>
  <c r="AN10" i="13"/>
  <c r="AB10" i="13"/>
  <c r="AA10" i="13"/>
  <c r="X10" i="13"/>
  <c r="AX8" i="13" s="1"/>
  <c r="V10" i="13"/>
  <c r="T10" i="13"/>
  <c r="AU8" i="13" s="1"/>
  <c r="Q10" i="13"/>
  <c r="AT8" i="13" s="1"/>
  <c r="N10" i="13"/>
  <c r="K10" i="13"/>
  <c r="F10" i="13"/>
  <c r="G10" i="13" s="1"/>
  <c r="C10" i="13"/>
  <c r="AV9" i="13"/>
  <c r="AU9" i="13"/>
  <c r="AS9" i="13"/>
  <c r="AO9" i="13"/>
  <c r="AN9" i="13"/>
  <c r="AB9" i="13"/>
  <c r="AA9" i="13"/>
  <c r="X9" i="13"/>
  <c r="AX7" i="13" s="1"/>
  <c r="V9" i="13"/>
  <c r="AV7" i="13" s="1"/>
  <c r="T9" i="13"/>
  <c r="AU7" i="13" s="1"/>
  <c r="Q9" i="13"/>
  <c r="N9" i="13"/>
  <c r="K9" i="13"/>
  <c r="AT7" i="13" s="1"/>
  <c r="F9" i="13"/>
  <c r="G9" i="13" s="1"/>
  <c r="C9" i="13"/>
  <c r="AZ8" i="13"/>
  <c r="AV8" i="13"/>
  <c r="AS8" i="13"/>
  <c r="AO8" i="13"/>
  <c r="AN8" i="13"/>
  <c r="AB8" i="13"/>
  <c r="AA8" i="13"/>
  <c r="X8" i="13"/>
  <c r="AX6" i="13" s="1"/>
  <c r="V8" i="13"/>
  <c r="AV6" i="13" s="1"/>
  <c r="T8" i="13"/>
  <c r="Q8" i="13"/>
  <c r="N8" i="13"/>
  <c r="K8" i="13"/>
  <c r="F8" i="13"/>
  <c r="G8" i="13" s="1"/>
  <c r="C8" i="13"/>
  <c r="AZ7" i="13"/>
  <c r="AS7" i="13"/>
  <c r="AO7" i="13"/>
  <c r="AN7" i="13"/>
  <c r="AB7" i="13"/>
  <c r="AA7" i="13"/>
  <c r="AC7" i="13" s="1"/>
  <c r="AY5" i="13" s="1"/>
  <c r="X7" i="13"/>
  <c r="AX5" i="13" s="1"/>
  <c r="V7" i="13"/>
  <c r="AV5" i="13" s="1"/>
  <c r="T7" i="13"/>
  <c r="Q7" i="13"/>
  <c r="N7" i="13"/>
  <c r="K7" i="13"/>
  <c r="AT5" i="13" s="1"/>
  <c r="G7" i="13"/>
  <c r="F7" i="13"/>
  <c r="C7" i="13"/>
  <c r="AZ6" i="13"/>
  <c r="AU6" i="13"/>
  <c r="AT6" i="13"/>
  <c r="AS6" i="13"/>
  <c r="AO6" i="13"/>
  <c r="AN6" i="13"/>
  <c r="AB6" i="13"/>
  <c r="AA6" i="13"/>
  <c r="AC6" i="13" s="1"/>
  <c r="AY4" i="13" s="1"/>
  <c r="X6" i="13"/>
  <c r="AX4" i="13" s="1"/>
  <c r="V6" i="13"/>
  <c r="T6" i="13"/>
  <c r="AU4" i="13" s="1"/>
  <c r="Q6" i="13"/>
  <c r="N6" i="13"/>
  <c r="K6" i="13"/>
  <c r="F6" i="13"/>
  <c r="G6" i="13" s="1"/>
  <c r="C6" i="13"/>
  <c r="AZ5" i="13"/>
  <c r="AW5" i="13"/>
  <c r="AU5" i="13"/>
  <c r="AS5" i="13"/>
  <c r="AZ4" i="13"/>
  <c r="AV4" i="13"/>
  <c r="AS4" i="13"/>
  <c r="C35" i="2"/>
  <c r="X31" i="4"/>
  <c r="C11" i="2"/>
  <c r="C24" i="2"/>
  <c r="E23" i="2"/>
  <c r="C29" i="2"/>
  <c r="X35" i="4"/>
  <c r="C28" i="2"/>
  <c r="C10" i="2"/>
  <c r="X37" i="4"/>
  <c r="C23" i="2"/>
  <c r="C25" i="2"/>
  <c r="X33" i="4"/>
  <c r="C34" i="2"/>
  <c r="C33" i="2"/>
  <c r="C6" i="2"/>
  <c r="C27" i="2"/>
  <c r="C9" i="2"/>
  <c r="X32" i="4"/>
  <c r="C31" i="2"/>
  <c r="C26" i="2"/>
  <c r="B19" i="2"/>
  <c r="C7" i="2"/>
  <c r="B14" i="2"/>
  <c r="B17" i="2"/>
  <c r="C32" i="2"/>
  <c r="X34" i="4"/>
  <c r="X36" i="4"/>
  <c r="B18" i="2"/>
  <c r="C37" i="2"/>
  <c r="C36" i="2"/>
  <c r="B15" i="2"/>
  <c r="C30" i="2"/>
  <c r="E37" i="2"/>
  <c r="B16" i="2"/>
  <c r="C8" i="2"/>
  <c r="AC20" i="14" l="1"/>
  <c r="AY18" i="14" s="1"/>
  <c r="AC17" i="14"/>
  <c r="AY15" i="14" s="1"/>
  <c r="AC14" i="14"/>
  <c r="AY12" i="14" s="1"/>
  <c r="AC16" i="14"/>
  <c r="AY14" i="14" s="1"/>
  <c r="AC12" i="14"/>
  <c r="AY10" i="14" s="1"/>
  <c r="AC13" i="14"/>
  <c r="AY11" i="14" s="1"/>
  <c r="AC11" i="14"/>
  <c r="AY9" i="14" s="1"/>
  <c r="AC19" i="14"/>
  <c r="AY17" i="14" s="1"/>
  <c r="AC10" i="14"/>
  <c r="AY8" i="14" s="1"/>
  <c r="AC8" i="14"/>
  <c r="AY6" i="14" s="1"/>
  <c r="AT8" i="14"/>
  <c r="AT15" i="14"/>
  <c r="AC6" i="14"/>
  <c r="AY4" i="14" s="1"/>
  <c r="AT5" i="14"/>
  <c r="AT16" i="14"/>
  <c r="AT7" i="14"/>
  <c r="AT13" i="14"/>
  <c r="AT12" i="14"/>
  <c r="AT11" i="14"/>
  <c r="AT10" i="14"/>
  <c r="F16" i="14"/>
  <c r="G16" i="14" s="1"/>
  <c r="AC15" i="13"/>
  <c r="AY13" i="13" s="1"/>
  <c r="AC12" i="13"/>
  <c r="AY10" i="13" s="1"/>
  <c r="AC20" i="13"/>
  <c r="AY18" i="13" s="1"/>
  <c r="AC16" i="13"/>
  <c r="AY14" i="13" s="1"/>
  <c r="AC10" i="13"/>
  <c r="AY8" i="13" s="1"/>
  <c r="AC17" i="13"/>
  <c r="AY15" i="13" s="1"/>
  <c r="AC13" i="13"/>
  <c r="AY11" i="13" s="1"/>
  <c r="AC14" i="13"/>
  <c r="AY12" i="13" s="1"/>
  <c r="AC8" i="13"/>
  <c r="AY6" i="13" s="1"/>
  <c r="AY17" i="13"/>
  <c r="AC9" i="13"/>
  <c r="AY7" i="13" s="1"/>
  <c r="AT4" i="13"/>
  <c r="AP7" i="13"/>
  <c r="AQ7" i="13" s="1"/>
  <c r="AC11" i="13"/>
  <c r="AY9" i="13" s="1"/>
  <c r="AC18" i="13"/>
  <c r="AY16" i="13" s="1"/>
  <c r="E10" i="4"/>
  <c r="D11" i="4"/>
  <c r="D9" i="2"/>
  <c r="H18" i="3" s="1"/>
  <c r="D10" i="2"/>
  <c r="H19" i="3" s="1"/>
  <c r="C12" i="4"/>
  <c r="D11" i="2"/>
  <c r="H20" i="3" s="1"/>
  <c r="B13" i="4"/>
  <c r="B14" i="4"/>
  <c r="D8" i="2"/>
  <c r="H17" i="3" s="1"/>
  <c r="D6" i="2"/>
  <c r="H15" i="3" s="1"/>
  <c r="G8" i="4"/>
  <c r="D7" i="2"/>
  <c r="H16" i="3" s="1"/>
  <c r="F9" i="4"/>
  <c r="AW18" i="17"/>
  <c r="AP20" i="17"/>
  <c r="AQ20" i="17" s="1"/>
  <c r="BA18" i="17" s="1"/>
  <c r="AW17" i="17"/>
  <c r="AP19" i="17"/>
  <c r="AQ19" i="17" s="1"/>
  <c r="BA17" i="17" s="1"/>
  <c r="AW16" i="17"/>
  <c r="AP18" i="17"/>
  <c r="AQ18" i="17" s="1"/>
  <c r="BA16" i="17" s="1"/>
  <c r="AP17" i="17"/>
  <c r="AQ17" i="17" s="1"/>
  <c r="BA15" i="17" s="1"/>
  <c r="AW15" i="17"/>
  <c r="AP16" i="17"/>
  <c r="AQ16" i="17" s="1"/>
  <c r="BA14" i="17" s="1"/>
  <c r="AW14" i="17"/>
  <c r="AP15" i="17"/>
  <c r="AQ15" i="17" s="1"/>
  <c r="BA13" i="17" s="1"/>
  <c r="AW13" i="17"/>
  <c r="AP14" i="17"/>
  <c r="AQ14" i="17" s="1"/>
  <c r="BA12" i="17" s="1"/>
  <c r="AW12" i="17"/>
  <c r="AP13" i="17"/>
  <c r="AQ13" i="17" s="1"/>
  <c r="BA11" i="17" s="1"/>
  <c r="AW11" i="17"/>
  <c r="AP12" i="17"/>
  <c r="AQ12" i="17" s="1"/>
  <c r="BA10" i="17" s="1"/>
  <c r="AW10" i="17"/>
  <c r="AW9" i="17"/>
  <c r="AP11" i="17"/>
  <c r="AQ11" i="17" s="1"/>
  <c r="BA9" i="17" s="1"/>
  <c r="AP10" i="17"/>
  <c r="AQ10" i="17" s="1"/>
  <c r="BA8" i="17" s="1"/>
  <c r="AW8" i="17"/>
  <c r="AW7" i="17"/>
  <c r="AP9" i="17"/>
  <c r="AQ9" i="17" s="1"/>
  <c r="BA7" i="17" s="1"/>
  <c r="AP8" i="17"/>
  <c r="AQ8" i="17" s="1"/>
  <c r="BA6" i="17" s="1"/>
  <c r="AW6" i="17"/>
  <c r="AP7" i="17"/>
  <c r="AQ7" i="17" s="1"/>
  <c r="BA5" i="17" s="1"/>
  <c r="AW5" i="17"/>
  <c r="AW4" i="17"/>
  <c r="AP6" i="17"/>
  <c r="AQ6" i="17" s="1"/>
  <c r="AW18" i="16"/>
  <c r="AP20" i="16"/>
  <c r="AQ20" i="16" s="1"/>
  <c r="BA18" i="16" s="1"/>
  <c r="AW17" i="16"/>
  <c r="AP19" i="16"/>
  <c r="AQ19" i="16" s="1"/>
  <c r="BA17" i="16" s="1"/>
  <c r="AP18" i="16"/>
  <c r="AQ18" i="16" s="1"/>
  <c r="BA16" i="16" s="1"/>
  <c r="AW16" i="16"/>
  <c r="AP17" i="16"/>
  <c r="AQ17" i="16" s="1"/>
  <c r="BA15" i="16" s="1"/>
  <c r="AW15" i="16"/>
  <c r="AP16" i="16"/>
  <c r="AQ16" i="16" s="1"/>
  <c r="BA14" i="16" s="1"/>
  <c r="AW14" i="16"/>
  <c r="AW13" i="16"/>
  <c r="AP15" i="16"/>
  <c r="AQ15" i="16" s="1"/>
  <c r="BA13" i="16" s="1"/>
  <c r="AP14" i="16"/>
  <c r="AQ14" i="16" s="1"/>
  <c r="BA12" i="16" s="1"/>
  <c r="AW12" i="16"/>
  <c r="AP13" i="16"/>
  <c r="AQ13" i="16" s="1"/>
  <c r="BA11" i="16" s="1"/>
  <c r="AW11" i="16"/>
  <c r="AP12" i="16"/>
  <c r="AQ12" i="16" s="1"/>
  <c r="BA10" i="16" s="1"/>
  <c r="AW10" i="16"/>
  <c r="AP11" i="16"/>
  <c r="AQ11" i="16" s="1"/>
  <c r="BA9" i="16" s="1"/>
  <c r="AW9" i="16"/>
  <c r="AW8" i="16"/>
  <c r="AP10" i="16"/>
  <c r="AQ10" i="16" s="1"/>
  <c r="BA8" i="16" s="1"/>
  <c r="AP9" i="16"/>
  <c r="AQ9" i="16" s="1"/>
  <c r="BA7" i="16" s="1"/>
  <c r="AW7" i="16"/>
  <c r="AP8" i="16"/>
  <c r="AQ8" i="16" s="1"/>
  <c r="BA6" i="16" s="1"/>
  <c r="AW6" i="16"/>
  <c r="AW5" i="16"/>
  <c r="AP7" i="16"/>
  <c r="AQ7" i="16" s="1"/>
  <c r="BA5" i="16" s="1"/>
  <c r="AW4" i="16"/>
  <c r="AP6" i="16"/>
  <c r="AQ6" i="16" s="1"/>
  <c r="AP20" i="15"/>
  <c r="AQ20" i="15" s="1"/>
  <c r="BA18" i="15" s="1"/>
  <c r="AW18" i="15"/>
  <c r="AW17" i="15"/>
  <c r="AP19" i="15"/>
  <c r="AQ19" i="15" s="1"/>
  <c r="BA17" i="15" s="1"/>
  <c r="AW15" i="15"/>
  <c r="AP17" i="15"/>
  <c r="AQ17" i="15" s="1"/>
  <c r="BA15" i="15" s="1"/>
  <c r="AW14" i="15"/>
  <c r="AP16" i="15"/>
  <c r="AQ16" i="15" s="1"/>
  <c r="BA14" i="15" s="1"/>
  <c r="AW13" i="15"/>
  <c r="AP15" i="15"/>
  <c r="AQ15" i="15" s="1"/>
  <c r="BA13" i="15" s="1"/>
  <c r="AW11" i="15"/>
  <c r="AP13" i="15"/>
  <c r="AQ13" i="15" s="1"/>
  <c r="BA11" i="15" s="1"/>
  <c r="AP12" i="15"/>
  <c r="AQ12" i="15" s="1"/>
  <c r="BA10" i="15" s="1"/>
  <c r="AW10" i="15"/>
  <c r="AW9" i="15"/>
  <c r="AP11" i="15"/>
  <c r="AQ11" i="15" s="1"/>
  <c r="BA9" i="15" s="1"/>
  <c r="AP10" i="15"/>
  <c r="AQ10" i="15" s="1"/>
  <c r="BA8" i="15" s="1"/>
  <c r="AW8" i="15"/>
  <c r="AP9" i="15"/>
  <c r="AQ9" i="15" s="1"/>
  <c r="BA7" i="15" s="1"/>
  <c r="AW7" i="15"/>
  <c r="AP8" i="15"/>
  <c r="AQ8" i="15" s="1"/>
  <c r="BA6" i="15" s="1"/>
  <c r="AW6" i="15"/>
  <c r="AP7" i="15"/>
  <c r="AQ7" i="15" s="1"/>
  <c r="BA5" i="15" s="1"/>
  <c r="AW5" i="15"/>
  <c r="AP6" i="15"/>
  <c r="AQ6" i="15" s="1"/>
  <c r="AW4" i="15"/>
  <c r="AP20" i="14"/>
  <c r="AW18" i="14"/>
  <c r="AP19" i="14"/>
  <c r="AQ19" i="14" s="1"/>
  <c r="AW17" i="14"/>
  <c r="AP18" i="14"/>
  <c r="AQ18" i="14" s="1"/>
  <c r="AW16" i="14"/>
  <c r="AP17" i="14"/>
  <c r="AQ17" i="14" s="1"/>
  <c r="AW15" i="14"/>
  <c r="AP15" i="14"/>
  <c r="AQ15" i="14" s="1"/>
  <c r="AW13" i="14"/>
  <c r="AP14" i="14"/>
  <c r="AW12" i="14"/>
  <c r="AP13" i="14"/>
  <c r="AQ13" i="14" s="1"/>
  <c r="AW11" i="14"/>
  <c r="AP12" i="14"/>
  <c r="AW10" i="14"/>
  <c r="AP11" i="14"/>
  <c r="AQ11" i="14" s="1"/>
  <c r="AW9" i="14"/>
  <c r="AP10" i="14"/>
  <c r="AW8" i="14"/>
  <c r="AP9" i="14"/>
  <c r="AQ9" i="14" s="1"/>
  <c r="AW7" i="14"/>
  <c r="AW6" i="14"/>
  <c r="AP8" i="14"/>
  <c r="AP7" i="14"/>
  <c r="AQ7" i="14" s="1"/>
  <c r="AW5" i="14"/>
  <c r="AW4" i="14"/>
  <c r="AP6" i="14"/>
  <c r="AP20" i="12"/>
  <c r="AQ20" i="12" s="1"/>
  <c r="AW18" i="12"/>
  <c r="AW17" i="12"/>
  <c r="AP19" i="12"/>
  <c r="AQ19" i="12" s="1"/>
  <c r="H17" i="19"/>
  <c r="H10" i="20"/>
  <c r="BA16" i="12"/>
  <c r="AP17" i="12"/>
  <c r="AQ17" i="12" s="1"/>
  <c r="AW15" i="12"/>
  <c r="AP16" i="12"/>
  <c r="AQ16" i="12" s="1"/>
  <c r="AW14" i="12"/>
  <c r="AP15" i="12"/>
  <c r="AQ15" i="12" s="1"/>
  <c r="AW13" i="12"/>
  <c r="AW12" i="12"/>
  <c r="AP14" i="12"/>
  <c r="AQ14" i="12" s="1"/>
  <c r="AW11" i="12"/>
  <c r="AP13" i="12"/>
  <c r="AQ13" i="12" s="1"/>
  <c r="AW10" i="12"/>
  <c r="AP12" i="12"/>
  <c r="AQ12" i="12" s="1"/>
  <c r="AP11" i="12"/>
  <c r="AQ11" i="12" s="1"/>
  <c r="AW9" i="12"/>
  <c r="AP10" i="12"/>
  <c r="AQ10" i="12" s="1"/>
  <c r="AW8" i="12"/>
  <c r="AW7" i="12"/>
  <c r="AP9" i="12"/>
  <c r="AQ9" i="12" s="1"/>
  <c r="AP8" i="12"/>
  <c r="AQ8" i="12" s="1"/>
  <c r="AW6" i="12"/>
  <c r="AW5" i="12"/>
  <c r="AP7" i="12"/>
  <c r="AQ7" i="12" s="1"/>
  <c r="AP6" i="12"/>
  <c r="AQ6" i="12" s="1"/>
  <c r="AW4" i="12"/>
  <c r="AP20" i="11"/>
  <c r="AQ20" i="11" s="1"/>
  <c r="AW18" i="11"/>
  <c r="AW17" i="11"/>
  <c r="AP19" i="11"/>
  <c r="AQ19" i="11" s="1"/>
  <c r="AP18" i="11"/>
  <c r="AQ18" i="11" s="1"/>
  <c r="AW16" i="11"/>
  <c r="AW15" i="11"/>
  <c r="AP17" i="11"/>
  <c r="AQ17" i="11" s="1"/>
  <c r="AP16" i="11"/>
  <c r="AQ16" i="11" s="1"/>
  <c r="AW14" i="11"/>
  <c r="BA13" i="11"/>
  <c r="G14" i="19"/>
  <c r="G16" i="20"/>
  <c r="G8" i="19"/>
  <c r="G13" i="20"/>
  <c r="BA12" i="11"/>
  <c r="AW11" i="11"/>
  <c r="AP13" i="11"/>
  <c r="AQ13" i="11" s="1"/>
  <c r="AW10" i="11"/>
  <c r="AP12" i="11"/>
  <c r="AQ12" i="11" s="1"/>
  <c r="AW9" i="11"/>
  <c r="AP11" i="11"/>
  <c r="AQ11" i="11" s="1"/>
  <c r="AP10" i="11"/>
  <c r="AQ10" i="11" s="1"/>
  <c r="AW8" i="11"/>
  <c r="AP9" i="11"/>
  <c r="AQ9" i="11" s="1"/>
  <c r="AW7" i="11"/>
  <c r="AP8" i="11"/>
  <c r="AQ8" i="11" s="1"/>
  <c r="AW6" i="11"/>
  <c r="AW5" i="11"/>
  <c r="AP7" i="11"/>
  <c r="AQ7" i="11" s="1"/>
  <c r="AP6" i="11"/>
  <c r="AQ6" i="11" s="1"/>
  <c r="AW4" i="11"/>
  <c r="AP20" i="10"/>
  <c r="AQ20" i="10" s="1"/>
  <c r="AW18" i="10"/>
  <c r="AP19" i="10"/>
  <c r="AQ19" i="10" s="1"/>
  <c r="AW17" i="10"/>
  <c r="AP18" i="10"/>
  <c r="AQ18" i="10" s="1"/>
  <c r="AW16" i="10"/>
  <c r="AP17" i="10"/>
  <c r="AQ17" i="10" s="1"/>
  <c r="AW15" i="10"/>
  <c r="AP16" i="10"/>
  <c r="AQ16" i="10" s="1"/>
  <c r="AW14" i="10"/>
  <c r="AP15" i="10"/>
  <c r="AQ15" i="10" s="1"/>
  <c r="AW13" i="10"/>
  <c r="AP14" i="10"/>
  <c r="AQ14" i="10" s="1"/>
  <c r="AW12" i="10"/>
  <c r="AP13" i="10"/>
  <c r="AQ13" i="10" s="1"/>
  <c r="AW11" i="10"/>
  <c r="AP12" i="10"/>
  <c r="AQ12" i="10" s="1"/>
  <c r="AW10" i="10"/>
  <c r="AP11" i="10"/>
  <c r="AQ11" i="10" s="1"/>
  <c r="AW9" i="10"/>
  <c r="AP10" i="10"/>
  <c r="AQ10" i="10" s="1"/>
  <c r="AW8" i="10"/>
  <c r="AP9" i="10"/>
  <c r="AQ9" i="10" s="1"/>
  <c r="AW7" i="10"/>
  <c r="AP8" i="10"/>
  <c r="AQ8" i="10" s="1"/>
  <c r="AW6" i="10"/>
  <c r="AP7" i="10"/>
  <c r="AQ7" i="10" s="1"/>
  <c r="AW5" i="10"/>
  <c r="AP6" i="10"/>
  <c r="AQ6" i="10" s="1"/>
  <c r="AW4" i="10"/>
  <c r="AP20" i="9"/>
  <c r="AQ20" i="9" s="1"/>
  <c r="AW18" i="9"/>
  <c r="AP19" i="9"/>
  <c r="AQ19" i="9" s="1"/>
  <c r="AW17" i="9"/>
  <c r="AP18" i="9"/>
  <c r="AQ18" i="9" s="1"/>
  <c r="AW16" i="9"/>
  <c r="AP17" i="9"/>
  <c r="AQ17" i="9" s="1"/>
  <c r="AW15" i="9"/>
  <c r="AP16" i="9"/>
  <c r="AQ16" i="9" s="1"/>
  <c r="AW14" i="9"/>
  <c r="AP15" i="9"/>
  <c r="AQ15" i="9" s="1"/>
  <c r="AW13" i="9"/>
  <c r="AP14" i="9"/>
  <c r="AQ14" i="9" s="1"/>
  <c r="AW12" i="9"/>
  <c r="AP13" i="9"/>
  <c r="AQ13" i="9" s="1"/>
  <c r="AW11" i="9"/>
  <c r="AP12" i="9"/>
  <c r="AQ12" i="9" s="1"/>
  <c r="AW10" i="9"/>
  <c r="AP11" i="9"/>
  <c r="AQ11" i="9" s="1"/>
  <c r="AW9" i="9"/>
  <c r="AP10" i="9"/>
  <c r="AQ10" i="9" s="1"/>
  <c r="AW8" i="9"/>
  <c r="AP9" i="9"/>
  <c r="AQ9" i="9" s="1"/>
  <c r="AW7" i="9"/>
  <c r="AP8" i="9"/>
  <c r="AQ8" i="9" s="1"/>
  <c r="AW6" i="9"/>
  <c r="AP7" i="9"/>
  <c r="AQ7" i="9" s="1"/>
  <c r="AW5" i="9"/>
  <c r="AP6" i="9"/>
  <c r="AQ6" i="9" s="1"/>
  <c r="AW4" i="9"/>
  <c r="AW18" i="8"/>
  <c r="AP20" i="8"/>
  <c r="AQ20" i="8" s="1"/>
  <c r="AW17" i="8"/>
  <c r="AP19" i="8"/>
  <c r="AQ19" i="8" s="1"/>
  <c r="AP18" i="8"/>
  <c r="AQ18" i="8" s="1"/>
  <c r="AW16" i="8"/>
  <c r="D15" i="20"/>
  <c r="BA15" i="8"/>
  <c r="D7" i="19"/>
  <c r="AP16" i="8"/>
  <c r="AQ16" i="8" s="1"/>
  <c r="AW14" i="8"/>
  <c r="AP15" i="8"/>
  <c r="AQ15" i="8" s="1"/>
  <c r="AW13" i="8"/>
  <c r="AP14" i="8"/>
  <c r="AQ14" i="8" s="1"/>
  <c r="AW12" i="8"/>
  <c r="AW11" i="8"/>
  <c r="AP13" i="8"/>
  <c r="AQ13" i="8" s="1"/>
  <c r="AP12" i="8"/>
  <c r="AQ12" i="8" s="1"/>
  <c r="AW10" i="8"/>
  <c r="AW9" i="8"/>
  <c r="AP11" i="8"/>
  <c r="AQ11" i="8" s="1"/>
  <c r="AP10" i="8"/>
  <c r="AQ10" i="8" s="1"/>
  <c r="AW8" i="8"/>
  <c r="AP9" i="8"/>
  <c r="AQ9" i="8" s="1"/>
  <c r="AW7" i="8"/>
  <c r="AP8" i="8"/>
  <c r="AQ8" i="8" s="1"/>
  <c r="AW6" i="8"/>
  <c r="AW5" i="8"/>
  <c r="AP7" i="8"/>
  <c r="AQ7" i="8" s="1"/>
  <c r="AW4" i="8"/>
  <c r="AP6" i="8"/>
  <c r="AQ6" i="8" s="1"/>
  <c r="AW18" i="7"/>
  <c r="AP20" i="7"/>
  <c r="AQ20" i="7" s="1"/>
  <c r="AP19" i="7"/>
  <c r="AQ19" i="7" s="1"/>
  <c r="AW17" i="7"/>
  <c r="AW16" i="7"/>
  <c r="AP18" i="7"/>
  <c r="AQ18" i="7" s="1"/>
  <c r="AP17" i="7"/>
  <c r="AQ17" i="7" s="1"/>
  <c r="AW15" i="7"/>
  <c r="AP16" i="7"/>
  <c r="AQ16" i="7" s="1"/>
  <c r="AW14" i="7"/>
  <c r="AW13" i="7"/>
  <c r="AP15" i="7"/>
  <c r="AQ15" i="7" s="1"/>
  <c r="AP14" i="7"/>
  <c r="AQ14" i="7" s="1"/>
  <c r="AW12" i="7"/>
  <c r="AP13" i="7"/>
  <c r="AQ13" i="7" s="1"/>
  <c r="AW11" i="7"/>
  <c r="AW10" i="7"/>
  <c r="AP12" i="7"/>
  <c r="AQ12" i="7" s="1"/>
  <c r="AP11" i="7"/>
  <c r="AQ11" i="7" s="1"/>
  <c r="AW9" i="7"/>
  <c r="C11" i="19"/>
  <c r="C8" i="20"/>
  <c r="BA8" i="7"/>
  <c r="AP9" i="7"/>
  <c r="AQ9" i="7" s="1"/>
  <c r="AW7" i="7"/>
  <c r="AP8" i="7"/>
  <c r="AQ8" i="7" s="1"/>
  <c r="AW6" i="7"/>
  <c r="AP7" i="7"/>
  <c r="AQ7" i="7" s="1"/>
  <c r="AW5" i="7"/>
  <c r="AP6" i="7"/>
  <c r="AQ6" i="7" s="1"/>
  <c r="AW4" i="7"/>
  <c r="AP20" i="6"/>
  <c r="AQ20" i="6" s="1"/>
  <c r="AW18" i="6"/>
  <c r="B18" i="19"/>
  <c r="B12" i="20"/>
  <c r="BA17" i="6"/>
  <c r="AP18" i="6"/>
  <c r="AQ18" i="6" s="1"/>
  <c r="AW16" i="6"/>
  <c r="AP17" i="6"/>
  <c r="AQ17" i="6" s="1"/>
  <c r="AW15" i="6"/>
  <c r="AP16" i="6"/>
  <c r="AQ16" i="6" s="1"/>
  <c r="AW14" i="6"/>
  <c r="AP15" i="6"/>
  <c r="AQ15" i="6" s="1"/>
  <c r="AW13" i="6"/>
  <c r="AP14" i="6"/>
  <c r="AQ14" i="6" s="1"/>
  <c r="AW12" i="6"/>
  <c r="AP13" i="6"/>
  <c r="AQ13" i="6" s="1"/>
  <c r="AW11" i="6"/>
  <c r="AP12" i="6"/>
  <c r="AQ12" i="6" s="1"/>
  <c r="AW10" i="6"/>
  <c r="AP11" i="6"/>
  <c r="AQ11" i="6" s="1"/>
  <c r="AW9" i="6"/>
  <c r="AP10" i="6"/>
  <c r="AQ10" i="6" s="1"/>
  <c r="AW8" i="6"/>
  <c r="AP9" i="6"/>
  <c r="AQ9" i="6" s="1"/>
  <c r="AW7" i="6"/>
  <c r="AP8" i="6"/>
  <c r="AQ8" i="6" s="1"/>
  <c r="AW6" i="6"/>
  <c r="AP7" i="6"/>
  <c r="AQ7" i="6" s="1"/>
  <c r="AW5" i="6"/>
  <c r="AP6" i="6"/>
  <c r="AQ6" i="6" s="1"/>
  <c r="AW4" i="6"/>
  <c r="D37" i="2"/>
  <c r="C28" i="3"/>
  <c r="D36" i="2"/>
  <c r="C27" i="3"/>
  <c r="D35" i="2"/>
  <c r="C26" i="3"/>
  <c r="D34" i="2"/>
  <c r="C25" i="3"/>
  <c r="D33" i="2"/>
  <c r="C24" i="3"/>
  <c r="D32" i="2"/>
  <c r="C23" i="3"/>
  <c r="C22" i="3"/>
  <c r="D31" i="2"/>
  <c r="C21" i="3"/>
  <c r="D30" i="2"/>
  <c r="D29" i="2"/>
  <c r="C20" i="3"/>
  <c r="D28" i="2"/>
  <c r="C19" i="3"/>
  <c r="D27" i="2"/>
  <c r="C18" i="3"/>
  <c r="D26" i="2"/>
  <c r="C17" i="3"/>
  <c r="D25" i="2"/>
  <c r="C16" i="3"/>
  <c r="C15" i="3"/>
  <c r="D24" i="2"/>
  <c r="D23" i="2"/>
  <c r="C14" i="3"/>
  <c r="AP20" i="13"/>
  <c r="AW18" i="13"/>
  <c r="AP19" i="13"/>
  <c r="AQ19" i="13" s="1"/>
  <c r="AW17" i="13"/>
  <c r="AP18" i="13"/>
  <c r="AQ18" i="13" s="1"/>
  <c r="AW16" i="13"/>
  <c r="AP17" i="13"/>
  <c r="AQ17" i="13" s="1"/>
  <c r="AW15" i="13"/>
  <c r="AP16" i="13"/>
  <c r="AQ16" i="13" s="1"/>
  <c r="AW14" i="13"/>
  <c r="AW13" i="13"/>
  <c r="AP15" i="13"/>
  <c r="AQ15" i="13" s="1"/>
  <c r="AW12" i="13"/>
  <c r="AP14" i="13"/>
  <c r="AP13" i="13"/>
  <c r="AW11" i="13"/>
  <c r="AP12" i="13"/>
  <c r="AQ12" i="13" s="1"/>
  <c r="AW10" i="13"/>
  <c r="AW9" i="13"/>
  <c r="AP11" i="13"/>
  <c r="AQ11" i="13" s="1"/>
  <c r="BA9" i="13" s="1"/>
  <c r="AP10" i="13"/>
  <c r="AQ10" i="13" s="1"/>
  <c r="AW8" i="13"/>
  <c r="AW7" i="13"/>
  <c r="AP9" i="13"/>
  <c r="AQ9" i="13" s="1"/>
  <c r="AW6" i="13"/>
  <c r="AP8" i="13"/>
  <c r="AQ8" i="13" s="1"/>
  <c r="AW4" i="13"/>
  <c r="AP6" i="13"/>
  <c r="AQ6" i="13" s="1"/>
  <c r="E24" i="2"/>
  <c r="C5" i="2"/>
  <c r="AQ20" i="14" l="1"/>
  <c r="AQ14" i="14"/>
  <c r="AQ12" i="14"/>
  <c r="AQ10" i="14"/>
  <c r="BA8" i="14" s="1"/>
  <c r="AQ8" i="14"/>
  <c r="AQ6" i="14"/>
  <c r="BA5" i="14"/>
  <c r="J18" i="20"/>
  <c r="J15" i="19"/>
  <c r="BA18" i="14"/>
  <c r="J9" i="20"/>
  <c r="J16" i="19"/>
  <c r="BA16" i="14"/>
  <c r="J10" i="20"/>
  <c r="J17" i="19"/>
  <c r="BA17" i="14"/>
  <c r="J18" i="19"/>
  <c r="J12" i="20"/>
  <c r="BA15" i="14"/>
  <c r="J7" i="19"/>
  <c r="J15" i="20"/>
  <c r="BA13" i="14"/>
  <c r="J16" i="20"/>
  <c r="J14" i="19"/>
  <c r="BA12" i="14"/>
  <c r="J13" i="20"/>
  <c r="J8" i="19"/>
  <c r="BA11" i="14"/>
  <c r="J17" i="20"/>
  <c r="J10" i="19"/>
  <c r="AP16" i="14"/>
  <c r="AQ16" i="14" s="1"/>
  <c r="AW14" i="14"/>
  <c r="BA9" i="14"/>
  <c r="J9" i="19"/>
  <c r="J11" i="20"/>
  <c r="J8" i="20"/>
  <c r="J11" i="19"/>
  <c r="BA7" i="14"/>
  <c r="J5" i="20"/>
  <c r="J12" i="19"/>
  <c r="AQ20" i="13"/>
  <c r="AQ14" i="13"/>
  <c r="AQ13" i="13"/>
  <c r="I15" i="19"/>
  <c r="BA5" i="13"/>
  <c r="I18" i="20"/>
  <c r="D5" i="2"/>
  <c r="H14" i="3" s="1"/>
  <c r="AQ23" i="17"/>
  <c r="BA4" i="17"/>
  <c r="BA19" i="17" s="1"/>
  <c r="AQ23" i="16"/>
  <c r="BA4" i="16"/>
  <c r="BA19" i="16" s="1"/>
  <c r="AQ23" i="15"/>
  <c r="BA4" i="15"/>
  <c r="BA19" i="15" s="1"/>
  <c r="H16" i="19"/>
  <c r="H9" i="20"/>
  <c r="BA18" i="12"/>
  <c r="H12" i="20"/>
  <c r="BA17" i="12"/>
  <c r="H18" i="19"/>
  <c r="BA15" i="12"/>
  <c r="H7" i="19"/>
  <c r="H15" i="20"/>
  <c r="H6" i="19"/>
  <c r="H6" i="20"/>
  <c r="BA14" i="12"/>
  <c r="BA13" i="12"/>
  <c r="H16" i="20"/>
  <c r="H14" i="19"/>
  <c r="H13" i="20"/>
  <c r="BA12" i="12"/>
  <c r="H8" i="19"/>
  <c r="H10" i="19"/>
  <c r="H17" i="20"/>
  <c r="BA11" i="12"/>
  <c r="H13" i="19"/>
  <c r="H14" i="20"/>
  <c r="BA10" i="12"/>
  <c r="H11" i="20"/>
  <c r="H9" i="19"/>
  <c r="BA9" i="12"/>
  <c r="H8" i="20"/>
  <c r="H11" i="19"/>
  <c r="BA8" i="12"/>
  <c r="H12" i="19"/>
  <c r="H5" i="20"/>
  <c r="BA7" i="12"/>
  <c r="H4" i="19"/>
  <c r="H4" i="20"/>
  <c r="BA6" i="12"/>
  <c r="BA5" i="12"/>
  <c r="H15" i="19"/>
  <c r="H18" i="20"/>
  <c r="H5" i="19"/>
  <c r="H7" i="20"/>
  <c r="BA4" i="12"/>
  <c r="BA19" i="12" s="1"/>
  <c r="AQ23" i="12"/>
  <c r="B12" i="18" s="1"/>
  <c r="C12" i="18" s="1"/>
  <c r="BA18" i="11"/>
  <c r="G9" i="20"/>
  <c r="G16" i="19"/>
  <c r="G18" i="19"/>
  <c r="BA17" i="11"/>
  <c r="G12" i="20"/>
  <c r="BA16" i="11"/>
  <c r="G10" i="20"/>
  <c r="G17" i="19"/>
  <c r="G7" i="19"/>
  <c r="BA15" i="11"/>
  <c r="G15" i="20"/>
  <c r="G6" i="19"/>
  <c r="G6" i="20"/>
  <c r="BA14" i="11"/>
  <c r="G10" i="19"/>
  <c r="G17" i="20"/>
  <c r="BA11" i="11"/>
  <c r="BA10" i="11"/>
  <c r="G14" i="20"/>
  <c r="G13" i="19"/>
  <c r="G9" i="19"/>
  <c r="BA9" i="11"/>
  <c r="G11" i="20"/>
  <c r="G8" i="20"/>
  <c r="G11" i="19"/>
  <c r="BA8" i="11"/>
  <c r="BA7" i="11"/>
  <c r="G5" i="20"/>
  <c r="G12" i="19"/>
  <c r="G4" i="20"/>
  <c r="BA6" i="11"/>
  <c r="G4" i="19"/>
  <c r="G19" i="19" s="1"/>
  <c r="BA5" i="11"/>
  <c r="G18" i="20"/>
  <c r="G15" i="19"/>
  <c r="G7" i="20"/>
  <c r="BA4" i="11"/>
  <c r="BA19" i="11" s="1"/>
  <c r="AQ23" i="11"/>
  <c r="B11" i="18" s="1"/>
  <c r="C11" i="18" s="1"/>
  <c r="G5" i="19"/>
  <c r="F9" i="20"/>
  <c r="F16" i="19"/>
  <c r="BA18" i="10"/>
  <c r="F12" i="20"/>
  <c r="F18" i="19"/>
  <c r="BA17" i="10"/>
  <c r="BA16" i="10"/>
  <c r="F17" i="19"/>
  <c r="F10" i="20"/>
  <c r="F7" i="19"/>
  <c r="BA15" i="10"/>
  <c r="F15" i="20"/>
  <c r="F6" i="19"/>
  <c r="F6" i="20"/>
  <c r="BA14" i="10"/>
  <c r="F14" i="19"/>
  <c r="F16" i="20"/>
  <c r="BA13" i="10"/>
  <c r="BA12" i="10"/>
  <c r="F13" i="20"/>
  <c r="F8" i="19"/>
  <c r="F10" i="19"/>
  <c r="F17" i="20"/>
  <c r="BA11" i="10"/>
  <c r="F13" i="19"/>
  <c r="F14" i="20"/>
  <c r="BA10" i="10"/>
  <c r="F9" i="19"/>
  <c r="F11" i="20"/>
  <c r="BA9" i="10"/>
  <c r="F8" i="20"/>
  <c r="F11" i="19"/>
  <c r="BA8" i="10"/>
  <c r="F12" i="19"/>
  <c r="F5" i="20"/>
  <c r="BA7" i="10"/>
  <c r="F4" i="20"/>
  <c r="F4" i="19"/>
  <c r="BA6" i="10"/>
  <c r="F18" i="20"/>
  <c r="F15" i="19"/>
  <c r="BA5" i="10"/>
  <c r="F7" i="20"/>
  <c r="AQ23" i="10"/>
  <c r="B10" i="18" s="1"/>
  <c r="C10" i="18" s="1"/>
  <c r="F5" i="19"/>
  <c r="BA4" i="10"/>
  <c r="BA19" i="10" s="1"/>
  <c r="E9" i="20"/>
  <c r="E16" i="19"/>
  <c r="BA18" i="9"/>
  <c r="E12" i="20"/>
  <c r="E18" i="19"/>
  <c r="BA17" i="9"/>
  <c r="E10" i="20"/>
  <c r="E17" i="19"/>
  <c r="BA16" i="9"/>
  <c r="E15" i="20"/>
  <c r="E7" i="19"/>
  <c r="BA15" i="9"/>
  <c r="E6" i="20"/>
  <c r="E6" i="19"/>
  <c r="BA14" i="9"/>
  <c r="E16" i="20"/>
  <c r="E14" i="19"/>
  <c r="BA13" i="9"/>
  <c r="E13" i="20"/>
  <c r="E8" i="19"/>
  <c r="BA12" i="9"/>
  <c r="E10" i="19"/>
  <c r="E17" i="20"/>
  <c r="BA11" i="9"/>
  <c r="E13" i="19"/>
  <c r="E14" i="20"/>
  <c r="BA10" i="9"/>
  <c r="E9" i="19"/>
  <c r="E11" i="20"/>
  <c r="BA9" i="9"/>
  <c r="E11" i="19"/>
  <c r="E8" i="20"/>
  <c r="BA8" i="9"/>
  <c r="E5" i="20"/>
  <c r="E12" i="19"/>
  <c r="BA7" i="9"/>
  <c r="E4" i="19"/>
  <c r="E4" i="20"/>
  <c r="BA6" i="9"/>
  <c r="E15" i="19"/>
  <c r="E18" i="20"/>
  <c r="BA5" i="9"/>
  <c r="AQ23" i="9"/>
  <c r="B9" i="18" s="1"/>
  <c r="C9" i="18" s="1"/>
  <c r="E5" i="19"/>
  <c r="E7" i="20"/>
  <c r="BA4" i="9"/>
  <c r="BA18" i="8"/>
  <c r="D16" i="19"/>
  <c r="D9" i="20"/>
  <c r="D18" i="19"/>
  <c r="D12" i="20"/>
  <c r="BA17" i="8"/>
  <c r="D10" i="20"/>
  <c r="BA16" i="8"/>
  <c r="D17" i="19"/>
  <c r="BA14" i="8"/>
  <c r="D6" i="19"/>
  <c r="D6" i="20"/>
  <c r="D14" i="19"/>
  <c r="D16" i="20"/>
  <c r="BA13" i="8"/>
  <c r="D8" i="19"/>
  <c r="BA12" i="8"/>
  <c r="D13" i="20"/>
  <c r="D10" i="19"/>
  <c r="D17" i="20"/>
  <c r="BA11" i="8"/>
  <c r="D14" i="20"/>
  <c r="D13" i="19"/>
  <c r="BA10" i="8"/>
  <c r="D9" i="19"/>
  <c r="D11" i="20"/>
  <c r="BA9" i="8"/>
  <c r="D8" i="20"/>
  <c r="D11" i="19"/>
  <c r="BA8" i="8"/>
  <c r="BA7" i="8"/>
  <c r="D12" i="19"/>
  <c r="D5" i="20"/>
  <c r="D4" i="20"/>
  <c r="D4" i="19"/>
  <c r="BA6" i="8"/>
  <c r="D18" i="20"/>
  <c r="BA5" i="8"/>
  <c r="D15" i="19"/>
  <c r="D5" i="19"/>
  <c r="AQ23" i="8"/>
  <c r="B8" i="18" s="1"/>
  <c r="C8" i="18" s="1"/>
  <c r="BA4" i="8"/>
  <c r="BA19" i="8" s="1"/>
  <c r="D7" i="20"/>
  <c r="C16" i="19"/>
  <c r="BA18" i="7"/>
  <c r="C9" i="20"/>
  <c r="C18" i="19"/>
  <c r="BA17" i="7"/>
  <c r="C12" i="20"/>
  <c r="C17" i="19"/>
  <c r="C10" i="20"/>
  <c r="BA16" i="7"/>
  <c r="C15" i="20"/>
  <c r="BA15" i="7"/>
  <c r="C7" i="19"/>
  <c r="BA14" i="7"/>
  <c r="C6" i="19"/>
  <c r="C6" i="20"/>
  <c r="BA13" i="7"/>
  <c r="C16" i="20"/>
  <c r="C14" i="19"/>
  <c r="C8" i="19"/>
  <c r="BA12" i="7"/>
  <c r="C13" i="20"/>
  <c r="C17" i="20"/>
  <c r="C10" i="19"/>
  <c r="BA11" i="7"/>
  <c r="C13" i="19"/>
  <c r="C14" i="20"/>
  <c r="BA10" i="7"/>
  <c r="C9" i="19"/>
  <c r="C11" i="20"/>
  <c r="BA9" i="7"/>
  <c r="C12" i="19"/>
  <c r="C5" i="20"/>
  <c r="BA7" i="7"/>
  <c r="C4" i="20"/>
  <c r="C4" i="19"/>
  <c r="BA6" i="7"/>
  <c r="C15" i="19"/>
  <c r="BA5" i="7"/>
  <c r="C18" i="20"/>
  <c r="C5" i="19"/>
  <c r="BA4" i="7"/>
  <c r="BA19" i="7" s="1"/>
  <c r="AQ23" i="7"/>
  <c r="B7" i="18" s="1"/>
  <c r="C7" i="18" s="1"/>
  <c r="C7" i="20"/>
  <c r="BA18" i="6"/>
  <c r="B9" i="20"/>
  <c r="B16" i="19"/>
  <c r="B10" i="20"/>
  <c r="BA16" i="6"/>
  <c r="B17" i="19"/>
  <c r="B7" i="19"/>
  <c r="B15" i="20"/>
  <c r="BA15" i="6"/>
  <c r="B6" i="19"/>
  <c r="B6" i="20"/>
  <c r="BA14" i="6"/>
  <c r="B14" i="19"/>
  <c r="B16" i="20"/>
  <c r="BA13" i="6"/>
  <c r="B8" i="19"/>
  <c r="B13" i="20"/>
  <c r="BA12" i="6"/>
  <c r="B10" i="19"/>
  <c r="B17" i="20"/>
  <c r="BA11" i="6"/>
  <c r="B13" i="19"/>
  <c r="B14" i="20"/>
  <c r="BA10" i="6"/>
  <c r="B11" i="20"/>
  <c r="B9" i="19"/>
  <c r="BA9" i="6"/>
  <c r="B11" i="19"/>
  <c r="B8" i="20"/>
  <c r="BA8" i="6"/>
  <c r="B5" i="20"/>
  <c r="B12" i="19"/>
  <c r="BA7" i="6"/>
  <c r="B4" i="20"/>
  <c r="B4" i="19"/>
  <c r="BA6" i="6"/>
  <c r="B18" i="20"/>
  <c r="B15" i="19"/>
  <c r="BA5" i="6"/>
  <c r="AQ23" i="6"/>
  <c r="B6" i="18" s="1"/>
  <c r="C6" i="18" s="1"/>
  <c r="B5" i="19"/>
  <c r="B7" i="20"/>
  <c r="BA4" i="6"/>
  <c r="BA19" i="6" s="1"/>
  <c r="B40" i="2"/>
  <c r="B41" i="2"/>
  <c r="B42" i="2"/>
  <c r="I18" i="19"/>
  <c r="I12" i="20"/>
  <c r="BA17" i="13"/>
  <c r="BA16" i="13"/>
  <c r="I17" i="19"/>
  <c r="I10" i="20"/>
  <c r="I15" i="20"/>
  <c r="I7" i="19"/>
  <c r="BA15" i="13"/>
  <c r="I6" i="20"/>
  <c r="I6" i="19"/>
  <c r="BA14" i="13"/>
  <c r="I16" i="20"/>
  <c r="BA13" i="13"/>
  <c r="I14" i="19"/>
  <c r="I13" i="19"/>
  <c r="I14" i="20"/>
  <c r="BA10" i="13"/>
  <c r="I9" i="19"/>
  <c r="I11" i="20"/>
  <c r="I11" i="19"/>
  <c r="I8" i="20"/>
  <c r="BA8" i="13"/>
  <c r="I5" i="20"/>
  <c r="I12" i="19"/>
  <c r="BA7" i="13"/>
  <c r="BA6" i="13"/>
  <c r="I4" i="20"/>
  <c r="I4" i="19"/>
  <c r="I5" i="19"/>
  <c r="BA4" i="13"/>
  <c r="I7" i="20"/>
  <c r="E31" i="2"/>
  <c r="E28" i="2"/>
  <c r="E30" i="2"/>
  <c r="E27" i="2"/>
  <c r="E36" i="2"/>
  <c r="E29" i="2"/>
  <c r="E26" i="2"/>
  <c r="E32" i="2"/>
  <c r="E25" i="2"/>
  <c r="E34" i="2"/>
  <c r="E35" i="2"/>
  <c r="E33" i="2"/>
  <c r="J14" i="20" l="1"/>
  <c r="N14" i="20" s="1"/>
  <c r="BA10" i="14"/>
  <c r="J13" i="19"/>
  <c r="N13" i="19" s="1"/>
  <c r="BA6" i="14"/>
  <c r="J4" i="19"/>
  <c r="N4" i="19" s="1"/>
  <c r="J4" i="20"/>
  <c r="J7" i="20"/>
  <c r="N7" i="20" s="1"/>
  <c r="J5" i="19"/>
  <c r="N5" i="19" s="1"/>
  <c r="BA4" i="14"/>
  <c r="J6" i="19"/>
  <c r="J6" i="20"/>
  <c r="N6" i="20" s="1"/>
  <c r="BA14" i="14"/>
  <c r="AQ23" i="14"/>
  <c r="B14" i="18" s="1"/>
  <c r="C14" i="18" s="1"/>
  <c r="F19" i="20"/>
  <c r="I16" i="19"/>
  <c r="N16" i="19" s="1"/>
  <c r="BA18" i="13"/>
  <c r="I9" i="20"/>
  <c r="N9" i="20" s="1"/>
  <c r="I8" i="19"/>
  <c r="N8" i="19" s="1"/>
  <c r="I13" i="20"/>
  <c r="N13" i="20" s="1"/>
  <c r="BA12" i="13"/>
  <c r="BA11" i="13"/>
  <c r="I17" i="20"/>
  <c r="I10" i="19"/>
  <c r="AQ23" i="13"/>
  <c r="B13" i="18" s="1"/>
  <c r="C13" i="18" s="1"/>
  <c r="N18" i="20"/>
  <c r="N15" i="19"/>
  <c r="BA19" i="13"/>
  <c r="B19" i="20"/>
  <c r="B19" i="19"/>
  <c r="J8" i="3"/>
  <c r="U48" i="3"/>
  <c r="M8" i="3"/>
  <c r="U49" i="3"/>
  <c r="P8" i="3"/>
  <c r="U50" i="3"/>
  <c r="E19" i="19"/>
  <c r="E19" i="20"/>
  <c r="BA19" i="9"/>
  <c r="N18" i="19"/>
  <c r="C19" i="20"/>
  <c r="N17" i="19"/>
  <c r="N14" i="19"/>
  <c r="N9" i="19"/>
  <c r="N12" i="19"/>
  <c r="H19" i="20"/>
  <c r="N11" i="20"/>
  <c r="N5" i="20"/>
  <c r="H19" i="19"/>
  <c r="G19" i="20"/>
  <c r="D19" i="19"/>
  <c r="C19" i="19"/>
  <c r="N7" i="19"/>
  <c r="N11" i="19"/>
  <c r="N12" i="20"/>
  <c r="F19" i="19"/>
  <c r="D19" i="20"/>
  <c r="N10" i="20"/>
  <c r="N15" i="20"/>
  <c r="N16" i="20"/>
  <c r="N8" i="20"/>
  <c r="B24" i="2"/>
  <c r="B25" i="2"/>
  <c r="B31" i="2"/>
  <c r="B23" i="2"/>
  <c r="B36" i="2"/>
  <c r="B33" i="2"/>
  <c r="B44" i="2"/>
  <c r="B29" i="2"/>
  <c r="B26" i="2"/>
  <c r="B28" i="2"/>
  <c r="B32" i="2"/>
  <c r="B34" i="2"/>
  <c r="B30" i="2"/>
  <c r="B37" i="2"/>
  <c r="B35" i="2"/>
  <c r="B27" i="2"/>
  <c r="J19" i="20" l="1"/>
  <c r="N4" i="20"/>
  <c r="BA19" i="14"/>
  <c r="J19" i="19"/>
  <c r="N6" i="19"/>
  <c r="B23" i="3"/>
  <c r="B19" i="3"/>
  <c r="I19" i="20"/>
  <c r="N17" i="20"/>
  <c r="N10" i="19"/>
  <c r="I19" i="19"/>
  <c r="B22" i="3"/>
  <c r="B18" i="3"/>
  <c r="B16" i="3"/>
  <c r="B17" i="3"/>
  <c r="B20" i="3"/>
  <c r="B15" i="3"/>
  <c r="B26" i="3"/>
  <c r="B28" i="3"/>
  <c r="B24" i="3"/>
  <c r="B21" i="3"/>
  <c r="B27" i="3"/>
  <c r="B25" i="3"/>
  <c r="B14" i="3"/>
  <c r="B45" i="2"/>
  <c r="F8" i="3" s="1"/>
  <c r="B8" i="3"/>
  <c r="N19" i="20"/>
  <c r="N19" i="19"/>
</calcChain>
</file>

<file path=xl/sharedStrings.xml><?xml version="1.0" encoding="utf-8"?>
<sst xmlns="http://schemas.openxmlformats.org/spreadsheetml/2006/main" count="3030" uniqueCount="299">
  <si>
    <t>SISTEMA DE EVALUACION
NIVEL DE SEGURIDAD 2026</t>
  </si>
  <si>
    <t>Pilar 4 - Seguridad y Salud Ocupacional (WCM)</t>
  </si>
  <si>
    <t>Planta:</t>
  </si>
  <si>
    <t>CBC Guatemala - Cuyotenango, Suchitepequez</t>
  </si>
  <si>
    <t>Responsable SSO:</t>
  </si>
  <si>
    <t>Jaime Chilel</t>
  </si>
  <si>
    <t>Mes visualizado en Dashboard:</t>
  </si>
  <si>
    <t>Fecha de actualizacion:</t>
  </si>
  <si>
    <t>No. de areas evaluadas:</t>
  </si>
  <si>
    <t>Version del modelo:</t>
  </si>
  <si>
    <t>2.0</t>
  </si>
  <si>
    <t>Contenido del Archivo</t>
  </si>
  <si>
    <t>Parametros</t>
  </si>
  <si>
    <t>Pesos de categorias, rangos de semaforo, listado de las 15 areas</t>
  </si>
  <si>
    <t>Captura [Mes]</t>
  </si>
  <si>
    <t>12 hojas (Enero a Diciembre) - ingreso mensual de datos por cada una de las 15 areas</t>
  </si>
  <si>
    <t>Calculos</t>
  </si>
  <si>
    <t>Motor de calculo con selector de mes - resumenes y ranking (uso interno)</t>
  </si>
  <si>
    <t>Dashboard Ejecutivo</t>
  </si>
  <si>
    <t>KPIs, semaforos y graficos para presentacion gerencial del mes seleccionado</t>
  </si>
  <si>
    <t>Historico</t>
  </si>
  <si>
    <t>Registro mensual del Nivel de Seguridad de planta para analisis de tendencia</t>
  </si>
  <si>
    <t>Acumulado 2026</t>
  </si>
  <si>
    <t>Matriz Area x Mes con el acumulado anual de cada area y el promedio de planta</t>
  </si>
  <si>
    <t>MOTOR DE CALCULO (uso interno - puede ocultarse)</t>
  </si>
  <si>
    <t>Mes a visualizar en Dashboard:</t>
  </si>
  <si>
    <t>Agosto</t>
  </si>
  <si>
    <t>Resumen por Categoria (Nivel Planta) - Mes seleccionado</t>
  </si>
  <si>
    <t>Categoria</t>
  </si>
  <si>
    <t>Peso Maximo</t>
  </si>
  <si>
    <t>Promedio Obtenido (planta)</t>
  </si>
  <si>
    <t>% Cumplimiento vs Peso</t>
  </si>
  <si>
    <t>Capacitaciones</t>
  </si>
  <si>
    <t>Auto Evaluacion 1</t>
  </si>
  <si>
    <t>Auto Evaluacion 2</t>
  </si>
  <si>
    <t>Auto Evaluacion 3</t>
  </si>
  <si>
    <t>Cruzada 4</t>
  </si>
  <si>
    <t>Inspeccion SSO</t>
  </si>
  <si>
    <t>Acciones Correctivas/Preventivas</t>
  </si>
  <si>
    <t>Cultura y Accidentabilidad (Nivel Planta) - Mes seleccionado</t>
  </si>
  <si>
    <t>Bono promedio Cultura otorgado (planta)</t>
  </si>
  <si>
    <t>No. de areas con bonificacion completa (4%)</t>
  </si>
  <si>
    <t>Penalizacion promedio Accidentabilidad (planta)</t>
  </si>
  <si>
    <t>No. de areas con evento NO reportado</t>
  </si>
  <si>
    <t>Total LTI en planta (mes)</t>
  </si>
  <si>
    <t>Total MDI en planta (mes)</t>
  </si>
  <si>
    <t>Ranking de Areas (Nivel de Seguridad) - Mes seleccionado</t>
  </si>
  <si>
    <t>Pos.</t>
  </si>
  <si>
    <t>Area</t>
  </si>
  <si>
    <t>Nivel Seguridad</t>
  </si>
  <si>
    <t>Semaforo</t>
  </si>
  <si>
    <t>(aux)</t>
  </si>
  <si>
    <t>Conteo de Areas por Semaforo</t>
  </si>
  <si>
    <t>Verde</t>
  </si>
  <si>
    <t>Amarillo</t>
  </si>
  <si>
    <t>Rojo</t>
  </si>
  <si>
    <t>Nivel de Seguridad de Planta (mes seleccionado):</t>
  </si>
  <si>
    <t>Semaforo Planta:</t>
  </si>
  <si>
    <t>DASHBOARD EJECUTIVO - NIVEL DE SEGURIDAD</t>
  </si>
  <si>
    <t>Mes a visualizar:</t>
  </si>
  <si>
    <t>Planta: CBC Guatemala - Cuyotenango, Suchitepequez</t>
  </si>
  <si>
    <t>NIVEL DE SEGURIDAD DE PLANTA</t>
  </si>
  <si>
    <t>SEMAFORO DE PLANTA</t>
  </si>
  <si>
    <t>AREAS EN VERDE</t>
  </si>
  <si>
    <t>AREAS EN AMARILLO</t>
  </si>
  <si>
    <t>AREAS EN ROJO</t>
  </si>
  <si>
    <t>Nivel de Seguridad por Area (ordenado)</t>
  </si>
  <si>
    <t>Categoria (Radar)</t>
  </si>
  <si>
    <t>Nivel</t>
  </si>
  <si>
    <t>% Cumpl.</t>
  </si>
  <si>
    <t>Mes:</t>
  </si>
  <si>
    <t>→ Haz clic en la celda amarilla y elige el mes del menú desplegable</t>
  </si>
  <si>
    <t>TRIÁNGULO DE ACCIDENTABILIDAD</t>
  </si>
  <si>
    <t>Evento</t>
  </si>
  <si>
    <t>Acum. Año</t>
  </si>
  <si>
    <t>MUERTE</t>
  </si>
  <si>
    <t>LTI</t>
  </si>
  <si>
    <t>MDI</t>
  </si>
  <si>
    <t>MTI</t>
  </si>
  <si>
    <t>FAI</t>
  </si>
  <si>
    <t>INCIDENTES</t>
  </si>
  <si>
    <t>ACTOS</t>
  </si>
  <si>
    <t>CONDICIONES</t>
  </si>
  <si>
    <t>Días sin accidentes</t>
  </si>
  <si>
    <t>Último:</t>
  </si>
  <si>
    <t>📝  INSTRUCCIONES:  Actos y Condiciones → ingresa el total en cada hoja de Captura (cuadro azul 'CULTURA' en columna BB).  Días sin accidentes → ingresa la fecha del ÚLTIMO accidente en celdas amarillas (formato DD/MM/AAAA) — los días se calculan automáticamente cada día.  |  Muerte → celda X30</t>
  </si>
  <si>
    <t>PARAMETROS DEL MODELO - NIVEL DE SEGURIDAD 2026</t>
  </si>
  <si>
    <t>Categorias de Evaluacion y Ponderacion</t>
  </si>
  <si>
    <t>Listado de Areas Operativas</t>
  </si>
  <si>
    <t>Codigo</t>
  </si>
  <si>
    <t>Grupo</t>
  </si>
  <si>
    <t>Peso</t>
  </si>
  <si>
    <t>Notas</t>
  </si>
  <si>
    <t>No.</t>
  </si>
  <si>
    <t>Encargado</t>
  </si>
  <si>
    <t>CAP</t>
  </si>
  <si>
    <t>CAPACITAR</t>
  </si>
  <si>
    <t>Promedio Quincena 1 y Quincena 2 de % personal capacitado (aprobado con 100 pts)</t>
  </si>
  <si>
    <t>Calidad</t>
  </si>
  <si>
    <t>Alejandro Martinez</t>
  </si>
  <si>
    <t>AE1</t>
  </si>
  <si>
    <t>INSPECCIONAR</t>
  </si>
  <si>
    <t>Correctas / Total preguntas checklist. 0 si no se realizo en semana asignada</t>
  </si>
  <si>
    <t>Almacen de Repuestos</t>
  </si>
  <si>
    <t>Fredy Fuentes</t>
  </si>
  <si>
    <t>AE2</t>
  </si>
  <si>
    <t>Linea 4</t>
  </si>
  <si>
    <t>Mario Ramos</t>
  </si>
  <si>
    <t>AE3</t>
  </si>
  <si>
    <t>Linea 5</t>
  </si>
  <si>
    <t>Roy Luarca</t>
  </si>
  <si>
    <t>CRZ4</t>
  </si>
  <si>
    <t>Correctas / Total preguntas. Si NO se realizo: penalizacion de 10% va al resultado FINAL del area</t>
  </si>
  <si>
    <t>Linea 2</t>
  </si>
  <si>
    <t>Amilcar Ralda</t>
  </si>
  <si>
    <t>ISSO</t>
  </si>
  <si>
    <t>% resultado de Checklist de Integracion SSO (1 vez al mes)</t>
  </si>
  <si>
    <t>Equipos Auxiliares</t>
  </si>
  <si>
    <t>Edson Bonifacio</t>
  </si>
  <si>
    <t>ACC</t>
  </si>
  <si>
    <t>Acciones Correctivas / Preventivas</t>
  </si>
  <si>
    <t>ACCIONAR</t>
  </si>
  <si>
    <t>MAX(0%, Peso - 5% x No. acciones vencidas en Planner al cierre de mes). Piso en 0%</t>
  </si>
  <si>
    <t>Linea 1</t>
  </si>
  <si>
    <t>TOTAL</t>
  </si>
  <si>
    <t>ETEI</t>
  </si>
  <si>
    <t>Jessica Loarca</t>
  </si>
  <si>
    <t>Verificacion:</t>
  </si>
  <si>
    <t>Centro de Distribucion</t>
  </si>
  <si>
    <t>Jimmy Velasquez</t>
  </si>
  <si>
    <t>Jarabes</t>
  </si>
  <si>
    <t>Adrian Santisteban</t>
  </si>
  <si>
    <t>Parametros de Penalizacion</t>
  </si>
  <si>
    <t>Linea 3</t>
  </si>
  <si>
    <t>Penalizacion si Cruzada 4 NO se realiza (sobre resultado final)</t>
  </si>
  <si>
    <t>Alrededores</t>
  </si>
  <si>
    <t>Carlos Chavez</t>
  </si>
  <si>
    <t>Penalizacion por cada accion vencida (Planner)</t>
  </si>
  <si>
    <t>Tratamiento de Aguas</t>
  </si>
  <si>
    <t>Nota minima de evaluacion para contar como 'capacitado'</t>
  </si>
  <si>
    <t>Mantenimiento</t>
  </si>
  <si>
    <t>Eliu Tello</t>
  </si>
  <si>
    <t>Materias Primas</t>
  </si>
  <si>
    <t>Miguel Godinez</t>
  </si>
  <si>
    <t>Parametros de Cultura (Bonificacion)</t>
  </si>
  <si>
    <t>Meta minima de Actos Inseguros validados por SSO (mensual)</t>
  </si>
  <si>
    <t>Meta minima de Condiciones Inseguras validadas por SSO (mensual)</t>
  </si>
  <si>
    <t>Bonificacion si se cumple meta de Actos</t>
  </si>
  <si>
    <t>Bonificacion si se cumple meta de Condiciones</t>
  </si>
  <si>
    <t>Parametros de Accidentabilidad (Penalizacion)</t>
  </si>
  <si>
    <t>Penalizacion por cada Incidente</t>
  </si>
  <si>
    <t>Penalizacion por cada FAI (Primeros Auxilios)</t>
  </si>
  <si>
    <t>Penalizacion por cada MTI (Tratamiento Medico)</t>
  </si>
  <si>
    <t>Penalizacion por cada MDI (Incapacidad Temporal/Dias Perdidos)</t>
  </si>
  <si>
    <t>Penalizacion por cada LTI (Incapacitante)</t>
  </si>
  <si>
    <t>Penalizacion si algun evento NO fue reportado a tiempo</t>
  </si>
  <si>
    <t>Rangos de Semaforo</t>
  </si>
  <si>
    <t>Desde</t>
  </si>
  <si>
    <t>Hasta</t>
  </si>
  <si>
    <t>Color</t>
  </si>
  <si>
    <t>CAPTURA DE DATOS - ENERO</t>
  </si>
  <si>
    <t>TABLERO NIVEL DE SEGURIDAD — ENERO 2026</t>
  </si>
  <si>
    <t>CULTURA — ENERO 2026</t>
  </si>
  <si>
    <t>Mes / Periodo:</t>
  </si>
  <si>
    <t>Enero 2026</t>
  </si>
  <si>
    <t>Instrucciones:</t>
  </si>
  <si>
    <t>Llenar SOLO las celdas en amarillo/azul. Las columnas de % y Nota se calculan automaticamente. Marcar 'NO' en las columnas de '¿Se realizo?' cuando una auto-evaluacion/cruzada no se hizo en su semana asignada.</t>
  </si>
  <si>
    <t>CONTROLAR</t>
  </si>
  <si>
    <t>CUIDAR</t>
  </si>
  <si>
    <t>Tipo</t>
  </si>
  <si>
    <t>Total mes</t>
  </si>
  <si>
    <t>Área</t>
  </si>
  <si>
    <t>Auto
Evaluaciones
(AE1+AE2+AE3)</t>
  </si>
  <si>
    <t>Evaluación
Cruzada</t>
  </si>
  <si>
    <t>Inspección
SSO</t>
  </si>
  <si>
    <t>Capacita-
ciones</t>
  </si>
  <si>
    <t>Acciones
Correctivas</t>
  </si>
  <si>
    <t>Actos y
Condiciones</t>
  </si>
  <si>
    <t>Accidenta-
bilidad</t>
  </si>
  <si>
    <t>Nivel de
Seguridad</t>
  </si>
  <si>
    <t>🔶 Actos Inseguros</t>
  </si>
  <si>
    <t>CAPACITACIONES (20%)</t>
  </si>
  <si>
    <t>AUTO EVALUACION 1 (8%)</t>
  </si>
  <si>
    <t>AUTO EVALUACION 2 (8%)</t>
  </si>
  <si>
    <t>AUTO EVALUACION 3 (8%)</t>
  </si>
  <si>
    <t>CRUZADA 4 (6%)</t>
  </si>
  <si>
    <t>INSPECCION SSO (25%)</t>
  </si>
  <si>
    <t>ACCIONES CORRECTIVAS/PREVENTIVAS (25%)</t>
  </si>
  <si>
    <t>CULTURA (Bonificacion +8% max)</t>
  </si>
  <si>
    <t>ACCIDENTABILIDAD (Penalizacion)</t>
  </si>
  <si>
    <t>RESULTADO</t>
  </si>
  <si>
    <t>🔷 Condiciones Inseguras</t>
  </si>
  <si>
    <t>% Quincena 1
(input)</t>
  </si>
  <si>
    <t>% Quincena 2
(input)</t>
  </si>
  <si>
    <t>Promedio
(auto)</t>
  </si>
  <si>
    <t>Nota
Categoria
(auto)</t>
  </si>
  <si>
    <t>Correctas</t>
  </si>
  <si>
    <t>Total
Preguntas</t>
  </si>
  <si>
    <t>¿Se
realizo?</t>
  </si>
  <si>
    <t>% Cumplimiento
(input)</t>
  </si>
  <si>
    <t>% Resultado
Checklist</t>
  </si>
  <si>
    <t>No. Acciones
Vencidas</t>
  </si>
  <si>
    <t>Actos
Validados</t>
  </si>
  <si>
    <t>Condiciones
Validadas</t>
  </si>
  <si>
    <t>Bono
Actos
(auto)</t>
  </si>
  <si>
    <t>Bono
Cond.
(auto)</t>
  </si>
  <si>
    <t>Bono
Total
(auto)</t>
  </si>
  <si>
    <t>Incidentes
(No.)</t>
  </si>
  <si>
    <t>Incid.
¿Reportado?</t>
  </si>
  <si>
    <t>FAI
(No.)</t>
  </si>
  <si>
    <t>FAI
¿Reportado?</t>
  </si>
  <si>
    <t>MTI
(No.)</t>
  </si>
  <si>
    <t>MTI
¿Reportado?</t>
  </si>
  <si>
    <t>MDI
(No.)</t>
  </si>
  <si>
    <t>MDI
¿Reportado?</t>
  </si>
  <si>
    <t>LTI
(No.)</t>
  </si>
  <si>
    <t>LTI
¿Reportado?</t>
  </si>
  <si>
    <t>Penaliz.
Total
(auto)</t>
  </si>
  <si>
    <t>¿Sin
reportar?
(auto)</t>
  </si>
  <si>
    <t>Subtotal
(suma notas)</t>
  </si>
  <si>
    <t>Nivel de
Seguridad
Final (auto)</t>
  </si>
  <si>
    <t>↑ Ingresa el total del mes en celdas amarillas</t>
  </si>
  <si>
    <t>SI</t>
  </si>
  <si>
    <t>NO</t>
  </si>
  <si>
    <t>Nivel de seguridad planta — Enero 2026</t>
  </si>
  <si>
    <t>NIVEL DE SEGURIDAD DE PLANTA (PROMEDIO DE AREAS)</t>
  </si>
  <si>
    <t>CAPTURA DE DATOS - FEBRERO</t>
  </si>
  <si>
    <t>TABLERO NIVEL DE SEGURIDAD — FEBRERO 2026</t>
  </si>
  <si>
    <t>CULTURA — FEBRERO 2026</t>
  </si>
  <si>
    <t>Febrero 2026</t>
  </si>
  <si>
    <t>Nivel de seguridad planta — Febrero 2026</t>
  </si>
  <si>
    <t>CAPTURA DE DATOS - MARZO</t>
  </si>
  <si>
    <t>TABLERO NIVEL DE SEGURIDAD — MARZO 2026</t>
  </si>
  <si>
    <t>CULTURA — MARZO 2026</t>
  </si>
  <si>
    <t>Marzo 2026</t>
  </si>
  <si>
    <t>Nivel de seguridad planta — Marzo 2026</t>
  </si>
  <si>
    <t>CAPTURA DE DATOS - ABRIL</t>
  </si>
  <si>
    <t>TABLERO NIVEL DE SEGURIDAD — ABRIL 2026</t>
  </si>
  <si>
    <t>CULTURA — ABRIL 2026</t>
  </si>
  <si>
    <t>Abril 2026</t>
  </si>
  <si>
    <t>Nivel de seguridad planta — Abril 2026</t>
  </si>
  <si>
    <t>CAPTURA DE DATOS - MAYO</t>
  </si>
  <si>
    <t>TABLERO NIVEL DE SEGURIDAD — MAYO 2026</t>
  </si>
  <si>
    <t>CULTURA — MAYO 2026</t>
  </si>
  <si>
    <t>Mayo 2026</t>
  </si>
  <si>
    <t>Nivel de seguridad planta — Mayo 2026</t>
  </si>
  <si>
    <t>CAPTURA DE DATOS - JUNIO</t>
  </si>
  <si>
    <t>TABLERO NIVEL DE SEGURIDAD — JUNIO 2026</t>
  </si>
  <si>
    <t>CULTURA — JUNIO 2026</t>
  </si>
  <si>
    <t>Junio 2026</t>
  </si>
  <si>
    <t>Nivel de seguridad planta — Junio 2026</t>
  </si>
  <si>
    <t>CAPTURA DE DATOS - JULIO</t>
  </si>
  <si>
    <t>TABLERO NIVEL DE SEGURIDAD — JULIO 2026</t>
  </si>
  <si>
    <t>CULTURA — JULIO 2026</t>
  </si>
  <si>
    <t>Julio 2026</t>
  </si>
  <si>
    <t>Nivel de seguridad planta — Julio 2026</t>
  </si>
  <si>
    <t>CAPTURA DE DATOS - AGOSTO</t>
  </si>
  <si>
    <t>TABLERO NIVEL DE SEGURIDAD — AGOSTO 2026</t>
  </si>
  <si>
    <t>CULTURA — AGOSTO 2026</t>
  </si>
  <si>
    <t>Agosto 2026</t>
  </si>
  <si>
    <t>Nivel de seguridad planta — Agosto 2026</t>
  </si>
  <si>
    <t>CAPTURA DE DATOS - SEPTIEMBRE</t>
  </si>
  <si>
    <t>TABLERO NIVEL DE SEGURIDAD — SEPTIEMBRE 2026</t>
  </si>
  <si>
    <t>CULTURA — SEPTIEMBRE 2026</t>
  </si>
  <si>
    <t>Septiembre 2026</t>
  </si>
  <si>
    <t>Nivel de seguridad planta — Septiembre 2026</t>
  </si>
  <si>
    <t>CAPTURA DE DATOS - OCTUBRE</t>
  </si>
  <si>
    <t>TABLERO NIVEL DE SEGURIDAD — OCTUBRE 2026</t>
  </si>
  <si>
    <t>CULTURA — OCTUBRE 2026</t>
  </si>
  <si>
    <t>Octubre 2026</t>
  </si>
  <si>
    <t>Nivel de seguridad planta — Octubre 2026</t>
  </si>
  <si>
    <t>CAPTURA DE DATOS - NOVIEMBRE</t>
  </si>
  <si>
    <t>TABLERO NIVEL DE SEGURIDAD — NOVIEMBRE 2026</t>
  </si>
  <si>
    <t>CULTURA — NOVIEMBRE 2026</t>
  </si>
  <si>
    <t>Noviembre 2026</t>
  </si>
  <si>
    <t>Nivel de seguridad planta — Noviembre 2026</t>
  </si>
  <si>
    <t>CAPTURA DE DATOS - DICIEMBRE</t>
  </si>
  <si>
    <t>TABLERO NIVEL DE SEGURIDAD — DICIEMBRE 2026</t>
  </si>
  <si>
    <t>CULTURA — DICIEMBRE 2026</t>
  </si>
  <si>
    <t>Diciembre 2026</t>
  </si>
  <si>
    <t>Nivel de seguridad planta — Diciembre 2026</t>
  </si>
  <si>
    <t>HISTORICO MENSUAL - NIVEL DE SEGURIDAD</t>
  </si>
  <si>
    <t>Esta hoja se llena automaticamente con el Nivel de Seguridad de Planta de cada una de las 12 hojas de Captura mensual. No requiere copiar/pegar - se actualiza solo a medida que llenas cada mes.</t>
  </si>
  <si>
    <t>Mes</t>
  </si>
  <si>
    <t>Nivel de Seguridad Planta</t>
  </si>
  <si>
    <t>NIVEL DE SEGURIDAD ACUMULADO 2026</t>
  </si>
  <si>
    <t>Enero</t>
  </si>
  <si>
    <t>Febrero</t>
  </si>
  <si>
    <t>Marzo</t>
  </si>
  <si>
    <t>Abril</t>
  </si>
  <si>
    <t>Mayo</t>
  </si>
  <si>
    <t>Junio</t>
  </si>
  <si>
    <t>Julio</t>
  </si>
  <si>
    <t>Septiembre</t>
  </si>
  <si>
    <t>Octubre</t>
  </si>
  <si>
    <t>Noviembre</t>
  </si>
  <si>
    <t>Diciembre</t>
  </si>
  <si>
    <t>Acumulado
Año</t>
  </si>
  <si>
    <t>Promedio Mensual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</si>
</sst>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0.0%"/>
  </numFmts>
  <fonts count="57" x14ac:knownFonts="1">
    <font>
      <sz val="11"/>
      <color theme="1"/>
      <name val="Calibri"/>
      <family val="2"/>
      <charset val="1"/>
    </font>
    <font>
      <b/>
      <sz val="24"/>
      <color rgb="FFFFFFFF"/>
      <name val="Arial"/>
      <family val="2"/>
      <charset val="1"/>
    </font>
    <font>
      <i/>
      <sz val="12"/>
      <color rgb="FF1F4E79"/>
      <name val="Arial"/>
      <family val="2"/>
      <charset val="1"/>
    </font>
    <font>
      <b/>
      <sz val="10"/>
      <name val="Arial"/>
      <family val="2"/>
      <charset val="1"/>
    </font>
    <font>
      <sz val="10"/>
      <color rgb="FF0000FF"/>
      <name val="Arial"/>
      <family val="2"/>
      <charset val="1"/>
    </font>
    <font>
      <sz val="10"/>
      <color rgb="FF008000"/>
      <name val="Arial"/>
      <family val="2"/>
      <charset val="1"/>
    </font>
    <font>
      <b/>
      <sz val="11"/>
      <color rgb="FFFFFFFF"/>
      <name val="Arial"/>
      <family val="2"/>
      <charset val="1"/>
    </font>
    <font>
      <sz val="10"/>
      <color rgb="FF000000"/>
      <name val="Arial"/>
      <family val="2"/>
      <charset val="1"/>
    </font>
    <font>
      <b/>
      <sz val="16"/>
      <color rgb="FFFFFFFF"/>
      <name val="Arial"/>
      <family val="2"/>
      <charset val="1"/>
    </font>
    <font>
      <b/>
      <sz val="12"/>
      <color rgb="FF1F4E79"/>
      <name val="Arial"/>
      <family val="2"/>
      <charset val="1"/>
    </font>
    <font>
      <i/>
      <sz val="8"/>
      <color rgb="FFA6A6A6"/>
      <name val="Arial"/>
      <family val="2"/>
      <charset val="1"/>
    </font>
    <font>
      <sz val="8"/>
      <color rgb="FFA6A6A6"/>
      <name val="Arial"/>
      <family val="2"/>
      <charset val="1"/>
    </font>
    <font>
      <b/>
      <sz val="22"/>
      <color rgb="FFFFFFFF"/>
      <name val="Arial"/>
      <family val="2"/>
      <charset val="1"/>
    </font>
    <font>
      <b/>
      <sz val="11"/>
      <color rgb="FF1F4E79"/>
      <name val="Arial"/>
      <family val="2"/>
      <charset val="1"/>
    </font>
    <font>
      <i/>
      <sz val="10"/>
      <color rgb="FF595959"/>
      <name val="Arial"/>
      <family val="2"/>
      <charset val="1"/>
    </font>
    <font>
      <b/>
      <sz val="10"/>
      <color rgb="FF595959"/>
      <name val="Arial"/>
      <family val="2"/>
      <charset val="1"/>
    </font>
    <font>
      <b/>
      <sz val="36"/>
      <color rgb="FF1F4E79"/>
      <name val="Arial"/>
      <family val="2"/>
      <charset val="1"/>
    </font>
    <font>
      <b/>
      <sz val="28"/>
      <color rgb="FFFFFFFF"/>
      <name val="Arial"/>
      <family val="2"/>
      <charset val="1"/>
    </font>
    <font>
      <b/>
      <sz val="28"/>
      <color rgb="FF1F4E79"/>
      <name val="Arial"/>
      <family val="2"/>
      <charset val="1"/>
    </font>
    <font>
      <b/>
      <sz val="11"/>
      <color rgb="FF1F3864"/>
      <name val="Arial"/>
      <family val="2"/>
      <charset val="1"/>
    </font>
    <font>
      <i/>
      <sz val="9"/>
      <color rgb="FF595959"/>
      <name val="Arial"/>
      <family val="2"/>
      <charset val="1"/>
    </font>
    <font>
      <b/>
      <sz val="18"/>
      <color rgb="FF1F3864"/>
      <name val="Arial"/>
      <family val="2"/>
      <charset val="1"/>
    </font>
    <font>
      <b/>
      <sz val="9"/>
      <color rgb="FF595959"/>
      <name val="Arial"/>
      <family val="2"/>
      <charset val="1"/>
    </font>
    <font>
      <b/>
      <sz val="8"/>
      <color rgb="FFBFBFBF"/>
      <name val="Arial"/>
      <family val="2"/>
      <charset val="1"/>
    </font>
    <font>
      <sz val="12"/>
      <color rgb="FF595959"/>
      <name val="Arial"/>
      <family val="2"/>
      <charset val="1"/>
    </font>
    <font>
      <b/>
      <sz val="20"/>
      <color rgb="FF00B050"/>
      <name val="Arial"/>
      <family val="2"/>
      <charset val="1"/>
    </font>
    <font>
      <b/>
      <sz val="20"/>
      <color rgb="FFC00000"/>
      <name val="Arial"/>
      <family val="2"/>
      <charset val="1"/>
    </font>
    <font>
      <b/>
      <sz val="18"/>
      <color rgb="FF70AD47"/>
      <name val="Arial"/>
      <family val="2"/>
      <charset val="1"/>
    </font>
    <font>
      <b/>
      <sz val="20"/>
      <color rgb="FF00B0F0"/>
      <name val="Arial"/>
      <family val="2"/>
      <charset val="1"/>
    </font>
    <font>
      <b/>
      <sz val="13"/>
      <color rgb="FF1F3864"/>
      <name val="Arial"/>
      <family val="2"/>
      <charset val="1"/>
    </font>
    <font>
      <b/>
      <sz val="26"/>
      <color rgb="FFFFFFFF"/>
      <name val="Arial"/>
      <family val="2"/>
      <charset val="1"/>
    </font>
    <font>
      <b/>
      <sz val="14"/>
      <color rgb="FF5B9BD5"/>
      <name val="Arial"/>
      <family val="2"/>
      <charset val="1"/>
    </font>
    <font>
      <i/>
      <sz val="7"/>
      <color rgb="FF595959"/>
      <name val="Arial"/>
      <family val="2"/>
      <charset val="1"/>
    </font>
    <font>
      <b/>
      <sz val="9"/>
      <color rgb="FF0000FF"/>
      <name val="Arial"/>
      <family val="2"/>
      <charset val="1"/>
    </font>
    <font>
      <i/>
      <sz val="8"/>
      <color rgb="FF595959"/>
      <name val="Arial"/>
      <family val="2"/>
      <charset val="1"/>
    </font>
    <font>
      <b/>
      <sz val="9"/>
      <name val="Arial"/>
      <family val="2"/>
      <charset val="1"/>
    </font>
    <font>
      <sz val="9"/>
      <color rgb="FF0000FF"/>
      <name val="Arial"/>
      <family val="2"/>
      <charset val="1"/>
    </font>
    <font>
      <i/>
      <sz val="8"/>
      <name val="Arial"/>
      <family val="2"/>
      <charset val="1"/>
    </font>
    <font>
      <b/>
      <i/>
      <sz val="8"/>
      <name val="Arial"/>
      <family val="2"/>
      <charset val="1"/>
    </font>
    <font>
      <sz val="11"/>
      <name val="Cambria"/>
      <family val="1"/>
      <charset val="1"/>
    </font>
    <font>
      <b/>
      <sz val="13"/>
      <color rgb="FFFFFFFF"/>
      <name val="Arial"/>
      <family val="2"/>
      <charset val="1"/>
    </font>
    <font>
      <b/>
      <sz val="10"/>
      <color rgb="FFFFFFFF"/>
      <name val="Arial"/>
      <family val="2"/>
      <charset val="1"/>
    </font>
    <font>
      <b/>
      <sz val="9"/>
      <color rgb="FFFFFFFF"/>
      <name val="Arial"/>
      <family val="2"/>
      <charset val="1"/>
    </font>
    <font>
      <b/>
      <sz val="9"/>
      <color rgb="FF1F3864"/>
      <name val="Arial"/>
      <family val="2"/>
      <charset val="1"/>
    </font>
    <font>
      <b/>
      <sz val="11"/>
      <color rgb="FF0000FF"/>
      <name val="Arial"/>
      <family val="2"/>
      <charset val="1"/>
    </font>
    <font>
      <b/>
      <sz val="9"/>
      <color rgb="FF1F4E79"/>
      <name val="Arial"/>
      <family val="2"/>
      <charset val="1"/>
    </font>
    <font>
      <sz val="9"/>
      <name val="Arial"/>
      <family val="2"/>
      <charset val="1"/>
    </font>
    <font>
      <sz val="9"/>
      <color rgb="FFC00000"/>
      <name val="Arial"/>
      <family val="2"/>
      <charset val="1"/>
    </font>
    <font>
      <i/>
      <sz val="7"/>
      <color rgb="FFA6A6A6"/>
      <name val="Arial"/>
      <family val="2"/>
      <charset val="1"/>
    </font>
    <font>
      <b/>
      <sz val="10"/>
      <color rgb="FF008000"/>
      <name val="Arial"/>
      <family val="2"/>
      <charset val="1"/>
    </font>
    <font>
      <sz val="10"/>
      <color rgb="FF595959"/>
      <name val="Arial"/>
      <family val="2"/>
      <charset val="1"/>
    </font>
    <font>
      <b/>
      <sz val="10"/>
      <color rgb="FF1F4E79"/>
      <name val="Arial"/>
      <family val="2"/>
      <charset val="1"/>
    </font>
    <font>
      <b/>
      <sz val="12"/>
      <color rgb="FFFFFFFF"/>
      <name val="Arial"/>
      <family val="2"/>
      <charset val="1"/>
    </font>
    <font>
      <b/>
      <sz val="18"/>
      <color rgb="FFFFFFFF"/>
      <name val="Arial"/>
      <family val="2"/>
      <charset val="1"/>
    </font>
    <font>
      <b/>
      <sz val="14"/>
      <color rgb="FFFFFFFF"/>
      <name val="Arial"/>
      <family val="2"/>
      <charset val="1"/>
    </font>
    <font>
      <i/>
      <sz val="10"/>
      <name val="Arial"/>
      <family val="2"/>
      <charset val="1"/>
    </font>
    <font>
      <sz val="11"/>
      <color theme="1"/>
      <name val="Calibri"/>
      <family val="2"/>
      <charset val="1"/>
    </font>
  </fonts>
  <fills count="30">
    <fill>
      <patternFill patternType="none"/>
    </fill>
    <fill>
      <patternFill patternType="gray125"/>
    </fill>
    <fill>
      <patternFill patternType="solid">
        <fgColor rgb="FF1F4E79"/>
        <bgColor rgb="FF254F96"/>
      </patternFill>
    </fill>
    <fill>
      <patternFill patternType="solid">
        <fgColor rgb="FFF2F2F2"/>
        <bgColor rgb="FFEBF3FB"/>
      </patternFill>
    </fill>
    <fill>
      <patternFill patternType="solid">
        <fgColor rgb="FFFFFBE6"/>
        <bgColor rgb="FFF9F9F9"/>
      </patternFill>
    </fill>
    <fill>
      <patternFill patternType="solid">
        <fgColor rgb="FFED6B23"/>
        <bgColor rgb="FFED7D31"/>
      </patternFill>
    </fill>
    <fill>
      <patternFill patternType="solid">
        <fgColor rgb="FFFFFF00"/>
        <bgColor rgb="FFFFCC00"/>
      </patternFill>
    </fill>
    <fill>
      <patternFill patternType="solid">
        <fgColor rgb="FF4F81BD"/>
        <bgColor rgb="FF3A78C9"/>
      </patternFill>
    </fill>
    <fill>
      <patternFill patternType="solid">
        <fgColor rgb="FF63BE7B"/>
        <bgColor rgb="FF70AD47"/>
      </patternFill>
    </fill>
    <fill>
      <patternFill patternType="solid">
        <fgColor rgb="FFFFD966"/>
        <bgColor rgb="FFFFCC00"/>
      </patternFill>
    </fill>
    <fill>
      <patternFill patternType="solid">
        <fgColor rgb="FFE06666"/>
        <bgColor rgb="FFED6B23"/>
      </patternFill>
    </fill>
    <fill>
      <patternFill patternType="solid">
        <fgColor rgb="FFFFF2CC"/>
        <bgColor rgb="FFFFFBE6"/>
      </patternFill>
    </fill>
    <fill>
      <patternFill patternType="solid">
        <fgColor rgb="FFF7F7F7"/>
        <bgColor rgb="FFF9F9F9"/>
      </patternFill>
    </fill>
    <fill>
      <patternFill patternType="solid">
        <fgColor rgb="FF1F3864"/>
        <bgColor rgb="FF1E3B6E"/>
      </patternFill>
    </fill>
    <fill>
      <patternFill patternType="solid">
        <fgColor rgb="FF1E3B6E"/>
        <bgColor rgb="FF1F3864"/>
      </patternFill>
    </fill>
    <fill>
      <patternFill patternType="solid">
        <fgColor rgb="FF254F96"/>
        <bgColor rgb="FF2F5496"/>
      </patternFill>
    </fill>
    <fill>
      <patternFill patternType="solid">
        <fgColor rgb="FF2E65B6"/>
        <bgColor rgb="FF2E75B6"/>
      </patternFill>
    </fill>
    <fill>
      <patternFill patternType="solid">
        <fgColor rgb="FF3A78C9"/>
        <bgColor rgb="FF2E75B6"/>
      </patternFill>
    </fill>
    <fill>
      <patternFill patternType="solid">
        <fgColor rgb="FF478FD8"/>
        <bgColor rgb="FF5B9BD5"/>
      </patternFill>
    </fill>
    <fill>
      <patternFill patternType="solid">
        <fgColor rgb="FF7EC8E3"/>
        <bgColor rgb="FFA9D08E"/>
      </patternFill>
    </fill>
    <fill>
      <patternFill patternType="solid">
        <fgColor rgb="FF5B9BD5"/>
        <bgColor rgb="FF478FD8"/>
      </patternFill>
    </fill>
    <fill>
      <patternFill patternType="solid">
        <fgColor rgb="FFEBF3FB"/>
        <bgColor rgb="FFF2F2F2"/>
      </patternFill>
    </fill>
    <fill>
      <patternFill patternType="solid">
        <fgColor rgb="FFE2EFDA"/>
        <bgColor rgb="FFF2F2F2"/>
      </patternFill>
    </fill>
    <fill>
      <patternFill patternType="solid">
        <fgColor rgb="FFD9D9D9"/>
        <bgColor rgb="FFE2EFDA"/>
      </patternFill>
    </fill>
    <fill>
      <patternFill patternType="solid">
        <fgColor rgb="FF1E5631"/>
        <bgColor rgb="FF2F6E38"/>
      </patternFill>
    </fill>
    <fill>
      <patternFill patternType="solid">
        <fgColor rgb="FF2F6E38"/>
        <bgColor rgb="FF1E5631"/>
      </patternFill>
    </fill>
    <fill>
      <patternFill patternType="solid">
        <fgColor rgb="FF2E75B6"/>
        <bgColor rgb="FF3A78C9"/>
      </patternFill>
    </fill>
    <fill>
      <patternFill patternType="solid">
        <fgColor rgb="FF4E8A5E"/>
        <bgColor rgb="FF2F6E38"/>
      </patternFill>
    </fill>
    <fill>
      <patternFill patternType="solid">
        <fgColor rgb="FFFFFFFF"/>
        <bgColor rgb="FFF9F9F9"/>
      </patternFill>
    </fill>
    <fill>
      <patternFill patternType="solid">
        <fgColor rgb="FFA9D08E"/>
        <bgColor rgb="FFBFBFBF"/>
      </patternFill>
    </fill>
  </fills>
  <borders count="19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medium">
        <color rgb="FF595959"/>
      </left>
      <right style="medium">
        <color rgb="FF595959"/>
      </right>
      <top style="medium">
        <color rgb="FF595959"/>
      </top>
      <bottom style="medium">
        <color rgb="FF595959"/>
      </bottom>
      <diagonal/>
    </border>
    <border>
      <left style="medium">
        <color rgb="FF1F3864"/>
      </left>
      <right/>
      <top style="medium">
        <color rgb="FF1F3864"/>
      </top>
      <bottom style="medium">
        <color rgb="FF1F3864"/>
      </bottom>
      <diagonal/>
    </border>
    <border>
      <left/>
      <right/>
      <top/>
      <bottom style="medium">
        <color rgb="FF1F3864"/>
      </bottom>
      <diagonal/>
    </border>
    <border>
      <left/>
      <right style="medium">
        <color rgb="FFED7D31"/>
      </right>
      <top/>
      <bottom style="thin">
        <color rgb="FFED7D31"/>
      </bottom>
      <diagonal/>
    </border>
    <border>
      <left/>
      <right/>
      <top/>
      <bottom style="thin">
        <color rgb="FFED7D31"/>
      </bottom>
      <diagonal/>
    </border>
    <border>
      <left/>
      <right/>
      <top/>
      <bottom style="medium">
        <color rgb="FFED7D31"/>
      </bottom>
      <diagonal/>
    </border>
    <border>
      <left style="medium">
        <color rgb="FF5B9BD5"/>
      </left>
      <right style="medium">
        <color rgb="FF5B9BD5"/>
      </right>
      <top style="medium">
        <color rgb="FF5B9BD5"/>
      </top>
      <bottom style="thin">
        <color rgb="FF5B9BD5"/>
      </bottom>
      <diagonal/>
    </border>
    <border>
      <left style="medium">
        <color rgb="FF5B9BD5"/>
      </left>
      <right style="medium">
        <color rgb="FF5B9BD5"/>
      </right>
      <top style="thin">
        <color rgb="FF5B9BD5"/>
      </top>
      <bottom style="medium">
        <color rgb="FF5B9BD5"/>
      </bottom>
      <diagonal/>
    </border>
    <border>
      <left style="medium">
        <color rgb="FF2F5496"/>
      </left>
      <right style="medium">
        <color rgb="FF2F5496"/>
      </right>
      <top style="medium">
        <color rgb="FF2F5496"/>
      </top>
      <bottom style="thin">
        <color rgb="FFBFBFBF"/>
      </bottom>
      <diagonal/>
    </border>
    <border>
      <left style="medium">
        <color rgb="FF1F3864"/>
      </left>
      <right style="medium">
        <color rgb="FF1F3864"/>
      </right>
      <top style="medium">
        <color rgb="FF1F3864"/>
      </top>
      <bottom style="thin">
        <color rgb="FFBFBFBF"/>
      </bottom>
      <diagonal/>
    </border>
    <border>
      <left style="medium">
        <color rgb="FF2F5496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medium">
        <color rgb="FF2F5496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medium">
        <color rgb="FF1F3864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medium">
        <color rgb="FF1F3864"/>
      </right>
      <top style="thin">
        <color rgb="FFBFBFBF"/>
      </top>
      <bottom style="medium">
        <color rgb="FF1F3864"/>
      </bottom>
      <diagonal/>
    </border>
    <border>
      <left style="medium">
        <color rgb="FF2F5496"/>
      </left>
      <right/>
      <top style="thin">
        <color rgb="FFBFBFBF"/>
      </top>
      <bottom style="medium">
        <color rgb="FF2F5496"/>
      </bottom>
      <diagonal/>
    </border>
    <border>
      <left style="thin">
        <color rgb="FFBFBFBF"/>
      </left>
      <right style="medium">
        <color rgb="FF2F5496"/>
      </right>
      <top style="thin">
        <color rgb="FFBFBFBF"/>
      </top>
      <bottom style="medium">
        <color rgb="FF2F5496"/>
      </bottom>
      <diagonal/>
    </border>
  </borders>
  <cellStyleXfs count="2">
    <xf numFmtId="0" fontId="0" fillId="0" borderId="0"/>
    <xf numFmtId="9" fontId="56" fillId="0" borderId="0" applyFont="0" applyFill="0" applyBorder="0" applyAlignment="0" applyProtection="0"/>
  </cellStyleXfs>
  <cellXfs count="153">
    <xf numFmtId="0" fontId="0" fillId="0" borderId="0" xfId="0"/>
    <xf numFmtId="0" fontId="3" fillId="0" borderId="1" xfId="0" applyFont="1" applyBorder="1"/>
    <xf numFmtId="0" fontId="4" fillId="4" borderId="1" xfId="0" applyFont="1" applyFill="1" applyBorder="1"/>
    <xf numFmtId="0" fontId="5" fillId="0" borderId="1" xfId="0" applyFont="1" applyBorder="1"/>
    <xf numFmtId="164" fontId="5" fillId="0" borderId="1" xfId="0" applyNumberFormat="1" applyFont="1" applyBorder="1"/>
    <xf numFmtId="0" fontId="3" fillId="0" borderId="0" xfId="0" applyFont="1"/>
    <xf numFmtId="0" fontId="9" fillId="6" borderId="3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9" fontId="5" fillId="0" borderId="1" xfId="0" applyNumberFormat="1" applyFont="1" applyBorder="1" applyAlignment="1">
      <alignment horizontal="center" vertical="center"/>
    </xf>
    <xf numFmtId="10" fontId="5" fillId="0" borderId="1" xfId="0" applyNumberFormat="1" applyFont="1" applyBorder="1" applyAlignment="1">
      <alignment horizontal="center" vertical="center"/>
    </xf>
    <xf numFmtId="165" fontId="7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0" fillId="0" borderId="0" xfId="0" applyFont="1"/>
    <xf numFmtId="0" fontId="11" fillId="0" borderId="0" xfId="0" applyFont="1"/>
    <xf numFmtId="0" fontId="7" fillId="0" borderId="1" xfId="0" applyFont="1" applyBorder="1"/>
    <xf numFmtId="165" fontId="5" fillId="0" borderId="0" xfId="0" applyNumberFormat="1" applyFont="1"/>
    <xf numFmtId="0" fontId="7" fillId="0" borderId="0" xfId="0" applyFont="1"/>
    <xf numFmtId="0" fontId="3" fillId="0" borderId="0" xfId="0" applyFont="1" applyAlignment="1">
      <alignment horizontal="center" vertical="center" wrapText="1"/>
    </xf>
    <xf numFmtId="0" fontId="13" fillId="6" borderId="3" xfId="0" applyFont="1" applyFill="1" applyBorder="1" applyAlignment="1">
      <alignment horizontal="center" vertical="center"/>
    </xf>
    <xf numFmtId="165" fontId="5" fillId="0" borderId="1" xfId="0" applyNumberFormat="1" applyFont="1" applyBorder="1"/>
    <xf numFmtId="9" fontId="5" fillId="0" borderId="1" xfId="0" applyNumberFormat="1" applyFont="1" applyBorder="1"/>
    <xf numFmtId="0" fontId="3" fillId="8" borderId="1" xfId="0" applyFont="1" applyFill="1" applyBorder="1"/>
    <xf numFmtId="0" fontId="3" fillId="0" borderId="1" xfId="0" applyFont="1" applyBorder="1" applyAlignment="1">
      <alignment horizontal="center" vertical="center"/>
    </xf>
    <xf numFmtId="0" fontId="3" fillId="9" borderId="1" xfId="0" applyFont="1" applyFill="1" applyBorder="1"/>
    <xf numFmtId="0" fontId="3" fillId="10" borderId="1" xfId="0" applyFont="1" applyFill="1" applyBorder="1"/>
    <xf numFmtId="0" fontId="20" fillId="0" borderId="0" xfId="0" applyFont="1" applyAlignment="1">
      <alignment vertical="center"/>
    </xf>
    <xf numFmtId="0" fontId="22" fillId="0" borderId="5" xfId="0" applyFont="1" applyBorder="1"/>
    <xf numFmtId="0" fontId="22" fillId="0" borderId="5" xfId="0" applyFont="1" applyBorder="1" applyAlignment="1">
      <alignment horizontal="right"/>
    </xf>
    <xf numFmtId="0" fontId="12" fillId="13" borderId="6" xfId="0" applyFont="1" applyFill="1" applyBorder="1" applyAlignment="1">
      <alignment horizontal="center" vertical="center"/>
    </xf>
    <xf numFmtId="0" fontId="24" fillId="0" borderId="0" xfId="0" applyFont="1" applyAlignment="1">
      <alignment horizontal="left" vertical="center"/>
    </xf>
    <xf numFmtId="0" fontId="25" fillId="0" borderId="0" xfId="0" applyFont="1" applyAlignment="1">
      <alignment horizontal="right" vertical="center"/>
    </xf>
    <xf numFmtId="0" fontId="26" fillId="0" borderId="0" xfId="0" applyFont="1" applyAlignment="1">
      <alignment horizontal="right" vertical="center"/>
    </xf>
    <xf numFmtId="0" fontId="28" fillId="0" borderId="0" xfId="0" applyFont="1" applyAlignment="1">
      <alignment horizontal="right" vertical="center"/>
    </xf>
    <xf numFmtId="0" fontId="30" fillId="20" borderId="9" xfId="0" applyFont="1" applyFill="1" applyBorder="1" applyAlignment="1">
      <alignment horizontal="center" vertical="center"/>
    </xf>
    <xf numFmtId="0" fontId="31" fillId="21" borderId="10" xfId="0" applyFont="1" applyFill="1" applyBorder="1" applyAlignment="1">
      <alignment horizontal="center" vertical="center"/>
    </xf>
    <xf numFmtId="0" fontId="32" fillId="0" borderId="0" xfId="0" applyFont="1" applyAlignment="1">
      <alignment horizontal="right" vertical="center"/>
    </xf>
    <xf numFmtId="164" fontId="33" fillId="11" borderId="1" xfId="0" applyNumberFormat="1" applyFont="1" applyFill="1" applyBorder="1" applyAlignment="1">
      <alignment horizontal="center" vertical="center"/>
    </xf>
    <xf numFmtId="0" fontId="35" fillId="0" borderId="0" xfId="0" applyFont="1"/>
    <xf numFmtId="0" fontId="36" fillId="11" borderId="1" xfId="0" applyFont="1" applyFill="1" applyBorder="1"/>
    <xf numFmtId="0" fontId="0" fillId="22" borderId="0" xfId="0" applyFill="1"/>
    <xf numFmtId="1" fontId="0" fillId="22" borderId="0" xfId="0" applyNumberFormat="1" applyFill="1"/>
    <xf numFmtId="0" fontId="4" fillId="0" borderId="1" xfId="0" applyFont="1" applyBorder="1" applyAlignment="1">
      <alignment horizontal="left" vertical="center" wrapText="1"/>
    </xf>
    <xf numFmtId="9" fontId="4" fillId="4" borderId="1" xfId="0" applyNumberFormat="1" applyFont="1" applyFill="1" applyBorder="1" applyAlignment="1">
      <alignment horizontal="left" vertical="center" wrapText="1"/>
    </xf>
    <xf numFmtId="0" fontId="34" fillId="0" borderId="1" xfId="0" applyFont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3" fillId="23" borderId="1" xfId="0" applyFont="1" applyFill="1" applyBorder="1"/>
    <xf numFmtId="0" fontId="0" fillId="23" borderId="1" xfId="0" applyFill="1" applyBorder="1"/>
    <xf numFmtId="9" fontId="3" fillId="23" borderId="1" xfId="0" applyNumberFormat="1" applyFont="1" applyFill="1" applyBorder="1"/>
    <xf numFmtId="0" fontId="37" fillId="0" borderId="0" xfId="0" applyFont="1"/>
    <xf numFmtId="0" fontId="38" fillId="0" borderId="0" xfId="0" applyFont="1"/>
    <xf numFmtId="0" fontId="0" fillId="0" borderId="1" xfId="0" applyBorder="1"/>
    <xf numFmtId="9" fontId="4" fillId="4" borderId="1" xfId="0" applyNumberFormat="1" applyFont="1" applyFill="1" applyBorder="1"/>
    <xf numFmtId="9" fontId="4" fillId="4" borderId="1" xfId="0" applyNumberFormat="1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39" fillId="0" borderId="0" xfId="0" applyFont="1"/>
    <xf numFmtId="0" fontId="20" fillId="0" borderId="0" xfId="0" applyFont="1" applyAlignment="1">
      <alignment horizontal="left" vertical="center" wrapText="1"/>
    </xf>
    <xf numFmtId="0" fontId="39" fillId="2" borderId="13" xfId="0" applyFont="1" applyFill="1" applyBorder="1"/>
    <xf numFmtId="0" fontId="6" fillId="25" borderId="1" xfId="0" applyFont="1" applyFill="1" applyBorder="1" applyAlignment="1">
      <alignment horizontal="center" vertical="center"/>
    </xf>
    <xf numFmtId="0" fontId="42" fillId="26" borderId="1" xfId="0" applyFont="1" applyFill="1" applyBorder="1" applyAlignment="1">
      <alignment horizontal="center" vertical="center"/>
    </xf>
    <xf numFmtId="0" fontId="42" fillId="2" borderId="13" xfId="0" applyFont="1" applyFill="1" applyBorder="1" applyAlignment="1">
      <alignment horizontal="center" vertical="center" wrapText="1"/>
    </xf>
    <xf numFmtId="0" fontId="42" fillId="27" borderId="1" xfId="0" applyFont="1" applyFill="1" applyBorder="1" applyAlignment="1">
      <alignment horizontal="center" vertical="center" wrapText="1"/>
    </xf>
    <xf numFmtId="0" fontId="42" fillId="25" borderId="1" xfId="0" applyFont="1" applyFill="1" applyBorder="1" applyAlignment="1">
      <alignment horizontal="center" vertical="center" wrapText="1"/>
    </xf>
    <xf numFmtId="0" fontId="42" fillId="26" borderId="1" xfId="0" applyFont="1" applyFill="1" applyBorder="1" applyAlignment="1">
      <alignment horizontal="center" vertical="center" wrapText="1"/>
    </xf>
    <xf numFmtId="0" fontId="42" fillId="2" borderId="14" xfId="0" applyFont="1" applyFill="1" applyBorder="1" applyAlignment="1">
      <alignment horizontal="center" vertical="center" wrapText="1"/>
    </xf>
    <xf numFmtId="0" fontId="43" fillId="3" borderId="1" xfId="0" applyFont="1" applyFill="1" applyBorder="1" applyAlignment="1">
      <alignment horizontal="left" vertical="center" indent="1"/>
    </xf>
    <xf numFmtId="1" fontId="44" fillId="11" borderId="15" xfId="0" applyNumberFormat="1" applyFont="1" applyFill="1" applyBorder="1" applyAlignment="1">
      <alignment horizontal="center" vertical="center"/>
    </xf>
    <xf numFmtId="0" fontId="0" fillId="2" borderId="0" xfId="0" applyFill="1"/>
    <xf numFmtId="0" fontId="45" fillId="21" borderId="13" xfId="0" applyFont="1" applyFill="1" applyBorder="1" applyAlignment="1">
      <alignment horizontal="left" vertical="center" indent="1"/>
    </xf>
    <xf numFmtId="10" fontId="46" fillId="21" borderId="1" xfId="0" applyNumberFormat="1" applyFont="1" applyFill="1" applyBorder="1" applyAlignment="1">
      <alignment horizontal="center" vertical="center"/>
    </xf>
    <xf numFmtId="10" fontId="47" fillId="21" borderId="1" xfId="0" applyNumberFormat="1" applyFont="1" applyFill="1" applyBorder="1" applyAlignment="1">
      <alignment horizontal="center" vertical="center"/>
    </xf>
    <xf numFmtId="10" fontId="35" fillId="21" borderId="14" xfId="0" applyNumberFormat="1" applyFont="1" applyFill="1" applyBorder="1" applyAlignment="1">
      <alignment horizontal="center" vertical="center"/>
    </xf>
    <xf numFmtId="1" fontId="44" fillId="11" borderId="16" xfId="0" applyNumberFormat="1" applyFont="1" applyFill="1" applyBorder="1" applyAlignment="1">
      <alignment horizontal="center" vertical="center"/>
    </xf>
    <xf numFmtId="0" fontId="42" fillId="2" borderId="1" xfId="0" applyFont="1" applyFill="1" applyBorder="1" applyAlignment="1">
      <alignment horizontal="center" vertical="center" wrapText="1"/>
    </xf>
    <xf numFmtId="0" fontId="42" fillId="7" borderId="1" xfId="0" applyFont="1" applyFill="1" applyBorder="1" applyAlignment="1">
      <alignment horizontal="center" vertical="center" wrapText="1"/>
    </xf>
    <xf numFmtId="0" fontId="42" fillId="5" borderId="1" xfId="0" applyFont="1" applyFill="1" applyBorder="1" applyAlignment="1">
      <alignment horizontal="center" vertical="center" wrapText="1"/>
    </xf>
    <xf numFmtId="0" fontId="45" fillId="28" borderId="13" xfId="0" applyFont="1" applyFill="1" applyBorder="1" applyAlignment="1">
      <alignment horizontal="left" vertical="center" indent="1"/>
    </xf>
    <xf numFmtId="10" fontId="46" fillId="28" borderId="1" xfId="0" applyNumberFormat="1" applyFont="1" applyFill="1" applyBorder="1" applyAlignment="1">
      <alignment horizontal="center" vertical="center"/>
    </xf>
    <xf numFmtId="10" fontId="47" fillId="28" borderId="1" xfId="0" applyNumberFormat="1" applyFont="1" applyFill="1" applyBorder="1" applyAlignment="1">
      <alignment horizontal="center" vertical="center"/>
    </xf>
    <xf numFmtId="10" fontId="35" fillId="28" borderId="14" xfId="0" applyNumberFormat="1" applyFont="1" applyFill="1" applyBorder="1" applyAlignment="1">
      <alignment horizontal="center" vertical="center"/>
    </xf>
    <xf numFmtId="0" fontId="49" fillId="3" borderId="1" xfId="0" applyFont="1" applyFill="1" applyBorder="1"/>
    <xf numFmtId="0" fontId="50" fillId="0" borderId="1" xfId="0" applyFont="1" applyBorder="1" applyAlignment="1">
      <alignment horizontal="center" vertical="center"/>
    </xf>
    <xf numFmtId="165" fontId="4" fillId="4" borderId="1" xfId="0" applyNumberFormat="1" applyFont="1" applyFill="1" applyBorder="1" applyAlignment="1">
      <alignment horizontal="center" vertical="center"/>
    </xf>
    <xf numFmtId="10" fontId="7" fillId="0" borderId="1" xfId="0" applyNumberFormat="1" applyFont="1" applyBorder="1" applyAlignment="1">
      <alignment horizontal="center" vertical="center"/>
    </xf>
    <xf numFmtId="1" fontId="4" fillId="4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9" fontId="7" fillId="0" borderId="1" xfId="0" applyNumberFormat="1" applyFont="1" applyBorder="1" applyAlignment="1">
      <alignment horizontal="center" vertical="center"/>
    </xf>
    <xf numFmtId="165" fontId="51" fillId="0" borderId="1" xfId="0" applyNumberFormat="1" applyFont="1" applyBorder="1" applyAlignment="1">
      <alignment horizontal="center" vertical="center"/>
    </xf>
    <xf numFmtId="10" fontId="52" fillId="5" borderId="18" xfId="0" applyNumberFormat="1" applyFont="1" applyFill="1" applyBorder="1" applyAlignment="1">
      <alignment horizontal="center" vertical="center"/>
    </xf>
    <xf numFmtId="165" fontId="40" fillId="2" borderId="0" xfId="0" applyNumberFormat="1" applyFont="1" applyFill="1" applyAlignment="1">
      <alignment horizontal="center" vertical="center"/>
    </xf>
    <xf numFmtId="0" fontId="39" fillId="2" borderId="0" xfId="0" applyFont="1" applyFill="1"/>
    <xf numFmtId="165" fontId="40" fillId="2" borderId="1" xfId="0" applyNumberFormat="1" applyFont="1" applyFill="1" applyBorder="1" applyAlignment="1">
      <alignment horizontal="center" vertical="center"/>
    </xf>
    <xf numFmtId="10" fontId="40" fillId="2" borderId="0" xfId="0" applyNumberFormat="1" applyFont="1" applyFill="1" applyAlignment="1">
      <alignment horizontal="center" vertical="center"/>
    </xf>
    <xf numFmtId="10" fontId="40" fillId="2" borderId="1" xfId="0" applyNumberFormat="1" applyFont="1" applyFill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10" fontId="0" fillId="0" borderId="0" xfId="0" applyNumberFormat="1"/>
    <xf numFmtId="0" fontId="6" fillId="2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4" fillId="3" borderId="1" xfId="0" applyFont="1" applyFill="1" applyBorder="1"/>
    <xf numFmtId="10" fontId="3" fillId="29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/>
    <xf numFmtId="10" fontId="41" fillId="2" borderId="1" xfId="0" applyNumberFormat="1" applyFont="1" applyFill="1" applyBorder="1" applyAlignment="1">
      <alignment horizontal="center" vertical="center"/>
    </xf>
    <xf numFmtId="10" fontId="54" fillId="5" borderId="1" xfId="0" applyNumberFormat="1" applyFont="1" applyFill="1" applyBorder="1" applyAlignment="1">
      <alignment horizontal="center" vertical="center"/>
    </xf>
    <xf numFmtId="10" fontId="0" fillId="0" borderId="0" xfId="1" applyNumberFormat="1" applyFont="1"/>
    <xf numFmtId="0" fontId="45" fillId="21" borderId="13" xfId="0" applyFont="1" applyFill="1" applyBorder="1" applyAlignment="1">
      <alignment horizontal="left" vertical="center" wrapText="1" indent="1"/>
    </xf>
    <xf numFmtId="0" fontId="45" fillId="28" borderId="13" xfId="0" applyFont="1" applyFill="1" applyBorder="1" applyAlignment="1">
      <alignment horizontal="left" vertical="center" wrapText="1" indent="1"/>
    </xf>
    <xf numFmtId="10" fontId="51" fillId="0" borderId="1" xfId="0" applyNumberFormat="1" applyFont="1" applyBorder="1" applyAlignment="1">
      <alignment horizontal="center" vertical="center"/>
    </xf>
    <xf numFmtId="0" fontId="48" fillId="0" borderId="0" xfId="0" applyFont="1" applyAlignment="1">
      <alignment horizontal="center" vertical="center"/>
    </xf>
    <xf numFmtId="0" fontId="41" fillId="2" borderId="17" xfId="0" applyFont="1" applyFill="1" applyBorder="1" applyAlignment="1">
      <alignment horizontal="right" vertical="center" indent="1"/>
    </xf>
    <xf numFmtId="0" fontId="6" fillId="2" borderId="0" xfId="0" applyFont="1" applyFill="1" applyAlignment="1">
      <alignment horizontal="left" vertical="center" wrapText="1"/>
    </xf>
    <xf numFmtId="0" fontId="41" fillId="2" borderId="0" xfId="0" applyFont="1" applyFill="1" applyAlignment="1">
      <alignment horizontal="left" vertical="center"/>
    </xf>
    <xf numFmtId="0" fontId="42" fillId="7" borderId="2" xfId="0" applyFont="1" applyFill="1" applyBorder="1" applyAlignment="1">
      <alignment horizontal="center" vertical="center" wrapText="1"/>
    </xf>
    <xf numFmtId="0" fontId="42" fillId="5" borderId="2" xfId="0" applyFont="1" applyFill="1" applyBorder="1" applyAlignment="1">
      <alignment horizontal="center" vertical="center" wrapText="1"/>
    </xf>
    <xf numFmtId="0" fontId="42" fillId="2" borderId="2" xfId="0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40" fillId="2" borderId="11" xfId="0" applyFont="1" applyFill="1" applyBorder="1" applyAlignment="1">
      <alignment horizontal="center" vertical="center"/>
    </xf>
    <xf numFmtId="0" fontId="41" fillId="13" borderId="1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6" fillId="24" borderId="2" xfId="0" applyFont="1" applyFill="1" applyBorder="1" applyAlignment="1">
      <alignment horizontal="center" vertical="center"/>
    </xf>
    <xf numFmtId="0" fontId="6" fillId="2" borderId="14" xfId="0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 wrapText="1"/>
    </xf>
    <xf numFmtId="0" fontId="7" fillId="0" borderId="2" xfId="0" applyFont="1" applyBorder="1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6" fillId="5" borderId="0" xfId="0" applyFont="1" applyFill="1" applyAlignment="1">
      <alignment horizontal="center" vertical="center" wrapText="1"/>
    </xf>
    <xf numFmtId="10" fontId="16" fillId="0" borderId="3" xfId="0" applyNumberFormat="1" applyFont="1" applyBorder="1" applyAlignment="1">
      <alignment horizontal="center" vertical="center" wrapText="1"/>
    </xf>
    <xf numFmtId="0" fontId="17" fillId="0" borderId="3" xfId="0" applyFont="1" applyBorder="1" applyAlignment="1">
      <alignment horizontal="center" vertical="center" wrapText="1"/>
    </xf>
    <xf numFmtId="0" fontId="18" fillId="8" borderId="3" xfId="0" applyFont="1" applyFill="1" applyBorder="1" applyAlignment="1">
      <alignment horizontal="center" vertical="center" wrapText="1"/>
    </xf>
    <xf numFmtId="0" fontId="18" fillId="9" borderId="3" xfId="0" applyFont="1" applyFill="1" applyBorder="1" applyAlignment="1">
      <alignment horizontal="center" vertical="center" wrapText="1"/>
    </xf>
    <xf numFmtId="0" fontId="18" fillId="10" borderId="3" xfId="0" applyFont="1" applyFill="1" applyBorder="1" applyAlignment="1">
      <alignment horizontal="center" vertical="center" wrapText="1"/>
    </xf>
    <xf numFmtId="0" fontId="12" fillId="2" borderId="0" xfId="0" applyFont="1" applyFill="1" applyAlignment="1">
      <alignment horizontal="center" vertical="center" wrapText="1"/>
    </xf>
    <xf numFmtId="0" fontId="14" fillId="0" borderId="0" xfId="0" applyFont="1"/>
    <xf numFmtId="0" fontId="15" fillId="0" borderId="3" xfId="0" applyFont="1" applyBorder="1" applyAlignment="1">
      <alignment horizontal="center" vertical="center" wrapText="1"/>
    </xf>
    <xf numFmtId="0" fontId="29" fillId="0" borderId="0" xfId="0" applyFont="1" applyAlignment="1">
      <alignment horizontal="left" vertical="center"/>
    </xf>
    <xf numFmtId="0" fontId="34" fillId="0" borderId="0" xfId="0" applyFont="1" applyAlignment="1">
      <alignment horizontal="left" vertical="center" wrapText="1"/>
    </xf>
    <xf numFmtId="0" fontId="19" fillId="0" borderId="0" xfId="0" applyFont="1" applyAlignment="1">
      <alignment horizontal="right" vertical="center"/>
    </xf>
    <xf numFmtId="0" fontId="19" fillId="11" borderId="4" xfId="0" applyFont="1" applyFill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23" fillId="12" borderId="0" xfId="0" applyFont="1" applyFill="1" applyAlignment="1">
      <alignment horizontal="center" vertical="center" textRotation="90"/>
    </xf>
    <xf numFmtId="0" fontId="12" fillId="14" borderId="7" xfId="0" applyFont="1" applyFill="1" applyBorder="1" applyAlignment="1">
      <alignment horizontal="center" vertical="center"/>
    </xf>
    <xf numFmtId="0" fontId="12" fillId="15" borderId="7" xfId="0" applyFont="1" applyFill="1" applyBorder="1" applyAlignment="1">
      <alignment horizontal="center" vertical="center"/>
    </xf>
    <xf numFmtId="0" fontId="12" fillId="16" borderId="7" xfId="0" applyFont="1" applyFill="1" applyBorder="1" applyAlignment="1">
      <alignment horizontal="center" vertical="center"/>
    </xf>
    <xf numFmtId="0" fontId="12" fillId="17" borderId="7" xfId="0" applyFont="1" applyFill="1" applyBorder="1" applyAlignment="1">
      <alignment horizontal="center" vertical="center"/>
    </xf>
    <xf numFmtId="0" fontId="12" fillId="18" borderId="7" xfId="0" applyFont="1" applyFill="1" applyBorder="1" applyAlignment="1">
      <alignment horizontal="center" vertical="center"/>
    </xf>
    <xf numFmtId="1" fontId="27" fillId="19" borderId="7" xfId="0" applyNumberFormat="1" applyFont="1" applyFill="1" applyBorder="1" applyAlignment="1">
      <alignment horizontal="center" vertical="center"/>
    </xf>
    <xf numFmtId="1" fontId="27" fillId="13" borderId="8" xfId="0" applyNumberFormat="1" applyFont="1" applyFill="1" applyBorder="1" applyAlignment="1">
      <alignment horizontal="center" vertical="center"/>
    </xf>
    <xf numFmtId="0" fontId="20" fillId="0" borderId="0" xfId="0" applyFont="1" applyAlignment="1">
      <alignment horizontal="left" vertical="center" wrapText="1"/>
    </xf>
    <xf numFmtId="0" fontId="53" fillId="2" borderId="0" xfId="0" applyFont="1" applyFill="1" applyAlignment="1">
      <alignment horizontal="center" vertical="center" wrapText="1"/>
    </xf>
    <xf numFmtId="0" fontId="55" fillId="0" borderId="0" xfId="0" applyFont="1" applyAlignment="1">
      <alignment horizontal="right"/>
    </xf>
  </cellXfs>
  <cellStyles count="2">
    <cellStyle name="Normal" xfId="0" builtinId="0"/>
    <cellStyle name="Porcentaje" xfId="1" builtinId="5"/>
  </cellStyles>
  <dxfs count="116">
    <dxf>
      <fill>
        <patternFill>
          <bgColor rgb="FFE06666"/>
        </patternFill>
      </fill>
    </dxf>
    <dxf>
      <fill>
        <patternFill>
          <bgColor rgb="FFFFD966"/>
        </patternFill>
      </fill>
    </dxf>
    <dxf>
      <fill>
        <patternFill>
          <bgColor rgb="FF63BE7B"/>
        </patternFill>
      </fill>
    </dxf>
    <dxf>
      <fill>
        <patternFill>
          <bgColor rgb="FFE06666"/>
        </patternFill>
      </fill>
    </dxf>
    <dxf>
      <fill>
        <patternFill>
          <bgColor rgb="FFFFD966"/>
        </patternFill>
      </fill>
    </dxf>
    <dxf>
      <fill>
        <patternFill>
          <bgColor rgb="FF63BE7B"/>
        </patternFill>
      </fill>
    </dxf>
    <dxf>
      <fill>
        <patternFill>
          <bgColor rgb="FFE06666"/>
        </patternFill>
      </fill>
    </dxf>
    <dxf>
      <fill>
        <patternFill>
          <bgColor rgb="FFFFD966"/>
        </patternFill>
      </fill>
    </dxf>
    <dxf>
      <fill>
        <patternFill>
          <bgColor rgb="FF63BE7B"/>
        </patternFill>
      </fill>
    </dxf>
    <dxf>
      <fill>
        <patternFill>
          <bgColor rgb="FFE06666"/>
        </patternFill>
      </fill>
    </dxf>
    <dxf>
      <fill>
        <patternFill>
          <bgColor rgb="FFFFD966"/>
        </patternFill>
      </fill>
    </dxf>
    <dxf>
      <fill>
        <patternFill>
          <bgColor rgb="FF63BE7B"/>
        </patternFill>
      </fill>
    </dxf>
    <dxf>
      <fill>
        <patternFill>
          <bgColor rgb="FFE06666"/>
        </patternFill>
      </fill>
    </dxf>
    <dxf>
      <fill>
        <patternFill>
          <bgColor rgb="FFFFD966"/>
        </patternFill>
      </fill>
    </dxf>
    <dxf>
      <fill>
        <patternFill>
          <bgColor rgb="FF63BE7B"/>
        </patternFill>
      </fill>
    </dxf>
    <dxf>
      <fill>
        <patternFill>
          <bgColor rgb="FFE06666"/>
        </patternFill>
      </fill>
    </dxf>
    <dxf>
      <fill>
        <patternFill>
          <bgColor rgb="FFFFD966"/>
        </patternFill>
      </fill>
    </dxf>
    <dxf>
      <fill>
        <patternFill>
          <bgColor rgb="FF63BE7B"/>
        </patternFill>
      </fill>
    </dxf>
    <dxf>
      <fill>
        <patternFill>
          <bgColor rgb="FFE06666"/>
        </patternFill>
      </fill>
    </dxf>
    <dxf>
      <fill>
        <patternFill>
          <bgColor rgb="FFFFD966"/>
        </patternFill>
      </fill>
    </dxf>
    <dxf>
      <fill>
        <patternFill>
          <bgColor rgb="FF63BE7B"/>
        </patternFill>
      </fill>
    </dxf>
    <dxf>
      <fill>
        <patternFill>
          <bgColor rgb="FFE06666"/>
        </patternFill>
      </fill>
    </dxf>
    <dxf>
      <fill>
        <patternFill>
          <bgColor rgb="FFFFD966"/>
        </patternFill>
      </fill>
    </dxf>
    <dxf>
      <fill>
        <patternFill>
          <bgColor rgb="FF63BE7B"/>
        </patternFill>
      </fill>
    </dxf>
    <dxf>
      <fill>
        <patternFill>
          <bgColor rgb="FFE06666"/>
        </patternFill>
      </fill>
    </dxf>
    <dxf>
      <fill>
        <patternFill>
          <bgColor rgb="FFFFD966"/>
        </patternFill>
      </fill>
    </dxf>
    <dxf>
      <fill>
        <patternFill>
          <bgColor rgb="FF63BE7B"/>
        </patternFill>
      </fill>
    </dxf>
    <dxf>
      <fill>
        <patternFill>
          <bgColor rgb="FFE06666"/>
        </patternFill>
      </fill>
    </dxf>
    <dxf>
      <fill>
        <patternFill>
          <bgColor rgb="FFFFD966"/>
        </patternFill>
      </fill>
    </dxf>
    <dxf>
      <fill>
        <patternFill>
          <bgColor rgb="FF63BE7B"/>
        </patternFill>
      </fill>
    </dxf>
    <dxf>
      <fill>
        <patternFill>
          <bgColor rgb="FFE06666"/>
        </patternFill>
      </fill>
    </dxf>
    <dxf>
      <fill>
        <patternFill>
          <bgColor rgb="FFFFD966"/>
        </patternFill>
      </fill>
    </dxf>
    <dxf>
      <fill>
        <patternFill>
          <bgColor rgb="FF63BE7B"/>
        </patternFill>
      </fill>
    </dxf>
    <dxf>
      <fill>
        <patternFill>
          <bgColor rgb="FFE06666"/>
        </patternFill>
      </fill>
    </dxf>
    <dxf>
      <fill>
        <patternFill>
          <bgColor rgb="FFFFD966"/>
        </patternFill>
      </fill>
    </dxf>
    <dxf>
      <fill>
        <patternFill>
          <bgColor rgb="FF63BE7B"/>
        </patternFill>
      </fill>
    </dxf>
    <dxf>
      <fill>
        <patternFill>
          <bgColor rgb="FFE06666"/>
        </patternFill>
      </fill>
    </dxf>
    <dxf>
      <fill>
        <patternFill>
          <bgColor rgb="FFFFD966"/>
        </patternFill>
      </fill>
    </dxf>
    <dxf>
      <fill>
        <patternFill>
          <bgColor rgb="FF63BE7B"/>
        </patternFill>
      </fill>
    </dxf>
    <dxf>
      <fill>
        <patternFill>
          <bgColor rgb="FFE06666"/>
        </patternFill>
      </fill>
    </dxf>
    <dxf>
      <fill>
        <patternFill>
          <bgColor rgb="FFFFD966"/>
        </patternFill>
      </fill>
    </dxf>
    <dxf>
      <fill>
        <patternFill>
          <bgColor rgb="FF63BE7B"/>
        </patternFill>
      </fill>
    </dxf>
    <dxf>
      <fill>
        <patternFill>
          <bgColor rgb="FFE06666"/>
        </patternFill>
      </fill>
    </dxf>
    <dxf>
      <fill>
        <patternFill>
          <bgColor rgb="FFFFD966"/>
        </patternFill>
      </fill>
    </dxf>
    <dxf>
      <fill>
        <patternFill>
          <bgColor rgb="FF63BE7B"/>
        </patternFill>
      </fill>
    </dxf>
    <dxf>
      <fill>
        <patternFill>
          <bgColor rgb="FFE06666"/>
        </patternFill>
      </fill>
    </dxf>
    <dxf>
      <fill>
        <patternFill>
          <bgColor rgb="FFFFD966"/>
        </patternFill>
      </fill>
    </dxf>
    <dxf>
      <fill>
        <patternFill>
          <bgColor rgb="FF63BE7B"/>
        </patternFill>
      </fill>
    </dxf>
    <dxf>
      <fill>
        <patternFill>
          <bgColor rgb="FFE06666"/>
        </patternFill>
      </fill>
    </dxf>
    <dxf>
      <fill>
        <patternFill>
          <bgColor rgb="FFFFD966"/>
        </patternFill>
      </fill>
    </dxf>
    <dxf>
      <fill>
        <patternFill>
          <bgColor rgb="FF63BE7B"/>
        </patternFill>
      </fill>
    </dxf>
    <dxf>
      <fill>
        <patternFill>
          <bgColor rgb="FFE06666"/>
        </patternFill>
      </fill>
    </dxf>
    <dxf>
      <fill>
        <patternFill>
          <bgColor rgb="FFFFD966"/>
        </patternFill>
      </fill>
    </dxf>
    <dxf>
      <fill>
        <patternFill>
          <bgColor rgb="FF63BE7B"/>
        </patternFill>
      </fill>
    </dxf>
    <dxf>
      <fill>
        <patternFill>
          <bgColor rgb="FFE06666"/>
        </patternFill>
      </fill>
    </dxf>
    <dxf>
      <fill>
        <patternFill>
          <bgColor rgb="FFFFD966"/>
        </patternFill>
      </fill>
    </dxf>
    <dxf>
      <fill>
        <patternFill>
          <bgColor rgb="FF63BE7B"/>
        </patternFill>
      </fill>
    </dxf>
    <dxf>
      <fill>
        <patternFill>
          <bgColor rgb="FFE06666"/>
        </patternFill>
      </fill>
    </dxf>
    <dxf>
      <fill>
        <patternFill>
          <bgColor rgb="FFFFD966"/>
        </patternFill>
      </fill>
    </dxf>
    <dxf>
      <fill>
        <patternFill>
          <bgColor rgb="FF63BE7B"/>
        </patternFill>
      </fill>
    </dxf>
    <dxf>
      <fill>
        <patternFill>
          <bgColor rgb="FFE06666"/>
        </patternFill>
      </fill>
    </dxf>
    <dxf>
      <fill>
        <patternFill>
          <bgColor rgb="FFFFD966"/>
        </patternFill>
      </fill>
    </dxf>
    <dxf>
      <fill>
        <patternFill>
          <bgColor rgb="FF63BE7B"/>
        </patternFill>
      </fill>
    </dxf>
    <dxf>
      <fill>
        <patternFill>
          <bgColor rgb="FFE06666"/>
        </patternFill>
      </fill>
    </dxf>
    <dxf>
      <fill>
        <patternFill>
          <bgColor rgb="FFFFD966"/>
        </patternFill>
      </fill>
    </dxf>
    <dxf>
      <fill>
        <patternFill>
          <bgColor rgb="FF63BE7B"/>
        </patternFill>
      </fill>
    </dxf>
    <dxf>
      <fill>
        <patternFill>
          <bgColor rgb="FFE06666"/>
        </patternFill>
      </fill>
    </dxf>
    <dxf>
      <fill>
        <patternFill>
          <bgColor rgb="FFFFD966"/>
        </patternFill>
      </fill>
    </dxf>
    <dxf>
      <fill>
        <patternFill>
          <bgColor rgb="FF63BE7B"/>
        </patternFill>
      </fill>
    </dxf>
    <dxf>
      <fill>
        <patternFill>
          <bgColor rgb="FFE06666"/>
        </patternFill>
      </fill>
    </dxf>
    <dxf>
      <fill>
        <patternFill>
          <bgColor rgb="FFFFD966"/>
        </patternFill>
      </fill>
    </dxf>
    <dxf>
      <fill>
        <patternFill>
          <bgColor rgb="FF63BE7B"/>
        </patternFill>
      </fill>
    </dxf>
    <dxf>
      <fill>
        <patternFill>
          <bgColor rgb="FFE06666"/>
        </patternFill>
      </fill>
    </dxf>
    <dxf>
      <fill>
        <patternFill>
          <bgColor rgb="FFFFD966"/>
        </patternFill>
      </fill>
    </dxf>
    <dxf>
      <fill>
        <patternFill>
          <bgColor rgb="FF63BE7B"/>
        </patternFill>
      </fill>
    </dxf>
    <dxf>
      <fill>
        <patternFill>
          <bgColor rgb="FFE06666"/>
        </patternFill>
      </fill>
    </dxf>
    <dxf>
      <fill>
        <patternFill>
          <bgColor rgb="FFFFD966"/>
        </patternFill>
      </fill>
    </dxf>
    <dxf>
      <fill>
        <patternFill>
          <bgColor rgb="FF63BE7B"/>
        </patternFill>
      </fill>
    </dxf>
    <dxf>
      <fill>
        <patternFill>
          <bgColor rgb="FFE06666"/>
        </patternFill>
      </fill>
    </dxf>
    <dxf>
      <fill>
        <patternFill>
          <bgColor rgb="FFFFD966"/>
        </patternFill>
      </fill>
    </dxf>
    <dxf>
      <fill>
        <patternFill>
          <bgColor rgb="FF63BE7B"/>
        </patternFill>
      </fill>
    </dxf>
    <dxf>
      <fill>
        <patternFill>
          <bgColor rgb="FFE06666"/>
        </patternFill>
      </fill>
    </dxf>
    <dxf>
      <fill>
        <patternFill>
          <bgColor rgb="FFFFD966"/>
        </patternFill>
      </fill>
    </dxf>
    <dxf>
      <fill>
        <patternFill>
          <bgColor rgb="FF63BE7B"/>
        </patternFill>
      </fill>
    </dxf>
    <dxf>
      <fill>
        <patternFill>
          <bgColor rgb="FFE06666"/>
        </patternFill>
      </fill>
    </dxf>
    <dxf>
      <fill>
        <patternFill>
          <bgColor rgb="FFFFD966"/>
        </patternFill>
      </fill>
    </dxf>
    <dxf>
      <fill>
        <patternFill>
          <bgColor rgb="FF63BE7B"/>
        </patternFill>
      </fill>
    </dxf>
    <dxf>
      <fill>
        <patternFill>
          <bgColor rgb="FFE06666"/>
        </patternFill>
      </fill>
    </dxf>
    <dxf>
      <fill>
        <patternFill>
          <bgColor rgb="FFFFD966"/>
        </patternFill>
      </fill>
    </dxf>
    <dxf>
      <fill>
        <patternFill>
          <bgColor rgb="FF63BE7B"/>
        </patternFill>
      </fill>
    </dxf>
    <dxf>
      <fill>
        <patternFill>
          <bgColor rgb="FFE06666"/>
        </patternFill>
      </fill>
    </dxf>
    <dxf>
      <fill>
        <patternFill>
          <bgColor rgb="FFFFD966"/>
        </patternFill>
      </fill>
    </dxf>
    <dxf>
      <fill>
        <patternFill>
          <bgColor rgb="FF63BE7B"/>
        </patternFill>
      </fill>
    </dxf>
    <dxf>
      <fill>
        <patternFill>
          <bgColor rgb="FFE06666"/>
        </patternFill>
      </fill>
    </dxf>
    <dxf>
      <fill>
        <patternFill>
          <bgColor rgb="FFFFD966"/>
        </patternFill>
      </fill>
    </dxf>
    <dxf>
      <fill>
        <patternFill>
          <bgColor rgb="FF63BE7B"/>
        </patternFill>
      </fill>
    </dxf>
    <dxf>
      <fill>
        <patternFill>
          <bgColor rgb="FFE06666"/>
        </patternFill>
      </fill>
    </dxf>
    <dxf>
      <fill>
        <patternFill>
          <bgColor rgb="FFFFD966"/>
        </patternFill>
      </fill>
    </dxf>
    <dxf>
      <fill>
        <patternFill>
          <bgColor rgb="FF63BE7B"/>
        </patternFill>
      </fill>
    </dxf>
    <dxf>
      <fill>
        <patternFill>
          <bgColor rgb="FFE06666"/>
        </patternFill>
      </fill>
    </dxf>
    <dxf>
      <fill>
        <patternFill>
          <bgColor rgb="FFFFD966"/>
        </patternFill>
      </fill>
    </dxf>
    <dxf>
      <fill>
        <patternFill>
          <bgColor rgb="FF63BE7B"/>
        </patternFill>
      </fill>
    </dxf>
    <dxf>
      <fill>
        <patternFill>
          <bgColor rgb="FFE06666"/>
        </patternFill>
      </fill>
    </dxf>
    <dxf>
      <fill>
        <patternFill>
          <bgColor rgb="FFFFD966"/>
        </patternFill>
      </fill>
    </dxf>
    <dxf>
      <fill>
        <patternFill>
          <bgColor rgb="FF63BE7B"/>
        </patternFill>
      </fill>
    </dxf>
    <dxf>
      <fill>
        <patternFill>
          <bgColor rgb="FFE06666"/>
        </patternFill>
      </fill>
    </dxf>
    <dxf>
      <fill>
        <patternFill>
          <bgColor rgb="FFFFD966"/>
        </patternFill>
      </fill>
    </dxf>
    <dxf>
      <fill>
        <patternFill>
          <bgColor rgb="FF63BE7B"/>
        </patternFill>
      </fill>
    </dxf>
    <dxf>
      <fill>
        <patternFill>
          <bgColor rgb="FFE06666"/>
        </patternFill>
      </fill>
    </dxf>
    <dxf>
      <fill>
        <patternFill>
          <bgColor rgb="FFFFD966"/>
        </patternFill>
      </fill>
    </dxf>
    <dxf>
      <fill>
        <patternFill>
          <bgColor rgb="FF63BE7B"/>
        </patternFill>
      </fill>
    </dxf>
    <dxf>
      <fill>
        <patternFill>
          <bgColor rgb="FFE06666"/>
        </patternFill>
      </fill>
    </dxf>
    <dxf>
      <fill>
        <patternFill>
          <bgColor rgb="FF63BE7B"/>
        </patternFill>
      </fill>
    </dxf>
    <dxf>
      <fill>
        <patternFill>
          <bgColor rgb="FFE06666"/>
        </patternFill>
      </fill>
    </dxf>
    <dxf>
      <fill>
        <patternFill>
          <bgColor rgb="FFFFD966"/>
        </patternFill>
      </fill>
    </dxf>
    <dxf>
      <fill>
        <patternFill>
          <bgColor rgb="FF63BE7B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B050"/>
      <rgbColor rgb="FF0000FF"/>
      <rgbColor rgb="FFFFFF00"/>
      <rgbColor rgb="FFFF00FF"/>
      <rgbColor rgb="FF5B9BD5"/>
      <rgbColor rgb="FF800000"/>
      <rgbColor rgb="FF008000"/>
      <rgbColor rgb="FF000080"/>
      <rgbColor rgb="FF4F81BD"/>
      <rgbColor rgb="FF800080"/>
      <rgbColor rgb="FF2E75B6"/>
      <rgbColor rgb="FFBFBFBF"/>
      <rgbColor rgb="FF808080"/>
      <rgbColor rgb="FFA6A6A6"/>
      <rgbColor rgb="FF2F5496"/>
      <rgbColor rgb="FFFFFBE6"/>
      <rgbColor rgb="FFEBF3FB"/>
      <rgbColor rgb="FF660066"/>
      <rgbColor rgb="FFE06666"/>
      <rgbColor rgb="FF2E65B6"/>
      <rgbColor rgb="FFD9D9D9"/>
      <rgbColor rgb="FF000080"/>
      <rgbColor rgb="FFFF00FF"/>
      <rgbColor rgb="FFF9F9F9"/>
      <rgbColor rgb="FF00FFFF"/>
      <rgbColor rgb="FF800080"/>
      <rgbColor rgb="FF800000"/>
      <rgbColor rgb="FF2F6E38"/>
      <rgbColor rgb="FF0000FF"/>
      <rgbColor rgb="FF00B0F0"/>
      <rgbColor rgb="FFF2F2F2"/>
      <rgbColor rgb="FFE2EFDA"/>
      <rgbColor rgb="FFFFF2CC"/>
      <rgbColor rgb="FF7EC8E3"/>
      <rgbColor rgb="FFF7F7F7"/>
      <rgbColor rgb="FFA9D08E"/>
      <rgbColor rgb="FFFFD966"/>
      <rgbColor rgb="FF3A78C9"/>
      <rgbColor rgb="FF63BE7B"/>
      <rgbColor rgb="FF70AD47"/>
      <rgbColor rgb="FFFFCC00"/>
      <rgbColor rgb="FFED7D31"/>
      <rgbColor rgb="FFED6B23"/>
      <rgbColor rgb="FF595959"/>
      <rgbColor rgb="FF878787"/>
      <rgbColor rgb="FF1F3864"/>
      <rgbColor rgb="FF4E8A5E"/>
      <rgbColor rgb="FF254F96"/>
      <rgbColor rgb="FF1F4E79"/>
      <rgbColor rgb="FF993300"/>
      <rgbColor rgb="FF478FD8"/>
      <rgbColor rgb="FF1E3B6E"/>
      <rgbColor rgb="FF1E5631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Relationship Id="rId27" Type="http://schemas.openxmlformats.org/officeDocument/2006/relationships/customXml" Target="../customXml/item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lang="es-GT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GT" sz="1800" b="1" strike="noStrike" spc="-1">
                <a:solidFill>
                  <a:srgbClr val="000000"/>
                </a:solidFill>
                <a:latin typeface="Calibri"/>
              </a:rPr>
              <a:t>Nivel de Seguridad por Area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'Dashboard Ejecutivo'!$C$13</c:f>
              <c:strCache>
                <c:ptCount val="1"/>
                <c:pt idx="0">
                  <c:v>Nivel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s-G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'Dashboard Ejecutivo'!$B$14:$B$28</c:f>
              <c:strCache>
                <c:ptCount val="15"/>
                <c:pt idx="0">
                  <c:v>Calidad</c:v>
                </c:pt>
                <c:pt idx="1">
                  <c:v>Jarabes</c:v>
                </c:pt>
                <c:pt idx="2">
                  <c:v>ETEI</c:v>
                </c:pt>
                <c:pt idx="3">
                  <c:v>Linea 4</c:v>
                </c:pt>
                <c:pt idx="4">
                  <c:v>Mantenimiento</c:v>
                </c:pt>
                <c:pt idx="5">
                  <c:v>Centro de Distribucion</c:v>
                </c:pt>
                <c:pt idx="6">
                  <c:v>Materias Primas</c:v>
                </c:pt>
                <c:pt idx="7">
                  <c:v>Equipos Auxiliares</c:v>
                </c:pt>
                <c:pt idx="8">
                  <c:v>Linea 3</c:v>
                </c:pt>
                <c:pt idx="9">
                  <c:v>Linea 2</c:v>
                </c:pt>
                <c:pt idx="10">
                  <c:v>Linea 1</c:v>
                </c:pt>
                <c:pt idx="11">
                  <c:v>Linea 5</c:v>
                </c:pt>
                <c:pt idx="12">
                  <c:v>Alrededores</c:v>
                </c:pt>
                <c:pt idx="13">
                  <c:v>Almacen de Repuestos</c:v>
                </c:pt>
                <c:pt idx="14">
                  <c:v>Tratamiento de Aguas</c:v>
                </c:pt>
              </c:strCache>
            </c:strRef>
          </c:cat>
          <c:val>
            <c:numRef>
              <c:f>'Dashboard Ejecutivo'!$C$14:$C$28</c:f>
              <c:numCache>
                <c:formatCode>0.0%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9C-4D78-BE29-66F0E03E2F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axId val="2756409"/>
        <c:axId val="63993637"/>
      </c:barChart>
      <c:catAx>
        <c:axId val="275640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 rot="-2700000"/>
          <a:lstStyle/>
          <a:p>
            <a:pPr>
              <a:defRPr sz="900" b="0" strike="noStrike" spc="-1">
                <a:solidFill>
                  <a:srgbClr val="000000"/>
                </a:solidFill>
                <a:latin typeface="Calibri"/>
              </a:defRPr>
            </a:pPr>
            <a:endParaRPr lang="es-GT"/>
          </a:p>
        </c:txPr>
        <c:crossAx val="63993637"/>
        <c:crosses val="autoZero"/>
        <c:auto val="1"/>
        <c:lblAlgn val="ctr"/>
        <c:lblOffset val="100"/>
        <c:noMultiLvlLbl val="0"/>
      </c:catAx>
      <c:valAx>
        <c:axId val="6399363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es-GT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GT" sz="1000" b="1" strike="noStrike" spc="-1">
                    <a:solidFill>
                      <a:srgbClr val="000000"/>
                    </a:solidFill>
                    <a:latin typeface="Calibri"/>
                  </a:rPr>
                  <a:t>% Cumplimiento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GT"/>
          </a:p>
        </c:txPr>
        <c:crossAx val="275640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lang="es-GT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GT" sz="1800" b="1" strike="noStrike" spc="-1">
                <a:solidFill>
                  <a:srgbClr val="000000"/>
                </a:solidFill>
                <a:latin typeface="Calibri"/>
              </a:rPr>
              <a:t>Cumplimiento por Categoria (vs Peso Maximo)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radarChart>
        <c:radarStyle val="filled"/>
        <c:varyColors val="0"/>
        <c:ser>
          <c:idx val="0"/>
          <c:order val="0"/>
          <c:tx>
            <c:strRef>
              <c:f>'Dashboard Ejecutivo'!$H$13</c:f>
              <c:strCache>
                <c:ptCount val="1"/>
                <c:pt idx="0">
                  <c:v>% Cumpl.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1F4E79"/>
              </a:solidFill>
              <a:round/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GT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'Dashboard Ejecutivo'!$G$14:$G$20</c:f>
              <c:strCache>
                <c:ptCount val="7"/>
                <c:pt idx="0">
                  <c:v>Capacitaciones</c:v>
                </c:pt>
                <c:pt idx="1">
                  <c:v>Auto Evaluacion 1</c:v>
                </c:pt>
                <c:pt idx="2">
                  <c:v>Auto Evaluacion 2</c:v>
                </c:pt>
                <c:pt idx="3">
                  <c:v>Auto Evaluacion 3</c:v>
                </c:pt>
                <c:pt idx="4">
                  <c:v>Cruzada 4</c:v>
                </c:pt>
                <c:pt idx="5">
                  <c:v>Inspeccion SSO</c:v>
                </c:pt>
                <c:pt idx="6">
                  <c:v>Acciones Correctivas/Preventivas</c:v>
                </c:pt>
              </c:strCache>
            </c:strRef>
          </c:cat>
          <c:val>
            <c:numRef>
              <c:f>'Dashboard Ejecutivo'!$H$14:$H$20</c:f>
              <c:numCache>
                <c:formatCode>0%</c:formatCode>
                <c:ptCount val="7"/>
                <c:pt idx="0">
                  <c:v>0.93656666666666688</c:v>
                </c:pt>
                <c:pt idx="1">
                  <c:v>1</c:v>
                </c:pt>
                <c:pt idx="2">
                  <c:v>0.96933333333333327</c:v>
                </c:pt>
                <c:pt idx="3">
                  <c:v>0.96933333333333327</c:v>
                </c:pt>
                <c:pt idx="4">
                  <c:v>0.4</c:v>
                </c:pt>
                <c:pt idx="5">
                  <c:v>0.95280000000000009</c:v>
                </c:pt>
                <c:pt idx="6">
                  <c:v>0.57333333333333347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E4-4054-866C-F06EEEE27A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584439"/>
        <c:axId val="32097565"/>
      </c:radarChart>
      <c:catAx>
        <c:axId val="8058443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GT"/>
          </a:p>
        </c:txPr>
        <c:crossAx val="32097565"/>
        <c:crosses val="autoZero"/>
        <c:auto val="1"/>
        <c:lblAlgn val="ctr"/>
        <c:lblOffset val="100"/>
        <c:noMultiLvlLbl val="0"/>
      </c:catAx>
      <c:valAx>
        <c:axId val="32097565"/>
        <c:scaling>
          <c:orientation val="minMax"/>
          <c:max val="1.2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700" b="0" strike="noStrike" spc="-1">
                <a:solidFill>
                  <a:srgbClr val="000000"/>
                </a:solidFill>
                <a:latin typeface="Calibri"/>
              </a:defRPr>
            </a:pPr>
            <a:endParaRPr lang="es-GT"/>
          </a:p>
        </c:txPr>
        <c:crossAx val="80584439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lang="es-GT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GT" sz="1800" b="1" strike="noStrike" spc="-1">
                <a:solidFill>
                  <a:srgbClr val="000000"/>
                </a:solidFill>
                <a:latin typeface="Calibri"/>
              </a:rPr>
              <a:t>Distribucion de Areas por Semaforo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doughnut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63BE7B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6F6B-47A0-985A-6776C4EAB90E}"/>
              </c:ext>
            </c:extLst>
          </c:dPt>
          <c:dPt>
            <c:idx val="1"/>
            <c:bubble3D val="0"/>
            <c:spPr>
              <a:solidFill>
                <a:srgbClr val="FFD96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6F6B-47A0-985A-6776C4EAB90E}"/>
              </c:ext>
            </c:extLst>
          </c:dPt>
          <c:dPt>
            <c:idx val="2"/>
            <c:bubble3D val="0"/>
            <c:spPr>
              <a:solidFill>
                <a:srgbClr val="E0666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6F6B-47A0-985A-6776C4EAB90E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s-GT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F6B-47A0-985A-6776C4EAB90E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s-GT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F6B-47A0-985A-6776C4EAB90E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s-GT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F6B-47A0-985A-6776C4EAB90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s-GT"/>
              </a:p>
            </c:txPr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'Dashboard Ejecutivo'!$T$48:$T$50</c:f>
              <c:strCache>
                <c:ptCount val="3"/>
                <c:pt idx="0">
                  <c:v>Verde</c:v>
                </c:pt>
                <c:pt idx="1">
                  <c:v>Amarillo</c:v>
                </c:pt>
                <c:pt idx="2">
                  <c:v>Rojo</c:v>
                </c:pt>
              </c:strCache>
            </c:strRef>
          </c:cat>
          <c:val>
            <c:numRef>
              <c:f>'Dashboard Ejecutivo'!$U$48:$U$50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F6B-47A0-985A-6776C4EAB9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GT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lang="es-GT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GT" sz="1800" b="1" strike="noStrike" spc="-1">
                <a:solidFill>
                  <a:srgbClr val="000000"/>
                </a:solidFill>
                <a:latin typeface="Calibri"/>
              </a:rPr>
              <a:t>Tendencia Nivel de Seguridad de Planta 2026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Historico!$B$5</c:f>
              <c:strCache>
                <c:ptCount val="1"/>
                <c:pt idx="0">
                  <c:v>Nivel de Seguridad Planta</c:v>
                </c:pt>
              </c:strCache>
            </c:strRef>
          </c:tx>
          <c:spPr>
            <a:ln w="24840">
              <a:solidFill>
                <a:srgbClr val="1F4E79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GT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Historico!$A$6:$A$17</c:f>
              <c:strCache>
                <c:ptCount val="12"/>
                <c:pt idx="0">
                  <c:v>Enero 2026</c:v>
                </c:pt>
                <c:pt idx="1">
                  <c:v>Febrero 2026</c:v>
                </c:pt>
                <c:pt idx="2">
                  <c:v>Marzo 2026</c:v>
                </c:pt>
                <c:pt idx="3">
                  <c:v>Abril 2026</c:v>
                </c:pt>
                <c:pt idx="4">
                  <c:v>Mayo 2026</c:v>
                </c:pt>
                <c:pt idx="5">
                  <c:v>Junio 2026</c:v>
                </c:pt>
                <c:pt idx="6">
                  <c:v>Julio 2026</c:v>
                </c:pt>
                <c:pt idx="7">
                  <c:v>Agosto 2026</c:v>
                </c:pt>
                <c:pt idx="8">
                  <c:v>Septiembre 2026</c:v>
                </c:pt>
                <c:pt idx="9">
                  <c:v>Octubre 2026</c:v>
                </c:pt>
                <c:pt idx="10">
                  <c:v>Noviembre 2026</c:v>
                </c:pt>
                <c:pt idx="11">
                  <c:v>Diciembre 2026</c:v>
                </c:pt>
              </c:strCache>
            </c:strRef>
          </c:cat>
          <c:val>
            <c:numRef>
              <c:f>Historico!$B$6:$B$17</c:f>
              <c:numCache>
                <c:formatCode>0.0%</c:formatCode>
                <c:ptCount val="12"/>
                <c:pt idx="0" formatCode="0.00%">
                  <c:v>0.93297435897435899</c:v>
                </c:pt>
                <c:pt idx="1">
                  <c:v>0.9572597670647206</c:v>
                </c:pt>
                <c:pt idx="2">
                  <c:v>0.99283333333333335</c:v>
                </c:pt>
                <c:pt idx="3">
                  <c:v>0.93466666666666676</c:v>
                </c:pt>
                <c:pt idx="4">
                  <c:v>0.8793333333333333</c:v>
                </c:pt>
                <c:pt idx="5">
                  <c:v>0.83357372900851168</c:v>
                </c:pt>
                <c:pt idx="6">
                  <c:v>0.88027777777777783</c:v>
                </c:pt>
                <c:pt idx="7">
                  <c:v>0.86230933333333326</c:v>
                </c:pt>
                <c:pt idx="8">
                  <c:v>0.83891666666666675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277-4196-8C11-BEF014E89B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46627922"/>
        <c:axId val="64597505"/>
      </c:lineChart>
      <c:catAx>
        <c:axId val="4662792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GT"/>
          </a:p>
        </c:txPr>
        <c:crossAx val="64597505"/>
        <c:crosses val="autoZero"/>
        <c:auto val="1"/>
        <c:lblAlgn val="ctr"/>
        <c:lblOffset val="100"/>
        <c:noMultiLvlLbl val="0"/>
      </c:catAx>
      <c:valAx>
        <c:axId val="64597505"/>
        <c:scaling>
          <c:orientation val="minMax"/>
          <c:max val="1.1000000000000001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es-GT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GT" sz="1000" b="1" strike="noStrike" spc="-1">
                    <a:solidFill>
                      <a:srgbClr val="000000"/>
                    </a:solidFill>
                    <a:latin typeface="Calibri"/>
                  </a:rPr>
                  <a:t>% Nivel de Seguridad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GT"/>
          </a:p>
        </c:txPr>
        <c:crossAx val="4662792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29</xdr:row>
      <xdr:rowOff>100800</xdr:rowOff>
    </xdr:from>
    <xdr:to>
      <xdr:col>10</xdr:col>
      <xdr:colOff>2068920</xdr:colOff>
      <xdr:row>46</xdr:row>
      <xdr:rowOff>97920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0</xdr:colOff>
      <xdr:row>29</xdr:row>
      <xdr:rowOff>100800</xdr:rowOff>
    </xdr:from>
    <xdr:to>
      <xdr:col>19</xdr:col>
      <xdr:colOff>477000</xdr:colOff>
      <xdr:row>46</xdr:row>
      <xdr:rowOff>97920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11</xdr:col>
      <xdr:colOff>0</xdr:colOff>
      <xdr:row>48</xdr:row>
      <xdr:rowOff>100800</xdr:rowOff>
    </xdr:from>
    <xdr:to>
      <xdr:col>18</xdr:col>
      <xdr:colOff>368640</xdr:colOff>
      <xdr:row>63</xdr:row>
      <xdr:rowOff>119160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44</xdr:col>
      <xdr:colOff>0</xdr:colOff>
      <xdr:row>22</xdr:row>
      <xdr:rowOff>0</xdr:rowOff>
    </xdr:from>
    <xdr:to>
      <xdr:col>53</xdr:col>
      <xdr:colOff>6350</xdr:colOff>
      <xdr:row>45</xdr:row>
      <xdr:rowOff>25400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766DC6A-63FE-797F-7772-A786A5A63F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340300" y="5010150"/>
          <a:ext cx="8623300" cy="4349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4</xdr:row>
      <xdr:rowOff>0</xdr:rowOff>
    </xdr:from>
    <xdr:to>
      <xdr:col>16</xdr:col>
      <xdr:colOff>577440</xdr:colOff>
      <xdr:row>20</xdr:row>
      <xdr:rowOff>37080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21</xdr:row>
      <xdr:rowOff>0</xdr:rowOff>
    </xdr:from>
    <xdr:to>
      <xdr:col>10</xdr:col>
      <xdr:colOff>514350</xdr:colOff>
      <xdr:row>39</xdr:row>
      <xdr:rowOff>127000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1036734-80E0-87A5-6FEF-22DCFCDD03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80882" y="4295588"/>
          <a:ext cx="7603939" cy="34812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509163</xdr:colOff>
      <xdr:row>21</xdr:row>
      <xdr:rowOff>0</xdr:rowOff>
    </xdr:from>
    <xdr:to>
      <xdr:col>11</xdr:col>
      <xdr:colOff>517630</xdr:colOff>
      <xdr:row>39</xdr:row>
      <xdr:rowOff>127000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891B2074-E31B-AECC-1F07-85E99A2C74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11240" y="4244731"/>
          <a:ext cx="750928" cy="34583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9"/>
  </sheetPr>
  <dimension ref="B3:E24"/>
  <sheetViews>
    <sheetView showGridLines="0" topLeftCell="A5" zoomScaleNormal="100" workbookViewId="0">
      <selection activeCell="C14" sqref="C14"/>
    </sheetView>
  </sheetViews>
  <sheetFormatPr baseColWidth="10" defaultColWidth="8.6328125" defaultRowHeight="14.5" x14ac:dyDescent="0.35"/>
  <cols>
    <col min="1" max="1" width="4" customWidth="1"/>
    <col min="2" max="2" width="18" customWidth="1"/>
    <col min="3" max="3" width="39.08984375" customWidth="1"/>
    <col min="4" max="4" width="22" customWidth="1"/>
    <col min="5" max="5" width="18" customWidth="1"/>
    <col min="6" max="6" width="4" customWidth="1"/>
  </cols>
  <sheetData>
    <row r="3" spans="2:5" ht="21.75" customHeight="1" x14ac:dyDescent="0.35">
      <c r="B3" s="125" t="s">
        <v>0</v>
      </c>
      <c r="C3" s="125"/>
      <c r="D3" s="125"/>
      <c r="E3" s="125"/>
    </row>
    <row r="4" spans="2:5" ht="21.75" customHeight="1" x14ac:dyDescent="0.35">
      <c r="B4" s="125"/>
      <c r="C4" s="125"/>
      <c r="D4" s="125"/>
      <c r="E4" s="125"/>
    </row>
    <row r="5" spans="2:5" ht="21.75" customHeight="1" x14ac:dyDescent="0.35">
      <c r="B5" s="125"/>
      <c r="C5" s="125"/>
      <c r="D5" s="125"/>
      <c r="E5" s="125"/>
    </row>
    <row r="6" spans="2:5" ht="21.75" customHeight="1" x14ac:dyDescent="0.35">
      <c r="B6" s="125"/>
      <c r="C6" s="125"/>
      <c r="D6" s="125"/>
      <c r="E6" s="125"/>
    </row>
    <row r="7" spans="2:5" ht="24" customHeight="1" x14ac:dyDescent="0.35">
      <c r="B7" s="126" t="s">
        <v>1</v>
      </c>
      <c r="C7" s="126"/>
      <c r="D7" s="126"/>
      <c r="E7" s="126"/>
    </row>
    <row r="10" spans="2:5" ht="19.5" customHeight="1" x14ac:dyDescent="0.35">
      <c r="B10" s="1" t="s">
        <v>2</v>
      </c>
      <c r="C10" s="2" t="s">
        <v>3</v>
      </c>
    </row>
    <row r="11" spans="2:5" ht="19.5" customHeight="1" x14ac:dyDescent="0.35">
      <c r="B11" s="1" t="s">
        <v>4</v>
      </c>
      <c r="C11" s="2" t="s">
        <v>5</v>
      </c>
    </row>
    <row r="12" spans="2:5" ht="19.5" customHeight="1" x14ac:dyDescent="0.35">
      <c r="B12" s="1" t="s">
        <v>6</v>
      </c>
      <c r="C12" s="3" t="str">
        <f>Calculos!$B$2</f>
        <v>Septiembre</v>
      </c>
    </row>
    <row r="13" spans="2:5" ht="19.5" customHeight="1" x14ac:dyDescent="0.35">
      <c r="B13" s="1" t="s">
        <v>7</v>
      </c>
      <c r="C13" s="4">
        <f ca="1">TODAY()</f>
        <v>46295</v>
      </c>
    </row>
    <row r="14" spans="2:5" ht="19.5" customHeight="1" x14ac:dyDescent="0.35">
      <c r="B14" s="1" t="s">
        <v>8</v>
      </c>
      <c r="C14" s="3">
        <f>15</f>
        <v>15</v>
      </c>
    </row>
    <row r="15" spans="2:5" ht="19.5" customHeight="1" x14ac:dyDescent="0.35">
      <c r="B15" s="1" t="s">
        <v>9</v>
      </c>
      <c r="C15" s="2" t="s">
        <v>10</v>
      </c>
    </row>
    <row r="18" spans="2:5" ht="15" customHeight="1" x14ac:dyDescent="0.35">
      <c r="B18" s="127" t="s">
        <v>11</v>
      </c>
      <c r="C18" s="127"/>
      <c r="D18" s="127"/>
      <c r="E18" s="127"/>
    </row>
    <row r="19" spans="2:5" ht="18" customHeight="1" x14ac:dyDescent="0.35">
      <c r="B19" s="1" t="s">
        <v>12</v>
      </c>
      <c r="C19" s="124" t="s">
        <v>13</v>
      </c>
      <c r="D19" s="124"/>
      <c r="E19" s="124"/>
    </row>
    <row r="20" spans="2:5" ht="18" customHeight="1" x14ac:dyDescent="0.35">
      <c r="B20" s="1" t="s">
        <v>14</v>
      </c>
      <c r="C20" s="124" t="s">
        <v>15</v>
      </c>
      <c r="D20" s="124"/>
      <c r="E20" s="124"/>
    </row>
    <row r="21" spans="2:5" ht="18" customHeight="1" x14ac:dyDescent="0.35">
      <c r="B21" s="1" t="s">
        <v>16</v>
      </c>
      <c r="C21" s="124" t="s">
        <v>17</v>
      </c>
      <c r="D21" s="124"/>
      <c r="E21" s="124"/>
    </row>
    <row r="22" spans="2:5" ht="18" customHeight="1" x14ac:dyDescent="0.35">
      <c r="B22" s="1" t="s">
        <v>18</v>
      </c>
      <c r="C22" s="124" t="s">
        <v>19</v>
      </c>
      <c r="D22" s="124"/>
      <c r="E22" s="124"/>
    </row>
    <row r="23" spans="2:5" ht="18" customHeight="1" x14ac:dyDescent="0.35">
      <c r="B23" s="1" t="s">
        <v>20</v>
      </c>
      <c r="C23" s="124" t="s">
        <v>21</v>
      </c>
      <c r="D23" s="124"/>
      <c r="E23" s="124"/>
    </row>
    <row r="24" spans="2:5" ht="18" customHeight="1" x14ac:dyDescent="0.35">
      <c r="B24" s="1" t="s">
        <v>22</v>
      </c>
      <c r="C24" s="124" t="s">
        <v>23</v>
      </c>
      <c r="D24" s="124"/>
      <c r="E24" s="124"/>
    </row>
  </sheetData>
  <mergeCells count="9">
    <mergeCell ref="C21:E21"/>
    <mergeCell ref="C22:E22"/>
    <mergeCell ref="C23:E23"/>
    <mergeCell ref="C24:E24"/>
    <mergeCell ref="B3:E6"/>
    <mergeCell ref="B7:E7"/>
    <mergeCell ref="B18:E18"/>
    <mergeCell ref="C19:E19"/>
    <mergeCell ref="C20:E20"/>
  </mergeCells>
  <pageMargins left="0.75" right="0.75" top="1" bottom="1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5"/>
  <sheetViews>
    <sheetView showGridLines="0" zoomScaleNormal="100" workbookViewId="0">
      <selection activeCell="B2" sqref="B2"/>
    </sheetView>
  </sheetViews>
  <sheetFormatPr baseColWidth="10" defaultColWidth="8.6328125" defaultRowHeight="14.5" x14ac:dyDescent="0.35"/>
  <cols>
    <col min="1" max="1" width="42" customWidth="1"/>
    <col min="2" max="2" width="16" customWidth="1"/>
    <col min="3" max="3" width="22" customWidth="1"/>
    <col min="4" max="4" width="16" customWidth="1"/>
    <col min="5" max="5" width="13" hidden="1" customWidth="1"/>
  </cols>
  <sheetData>
    <row r="1" spans="1:8" ht="21.75" customHeight="1" x14ac:dyDescent="0.35">
      <c r="A1" s="117" t="s">
        <v>24</v>
      </c>
      <c r="B1" s="117"/>
      <c r="C1" s="117"/>
      <c r="D1" s="117"/>
      <c r="E1" s="117"/>
      <c r="F1" s="117"/>
      <c r="G1" s="117"/>
      <c r="H1" s="117"/>
    </row>
    <row r="2" spans="1:8" ht="15" customHeight="1" x14ac:dyDescent="0.35">
      <c r="A2" s="5" t="s">
        <v>25</v>
      </c>
      <c r="B2" s="6" t="s">
        <v>293</v>
      </c>
    </row>
    <row r="3" spans="1:8" ht="15" customHeight="1" x14ac:dyDescent="0.35">
      <c r="A3" s="127" t="s">
        <v>27</v>
      </c>
      <c r="B3" s="127"/>
      <c r="C3" s="127"/>
      <c r="D3" s="127"/>
    </row>
    <row r="4" spans="1:8" ht="27.75" customHeight="1" x14ac:dyDescent="0.35">
      <c r="A4" s="7" t="s">
        <v>28</v>
      </c>
      <c r="B4" s="7" t="s">
        <v>29</v>
      </c>
      <c r="C4" s="7" t="s">
        <v>30</v>
      </c>
      <c r="D4" s="7" t="s">
        <v>31</v>
      </c>
    </row>
    <row r="5" spans="1:8" ht="14.25" customHeight="1" x14ac:dyDescent="0.35">
      <c r="A5" s="8" t="s">
        <v>32</v>
      </c>
      <c r="B5" s="9">
        <f>Parametros!E6</f>
        <v>0.2</v>
      </c>
      <c r="C5" s="10">
        <f ca="1">AVERAGE(INDIRECT("'Captura "&amp;Calculos!$B$2&amp;"'!"&amp;"G6"):INDIRECT("'Captura "&amp;Calculos!$B$2&amp;"'!"&amp;"G20"))</f>
        <v>0.18731333333333339</v>
      </c>
      <c r="D5" s="11">
        <f t="shared" ref="D5:D11" ca="1" si="0">IFERROR(C5/B5,0)</f>
        <v>0.93656666666666688</v>
      </c>
    </row>
    <row r="6" spans="1:8" ht="14.25" customHeight="1" x14ac:dyDescent="0.35">
      <c r="A6" s="8" t="s">
        <v>33</v>
      </c>
      <c r="B6" s="9">
        <f>Parametros!E7</f>
        <v>0.08</v>
      </c>
      <c r="C6" s="10">
        <f ca="1">AVERAGE(INDIRECT("'Captura "&amp;Calculos!$B$2&amp;"'!"&amp;"K6"):INDIRECT("'Captura "&amp;Calculos!$B$2&amp;"'!"&amp;"K20"))</f>
        <v>0.08</v>
      </c>
      <c r="D6" s="11">
        <f t="shared" ca="1" si="0"/>
        <v>1</v>
      </c>
    </row>
    <row r="7" spans="1:8" ht="14.25" customHeight="1" x14ac:dyDescent="0.35">
      <c r="A7" s="8" t="s">
        <v>34</v>
      </c>
      <c r="B7" s="9">
        <f>Parametros!E8</f>
        <v>0.08</v>
      </c>
      <c r="C7" s="10">
        <f ca="1">AVERAGE(INDIRECT("'Captura "&amp;Calculos!$B$2&amp;"'!"&amp;"N6"):INDIRECT("'Captura "&amp;Calculos!$B$2&amp;"'!"&amp;"N20"))</f>
        <v>7.7546666666666667E-2</v>
      </c>
      <c r="D7" s="11">
        <f t="shared" ca="1" si="0"/>
        <v>0.96933333333333327</v>
      </c>
    </row>
    <row r="8" spans="1:8" ht="14.25" customHeight="1" x14ac:dyDescent="0.35">
      <c r="A8" s="8" t="s">
        <v>35</v>
      </c>
      <c r="B8" s="9">
        <f>Parametros!E9</f>
        <v>0.08</v>
      </c>
      <c r="C8" s="10">
        <f ca="1">AVERAGE(INDIRECT("'Captura "&amp;Calculos!$B$2&amp;"'!"&amp;"N6"):INDIRECT("'Captura "&amp;Calculos!$B$2&amp;"'!"&amp;"N20"))</f>
        <v>7.7546666666666667E-2</v>
      </c>
      <c r="D8" s="11">
        <f t="shared" ca="1" si="0"/>
        <v>0.96933333333333327</v>
      </c>
    </row>
    <row r="9" spans="1:8" ht="14.25" customHeight="1" x14ac:dyDescent="0.35">
      <c r="A9" s="8" t="s">
        <v>36</v>
      </c>
      <c r="B9" s="9">
        <f>Parametros!E10</f>
        <v>0.06</v>
      </c>
      <c r="C9" s="10">
        <f ca="1">AVERAGE(INDIRECT("'Captura "&amp;Calculos!$B$2&amp;"'!"&amp;"T6"):INDIRECT("'Captura "&amp;Calculos!$B$2&amp;"'!"&amp;"T20"))</f>
        <v>2.4E-2</v>
      </c>
      <c r="D9" s="11">
        <f t="shared" ca="1" si="0"/>
        <v>0.4</v>
      </c>
    </row>
    <row r="10" spans="1:8" ht="14.25" customHeight="1" x14ac:dyDescent="0.35">
      <c r="A10" s="8" t="s">
        <v>37</v>
      </c>
      <c r="B10" s="9">
        <f>Parametros!E11</f>
        <v>0.25</v>
      </c>
      <c r="C10" s="10">
        <f ca="1">AVERAGE(INDIRECT("'Captura "&amp;Calculos!$B$2&amp;"'!"&amp;"V6"):INDIRECT("'Captura "&amp;Calculos!$B$2&amp;"'!"&amp;"V20"))</f>
        <v>0.23820000000000002</v>
      </c>
      <c r="D10" s="11">
        <f t="shared" ca="1" si="0"/>
        <v>0.95280000000000009</v>
      </c>
    </row>
    <row r="11" spans="1:8" ht="14.25" customHeight="1" x14ac:dyDescent="0.35">
      <c r="A11" s="8" t="s">
        <v>38</v>
      </c>
      <c r="B11" s="9">
        <f>Parametros!E12</f>
        <v>0.25</v>
      </c>
      <c r="C11" s="10">
        <f ca="1">AVERAGE(INDIRECT("'Captura "&amp;Calculos!$B$2&amp;"'!"&amp;"X6"):INDIRECT("'Captura "&amp;Calculos!$B$2&amp;"'!"&amp;"X20"))</f>
        <v>0.14333333333333337</v>
      </c>
      <c r="D11" s="11">
        <f t="shared" ca="1" si="0"/>
        <v>0.57333333333333347</v>
      </c>
    </row>
    <row r="13" spans="1:8" ht="26.25" customHeight="1" x14ac:dyDescent="0.35">
      <c r="A13" s="127" t="s">
        <v>39</v>
      </c>
      <c r="B13" s="127"/>
    </row>
    <row r="14" spans="1:8" ht="14.25" customHeight="1" x14ac:dyDescent="0.35">
      <c r="A14" s="8" t="s">
        <v>40</v>
      </c>
      <c r="B14" s="10">
        <f ca="1">AVERAGE(INDIRECT("'Captura "&amp;Calculos!$B$2&amp;"'!"&amp;"X6"):INDIRECT("'Captura "&amp;Calculos!$B$2&amp;"'!"&amp;"X20"))</f>
        <v>0.14333333333333337</v>
      </c>
    </row>
    <row r="15" spans="1:8" ht="14.25" customHeight="1" x14ac:dyDescent="0.35">
      <c r="A15" s="8" t="s">
        <v>41</v>
      </c>
      <c r="B15" s="12">
        <f ca="1">COUNTIF(INDIRECT("'Captura "&amp;Calculos!$B$2&amp;"'!"&amp;"X6"):INDIRECT("'Captura "&amp;Calculos!$B$2&amp;"'!"&amp;"X20"),"&gt;=0.04")</f>
        <v>12</v>
      </c>
    </row>
    <row r="16" spans="1:8" ht="14.25" customHeight="1" x14ac:dyDescent="0.35">
      <c r="A16" s="8" t="s">
        <v>42</v>
      </c>
      <c r="B16" s="10">
        <f ca="1">AVERAGE(INDIRECT("'Captura "&amp;Calculos!$B$2&amp;"'!"&amp;"AN6"):INDIRECT("'Captura "&amp;Calculos!$B$2&amp;"'!"&amp;"AN20"))</f>
        <v>1.6666666666666666E-2</v>
      </c>
    </row>
    <row r="17" spans="1:5" ht="14.25" customHeight="1" x14ac:dyDescent="0.35">
      <c r="A17" s="8" t="s">
        <v>43</v>
      </c>
      <c r="B17" s="12">
        <f ca="1">COUNTIF(INDIRECT("'Captura "&amp;Calculos!$B$2&amp;"'!"&amp;"AJ6"):INDIRECT("'Captura "&amp;Calculos!$B$2&amp;"'!"&amp;"AJ20"),"SI")</f>
        <v>0</v>
      </c>
    </row>
    <row r="18" spans="1:5" ht="14.25" customHeight="1" x14ac:dyDescent="0.35">
      <c r="A18" s="8" t="s">
        <v>44</v>
      </c>
      <c r="B18" s="10">
        <f ca="1">SUM(INDIRECT("'Captura "&amp;Calculos!$B$2&amp;"'!"&amp;"AL6"):INDIRECT("'Captura "&amp;Calculos!$B$2&amp;"'!"&amp;"AL20"))</f>
        <v>0</v>
      </c>
    </row>
    <row r="19" spans="1:5" ht="14.25" customHeight="1" x14ac:dyDescent="0.35">
      <c r="A19" s="8" t="s">
        <v>45</v>
      </c>
      <c r="B19" s="13">
        <f ca="1">SUM(INDIRECT("'Captura "&amp;Calculos!$B$2&amp;"'!"&amp;"AJ6"):INDIRECT("'Captura "&amp;Calculos!$B$2&amp;"'!"&amp;"AJ20"))</f>
        <v>0</v>
      </c>
    </row>
    <row r="21" spans="1:5" ht="15" customHeight="1" x14ac:dyDescent="0.35">
      <c r="A21" s="127" t="s">
        <v>46</v>
      </c>
      <c r="B21" s="127"/>
      <c r="C21" s="127"/>
      <c r="D21" s="127"/>
    </row>
    <row r="22" spans="1:5" ht="14.25" customHeight="1" x14ac:dyDescent="0.35">
      <c r="A22" s="7" t="s">
        <v>47</v>
      </c>
      <c r="B22" s="7" t="s">
        <v>48</v>
      </c>
      <c r="C22" s="7" t="s">
        <v>49</v>
      </c>
      <c r="D22" s="7" t="s">
        <v>50</v>
      </c>
      <c r="E22" s="14" t="s">
        <v>51</v>
      </c>
    </row>
    <row r="23" spans="1:5" ht="23.25" customHeight="1" x14ac:dyDescent="0.35">
      <c r="A23" s="12">
        <v>1</v>
      </c>
      <c r="B23" s="8" t="str">
        <f ca="1">INDEX(INDIRECT("'Captura "&amp;Calculos!$B$2&amp;"'!"&amp;"B6"):INDIRECT("'Captura "&amp;Calculos!$B$2&amp;"'!"&amp;"B20"),MATCH(LARGE($E$23:$E$37,1),$E$23:$E$37,0))</f>
        <v>Calidad</v>
      </c>
      <c r="C23" s="11">
        <f ca="1">LARGE(INDIRECT("'Captura "&amp;Calculos!$B$2&amp;"'!"&amp;"AL6"):INDIRECT("'Captura "&amp;Calculos!$B$2&amp;"'!"&amp;"AL20"),1)</f>
        <v>0</v>
      </c>
      <c r="D23" s="12" t="str">
        <f ca="1">IF(C23&gt;=Parametros!$C$37,"Verde",IF(C23&gt;=Parametros!$C$38,"Amarillo","Rojo"))</f>
        <v>Rojo</v>
      </c>
      <c r="E23" s="15">
        <f ca="1">INDIRECT("'Captura "&amp;Calculos!$B$2&amp;"'!"&amp;"AL6")*100000-6</f>
        <v>-6</v>
      </c>
    </row>
    <row r="24" spans="1:5" ht="24.75" customHeight="1" x14ac:dyDescent="0.35">
      <c r="A24" s="12">
        <v>2</v>
      </c>
      <c r="B24" s="8" t="str">
        <f ca="1">INDEX(INDIRECT("'Captura "&amp;Calculos!$B$2&amp;"'!"&amp;"B6"):INDIRECT("'Captura "&amp;Calculos!$B$2&amp;"'!"&amp;"B20"),MATCH(LARGE($E$23:$E$37,2),$E$23:$E$37,0))</f>
        <v>Jarabes</v>
      </c>
      <c r="C24" s="11">
        <f ca="1">LARGE(INDIRECT("'Captura "&amp;Calculos!$B$2&amp;"'!"&amp;"AL6"):INDIRECT("'Captura "&amp;Calculos!$B$2&amp;"'!"&amp;"AL20"),2)</f>
        <v>0</v>
      </c>
      <c r="D24" s="12" t="str">
        <f ca="1">IF(C24&gt;=Parametros!$C$37,"Verde",IF(C24&gt;=Parametros!$C$38,"Amarillo","Rojo"))</f>
        <v>Rojo</v>
      </c>
      <c r="E24" s="15">
        <f ca="1">INDIRECT("'Captura "&amp;Calculos!$B$2&amp;"'!"&amp;"AQ7")*100000-7</f>
        <v>55043</v>
      </c>
    </row>
    <row r="25" spans="1:5" ht="24.75" customHeight="1" x14ac:dyDescent="0.35">
      <c r="A25" s="12">
        <v>3</v>
      </c>
      <c r="B25" s="8" t="str">
        <f ca="1">INDEX(INDIRECT("'Captura "&amp;Calculos!$B$2&amp;"'!"&amp;"B6"):INDIRECT("'Captura "&amp;Calculos!$B$2&amp;"'!"&amp;"B20"),MATCH(LARGE($E$23:$E$37,3),$E$23:$E$37,0))</f>
        <v>ETEI</v>
      </c>
      <c r="C25" s="11">
        <f ca="1">LARGE(INDIRECT("'Captura "&amp;Calculos!$B$2&amp;"'!"&amp;"AL6"):INDIRECT("'Captura "&amp;Calculos!$B$2&amp;"'!"&amp;"AL20"),3)</f>
        <v>0</v>
      </c>
      <c r="D25" s="12" t="str">
        <f ca="1">IF(C25&gt;=Parametros!$C$37,"Verde",IF(C25&gt;=Parametros!$C$38,"Amarillo","Rojo"))</f>
        <v>Rojo</v>
      </c>
      <c r="E25" s="15">
        <f ca="1">INDIRECT("'Captura "&amp;Calculos!$B$2&amp;"'!"&amp;"AQ8")*100000-8</f>
        <v>99992</v>
      </c>
    </row>
    <row r="26" spans="1:5" ht="23.25" customHeight="1" x14ac:dyDescent="0.35">
      <c r="A26" s="12">
        <v>4</v>
      </c>
      <c r="B26" s="8" t="str">
        <f ca="1">INDEX(INDIRECT("'Captura "&amp;Calculos!$B$2&amp;"'!"&amp;"B6"):INDIRECT("'Captura "&amp;Calculos!$B$2&amp;"'!"&amp;"B20"),MATCH(LARGE($E$23:$E$37,4),$E$23:$E$37,0))</f>
        <v>Linea 4</v>
      </c>
      <c r="C26" s="11">
        <f ca="1">LARGE(INDIRECT("'Captura "&amp;Calculos!$B$2&amp;"'!"&amp;"AL6"):INDIRECT("'Captura "&amp;Calculos!$B$2&amp;"'!"&amp;"AL20"),4)</f>
        <v>0</v>
      </c>
      <c r="D26" s="12" t="str">
        <f ca="1">IF(C26&gt;=Parametros!$C$37,"Verde",IF(C26&gt;=Parametros!$C$38,"Amarillo","Rojo"))</f>
        <v>Rojo</v>
      </c>
      <c r="E26" s="15">
        <f ca="1">INDIRECT("'Captura "&amp;Calculos!$B$2&amp;"'!"&amp;"AQ9")*100000-9</f>
        <v>86666.000000000015</v>
      </c>
    </row>
    <row r="27" spans="1:5" ht="14.25" customHeight="1" x14ac:dyDescent="0.35">
      <c r="A27" s="12">
        <v>5</v>
      </c>
      <c r="B27" s="8" t="str">
        <f ca="1">INDEX(INDIRECT("'Captura "&amp;Calculos!$B$2&amp;"'!"&amp;"B6"):INDIRECT("'Captura "&amp;Calculos!$B$2&amp;"'!"&amp;"B20"),MATCH(LARGE($E$23:$E$37,5),$E$23:$E$37,0))</f>
        <v>Mantenimiento</v>
      </c>
      <c r="C27" s="11">
        <f ca="1">LARGE(INDIRECT("'Captura "&amp;Calculos!$B$2&amp;"'!"&amp;"AL6"):INDIRECT("'Captura "&amp;Calculos!$B$2&amp;"'!"&amp;"AL20"),5)</f>
        <v>0</v>
      </c>
      <c r="D27" s="12" t="str">
        <f ca="1">IF(C27&gt;=Parametros!$C$37,"Verde",IF(C27&gt;=Parametros!$C$38,"Amarillo","Rojo"))</f>
        <v>Rojo</v>
      </c>
      <c r="E27" s="15">
        <f ca="1">INDIRECT("'Captura "&amp;Calculos!$B$2&amp;"'!"&amp;"AQ10")*100000-10</f>
        <v>97290.000000000015</v>
      </c>
    </row>
    <row r="28" spans="1:5" ht="14.25" customHeight="1" x14ac:dyDescent="0.35">
      <c r="A28" s="12">
        <v>6</v>
      </c>
      <c r="B28" s="8" t="str">
        <f ca="1">INDEX(INDIRECT("'Captura "&amp;Calculos!$B$2&amp;"'!"&amp;"B6"):INDIRECT("'Captura "&amp;Calculos!$B$2&amp;"'!"&amp;"B20"),MATCH(LARGE($E$23:$E$37,6),$E$23:$E$37,0))</f>
        <v>Centro de Distribucion</v>
      </c>
      <c r="C28" s="11">
        <f ca="1">LARGE(INDIRECT("'Captura "&amp;Calculos!$B$2&amp;"'!"&amp;"AL6"):INDIRECT("'Captura "&amp;Calculos!$B$2&amp;"'!"&amp;"AL20"),6)</f>
        <v>0</v>
      </c>
      <c r="D28" s="12" t="str">
        <f ca="1">IF(C28&gt;=Parametros!$C$37,"Verde",IF(C28&gt;=Parametros!$C$38,"Amarillo","Rojo"))</f>
        <v>Rojo</v>
      </c>
      <c r="E28" s="15">
        <f ca="1">INDIRECT("'Captura "&amp;Calculos!$B$2&amp;"'!"&amp;"AQ11")*100000-11</f>
        <v>81759.000000000015</v>
      </c>
    </row>
    <row r="29" spans="1:5" ht="14.25" customHeight="1" x14ac:dyDescent="0.35">
      <c r="A29" s="12">
        <v>7</v>
      </c>
      <c r="B29" s="8" t="str">
        <f ca="1">INDEX(INDIRECT("'Captura "&amp;Calculos!$B$2&amp;"'!"&amp;"B6"):INDIRECT("'Captura "&amp;Calculos!$B$2&amp;"'!"&amp;"B20"),MATCH(LARGE($E$23:$E$37,7),$E$23:$E$37,0))</f>
        <v>Materias Primas</v>
      </c>
      <c r="C29" s="11">
        <f ca="1">LARGE(INDIRECT("'Captura "&amp;Calculos!$B$2&amp;"'!"&amp;"AL6"):INDIRECT("'Captura "&amp;Calculos!$B$2&amp;"'!"&amp;"AL20"),7)</f>
        <v>0</v>
      </c>
      <c r="D29" s="12" t="str">
        <f ca="1">IF(C29&gt;=Parametros!$C$37,"Verde",IF(C29&gt;=Parametros!$C$38,"Amarillo","Rojo"))</f>
        <v>Rojo</v>
      </c>
      <c r="E29" s="15">
        <f ca="1">INDIRECT("'Captura "&amp;Calculos!$B$2&amp;"'!"&amp;"AQ12")*100000-12</f>
        <v>99988</v>
      </c>
    </row>
    <row r="30" spans="1:5" ht="24.75" customHeight="1" x14ac:dyDescent="0.35">
      <c r="A30" s="12">
        <v>8</v>
      </c>
      <c r="B30" s="8" t="str">
        <f ca="1">INDEX(INDIRECT("'Captura "&amp;Calculos!$B$2&amp;"'!"&amp;"B6"):INDIRECT("'Captura "&amp;Calculos!$B$2&amp;"'!"&amp;"B20"),MATCH(LARGE($E$23:$E$37,8),$E$23:$E$37,0))</f>
        <v>Equipos Auxiliares</v>
      </c>
      <c r="C30" s="11">
        <f ca="1">LARGE(INDIRECT("'Captura "&amp;Calculos!$B$2&amp;"'!"&amp;"AL6"):INDIRECT("'Captura "&amp;Calculos!$B$2&amp;"'!"&amp;"AL20"),8)</f>
        <v>0</v>
      </c>
      <c r="D30" s="12" t="str">
        <f ca="1">IF(C30&gt;=Parametros!$C$37,"Verde",IF(C30&gt;=Parametros!$C$38,"Amarillo","Rojo"))</f>
        <v>Rojo</v>
      </c>
      <c r="E30" s="15">
        <f ca="1">INDIRECT("'Captura "&amp;Calculos!$B$2&amp;"'!"&amp;"AQ13")*100000-13</f>
        <v>69611</v>
      </c>
    </row>
    <row r="31" spans="1:5" ht="14.25" customHeight="1" x14ac:dyDescent="0.35">
      <c r="A31" s="12">
        <v>9</v>
      </c>
      <c r="B31" s="8" t="str">
        <f ca="1">INDEX(INDIRECT("'Captura "&amp;Calculos!$B$2&amp;"'!"&amp;"B6"):INDIRECT("'Captura "&amp;Calculos!$B$2&amp;"'!"&amp;"B20"),MATCH(LARGE($E$23:$E$37,9),$E$23:$E$37,0))</f>
        <v>Linea 3</v>
      </c>
      <c r="C31" s="11">
        <f ca="1">LARGE(INDIRECT("'Captura "&amp;Calculos!$B$2&amp;"'!"&amp;"AL6"):INDIRECT("'Captura "&amp;Calculos!$B$2&amp;"'!"&amp;"AL20"),9)</f>
        <v>0</v>
      </c>
      <c r="D31" s="12" t="str">
        <f ca="1">IF(C31&gt;=Parametros!$C$37,"Verde",IF(C31&gt;=Parametros!$C$38,"Amarillo","Rojo"))</f>
        <v>Rojo</v>
      </c>
      <c r="E31" s="15">
        <f ca="1">INDIRECT("'Captura "&amp;Calculos!$B$2&amp;"'!"&amp;"AQ14")*100000-14</f>
        <v>76487</v>
      </c>
    </row>
    <row r="32" spans="1:5" ht="14.25" customHeight="1" x14ac:dyDescent="0.35">
      <c r="A32" s="12">
        <v>10</v>
      </c>
      <c r="B32" s="8" t="str">
        <f ca="1">INDEX(INDIRECT("'Captura "&amp;Calculos!$B$2&amp;"'!"&amp;"B6"):INDIRECT("'Captura "&amp;Calculos!$B$2&amp;"'!"&amp;"B20"),MATCH(LARGE($E$23:$E$37,10),$E$23:$E$37,0))</f>
        <v>Linea 2</v>
      </c>
      <c r="C32" s="11">
        <f ca="1">LARGE(INDIRECT("'Captura "&amp;Calculos!$B$2&amp;"'!"&amp;"AL6"):INDIRECT("'Captura "&amp;Calculos!$B$2&amp;"'!"&amp;"AL20"),10)</f>
        <v>0</v>
      </c>
      <c r="D32" s="12" t="str">
        <f ca="1">IF(C32&gt;=Parametros!$C$37,"Verde",IF(C32&gt;=Parametros!$C$38,"Amarillo","Rojo"))</f>
        <v>Rojo</v>
      </c>
      <c r="E32" s="15">
        <f ca="1">INDIRECT("'Captura "&amp;Calculos!$B$2&amp;"'!"&amp;"AQ15")*100000-15</f>
        <v>77840.000000000015</v>
      </c>
    </row>
    <row r="33" spans="1:5" ht="14.25" customHeight="1" x14ac:dyDescent="0.35">
      <c r="A33" s="12">
        <v>11</v>
      </c>
      <c r="B33" s="8" t="str">
        <f ca="1">INDEX(INDIRECT("'Captura "&amp;Calculos!$B$2&amp;"'!"&amp;"B6"):INDIRECT("'Captura "&amp;Calculos!$B$2&amp;"'!"&amp;"B20"),MATCH(LARGE($E$23:$E$37,11),$E$23:$E$37,0))</f>
        <v>Linea 1</v>
      </c>
      <c r="C33" s="11">
        <f ca="1">LARGE(INDIRECT("'Captura "&amp;Calculos!$B$2&amp;"'!"&amp;"AL6"):INDIRECT("'Captura "&amp;Calculos!$B$2&amp;"'!"&amp;"AL20"),11)</f>
        <v>0</v>
      </c>
      <c r="D33" s="12" t="str">
        <f ca="1">IF(C33&gt;=Parametros!$C$37,"Verde",IF(C33&gt;=Parametros!$C$38,"Amarillo","Rojo"))</f>
        <v>Rojo</v>
      </c>
      <c r="E33" s="15">
        <f ca="1">INDIRECT("'Captura "&amp;Calculos!$B$2&amp;"'!"&amp;"AQ16")*100000-16</f>
        <v>91819</v>
      </c>
    </row>
    <row r="34" spans="1:5" ht="14.25" customHeight="1" x14ac:dyDescent="0.35">
      <c r="A34" s="12">
        <v>12</v>
      </c>
      <c r="B34" s="8" t="str">
        <f ca="1">INDEX(INDIRECT("'Captura "&amp;Calculos!$B$2&amp;"'!"&amp;"B6"):INDIRECT("'Captura "&amp;Calculos!$B$2&amp;"'!"&amp;"B20"),MATCH(LARGE($E$23:$E$37,12),$E$23:$E$37,0))</f>
        <v>Linea 5</v>
      </c>
      <c r="C34" s="11">
        <f ca="1">LARGE(INDIRECT("'Captura "&amp;Calculos!$B$2&amp;"'!"&amp;"AL6"):INDIRECT("'Captura "&amp;Calculos!$B$2&amp;"'!"&amp;"AL20"),12)</f>
        <v>0</v>
      </c>
      <c r="D34" s="12" t="str">
        <f ca="1">IF(C34&gt;=Parametros!$C$37,"Verde",IF(C34&gt;=Parametros!$C$38,"Amarillo","Rojo"))</f>
        <v>Rojo</v>
      </c>
      <c r="E34" s="15">
        <f ca="1">INDIRECT("'Captura "&amp;Calculos!$B$2&amp;"'!"&amp;"AQ17")*100000-17</f>
        <v>61798</v>
      </c>
    </row>
    <row r="35" spans="1:5" ht="14.25" customHeight="1" x14ac:dyDescent="0.35">
      <c r="A35" s="12">
        <v>13</v>
      </c>
      <c r="B35" s="8" t="str">
        <f ca="1">INDEX(INDIRECT("'Captura "&amp;Calculos!$B$2&amp;"'!"&amp;"B6"):INDIRECT("'Captura "&amp;Calculos!$B$2&amp;"'!"&amp;"B20"),MATCH(LARGE($E$23:$E$37,13),$E$23:$E$37,0))</f>
        <v>Alrededores</v>
      </c>
      <c r="C35" s="11">
        <f ca="1">LARGE(INDIRECT("'Captura "&amp;Calculos!$B$2&amp;"'!"&amp;"AL6"):INDIRECT("'Captura "&amp;Calculos!$B$2&amp;"'!"&amp;"AL20"),13)</f>
        <v>0</v>
      </c>
      <c r="D35" s="12" t="str">
        <f ca="1">IF(C35&gt;=Parametros!$C$37,"Verde",IF(C35&gt;=Parametros!$C$38,"Amarillo","Rojo"))</f>
        <v>Rojo</v>
      </c>
      <c r="E35" s="15">
        <f ca="1">INDIRECT("'Captura "&amp;Calculos!$B$2&amp;"'!"&amp;"AQ18")*100000-18</f>
        <v>91272</v>
      </c>
    </row>
    <row r="36" spans="1:5" ht="14.25" customHeight="1" x14ac:dyDescent="0.35">
      <c r="A36" s="12">
        <v>14</v>
      </c>
      <c r="B36" s="8" t="str">
        <f ca="1">INDEX(INDIRECT("'Captura "&amp;Calculos!$B$2&amp;"'!"&amp;"B6"):INDIRECT("'Captura "&amp;Calculos!$B$2&amp;"'!"&amp;"B20"),MATCH(LARGE($E$23:$E$37,14),$E$23:$E$37,0))</f>
        <v>Almacen de Repuestos</v>
      </c>
      <c r="C36" s="11">
        <f ca="1">LARGE(INDIRECT("'Captura "&amp;Calculos!$B$2&amp;"'!"&amp;"AL6"):INDIRECT("'Captura "&amp;Calculos!$B$2&amp;"'!"&amp;"AL20"),14)</f>
        <v>0</v>
      </c>
      <c r="D36" s="12" t="str">
        <f ca="1">IF(C36&gt;=Parametros!$C$37,"Verde",IF(C36&gt;=Parametros!$C$38,"Amarillo","Rojo"))</f>
        <v>Rojo</v>
      </c>
      <c r="E36" s="15">
        <f ca="1">INDIRECT("'Captura "&amp;Calculos!$B$2&amp;"'!"&amp;"AQ19")*100000-19</f>
        <v>86106.000000000015</v>
      </c>
    </row>
    <row r="37" spans="1:5" ht="23.25" customHeight="1" x14ac:dyDescent="0.35">
      <c r="A37" s="12">
        <v>15</v>
      </c>
      <c r="B37" s="8" t="str">
        <f ca="1">INDEX(INDIRECT("'Captura "&amp;Calculos!$B$2&amp;"'!"&amp;"B6"):INDIRECT("'Captura "&amp;Calculos!$B$2&amp;"'!"&amp;"B20"),MATCH(LARGE($E$23:$E$37,15),$E$23:$E$37,0))</f>
        <v>Tratamiento de Aguas</v>
      </c>
      <c r="C37" s="11">
        <f ca="1">LARGE(INDIRECT("'Captura "&amp;Calculos!$B$2&amp;"'!"&amp;"AL6"):INDIRECT("'Captura "&amp;Calculos!$B$2&amp;"'!"&amp;"AL20"),15)</f>
        <v>0</v>
      </c>
      <c r="D37" s="12" t="str">
        <f ca="1">IF(C37&gt;=Parametros!$C$37,"Verde",IF(C37&gt;=Parametros!$C$38,"Amarillo","Rojo"))</f>
        <v>Rojo</v>
      </c>
      <c r="E37" s="15">
        <f ca="1">INDIRECT("'Captura "&amp;Calculos!$B$2&amp;"'!"&amp;"AL20")*100000-20</f>
        <v>-20</v>
      </c>
    </row>
    <row r="39" spans="1:5" ht="15" customHeight="1" x14ac:dyDescent="0.35">
      <c r="A39" s="127" t="s">
        <v>52</v>
      </c>
      <c r="B39" s="127"/>
    </row>
    <row r="40" spans="1:5" ht="14.25" customHeight="1" x14ac:dyDescent="0.35">
      <c r="A40" s="16" t="s">
        <v>53</v>
      </c>
      <c r="B40" s="16">
        <f ca="1">COUNTIF(D23:D37,"Verde")</f>
        <v>0</v>
      </c>
    </row>
    <row r="41" spans="1:5" ht="14.25" customHeight="1" x14ac:dyDescent="0.35">
      <c r="A41" s="16" t="s">
        <v>54</v>
      </c>
      <c r="B41" s="16">
        <f ca="1">COUNTIF(D23:D37,"Amarillo")</f>
        <v>0</v>
      </c>
    </row>
    <row r="42" spans="1:5" ht="14.25" customHeight="1" x14ac:dyDescent="0.35">
      <c r="A42" s="16" t="s">
        <v>55</v>
      </c>
      <c r="B42" s="16">
        <f ca="1">COUNTIF(D23:D37,"Rojo")</f>
        <v>15</v>
      </c>
    </row>
    <row r="44" spans="1:5" ht="14.25" customHeight="1" x14ac:dyDescent="0.35">
      <c r="A44" s="5" t="s">
        <v>56</v>
      </c>
      <c r="B44" s="17">
        <f ca="1">INDIRECT("'Captura "&amp;Calculos!$B$2&amp;"'!"&amp;"AQ23")</f>
        <v>0.83891666666666675</v>
      </c>
    </row>
    <row r="45" spans="1:5" ht="14.25" customHeight="1" x14ac:dyDescent="0.35">
      <c r="A45" s="5" t="s">
        <v>57</v>
      </c>
      <c r="B45" s="18" t="str">
        <f ca="1">IF(B44&gt;=Parametros!$C$37,"Verde",IF(B44&gt;=Parametros!$C$38,"Amarillo","Rojo"))</f>
        <v>Amarillo</v>
      </c>
    </row>
  </sheetData>
  <mergeCells count="5">
    <mergeCell ref="A1:H1"/>
    <mergeCell ref="A3:D3"/>
    <mergeCell ref="A13:B13"/>
    <mergeCell ref="A21:D21"/>
    <mergeCell ref="A39:B39"/>
  </mergeCells>
  <conditionalFormatting sqref="D23:D37">
    <cfRule type="cellIs" dxfId="115" priority="2" operator="equal">
      <formula>"Verde"</formula>
    </cfRule>
    <cfRule type="cellIs" dxfId="114" priority="3" operator="equal">
      <formula>"Amarillo"</formula>
    </cfRule>
    <cfRule type="cellIs" dxfId="113" priority="4" operator="equal">
      <formula>"Rojo"</formula>
    </cfRule>
  </conditionalFormatting>
  <dataValidations count="1">
    <dataValidation type="list" sqref="B2" xr:uid="{00000000-0002-0000-0100-000000000000}">
      <formula1>"Enero,Febrero,Marzo,Abril,Mayo,Junio,Julio,Agosto,Septiembre,Octubre,Noviembre,Diciembre"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F4E79"/>
    <pageSetUpPr fitToPage="1"/>
  </sheetPr>
  <dimension ref="B2:U50"/>
  <sheetViews>
    <sheetView showGridLines="0" zoomScale="71" zoomScaleNormal="71" workbookViewId="0">
      <selection activeCell="G13" sqref="G13"/>
    </sheetView>
  </sheetViews>
  <sheetFormatPr baseColWidth="10" defaultColWidth="8.6328125" defaultRowHeight="14.5" x14ac:dyDescent="0.35"/>
  <cols>
    <col min="2" max="2" width="22" customWidth="1"/>
    <col min="3" max="3" width="10" customWidth="1"/>
    <col min="4" max="6" width="3" customWidth="1"/>
    <col min="7" max="7" width="26" customWidth="1"/>
    <col min="8" max="8" width="10" customWidth="1"/>
    <col min="9" max="10" width="8" customWidth="1"/>
    <col min="11" max="11" width="40.54296875" customWidth="1"/>
    <col min="12" max="18" width="8" customWidth="1"/>
  </cols>
  <sheetData>
    <row r="2" spans="2:18" ht="21.75" customHeight="1" x14ac:dyDescent="0.35">
      <c r="B2" s="133" t="s">
        <v>58</v>
      </c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133"/>
      <c r="P2" s="133"/>
      <c r="Q2" s="133"/>
      <c r="R2" s="133"/>
    </row>
    <row r="3" spans="2:18" ht="21.75" customHeight="1" x14ac:dyDescent="0.35">
      <c r="B3" s="133"/>
      <c r="C3" s="133"/>
      <c r="D3" s="133"/>
      <c r="E3" s="133"/>
      <c r="F3" s="133"/>
      <c r="G3" s="133"/>
      <c r="H3" s="133"/>
      <c r="I3" s="133"/>
      <c r="J3" s="133"/>
      <c r="K3" s="133"/>
      <c r="L3" s="133"/>
      <c r="M3" s="133"/>
      <c r="N3" s="133"/>
      <c r="O3" s="133"/>
      <c r="P3" s="133"/>
      <c r="Q3" s="133"/>
      <c r="R3" s="133"/>
    </row>
    <row r="4" spans="2:18" ht="18" customHeight="1" x14ac:dyDescent="0.35">
      <c r="B4" s="19" t="s">
        <v>59</v>
      </c>
      <c r="C4" s="20" t="str">
        <f>Calculos!$B$2</f>
        <v>Septiembre</v>
      </c>
      <c r="F4" s="134" t="s">
        <v>60</v>
      </c>
      <c r="G4" s="134"/>
      <c r="H4" s="134"/>
      <c r="I4" s="134"/>
      <c r="J4" s="134"/>
      <c r="K4" s="134"/>
      <c r="L4" s="134"/>
      <c r="M4" s="134"/>
      <c r="N4" s="134"/>
      <c r="O4" s="134"/>
      <c r="P4" s="134"/>
      <c r="Q4" s="134"/>
      <c r="R4" s="134"/>
    </row>
    <row r="6" spans="2:18" ht="18" customHeight="1" x14ac:dyDescent="0.35">
      <c r="B6" s="135" t="s">
        <v>61</v>
      </c>
      <c r="C6" s="135"/>
      <c r="D6" s="135"/>
      <c r="E6" s="135"/>
      <c r="F6" s="135" t="s">
        <v>62</v>
      </c>
      <c r="G6" s="135"/>
      <c r="H6" s="135"/>
      <c r="I6" s="135"/>
      <c r="J6" s="135" t="s">
        <v>63</v>
      </c>
      <c r="K6" s="135"/>
      <c r="L6" s="135"/>
      <c r="M6" s="135" t="s">
        <v>64</v>
      </c>
      <c r="N6" s="135"/>
      <c r="O6" s="135"/>
      <c r="P6" s="135" t="s">
        <v>65</v>
      </c>
      <c r="Q6" s="135"/>
      <c r="R6" s="135"/>
    </row>
    <row r="7" spans="2:18" ht="13.5" customHeight="1" x14ac:dyDescent="0.35">
      <c r="B7" s="135"/>
      <c r="C7" s="135"/>
      <c r="D7" s="135"/>
      <c r="E7" s="135"/>
      <c r="F7" s="135"/>
      <c r="G7" s="135"/>
      <c r="H7" s="135"/>
      <c r="I7" s="135"/>
      <c r="J7" s="135"/>
      <c r="K7" s="135"/>
      <c r="L7" s="135"/>
      <c r="M7" s="135"/>
      <c r="N7" s="135"/>
      <c r="O7" s="135"/>
      <c r="P7" s="135"/>
      <c r="Q7" s="135"/>
      <c r="R7" s="135"/>
    </row>
    <row r="8" spans="2:18" ht="19.5" customHeight="1" x14ac:dyDescent="0.35">
      <c r="B8" s="128">
        <f ca="1">Calculos!B44</f>
        <v>0.83891666666666675</v>
      </c>
      <c r="C8" s="128"/>
      <c r="D8" s="128"/>
      <c r="E8" s="128"/>
      <c r="F8" s="129" t="str">
        <f ca="1">Calculos!B45</f>
        <v>Amarillo</v>
      </c>
      <c r="G8" s="129"/>
      <c r="H8" s="129"/>
      <c r="I8" s="129"/>
      <c r="J8" s="130">
        <f ca="1">Calculos!B40</f>
        <v>0</v>
      </c>
      <c r="K8" s="130"/>
      <c r="L8" s="130"/>
      <c r="M8" s="131">
        <f ca="1">Calculos!B41</f>
        <v>0</v>
      </c>
      <c r="N8" s="131"/>
      <c r="O8" s="131"/>
      <c r="P8" s="132">
        <f ca="1">Calculos!B42</f>
        <v>15</v>
      </c>
      <c r="Q8" s="132"/>
      <c r="R8" s="132"/>
    </row>
    <row r="9" spans="2:18" ht="19.5" customHeight="1" x14ac:dyDescent="0.35">
      <c r="B9" s="128"/>
      <c r="C9" s="128"/>
      <c r="D9" s="128"/>
      <c r="E9" s="128"/>
      <c r="F9" s="129"/>
      <c r="G9" s="129"/>
      <c r="H9" s="129"/>
      <c r="I9" s="129"/>
      <c r="J9" s="130"/>
      <c r="K9" s="130"/>
      <c r="L9" s="130"/>
      <c r="M9" s="131"/>
      <c r="N9" s="131"/>
      <c r="O9" s="131"/>
      <c r="P9" s="132"/>
      <c r="Q9" s="132"/>
      <c r="R9" s="132"/>
    </row>
    <row r="10" spans="2:18" ht="13.5" customHeight="1" x14ac:dyDescent="0.35">
      <c r="B10" s="128"/>
      <c r="C10" s="128"/>
      <c r="D10" s="128"/>
      <c r="E10" s="128"/>
      <c r="F10" s="129"/>
      <c r="G10" s="129"/>
      <c r="H10" s="129"/>
      <c r="I10" s="129"/>
      <c r="J10" s="130"/>
      <c r="K10" s="130"/>
      <c r="L10" s="130"/>
      <c r="M10" s="131"/>
      <c r="N10" s="131"/>
      <c r="O10" s="131"/>
      <c r="P10" s="132"/>
      <c r="Q10" s="132"/>
      <c r="R10" s="132"/>
    </row>
    <row r="12" spans="2:18" ht="26.25" customHeight="1" x14ac:dyDescent="0.35">
      <c r="B12" s="127" t="s">
        <v>66</v>
      </c>
      <c r="C12" s="127"/>
      <c r="D12" s="127"/>
      <c r="E12" s="127"/>
      <c r="G12" s="127" t="s">
        <v>67</v>
      </c>
      <c r="H12" s="127"/>
    </row>
    <row r="13" spans="2:18" ht="30" customHeight="1" x14ac:dyDescent="0.35">
      <c r="B13" s="7" t="s">
        <v>48</v>
      </c>
      <c r="C13" s="7" t="s">
        <v>68</v>
      </c>
      <c r="G13" s="7" t="s">
        <v>28</v>
      </c>
      <c r="H13" s="7" t="s">
        <v>69</v>
      </c>
    </row>
    <row r="14" spans="2:18" ht="14.25" customHeight="1" x14ac:dyDescent="0.35">
      <c r="B14" s="3" t="str">
        <f ca="1">Calculos!B23</f>
        <v>Calidad</v>
      </c>
      <c r="C14" s="21">
        <f ca="1">Calculos!C23</f>
        <v>0</v>
      </c>
      <c r="G14" s="3" t="str">
        <f>Calculos!A5</f>
        <v>Capacitaciones</v>
      </c>
      <c r="H14" s="22">
        <f ca="1">Calculos!D5</f>
        <v>0.93656666666666688</v>
      </c>
    </row>
    <row r="15" spans="2:18" ht="14.25" customHeight="1" x14ac:dyDescent="0.35">
      <c r="B15" s="3" t="str">
        <f ca="1">Calculos!B24</f>
        <v>Jarabes</v>
      </c>
      <c r="C15" s="21">
        <f ca="1">Calculos!C24</f>
        <v>0</v>
      </c>
      <c r="G15" s="3" t="str">
        <f>Calculos!A6</f>
        <v>Auto Evaluacion 1</v>
      </c>
      <c r="H15" s="22">
        <f ca="1">Calculos!D6</f>
        <v>1</v>
      </c>
    </row>
    <row r="16" spans="2:18" ht="14.25" customHeight="1" x14ac:dyDescent="0.35">
      <c r="B16" s="3" t="str">
        <f ca="1">Calculos!B25</f>
        <v>ETEI</v>
      </c>
      <c r="C16" s="21">
        <f ca="1">Calculos!C25</f>
        <v>0</v>
      </c>
      <c r="G16" s="3" t="str">
        <f>Calculos!A7</f>
        <v>Auto Evaluacion 2</v>
      </c>
      <c r="H16" s="22">
        <f ca="1">Calculos!D7</f>
        <v>0.96933333333333327</v>
      </c>
    </row>
    <row r="17" spans="2:8" ht="14.25" customHeight="1" x14ac:dyDescent="0.35">
      <c r="B17" s="3" t="str">
        <f ca="1">Calculos!B26</f>
        <v>Linea 4</v>
      </c>
      <c r="C17" s="21">
        <f ca="1">Calculos!C26</f>
        <v>0</v>
      </c>
      <c r="G17" s="3" t="str">
        <f>Calculos!A8</f>
        <v>Auto Evaluacion 3</v>
      </c>
      <c r="H17" s="22">
        <f ca="1">Calculos!D8</f>
        <v>0.96933333333333327</v>
      </c>
    </row>
    <row r="18" spans="2:8" ht="14.25" customHeight="1" x14ac:dyDescent="0.35">
      <c r="B18" s="3" t="str">
        <f ca="1">Calculos!B27</f>
        <v>Mantenimiento</v>
      </c>
      <c r="C18" s="21">
        <f ca="1">Calculos!C27</f>
        <v>0</v>
      </c>
      <c r="G18" s="3" t="str">
        <f>Calculos!A9</f>
        <v>Cruzada 4</v>
      </c>
      <c r="H18" s="22">
        <f ca="1">Calculos!D9</f>
        <v>0.4</v>
      </c>
    </row>
    <row r="19" spans="2:8" ht="14.25" customHeight="1" x14ac:dyDescent="0.35">
      <c r="B19" s="3" t="str">
        <f ca="1">Calculos!B28</f>
        <v>Centro de Distribucion</v>
      </c>
      <c r="C19" s="21">
        <f ca="1">Calculos!C28</f>
        <v>0</v>
      </c>
      <c r="G19" s="3" t="str">
        <f>Calculos!A10</f>
        <v>Inspeccion SSO</v>
      </c>
      <c r="H19" s="22">
        <f ca="1">Calculos!D10</f>
        <v>0.95280000000000009</v>
      </c>
    </row>
    <row r="20" spans="2:8" ht="14.25" customHeight="1" x14ac:dyDescent="0.35">
      <c r="B20" s="3" t="str">
        <f ca="1">Calculos!B29</f>
        <v>Materias Primas</v>
      </c>
      <c r="C20" s="21">
        <f ca="1">Calculos!C29</f>
        <v>0</v>
      </c>
      <c r="G20" s="3" t="str">
        <f>Calculos!A11</f>
        <v>Acciones Correctivas/Preventivas</v>
      </c>
      <c r="H20" s="22">
        <f ca="1">Calculos!D11</f>
        <v>0.57333333333333347</v>
      </c>
    </row>
    <row r="21" spans="2:8" ht="14.25" customHeight="1" x14ac:dyDescent="0.35">
      <c r="B21" s="3" t="str">
        <f ca="1">Calculos!B30</f>
        <v>Equipos Auxiliares</v>
      </c>
      <c r="C21" s="21">
        <f ca="1">Calculos!C30</f>
        <v>0</v>
      </c>
    </row>
    <row r="22" spans="2:8" ht="14.25" customHeight="1" x14ac:dyDescent="0.35">
      <c r="B22" s="3" t="str">
        <f ca="1">Calculos!B31</f>
        <v>Linea 3</v>
      </c>
      <c r="C22" s="21">
        <f ca="1">Calculos!C31</f>
        <v>0</v>
      </c>
    </row>
    <row r="23" spans="2:8" ht="14.25" customHeight="1" x14ac:dyDescent="0.35">
      <c r="B23" s="3" t="str">
        <f ca="1">Calculos!B32</f>
        <v>Linea 2</v>
      </c>
      <c r="C23" s="21">
        <f ca="1">Calculos!C32</f>
        <v>0</v>
      </c>
    </row>
    <row r="24" spans="2:8" ht="14.25" customHeight="1" x14ac:dyDescent="0.35">
      <c r="B24" s="3" t="str">
        <f ca="1">Calculos!B33</f>
        <v>Linea 1</v>
      </c>
      <c r="C24" s="21">
        <f ca="1">Calculos!C33</f>
        <v>0</v>
      </c>
    </row>
    <row r="25" spans="2:8" ht="14.25" customHeight="1" x14ac:dyDescent="0.35">
      <c r="B25" s="3" t="str">
        <f ca="1">Calculos!B34</f>
        <v>Linea 5</v>
      </c>
      <c r="C25" s="21">
        <f ca="1">Calculos!C34</f>
        <v>0</v>
      </c>
    </row>
    <row r="26" spans="2:8" ht="14.25" customHeight="1" x14ac:dyDescent="0.35">
      <c r="B26" s="3" t="str">
        <f ca="1">Calculos!B35</f>
        <v>Alrededores</v>
      </c>
      <c r="C26" s="21">
        <f ca="1">Calculos!C35</f>
        <v>0</v>
      </c>
    </row>
    <row r="27" spans="2:8" ht="14.25" customHeight="1" x14ac:dyDescent="0.35">
      <c r="B27" s="3" t="str">
        <f ca="1">Calculos!B36</f>
        <v>Almacen de Repuestos</v>
      </c>
      <c r="C27" s="21">
        <f ca="1">Calculos!C36</f>
        <v>0</v>
      </c>
    </row>
    <row r="28" spans="2:8" ht="14.25" customHeight="1" x14ac:dyDescent="0.35">
      <c r="B28" s="3" t="str">
        <f ca="1">Calculos!B37</f>
        <v>Tratamiento de Aguas</v>
      </c>
      <c r="C28" s="21">
        <f ca="1">Calculos!C37</f>
        <v>0</v>
      </c>
    </row>
    <row r="48" spans="20:21" ht="14.25" customHeight="1" x14ac:dyDescent="0.35">
      <c r="T48" s="23" t="s">
        <v>53</v>
      </c>
      <c r="U48" s="24">
        <f ca="1">Calculos!B40</f>
        <v>0</v>
      </c>
    </row>
    <row r="49" spans="20:21" ht="14.25" customHeight="1" x14ac:dyDescent="0.35">
      <c r="T49" s="25" t="s">
        <v>54</v>
      </c>
      <c r="U49" s="24">
        <f ca="1">Calculos!B41</f>
        <v>0</v>
      </c>
    </row>
    <row r="50" spans="20:21" ht="14.25" customHeight="1" x14ac:dyDescent="0.35">
      <c r="T50" s="26" t="s">
        <v>55</v>
      </c>
      <c r="U50" s="24">
        <f ca="1">Calculos!B42</f>
        <v>15</v>
      </c>
    </row>
  </sheetData>
  <mergeCells count="14">
    <mergeCell ref="M8:O10"/>
    <mergeCell ref="P8:R10"/>
    <mergeCell ref="B2:R3"/>
    <mergeCell ref="F4:R4"/>
    <mergeCell ref="B6:E7"/>
    <mergeCell ref="F6:I7"/>
    <mergeCell ref="J6:L7"/>
    <mergeCell ref="M6:O7"/>
    <mergeCell ref="P6:R7"/>
    <mergeCell ref="B12:E12"/>
    <mergeCell ref="G12:H12"/>
    <mergeCell ref="B8:E10"/>
    <mergeCell ref="F8:I10"/>
    <mergeCell ref="J8:L10"/>
  </mergeCells>
  <pageMargins left="0.3" right="0.3" top="0.4" bottom="0.4" header="0.511811023622047" footer="0.511811023622047"/>
  <pageSetup fitToHeight="0" orientation="landscape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00000"/>
  </sheetPr>
  <dimension ref="A1:Y37"/>
  <sheetViews>
    <sheetView showGridLines="0" topLeftCell="A14" zoomScaleNormal="100" workbookViewId="0">
      <selection activeCell="U20" sqref="U20"/>
    </sheetView>
  </sheetViews>
  <sheetFormatPr baseColWidth="10" defaultColWidth="8.6328125" defaultRowHeight="14.5" x14ac:dyDescent="0.35"/>
  <cols>
    <col min="1" max="1" width="1.54296875" customWidth="1"/>
    <col min="2" max="14" width="2.1796875" customWidth="1"/>
    <col min="15" max="15" width="1.54296875" customWidth="1"/>
    <col min="16" max="16" width="16" customWidth="1"/>
    <col min="17" max="17" width="11.90625" customWidth="1"/>
    <col min="18" max="18" width="1.54296875" customWidth="1"/>
    <col min="19" max="19" width="16" customWidth="1"/>
    <col min="20" max="20" width="14" customWidth="1"/>
    <col min="21" max="21" width="16" customWidth="1"/>
    <col min="22" max="22" width="14" customWidth="1"/>
  </cols>
  <sheetData>
    <row r="1" spans="1:22" ht="7.5" customHeight="1" x14ac:dyDescent="0.35"/>
    <row r="2" spans="1:22" ht="25.5" customHeight="1" x14ac:dyDescent="0.35">
      <c r="B2" s="138" t="s">
        <v>70</v>
      </c>
      <c r="C2" s="138"/>
      <c r="D2" s="138"/>
      <c r="E2" s="139" t="s">
        <v>293</v>
      </c>
      <c r="F2" s="139"/>
      <c r="G2" s="139"/>
      <c r="H2" s="27" t="s">
        <v>71</v>
      </c>
    </row>
    <row r="3" spans="1:22" ht="7.5" customHeight="1" x14ac:dyDescent="0.35"/>
    <row r="4" spans="1:22" ht="30" customHeight="1" x14ac:dyDescent="0.35">
      <c r="B4" s="140" t="s">
        <v>72</v>
      </c>
      <c r="C4" s="140"/>
      <c r="D4" s="140"/>
      <c r="E4" s="140"/>
      <c r="F4" s="140"/>
      <c r="G4" s="140"/>
      <c r="H4" s="140"/>
      <c r="I4" s="140"/>
      <c r="J4" s="140"/>
      <c r="K4" s="140"/>
      <c r="L4" s="140"/>
      <c r="M4" s="140"/>
      <c r="N4" s="140"/>
      <c r="O4" s="140"/>
      <c r="P4" s="140"/>
      <c r="Q4" s="140"/>
    </row>
    <row r="5" spans="1:22" ht="18" customHeight="1" x14ac:dyDescent="0.35">
      <c r="B5" s="141" t="str">
        <f>UPPER("Planta Cuyotenango  ·  "&amp;Calculos!$B$2&amp;" 2026  ·  Acumulado Año")</f>
        <v>PLANTA CUYOTENANGO  ·  SEPTIEMBRE 2026  ·  ACUMULADO AÑO</v>
      </c>
      <c r="C5" s="141"/>
      <c r="D5" s="141"/>
      <c r="E5" s="141"/>
      <c r="F5" s="141"/>
      <c r="G5" s="141"/>
      <c r="H5" s="141"/>
      <c r="I5" s="141"/>
      <c r="J5" s="141"/>
      <c r="K5" s="141"/>
      <c r="L5" s="141"/>
      <c r="M5" s="141"/>
      <c r="N5" s="141"/>
      <c r="O5" s="141"/>
      <c r="P5" s="141"/>
      <c r="Q5" s="141"/>
    </row>
    <row r="6" spans="1:22" ht="9.75" customHeight="1" x14ac:dyDescent="0.35">
      <c r="P6" s="28" t="s">
        <v>73</v>
      </c>
      <c r="Q6" s="29" t="s">
        <v>74</v>
      </c>
    </row>
    <row r="7" spans="1:22" ht="25.5" customHeight="1" x14ac:dyDescent="0.35">
      <c r="A7" s="142" t="str">
        <f>UPPER(Calculos!$B$2)</f>
        <v>SEPTIEMBRE</v>
      </c>
      <c r="H7" s="30">
        <f>X30</f>
        <v>0</v>
      </c>
      <c r="P7" s="31" t="s">
        <v>75</v>
      </c>
      <c r="Q7" s="32">
        <f t="shared" ref="Q7:Q14" si="0">Y30</f>
        <v>0</v>
      </c>
    </row>
    <row r="8" spans="1:22" ht="25.5" customHeight="1" x14ac:dyDescent="0.35">
      <c r="A8" s="142"/>
      <c r="G8" s="143">
        <f ca="1">X31</f>
        <v>0</v>
      </c>
      <c r="H8" s="143"/>
      <c r="I8" s="143"/>
      <c r="P8" s="31" t="s">
        <v>76</v>
      </c>
      <c r="Q8" s="32">
        <f t="shared" si="0"/>
        <v>0</v>
      </c>
    </row>
    <row r="9" spans="1:22" ht="25.5" customHeight="1" x14ac:dyDescent="0.35">
      <c r="A9" s="142"/>
      <c r="F9" s="144">
        <f ca="1">X32</f>
        <v>0</v>
      </c>
      <c r="G9" s="144"/>
      <c r="H9" s="144"/>
      <c r="I9" s="144"/>
      <c r="J9" s="144"/>
      <c r="P9" s="31" t="s">
        <v>77</v>
      </c>
      <c r="Q9" s="32">
        <f t="shared" si="0"/>
        <v>0</v>
      </c>
    </row>
    <row r="10" spans="1:22" ht="25.5" customHeight="1" x14ac:dyDescent="0.35">
      <c r="A10" s="142"/>
      <c r="E10" s="145">
        <f ca="1">X33</f>
        <v>1</v>
      </c>
      <c r="F10" s="145"/>
      <c r="G10" s="145"/>
      <c r="H10" s="145"/>
      <c r="I10" s="145"/>
      <c r="J10" s="145"/>
      <c r="K10" s="145"/>
      <c r="P10" s="31" t="s">
        <v>78</v>
      </c>
      <c r="Q10" s="32">
        <f t="shared" si="0"/>
        <v>4</v>
      </c>
    </row>
    <row r="11" spans="1:22" ht="25.5" customHeight="1" x14ac:dyDescent="0.35">
      <c r="A11" s="142"/>
      <c r="D11" s="146">
        <f ca="1">X34</f>
        <v>1</v>
      </c>
      <c r="E11" s="146"/>
      <c r="F11" s="146"/>
      <c r="G11" s="146"/>
      <c r="H11" s="146"/>
      <c r="I11" s="146"/>
      <c r="J11" s="146"/>
      <c r="K11" s="146"/>
      <c r="L11" s="146"/>
      <c r="P11" s="31" t="s">
        <v>79</v>
      </c>
      <c r="Q11" s="32">
        <f t="shared" si="0"/>
        <v>8</v>
      </c>
    </row>
    <row r="12" spans="1:22" ht="25.5" customHeight="1" x14ac:dyDescent="0.35">
      <c r="A12" s="142"/>
      <c r="C12" s="147">
        <f ca="1">X35</f>
        <v>0</v>
      </c>
      <c r="D12" s="147"/>
      <c r="E12" s="147"/>
      <c r="F12" s="147"/>
      <c r="G12" s="147"/>
      <c r="H12" s="147"/>
      <c r="I12" s="147"/>
      <c r="J12" s="147"/>
      <c r="K12" s="147"/>
      <c r="L12" s="147"/>
      <c r="M12" s="147"/>
      <c r="P12" s="31" t="s">
        <v>80</v>
      </c>
      <c r="Q12" s="33">
        <f t="shared" si="0"/>
        <v>4</v>
      </c>
    </row>
    <row r="13" spans="1:22" ht="25.5" customHeight="1" x14ac:dyDescent="0.35">
      <c r="A13" s="142"/>
      <c r="B13" s="148">
        <f ca="1">X36</f>
        <v>50</v>
      </c>
      <c r="C13" s="148"/>
      <c r="D13" s="148"/>
      <c r="E13" s="148"/>
      <c r="F13" s="148"/>
      <c r="G13" s="148"/>
      <c r="H13" s="148"/>
      <c r="I13" s="148"/>
      <c r="J13" s="148"/>
      <c r="K13" s="148"/>
      <c r="L13" s="148"/>
      <c r="M13" s="148"/>
      <c r="N13" s="148"/>
      <c r="P13" s="31" t="s">
        <v>81</v>
      </c>
      <c r="Q13" s="34">
        <f>Y36</f>
        <v>513</v>
      </c>
    </row>
    <row r="14" spans="1:22" ht="25.5" customHeight="1" x14ac:dyDescent="0.35">
      <c r="A14" s="142"/>
      <c r="B14" s="149">
        <f ca="1">X37</f>
        <v>247</v>
      </c>
      <c r="C14" s="149"/>
      <c r="D14" s="149"/>
      <c r="E14" s="149"/>
      <c r="F14" s="149"/>
      <c r="G14" s="149"/>
      <c r="H14" s="149"/>
      <c r="I14" s="149"/>
      <c r="J14" s="149"/>
      <c r="K14" s="149"/>
      <c r="L14" s="149"/>
      <c r="M14" s="149"/>
      <c r="N14" s="149"/>
      <c r="P14" s="31" t="s">
        <v>82</v>
      </c>
      <c r="Q14" s="34">
        <f t="shared" si="0"/>
        <v>2171</v>
      </c>
    </row>
    <row r="15" spans="1:22" ht="13.5" customHeight="1" x14ac:dyDescent="0.35"/>
    <row r="16" spans="1:22" ht="25.5" customHeight="1" x14ac:dyDescent="0.35">
      <c r="S16" s="136" t="s">
        <v>83</v>
      </c>
      <c r="T16" s="136"/>
      <c r="U16" s="136"/>
      <c r="V16" s="136"/>
    </row>
    <row r="17" spans="2:25" ht="6" customHeight="1" x14ac:dyDescent="0.35"/>
    <row r="18" spans="2:25" ht="43.5" customHeight="1" x14ac:dyDescent="0.35">
      <c r="S18" s="35">
        <f ca="1">IF(T20="","—",INT(TODAY()-T20))</f>
        <v>426</v>
      </c>
      <c r="U18" s="35">
        <f ca="1">IF(V20="","—",INT(TODAY()-V20))</f>
        <v>14</v>
      </c>
    </row>
    <row r="19" spans="2:25" ht="24" customHeight="1" x14ac:dyDescent="0.35">
      <c r="S19" s="36" t="s">
        <v>76</v>
      </c>
      <c r="U19" s="36" t="s">
        <v>78</v>
      </c>
    </row>
    <row r="20" spans="2:25" ht="19.5" customHeight="1" x14ac:dyDescent="0.35">
      <c r="S20" s="37" t="s">
        <v>84</v>
      </c>
      <c r="T20" s="38">
        <v>45869</v>
      </c>
      <c r="U20" s="37" t="s">
        <v>84</v>
      </c>
      <c r="V20" s="38">
        <v>46281</v>
      </c>
    </row>
    <row r="21" spans="2:25" ht="7.5" customHeight="1" x14ac:dyDescent="0.35"/>
    <row r="22" spans="2:25" ht="43.5" customHeight="1" x14ac:dyDescent="0.35">
      <c r="S22" s="35">
        <f ca="1">IF(T24="","—",INT(TODAY()-T24))</f>
        <v>329</v>
      </c>
      <c r="U22" s="35">
        <f ca="1">IF(V24="","—",INT(TODAY()-V24))</f>
        <v>4</v>
      </c>
    </row>
    <row r="23" spans="2:25" ht="24" customHeight="1" x14ac:dyDescent="0.35">
      <c r="S23" s="36" t="s">
        <v>77</v>
      </c>
      <c r="U23" s="36" t="s">
        <v>79</v>
      </c>
    </row>
    <row r="24" spans="2:25" ht="19.5" customHeight="1" x14ac:dyDescent="0.35">
      <c r="S24" s="37" t="s">
        <v>84</v>
      </c>
      <c r="T24" s="38">
        <v>45966</v>
      </c>
      <c r="U24" s="37" t="s">
        <v>84</v>
      </c>
      <c r="V24" s="38">
        <v>46291</v>
      </c>
    </row>
    <row r="25" spans="2:25" ht="6" customHeight="1" x14ac:dyDescent="0.35"/>
    <row r="26" spans="2:25" ht="7.5" customHeight="1" x14ac:dyDescent="0.35"/>
    <row r="27" spans="2:25" ht="33.75" customHeight="1" x14ac:dyDescent="0.35">
      <c r="B27" s="137" t="s">
        <v>85</v>
      </c>
      <c r="C27" s="137"/>
      <c r="D27" s="137"/>
      <c r="E27" s="137"/>
      <c r="F27" s="137"/>
      <c r="G27" s="137"/>
      <c r="H27" s="137"/>
      <c r="I27" s="137"/>
      <c r="J27" s="137"/>
      <c r="K27" s="137"/>
      <c r="L27" s="137"/>
      <c r="M27" s="137"/>
      <c r="N27" s="137"/>
      <c r="O27" s="137"/>
      <c r="P27" s="137"/>
      <c r="Q27" s="137"/>
    </row>
    <row r="28" spans="2:25" ht="13.5" customHeight="1" x14ac:dyDescent="0.35">
      <c r="B28" s="137"/>
      <c r="C28" s="137"/>
      <c r="D28" s="137"/>
      <c r="E28" s="137"/>
      <c r="F28" s="137"/>
      <c r="G28" s="137"/>
      <c r="H28" s="137"/>
      <c r="I28" s="137"/>
      <c r="J28" s="137"/>
      <c r="K28" s="137"/>
      <c r="L28" s="137"/>
      <c r="M28" s="137"/>
      <c r="N28" s="137"/>
      <c r="O28" s="137"/>
      <c r="P28" s="137"/>
      <c r="Q28" s="137"/>
    </row>
    <row r="30" spans="2:25" x14ac:dyDescent="0.35">
      <c r="W30" s="39" t="s">
        <v>75</v>
      </c>
      <c r="X30" s="40">
        <v>0</v>
      </c>
      <c r="Y30" s="40">
        <v>0</v>
      </c>
    </row>
    <row r="31" spans="2:25" x14ac:dyDescent="0.35">
      <c r="W31" s="39" t="s">
        <v>76</v>
      </c>
      <c r="X31" s="41">
        <f ca="1">IFERROR(INDIRECT("'Captura "&amp;Calculos!$B$2&amp;"'!AL6")+INDIRECT("'Captura "&amp;Calculos!$B$2&amp;"'!AL7")+INDIRECT("'Captura "&amp;Calculos!$B$2&amp;"'!AL8")+INDIRECT("'Captura "&amp;Calculos!$B$2&amp;"'!AL9")+INDIRECT("'Captura "&amp;Calculos!$B$2&amp;"'!AL10")+INDIRECT("'Captura "&amp;Calculos!$B$2&amp;"'!AL11")+INDIRECT("'Captura "&amp;Calculos!$B$2&amp;"'!AL12")+INDIRECT("'Captura "&amp;Calculos!$B$2&amp;"'!AL13")+INDIRECT("'Captura "&amp;Calculos!$B$2&amp;"'!AL14")+INDIRECT("'Captura "&amp;Calculos!$B$2&amp;"'!AL15")+INDIRECT("'Captura "&amp;Calculos!$B$2&amp;"'!AL16")+INDIRECT("'Captura "&amp;Calculos!$B$2&amp;"'!AL17")+INDIRECT("'Captura "&amp;Calculos!$B$2&amp;"'!AL18")+INDIRECT("'Captura "&amp;Calculos!$B$2&amp;"'!AL19")+INDIRECT("'Captura "&amp;Calculos!$B$2&amp;"'!AL20"),0)</f>
        <v>0</v>
      </c>
      <c r="Y31" s="41">
        <f>SUM('Captura Enero'!AL6:AL20)+SUM('Captura Febrero'!AL6:AL20)+SUM('Captura Marzo'!AL6:AL20)+SUM('Captura Abril'!AL6:AL20)+SUM('Captura Mayo'!AL6:AL20)+SUM('Captura Junio'!AL6:AL20)+SUM('Captura Julio'!AL6:AL20)+SUM('Captura Agosto'!AL6:AL20)+SUM('Captura Septiembre'!AL6:AL20)+SUM('Captura Octubre'!AL6:AL20)+SUM('Captura Noviembre'!AL6:AL20)+SUM('Captura Diciembre'!AL6:AL20)</f>
        <v>0</v>
      </c>
    </row>
    <row r="32" spans="2:25" x14ac:dyDescent="0.35">
      <c r="W32" s="39" t="s">
        <v>77</v>
      </c>
      <c r="X32" s="41">
        <f ca="1">IFERROR(INDIRECT("'Captura "&amp;Calculos!$B$2&amp;"'!AJ6")+INDIRECT("'Captura "&amp;Calculos!$B$2&amp;"'!AJ7")+INDIRECT("'Captura "&amp;Calculos!$B$2&amp;"'!AJ8")+INDIRECT("'Captura "&amp;Calculos!$B$2&amp;"'!AJ9")+INDIRECT("'Captura "&amp;Calculos!$B$2&amp;"'!AJ10")+INDIRECT("'Captura "&amp;Calculos!$B$2&amp;"'!AJ11")+INDIRECT("'Captura "&amp;Calculos!$B$2&amp;"'!AJ12")+INDIRECT("'Captura "&amp;Calculos!$B$2&amp;"'!AJ13")+INDIRECT("'Captura "&amp;Calculos!$B$2&amp;"'!AJ14")+INDIRECT("'Captura "&amp;Calculos!$B$2&amp;"'!AJ15")+INDIRECT("'Captura "&amp;Calculos!$B$2&amp;"'!AJ16")+INDIRECT("'Captura "&amp;Calculos!$B$2&amp;"'!AJ17")+INDIRECT("'Captura "&amp;Calculos!$B$2&amp;"'!AJ18")+INDIRECT("'Captura "&amp;Calculos!$B$2&amp;"'!AJ19")+INDIRECT("'Captura "&amp;Calculos!$B$2&amp;"'!AJ20"),0)</f>
        <v>0</v>
      </c>
      <c r="Y32" s="41">
        <f>SUM('Captura Enero'!AJ6:AJ20)+SUM('Captura Febrero'!AJ6:AJ20)+SUM('Captura Marzo'!AJ6:AJ20)+SUM('Captura Abril'!AJ6:AJ20)+SUM('Captura Mayo'!AJ6:AJ20)+SUM('Captura Junio'!AJ6:AJ20)+SUM('Captura Julio'!AJ6:AJ20)+SUM('Captura Agosto'!AJ6:AJ20)+SUM('Captura Septiembre'!AJ6:AJ20)+SUM('Captura Octubre'!AJ6:AJ20)+SUM('Captura Noviembre'!AJ6:AJ20)+SUM('Captura Diciembre'!AJ6:AJ20)</f>
        <v>0</v>
      </c>
    </row>
    <row r="33" spans="23:25" x14ac:dyDescent="0.35">
      <c r="W33" s="39" t="s">
        <v>78</v>
      </c>
      <c r="X33" s="41">
        <f ca="1">IFERROR(INDIRECT("'Captura "&amp;Calculos!$B$2&amp;"'!AH6")+INDIRECT("'Captura "&amp;Calculos!$B$2&amp;"'!AH7")+INDIRECT("'Captura "&amp;Calculos!$B$2&amp;"'!AH8")+INDIRECT("'Captura "&amp;Calculos!$B$2&amp;"'!AH9")+INDIRECT("'Captura "&amp;Calculos!$B$2&amp;"'!AH10")+INDIRECT("'Captura "&amp;Calculos!$B$2&amp;"'!AH11")+INDIRECT("'Captura "&amp;Calculos!$B$2&amp;"'!AH12")+INDIRECT("'Captura "&amp;Calculos!$B$2&amp;"'!AH13")+INDIRECT("'Captura "&amp;Calculos!$B$2&amp;"'!AH14")+INDIRECT("'Captura "&amp;Calculos!$B$2&amp;"'!AH15")+INDIRECT("'Captura "&amp;Calculos!$B$2&amp;"'!AH16")+INDIRECT("'Captura "&amp;Calculos!$B$2&amp;"'!AH17")+INDIRECT("'Captura "&amp;Calculos!$B$2&amp;"'!AH18")+INDIRECT("'Captura "&amp;Calculos!$B$2&amp;"'!AH19")+INDIRECT("'Captura "&amp;Calculos!$B$2&amp;"'!AH20"),0)</f>
        <v>1</v>
      </c>
      <c r="Y33" s="41">
        <f>SUM('Captura Enero'!AH6:AH20)+SUM('Captura Febrero'!AH6:AH20)+SUM('Captura Marzo'!AH6:AH20)+SUM('Captura Abril'!AH6:AH20)+SUM('Captura Mayo'!AH6:AH20)+SUM('Captura Junio'!AH6:AH20)+SUM('Captura Julio'!AH6:AH20)+SUM('Captura Agosto'!AH6:AH20)+SUM('Captura Septiembre'!AH6:AH20)+SUM('Captura Octubre'!AH6:AH20)+SUM('Captura Noviembre'!AH6:AH20)+SUM('Captura Diciembre'!AH6:AH20)</f>
        <v>4</v>
      </c>
    </row>
    <row r="34" spans="23:25" x14ac:dyDescent="0.35">
      <c r="W34" s="39" t="s">
        <v>79</v>
      </c>
      <c r="X34" s="41">
        <f ca="1">IFERROR(INDIRECT("'Captura "&amp;Calculos!$B$2&amp;"'!AF6")+INDIRECT("'Captura "&amp;Calculos!$B$2&amp;"'!AF7")+INDIRECT("'Captura "&amp;Calculos!$B$2&amp;"'!AF8")+INDIRECT("'Captura "&amp;Calculos!$B$2&amp;"'!AF9")+INDIRECT("'Captura "&amp;Calculos!$B$2&amp;"'!AF10")+INDIRECT("'Captura "&amp;Calculos!$B$2&amp;"'!AF11")+INDIRECT("'Captura "&amp;Calculos!$B$2&amp;"'!AF12")+INDIRECT("'Captura "&amp;Calculos!$B$2&amp;"'!AF13")+INDIRECT("'Captura "&amp;Calculos!$B$2&amp;"'!AF14")+INDIRECT("'Captura "&amp;Calculos!$B$2&amp;"'!AF15")+INDIRECT("'Captura "&amp;Calculos!$B$2&amp;"'!AF16")+INDIRECT("'Captura "&amp;Calculos!$B$2&amp;"'!AF17")+INDIRECT("'Captura "&amp;Calculos!$B$2&amp;"'!AF18")+INDIRECT("'Captura "&amp;Calculos!$B$2&amp;"'!AF19")+INDIRECT("'Captura "&amp;Calculos!$B$2&amp;"'!AF20"),0)</f>
        <v>1</v>
      </c>
      <c r="Y34" s="41">
        <f>SUM('Captura Enero'!AF6:AF20)+SUM('Captura Febrero'!AF6:AF20)+SUM('Captura Marzo'!AF6:AF20)+SUM('Captura Abril'!AF6:AF20)+SUM('Captura Mayo'!AF6:AF20)+SUM('Captura Junio'!AF6:AF20)+SUM('Captura Julio'!AF6:AF20)+SUM('Captura Agosto'!AF6:AF20)+SUM('Captura Septiembre'!AF6:AF20)+SUM('Captura Octubre'!AF6:AF20)+SUM('Captura Noviembre'!AF6:AF20)+SUM('Captura Diciembre'!AF6:AF20)</f>
        <v>8</v>
      </c>
    </row>
    <row r="35" spans="23:25" x14ac:dyDescent="0.35">
      <c r="W35" s="39" t="s">
        <v>80</v>
      </c>
      <c r="X35" s="41">
        <f ca="1">IFERROR(INDIRECT("'Captura "&amp;Calculos!$B$2&amp;"'!AD6")+INDIRECT("'Captura "&amp;Calculos!$B$2&amp;"'!AD7")+INDIRECT("'Captura "&amp;Calculos!$B$2&amp;"'!AD8")+INDIRECT("'Captura "&amp;Calculos!$B$2&amp;"'!AD9")+INDIRECT("'Captura "&amp;Calculos!$B$2&amp;"'!AD10")+INDIRECT("'Captura "&amp;Calculos!$B$2&amp;"'!AD11")+INDIRECT("'Captura "&amp;Calculos!$B$2&amp;"'!AD12")+INDIRECT("'Captura "&amp;Calculos!$B$2&amp;"'!AD13")+INDIRECT("'Captura "&amp;Calculos!$B$2&amp;"'!AD14")+INDIRECT("'Captura "&amp;Calculos!$B$2&amp;"'!AD15")+INDIRECT("'Captura "&amp;Calculos!$B$2&amp;"'!AD16")+INDIRECT("'Captura "&amp;Calculos!$B$2&amp;"'!AD17")+INDIRECT("'Captura "&amp;Calculos!$B$2&amp;"'!AD18")+INDIRECT("'Captura "&amp;Calculos!$B$2&amp;"'!AD19")+INDIRECT("'Captura "&amp;Calculos!$B$2&amp;"'!AD20"),0)</f>
        <v>0</v>
      </c>
      <c r="Y35" s="41">
        <f>SUM('Captura Enero'!AD6:AD20)+SUM('Captura Febrero'!AD6:AD20)+SUM('Captura Marzo'!AD6:AD20)+SUM('Captura Abril'!AD6:AD20)+SUM('Captura Mayo'!AD6:AD20)+SUM('Captura Junio'!AD6:AD20)+SUM('Captura Julio'!AD6:AD20)+SUM('Captura Agosto'!AD6:AD20)+SUM('Captura Septiembre'!AD6:AD20)+SUM('Captura Octubre'!AD6:AD20)+SUM('Captura Noviembre'!AD6:AD20)+SUM('Captura Diciembre'!AD6:AD20)</f>
        <v>4</v>
      </c>
    </row>
    <row r="36" spans="23:25" x14ac:dyDescent="0.35">
      <c r="W36" s="39" t="s">
        <v>81</v>
      </c>
      <c r="X36" s="42">
        <f ca="1">IFERROR(INDIRECT("'Captura "&amp;Calculos!$B$2&amp;"'!BC3"),0)</f>
        <v>50</v>
      </c>
      <c r="Y36" s="41">
        <f>'Captura Enero'!BC3+'Captura Febrero'!BC3+'Captura Marzo'!BC3+'Captura Abril'!BC3+'Captura Mayo'!BC3+'Captura Junio'!BC3+'Captura Julio'!BC3+'Captura Agosto'!BC3+'Captura Septiembre'!BC3+'Captura Octubre'!BC3+'Captura Noviembre'!BC3+'Captura Diciembre'!BC3</f>
        <v>513</v>
      </c>
    </row>
    <row r="37" spans="23:25" x14ac:dyDescent="0.35">
      <c r="W37" s="39" t="s">
        <v>82</v>
      </c>
      <c r="X37" s="42">
        <f ca="1">IFERROR(INDIRECT("'Captura "&amp;Calculos!$B$2&amp;"'!BC4"),0)</f>
        <v>247</v>
      </c>
      <c r="Y37" s="41">
        <f>'Captura Enero'!BC4+'Captura Febrero'!BC4+'Captura Marzo'!BC4+'Captura Abril'!BC4+'Captura Mayo'!BC4+'Captura Junio'!BC4+'Captura Julio'!BC4+'Captura Agosto'!BC4+'Captura Septiembre'!BC4+'Captura Octubre'!BC4+'Captura Noviembre'!BC4+'Captura Diciembre'!BC4</f>
        <v>2171</v>
      </c>
    </row>
  </sheetData>
  <mergeCells count="14">
    <mergeCell ref="A7:A14"/>
    <mergeCell ref="G8:I8"/>
    <mergeCell ref="F9:J9"/>
    <mergeCell ref="E10:K10"/>
    <mergeCell ref="D11:L11"/>
    <mergeCell ref="C12:M12"/>
    <mergeCell ref="B13:N13"/>
    <mergeCell ref="B14:N14"/>
    <mergeCell ref="S16:V16"/>
    <mergeCell ref="B27:Q28"/>
    <mergeCell ref="B2:D2"/>
    <mergeCell ref="E2:G2"/>
    <mergeCell ref="B4:Q4"/>
    <mergeCell ref="B5:Q5"/>
  </mergeCells>
  <dataValidations count="1">
    <dataValidation type="list" sqref="E2" xr:uid="{00000000-0002-0000-0300-000000000000}">
      <formula1>"Enero,Febrero,Marzo,Abril,Mayo,Junio,Julio,Agosto,Septiembre,Octubre,Noviembre,Diciembre"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808080"/>
  </sheetPr>
  <dimension ref="B2:J39"/>
  <sheetViews>
    <sheetView showGridLines="0" zoomScale="92" zoomScaleNormal="92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C15" sqref="C15"/>
    </sheetView>
  </sheetViews>
  <sheetFormatPr baseColWidth="10" defaultColWidth="8.6328125" defaultRowHeight="14.5" x14ac:dyDescent="0.35"/>
  <cols>
    <col min="1" max="1" width="3" customWidth="1"/>
    <col min="2" max="2" width="14" customWidth="1"/>
    <col min="3" max="3" width="30" customWidth="1"/>
    <col min="4" max="4" width="14" customWidth="1"/>
    <col min="5" max="5" width="10" customWidth="1"/>
    <col min="6" max="6" width="30" customWidth="1"/>
    <col min="7" max="7" width="3" customWidth="1"/>
    <col min="8" max="8" width="6.453125" customWidth="1"/>
    <col min="9" max="9" width="22" customWidth="1"/>
    <col min="10" max="10" width="23.90625" customWidth="1"/>
    <col min="11" max="12" width="22" customWidth="1"/>
  </cols>
  <sheetData>
    <row r="2" spans="2:10" ht="27.75" customHeight="1" x14ac:dyDescent="0.35">
      <c r="B2" s="117" t="s">
        <v>86</v>
      </c>
      <c r="C2" s="117"/>
      <c r="D2" s="117"/>
      <c r="E2" s="117"/>
      <c r="F2" s="117"/>
    </row>
    <row r="4" spans="2:10" ht="19.5" customHeight="1" x14ac:dyDescent="0.35">
      <c r="B4" s="127" t="s">
        <v>87</v>
      </c>
      <c r="C4" s="127"/>
      <c r="D4" s="127"/>
      <c r="E4" s="127"/>
      <c r="F4" s="127"/>
      <c r="H4" s="127" t="s">
        <v>88</v>
      </c>
      <c r="I4" s="127"/>
    </row>
    <row r="5" spans="2:10" ht="18" customHeight="1" x14ac:dyDescent="0.35">
      <c r="B5" s="7" t="s">
        <v>89</v>
      </c>
      <c r="C5" s="7" t="s">
        <v>28</v>
      </c>
      <c r="D5" s="7" t="s">
        <v>90</v>
      </c>
      <c r="E5" s="7" t="s">
        <v>91</v>
      </c>
      <c r="F5" s="7" t="s">
        <v>92</v>
      </c>
      <c r="H5" s="7" t="s">
        <v>93</v>
      </c>
      <c r="I5" s="7" t="s">
        <v>48</v>
      </c>
      <c r="J5" s="7" t="s">
        <v>94</v>
      </c>
    </row>
    <row r="6" spans="2:10" ht="27.75" customHeight="1" x14ac:dyDescent="0.35">
      <c r="B6" s="43" t="s">
        <v>95</v>
      </c>
      <c r="C6" s="8" t="s">
        <v>32</v>
      </c>
      <c r="D6" s="8" t="s">
        <v>96</v>
      </c>
      <c r="E6" s="44">
        <v>0.2</v>
      </c>
      <c r="F6" s="45" t="s">
        <v>97</v>
      </c>
      <c r="H6" s="8">
        <v>1</v>
      </c>
      <c r="I6" s="46" t="s">
        <v>98</v>
      </c>
      <c r="J6" s="46" t="s">
        <v>99</v>
      </c>
    </row>
    <row r="7" spans="2:10" ht="27.75" customHeight="1" x14ac:dyDescent="0.35">
      <c r="B7" s="43" t="s">
        <v>100</v>
      </c>
      <c r="C7" s="8" t="s">
        <v>33</v>
      </c>
      <c r="D7" s="8" t="s">
        <v>101</v>
      </c>
      <c r="E7" s="44">
        <v>0.08</v>
      </c>
      <c r="F7" s="45" t="s">
        <v>102</v>
      </c>
      <c r="H7" s="8">
        <v>2</v>
      </c>
      <c r="I7" s="46" t="s">
        <v>103</v>
      </c>
      <c r="J7" s="46" t="s">
        <v>104</v>
      </c>
    </row>
    <row r="8" spans="2:10" ht="27.75" customHeight="1" x14ac:dyDescent="0.35">
      <c r="B8" s="43" t="s">
        <v>105</v>
      </c>
      <c r="C8" s="8" t="s">
        <v>34</v>
      </c>
      <c r="D8" s="8" t="s">
        <v>101</v>
      </c>
      <c r="E8" s="44">
        <v>0.08</v>
      </c>
      <c r="F8" s="45" t="s">
        <v>102</v>
      </c>
      <c r="H8" s="8">
        <v>3</v>
      </c>
      <c r="I8" s="46" t="s">
        <v>106</v>
      </c>
      <c r="J8" s="46" t="s">
        <v>107</v>
      </c>
    </row>
    <row r="9" spans="2:10" ht="27.75" customHeight="1" x14ac:dyDescent="0.35">
      <c r="B9" s="43" t="s">
        <v>108</v>
      </c>
      <c r="C9" s="8" t="s">
        <v>35</v>
      </c>
      <c r="D9" s="8" t="s">
        <v>101</v>
      </c>
      <c r="E9" s="44">
        <v>0.08</v>
      </c>
      <c r="F9" s="45" t="s">
        <v>102</v>
      </c>
      <c r="H9" s="8">
        <v>4</v>
      </c>
      <c r="I9" s="46" t="s">
        <v>109</v>
      </c>
      <c r="J9" s="46" t="s">
        <v>110</v>
      </c>
    </row>
    <row r="10" spans="2:10" ht="27.75" customHeight="1" x14ac:dyDescent="0.35">
      <c r="B10" s="43" t="s">
        <v>111</v>
      </c>
      <c r="C10" s="8" t="s">
        <v>36</v>
      </c>
      <c r="D10" s="8" t="s">
        <v>101</v>
      </c>
      <c r="E10" s="44">
        <v>0.06</v>
      </c>
      <c r="F10" s="45" t="s">
        <v>112</v>
      </c>
      <c r="H10" s="8">
        <v>5</v>
      </c>
      <c r="I10" s="46" t="s">
        <v>113</v>
      </c>
      <c r="J10" s="46" t="s">
        <v>114</v>
      </c>
    </row>
    <row r="11" spans="2:10" ht="27.75" customHeight="1" x14ac:dyDescent="0.35">
      <c r="B11" s="43" t="s">
        <v>115</v>
      </c>
      <c r="C11" s="8" t="s">
        <v>37</v>
      </c>
      <c r="D11" s="8" t="s">
        <v>101</v>
      </c>
      <c r="E11" s="44">
        <v>0.25</v>
      </c>
      <c r="F11" s="45" t="s">
        <v>116</v>
      </c>
      <c r="H11" s="8">
        <v>6</v>
      </c>
      <c r="I11" s="46" t="s">
        <v>117</v>
      </c>
      <c r="J11" s="46" t="s">
        <v>118</v>
      </c>
    </row>
    <row r="12" spans="2:10" ht="27.75" customHeight="1" x14ac:dyDescent="0.35">
      <c r="B12" s="43" t="s">
        <v>119</v>
      </c>
      <c r="C12" s="8" t="s">
        <v>120</v>
      </c>
      <c r="D12" s="8" t="s">
        <v>121</v>
      </c>
      <c r="E12" s="44">
        <v>0.25</v>
      </c>
      <c r="F12" s="45" t="s">
        <v>122</v>
      </c>
      <c r="H12" s="8">
        <v>7</v>
      </c>
      <c r="I12" s="46" t="s">
        <v>123</v>
      </c>
      <c r="J12" s="46" t="s">
        <v>114</v>
      </c>
    </row>
    <row r="13" spans="2:10" ht="14.25" customHeight="1" x14ac:dyDescent="0.35">
      <c r="B13" s="47"/>
      <c r="C13" s="47" t="s">
        <v>124</v>
      </c>
      <c r="D13" s="48"/>
      <c r="E13" s="49">
        <f>SUM(E6:E12)</f>
        <v>1</v>
      </c>
      <c r="F13" s="48"/>
      <c r="H13" s="8">
        <v>8</v>
      </c>
      <c r="I13" s="46" t="s">
        <v>125</v>
      </c>
      <c r="J13" s="46" t="s">
        <v>126</v>
      </c>
    </row>
    <row r="14" spans="2:10" ht="14.25" customHeight="1" x14ac:dyDescent="0.35">
      <c r="C14" s="50" t="s">
        <v>127</v>
      </c>
      <c r="E14" s="51" t="str">
        <f>IF(E13=100%,"OK","REVISAR")</f>
        <v>OK</v>
      </c>
      <c r="H14" s="8">
        <v>9</v>
      </c>
      <c r="I14" s="46" t="s">
        <v>128</v>
      </c>
      <c r="J14" s="46" t="s">
        <v>129</v>
      </c>
    </row>
    <row r="15" spans="2:10" ht="14.25" customHeight="1" x14ac:dyDescent="0.35">
      <c r="H15" s="8">
        <v>10</v>
      </c>
      <c r="I15" s="46" t="s">
        <v>130</v>
      </c>
      <c r="J15" s="46" t="s">
        <v>131</v>
      </c>
    </row>
    <row r="16" spans="2:10" ht="19.5" customHeight="1" x14ac:dyDescent="0.35">
      <c r="B16" s="127" t="s">
        <v>132</v>
      </c>
      <c r="C16" s="127"/>
      <c r="D16" s="127"/>
      <c r="E16" s="127"/>
      <c r="F16" s="127"/>
      <c r="H16" s="8">
        <v>11</v>
      </c>
      <c r="I16" s="46" t="s">
        <v>133</v>
      </c>
      <c r="J16" s="46" t="s">
        <v>107</v>
      </c>
    </row>
    <row r="17" spans="2:10" ht="14.25" customHeight="1" x14ac:dyDescent="0.35">
      <c r="B17" s="52"/>
      <c r="C17" s="16" t="s">
        <v>134</v>
      </c>
      <c r="D17" s="52"/>
      <c r="E17" s="53">
        <v>0.1</v>
      </c>
      <c r="F17" s="52"/>
      <c r="H17" s="8">
        <v>12</v>
      </c>
      <c r="I17" s="46" t="s">
        <v>135</v>
      </c>
      <c r="J17" s="46" t="s">
        <v>136</v>
      </c>
    </row>
    <row r="18" spans="2:10" ht="14.25" customHeight="1" x14ac:dyDescent="0.35">
      <c r="B18" s="52"/>
      <c r="C18" s="16" t="s">
        <v>137</v>
      </c>
      <c r="D18" s="52"/>
      <c r="E18" s="53">
        <v>0.05</v>
      </c>
      <c r="F18" s="52"/>
      <c r="H18" s="8">
        <v>13</v>
      </c>
      <c r="I18" s="46" t="s">
        <v>138</v>
      </c>
      <c r="J18" s="46" t="s">
        <v>131</v>
      </c>
    </row>
    <row r="19" spans="2:10" ht="14.25" customHeight="1" x14ac:dyDescent="0.35">
      <c r="B19" s="52"/>
      <c r="C19" s="16" t="s">
        <v>139</v>
      </c>
      <c r="D19" s="52"/>
      <c r="E19" s="2">
        <v>100</v>
      </c>
      <c r="F19" s="52"/>
      <c r="H19" s="8">
        <v>14</v>
      </c>
      <c r="I19" s="46" t="s">
        <v>140</v>
      </c>
      <c r="J19" s="46" t="s">
        <v>141</v>
      </c>
    </row>
    <row r="20" spans="2:10" ht="14.25" customHeight="1" x14ac:dyDescent="0.35">
      <c r="H20" s="8">
        <v>15</v>
      </c>
      <c r="I20" s="46" t="s">
        <v>142</v>
      </c>
      <c r="J20" s="46" t="s">
        <v>143</v>
      </c>
    </row>
    <row r="21" spans="2:10" ht="19.5" customHeight="1" x14ac:dyDescent="0.35">
      <c r="B21" s="127" t="s">
        <v>144</v>
      </c>
      <c r="C21" s="127"/>
      <c r="D21" s="127"/>
      <c r="E21" s="127"/>
      <c r="F21" s="127"/>
    </row>
    <row r="22" spans="2:10" ht="14.25" customHeight="1" x14ac:dyDescent="0.35">
      <c r="B22" s="52"/>
      <c r="C22" s="16" t="s">
        <v>145</v>
      </c>
      <c r="D22" s="52"/>
      <c r="E22" s="2">
        <v>8</v>
      </c>
      <c r="F22" s="52"/>
    </row>
    <row r="23" spans="2:10" ht="14.25" customHeight="1" x14ac:dyDescent="0.35">
      <c r="B23" s="52"/>
      <c r="C23" s="16" t="s">
        <v>146</v>
      </c>
      <c r="D23" s="52"/>
      <c r="E23" s="2">
        <v>10</v>
      </c>
      <c r="F23" s="52"/>
    </row>
    <row r="24" spans="2:10" ht="14.25" customHeight="1" x14ac:dyDescent="0.35">
      <c r="B24" s="52"/>
      <c r="C24" s="16" t="s">
        <v>147</v>
      </c>
      <c r="D24" s="52"/>
      <c r="E24" s="53">
        <v>0.04</v>
      </c>
      <c r="F24" s="52"/>
    </row>
    <row r="25" spans="2:10" ht="14.25" customHeight="1" x14ac:dyDescent="0.35">
      <c r="B25" s="52"/>
      <c r="C25" s="16" t="s">
        <v>148</v>
      </c>
      <c r="D25" s="52"/>
      <c r="E25" s="53">
        <v>0.04</v>
      </c>
      <c r="F25" s="52"/>
    </row>
    <row r="27" spans="2:10" ht="19.5" customHeight="1" x14ac:dyDescent="0.35">
      <c r="B27" s="127" t="s">
        <v>149</v>
      </c>
      <c r="C27" s="127"/>
      <c r="D27" s="127"/>
      <c r="E27" s="127"/>
      <c r="F27" s="127"/>
    </row>
    <row r="28" spans="2:10" ht="14.25" customHeight="1" x14ac:dyDescent="0.35">
      <c r="B28" s="52"/>
      <c r="C28" s="16" t="s">
        <v>150</v>
      </c>
      <c r="D28" s="52"/>
      <c r="E28" s="53">
        <v>0.05</v>
      </c>
      <c r="F28" s="52"/>
    </row>
    <row r="29" spans="2:10" ht="14.25" customHeight="1" x14ac:dyDescent="0.35">
      <c r="B29" s="52"/>
      <c r="C29" s="16" t="s">
        <v>151</v>
      </c>
      <c r="D29" s="52"/>
      <c r="E29" s="53">
        <v>0.1</v>
      </c>
      <c r="F29" s="52"/>
    </row>
    <row r="30" spans="2:10" ht="14.25" customHeight="1" x14ac:dyDescent="0.35">
      <c r="B30" s="52"/>
      <c r="C30" s="16" t="s">
        <v>152</v>
      </c>
      <c r="D30" s="52"/>
      <c r="E30" s="53">
        <v>0.15</v>
      </c>
      <c r="F30" s="52"/>
    </row>
    <row r="31" spans="2:10" ht="14.25" customHeight="1" x14ac:dyDescent="0.35">
      <c r="B31" s="52"/>
      <c r="C31" s="16" t="s">
        <v>153</v>
      </c>
      <c r="D31" s="52"/>
      <c r="E31" s="53">
        <v>0.25</v>
      </c>
      <c r="F31" s="52"/>
    </row>
    <row r="32" spans="2:10" ht="14.25" customHeight="1" x14ac:dyDescent="0.35">
      <c r="B32" s="52"/>
      <c r="C32" s="16" t="s">
        <v>154</v>
      </c>
      <c r="D32" s="52"/>
      <c r="E32" s="53">
        <v>1</v>
      </c>
      <c r="F32" s="52"/>
    </row>
    <row r="33" spans="2:6" ht="14.25" customHeight="1" x14ac:dyDescent="0.35">
      <c r="B33" s="52"/>
      <c r="C33" s="16" t="s">
        <v>155</v>
      </c>
      <c r="D33" s="52"/>
      <c r="E33" s="53">
        <v>1</v>
      </c>
      <c r="F33" s="52"/>
    </row>
    <row r="35" spans="2:6" ht="19.5" customHeight="1" x14ac:dyDescent="0.35">
      <c r="B35" s="127" t="s">
        <v>156</v>
      </c>
      <c r="C35" s="127"/>
      <c r="D35" s="127"/>
      <c r="E35" s="127"/>
      <c r="F35" s="127"/>
    </row>
    <row r="36" spans="2:6" ht="14.25" customHeight="1" x14ac:dyDescent="0.35">
      <c r="B36" s="7" t="s">
        <v>68</v>
      </c>
      <c r="C36" s="7" t="s">
        <v>157</v>
      </c>
      <c r="D36" s="7" t="s">
        <v>158</v>
      </c>
      <c r="E36" s="7" t="s">
        <v>159</v>
      </c>
    </row>
    <row r="37" spans="2:6" ht="14.25" customHeight="1" x14ac:dyDescent="0.35">
      <c r="B37" s="24" t="s">
        <v>53</v>
      </c>
      <c r="C37" s="54">
        <v>0.9</v>
      </c>
      <c r="D37" s="54">
        <v>1.5</v>
      </c>
      <c r="E37" s="55"/>
    </row>
    <row r="38" spans="2:6" ht="14.25" customHeight="1" x14ac:dyDescent="0.35">
      <c r="B38" s="24" t="s">
        <v>54</v>
      </c>
      <c r="C38" s="54">
        <v>0.7</v>
      </c>
      <c r="D38" s="54">
        <v>0.89990000000000003</v>
      </c>
      <c r="E38" s="56"/>
    </row>
    <row r="39" spans="2:6" ht="14.25" customHeight="1" x14ac:dyDescent="0.35">
      <c r="B39" s="24" t="s">
        <v>55</v>
      </c>
      <c r="C39" s="54">
        <v>-1</v>
      </c>
      <c r="D39" s="54">
        <v>0.69989999999999997</v>
      </c>
      <c r="E39" s="57"/>
    </row>
  </sheetData>
  <mergeCells count="7">
    <mergeCell ref="B27:F27"/>
    <mergeCell ref="B35:F35"/>
    <mergeCell ref="B2:F2"/>
    <mergeCell ref="B4:F4"/>
    <mergeCell ref="H4:I4"/>
    <mergeCell ref="B16:F16"/>
    <mergeCell ref="B21:F21"/>
  </mergeCells>
  <conditionalFormatting sqref="E14">
    <cfRule type="cellIs" dxfId="112" priority="2" operator="equal">
      <formula>"OK"</formula>
    </cfRule>
    <cfRule type="cellIs" dxfId="111" priority="3" operator="equal">
      <formula>"REVISAR"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ED6B23"/>
    <pageSetUpPr fitToPage="1"/>
  </sheetPr>
  <dimension ref="A1:BC23"/>
  <sheetViews>
    <sheetView showGridLines="0" zoomScale="70" zoomScaleNormal="70" workbookViewId="0">
      <pane xSplit="3" ySplit="5" topLeftCell="AW6" activePane="bottomRight" state="frozen"/>
      <selection pane="topRight" activeCell="AW1" sqref="AW1"/>
      <selection pane="bottomLeft" activeCell="A6" sqref="A6"/>
      <selection pane="bottomRight" activeCell="BB5" sqref="BB5"/>
    </sheetView>
  </sheetViews>
  <sheetFormatPr baseColWidth="10" defaultColWidth="8.6328125" defaultRowHeight="14.5" x14ac:dyDescent="0.35"/>
  <cols>
    <col min="1" max="1" width="5" customWidth="1"/>
    <col min="2" max="2" width="22" customWidth="1"/>
    <col min="3" max="3" width="16" customWidth="1"/>
    <col min="4" max="48" width="9.54296875" customWidth="1"/>
    <col min="49" max="50" width="11" customWidth="1"/>
    <col min="51" max="51" width="13" customWidth="1"/>
    <col min="52" max="52" width="11" customWidth="1"/>
    <col min="53" max="53" width="14" customWidth="1"/>
    <col min="54" max="54" width="18" customWidth="1"/>
    <col min="55" max="55" width="10" customWidth="1"/>
  </cols>
  <sheetData>
    <row r="1" spans="1:55" ht="19.5" customHeight="1" x14ac:dyDescent="0.35">
      <c r="A1" s="117" t="s">
        <v>160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  <c r="AA1" s="117"/>
      <c r="AB1" s="117"/>
      <c r="AR1" s="58"/>
      <c r="AS1" s="118" t="s">
        <v>161</v>
      </c>
      <c r="AT1" s="118"/>
      <c r="AU1" s="118"/>
      <c r="AV1" s="118"/>
      <c r="AW1" s="118"/>
      <c r="AX1" s="118"/>
      <c r="AY1" s="118"/>
      <c r="AZ1" s="118"/>
      <c r="BA1" s="118"/>
      <c r="BB1" s="119" t="s">
        <v>162</v>
      </c>
      <c r="BC1" s="119"/>
    </row>
    <row r="2" spans="1:55" ht="18" customHeight="1" x14ac:dyDescent="0.35">
      <c r="A2" s="5" t="s">
        <v>163</v>
      </c>
      <c r="B2" s="120" t="s">
        <v>164</v>
      </c>
      <c r="C2" s="120"/>
      <c r="D2" s="120"/>
      <c r="F2" s="5" t="s">
        <v>165</v>
      </c>
      <c r="G2" s="59" t="s">
        <v>166</v>
      </c>
      <c r="AR2" s="58"/>
      <c r="AS2" s="60"/>
      <c r="AT2" s="121" t="s">
        <v>167</v>
      </c>
      <c r="AU2" s="121"/>
      <c r="AV2" s="121"/>
      <c r="AW2" s="61" t="s">
        <v>96</v>
      </c>
      <c r="AX2" s="122" t="s">
        <v>168</v>
      </c>
      <c r="AY2" s="122"/>
      <c r="AZ2" s="122"/>
      <c r="BA2" s="122"/>
      <c r="BB2" s="62" t="s">
        <v>169</v>
      </c>
      <c r="BC2" s="62" t="s">
        <v>170</v>
      </c>
    </row>
    <row r="3" spans="1:55" ht="21.75" customHeight="1" x14ac:dyDescent="0.35">
      <c r="AR3" s="58"/>
      <c r="AS3" s="63" t="s">
        <v>171</v>
      </c>
      <c r="AT3" s="64" t="s">
        <v>172</v>
      </c>
      <c r="AU3" s="64" t="s">
        <v>173</v>
      </c>
      <c r="AV3" s="64" t="s">
        <v>174</v>
      </c>
      <c r="AW3" s="65" t="s">
        <v>175</v>
      </c>
      <c r="AX3" s="66" t="s">
        <v>176</v>
      </c>
      <c r="AY3" s="66" t="s">
        <v>177</v>
      </c>
      <c r="AZ3" s="66" t="s">
        <v>178</v>
      </c>
      <c r="BA3" s="67" t="s">
        <v>179</v>
      </c>
      <c r="BB3" s="68" t="s">
        <v>180</v>
      </c>
      <c r="BC3" s="69">
        <v>48</v>
      </c>
    </row>
    <row r="4" spans="1:55" ht="21.75" customHeight="1" x14ac:dyDescent="0.35">
      <c r="A4" s="70"/>
      <c r="B4" s="70"/>
      <c r="C4" s="70"/>
      <c r="D4" s="114" t="s">
        <v>181</v>
      </c>
      <c r="E4" s="114"/>
      <c r="F4" s="114"/>
      <c r="G4" s="114"/>
      <c r="H4" s="114" t="s">
        <v>182</v>
      </c>
      <c r="I4" s="114"/>
      <c r="J4" s="114"/>
      <c r="K4" s="114"/>
      <c r="L4" s="114" t="s">
        <v>183</v>
      </c>
      <c r="M4" s="114"/>
      <c r="N4" s="114"/>
      <c r="O4" s="114" t="s">
        <v>184</v>
      </c>
      <c r="P4" s="114"/>
      <c r="Q4" s="114"/>
      <c r="R4" s="114" t="s">
        <v>185</v>
      </c>
      <c r="S4" s="114"/>
      <c r="T4" s="114"/>
      <c r="U4" s="114" t="s">
        <v>186</v>
      </c>
      <c r="V4" s="114"/>
      <c r="W4" s="115" t="s">
        <v>187</v>
      </c>
      <c r="X4" s="115"/>
      <c r="Y4" s="114" t="s">
        <v>188</v>
      </c>
      <c r="Z4" s="114"/>
      <c r="AA4" s="114"/>
      <c r="AB4" s="114"/>
      <c r="AC4" s="114"/>
      <c r="AD4" s="115" t="s">
        <v>189</v>
      </c>
      <c r="AE4" s="115"/>
      <c r="AF4" s="115"/>
      <c r="AG4" s="115"/>
      <c r="AH4" s="115"/>
      <c r="AI4" s="115"/>
      <c r="AJ4" s="115"/>
      <c r="AK4" s="115"/>
      <c r="AL4" s="115"/>
      <c r="AM4" s="115"/>
      <c r="AN4" s="115"/>
      <c r="AO4" s="115"/>
      <c r="AP4" s="116" t="s">
        <v>190</v>
      </c>
      <c r="AQ4" s="116"/>
      <c r="AR4" s="58"/>
      <c r="AS4" s="71" t="str">
        <f>'Captura Enero'!B6</f>
        <v>Almacen de Repuestos</v>
      </c>
      <c r="AT4" s="72">
        <f>'Captura Enero'!K6+'Captura Enero'!N6+'Captura Enero'!Q6</f>
        <v>0.24</v>
      </c>
      <c r="AU4" s="72">
        <f>'Captura Enero'!T6</f>
        <v>0.06</v>
      </c>
      <c r="AV4" s="72">
        <f>'Captura Enero'!V6</f>
        <v>0.25</v>
      </c>
      <c r="AW4" s="72">
        <f>'Captura Enero'!G6</f>
        <v>0.2</v>
      </c>
      <c r="AX4" s="72">
        <f>'Captura Enero'!X6</f>
        <v>0.25</v>
      </c>
      <c r="AY4" s="72">
        <f>'Captura Enero'!AC6</f>
        <v>0</v>
      </c>
      <c r="AZ4" s="73">
        <f>-'Captura Enero'!AN6</f>
        <v>0</v>
      </c>
      <c r="BA4" s="74">
        <f>'Captura Enero'!AQ6</f>
        <v>1</v>
      </c>
      <c r="BB4" s="68" t="s">
        <v>191</v>
      </c>
      <c r="BC4" s="75">
        <v>280</v>
      </c>
    </row>
    <row r="5" spans="1:55" ht="13.5" customHeight="1" x14ac:dyDescent="0.35">
      <c r="A5" s="76" t="s">
        <v>93</v>
      </c>
      <c r="B5" s="76" t="s">
        <v>48</v>
      </c>
      <c r="C5" s="76" t="s">
        <v>94</v>
      </c>
      <c r="D5" s="77" t="s">
        <v>192</v>
      </c>
      <c r="E5" s="77" t="s">
        <v>193</v>
      </c>
      <c r="F5" s="77" t="s">
        <v>194</v>
      </c>
      <c r="G5" s="77" t="s">
        <v>195</v>
      </c>
      <c r="H5" s="77" t="s">
        <v>196</v>
      </c>
      <c r="I5" s="77" t="s">
        <v>197</v>
      </c>
      <c r="J5" s="77" t="s">
        <v>198</v>
      </c>
      <c r="K5" s="77" t="s">
        <v>195</v>
      </c>
      <c r="L5" s="77" t="s">
        <v>199</v>
      </c>
      <c r="M5" s="77" t="s">
        <v>198</v>
      </c>
      <c r="N5" s="77" t="s">
        <v>195</v>
      </c>
      <c r="O5" s="77" t="s">
        <v>199</v>
      </c>
      <c r="P5" s="77" t="s">
        <v>198</v>
      </c>
      <c r="Q5" s="77" t="s">
        <v>195</v>
      </c>
      <c r="R5" s="77" t="s">
        <v>199</v>
      </c>
      <c r="S5" s="77" t="s">
        <v>198</v>
      </c>
      <c r="T5" s="77" t="s">
        <v>195</v>
      </c>
      <c r="U5" s="77" t="s">
        <v>200</v>
      </c>
      <c r="V5" s="77" t="s">
        <v>195</v>
      </c>
      <c r="W5" s="78" t="s">
        <v>201</v>
      </c>
      <c r="X5" s="78" t="s">
        <v>195</v>
      </c>
      <c r="Y5" s="77" t="s">
        <v>202</v>
      </c>
      <c r="Z5" s="77" t="s">
        <v>203</v>
      </c>
      <c r="AA5" s="77" t="s">
        <v>204</v>
      </c>
      <c r="AB5" s="77" t="s">
        <v>205</v>
      </c>
      <c r="AC5" s="77" t="s">
        <v>206</v>
      </c>
      <c r="AD5" s="78" t="s">
        <v>207</v>
      </c>
      <c r="AE5" s="78" t="s">
        <v>208</v>
      </c>
      <c r="AF5" s="78" t="s">
        <v>209</v>
      </c>
      <c r="AG5" s="78" t="s">
        <v>210</v>
      </c>
      <c r="AH5" s="78" t="s">
        <v>211</v>
      </c>
      <c r="AI5" s="78" t="s">
        <v>212</v>
      </c>
      <c r="AJ5" s="78" t="s">
        <v>213</v>
      </c>
      <c r="AK5" s="78" t="s">
        <v>214</v>
      </c>
      <c r="AL5" s="78" t="s">
        <v>215</v>
      </c>
      <c r="AM5" s="78" t="s">
        <v>216</v>
      </c>
      <c r="AN5" s="78" t="s">
        <v>217</v>
      </c>
      <c r="AO5" s="78" t="s">
        <v>218</v>
      </c>
      <c r="AP5" s="76" t="s">
        <v>219</v>
      </c>
      <c r="AQ5" s="76" t="s">
        <v>220</v>
      </c>
      <c r="AR5" s="58"/>
      <c r="AS5" s="79" t="str">
        <f>'Captura Enero'!B7</f>
        <v>Alrededores</v>
      </c>
      <c r="AT5" s="80">
        <f>'Captura Enero'!K7+'Captura Enero'!N7+'Captura Enero'!Q7</f>
        <v>0.24</v>
      </c>
      <c r="AU5" s="80">
        <f>'Captura Enero'!T7</f>
        <v>0.06</v>
      </c>
      <c r="AV5" s="80">
        <f>'Captura Enero'!V7</f>
        <v>0.25</v>
      </c>
      <c r="AW5" s="80">
        <f>'Captura Enero'!G7</f>
        <v>0.2</v>
      </c>
      <c r="AX5" s="80">
        <f>'Captura Enero'!X7</f>
        <v>0.15</v>
      </c>
      <c r="AY5" s="80">
        <f>'Captura Enero'!AC7</f>
        <v>0.04</v>
      </c>
      <c r="AZ5" s="81">
        <f>-'Captura Enero'!AN7</f>
        <v>0</v>
      </c>
      <c r="BA5" s="82">
        <f>'Captura Enero'!AQ7</f>
        <v>0.94000000000000006</v>
      </c>
      <c r="BB5" s="110" t="s">
        <v>221</v>
      </c>
      <c r="BC5" s="110"/>
    </row>
    <row r="6" spans="1:55" ht="16.5" customHeight="1" x14ac:dyDescent="0.35">
      <c r="A6" s="12">
        <v>1</v>
      </c>
      <c r="B6" s="83" t="s">
        <v>103</v>
      </c>
      <c r="C6" s="84" t="str">
        <f>VLOOKUP(B6,Parametros!$I$6:$J$20,2,FALSE())</f>
        <v>Fredy Fuentes</v>
      </c>
      <c r="D6" s="85">
        <v>1</v>
      </c>
      <c r="E6" s="85">
        <v>1</v>
      </c>
      <c r="F6" s="11">
        <f t="shared" ref="F6:F20" si="0">AVERAGE(D6,E6)</f>
        <v>1</v>
      </c>
      <c r="G6" s="86">
        <f>F6*Parametros!$E$6</f>
        <v>0.2</v>
      </c>
      <c r="H6" s="87">
        <v>10</v>
      </c>
      <c r="I6" s="87">
        <v>10</v>
      </c>
      <c r="J6" s="88" t="s">
        <v>222</v>
      </c>
      <c r="K6" s="86">
        <f>IF(J6="NO",0,IFERROR(H6/I6,0)*Parametros!$E$7)</f>
        <v>0.08</v>
      </c>
      <c r="L6" s="85">
        <v>1</v>
      </c>
      <c r="M6" s="88" t="s">
        <v>222</v>
      </c>
      <c r="N6" s="86">
        <f>IF(M6="NO",0,L6*Parametros!$E$8)</f>
        <v>0.08</v>
      </c>
      <c r="O6" s="85">
        <v>1</v>
      </c>
      <c r="P6" s="88" t="s">
        <v>222</v>
      </c>
      <c r="Q6" s="86">
        <f>IF(P6="NO",0,O6*Parametros!$E$9)</f>
        <v>0.08</v>
      </c>
      <c r="R6" s="85">
        <v>1</v>
      </c>
      <c r="S6" s="88" t="s">
        <v>222</v>
      </c>
      <c r="T6" s="86">
        <f>IF(S6="NO",0,R6*Parametros!$E$10)</f>
        <v>0.06</v>
      </c>
      <c r="U6" s="85">
        <v>1</v>
      </c>
      <c r="V6" s="86">
        <f>U6*Parametros!$E$11</f>
        <v>0.25</v>
      </c>
      <c r="W6" s="87">
        <v>0</v>
      </c>
      <c r="X6" s="86">
        <f>MAX(0,Parametros!$E$12-Parametros!$E$18*W6)</f>
        <v>0.25</v>
      </c>
      <c r="Y6" s="87">
        <v>5</v>
      </c>
      <c r="Z6" s="87">
        <v>2</v>
      </c>
      <c r="AA6" s="89">
        <f>IF(Y6&gt;=Parametros!$E$22,Parametros!$E$24,0)</f>
        <v>0</v>
      </c>
      <c r="AB6" s="89">
        <f>IF(Z6&gt;=Parametros!$E$23,Parametros!$E$25,0)</f>
        <v>0</v>
      </c>
      <c r="AC6" s="89">
        <f t="shared" ref="AC6:AC20" si="1">AA6+AB6</f>
        <v>0</v>
      </c>
      <c r="AD6" s="87">
        <v>0</v>
      </c>
      <c r="AE6" s="88" t="s">
        <v>222</v>
      </c>
      <c r="AF6" s="87">
        <v>0</v>
      </c>
      <c r="AG6" s="88" t="s">
        <v>222</v>
      </c>
      <c r="AH6" s="87">
        <v>0</v>
      </c>
      <c r="AI6" s="88" t="s">
        <v>222</v>
      </c>
      <c r="AJ6" s="87">
        <v>0</v>
      </c>
      <c r="AK6" s="88" t="s">
        <v>222</v>
      </c>
      <c r="AL6" s="87">
        <v>0</v>
      </c>
      <c r="AM6" s="88" t="s">
        <v>222</v>
      </c>
      <c r="AN6" s="89">
        <f>AD6*Parametros!$E$28+AF6*Parametros!$E$29+AH6*Parametros!$E$30+AJ6*Parametros!$E$31+AL6*Parametros!$E$32</f>
        <v>0</v>
      </c>
      <c r="AO6" s="12" t="str">
        <f t="shared" ref="AO6:AO20" si="2">IF(OR(AND(AD6&gt;0,AE6="NO"),AND(AF6&gt;0,AG6="NO"),AND(AH6&gt;0,AI6="NO"),AND(AJ6&gt;0,AK6="NO"),AND(AL6&gt;0,AM6="NO")),"SI","NO")</f>
        <v>NO</v>
      </c>
      <c r="AP6" s="11">
        <f t="shared" ref="AP6:AP20" si="3">G6+K6+N6+Q6+T6+V6+X6</f>
        <v>1</v>
      </c>
      <c r="AQ6" s="90">
        <f>MAX(0,MIN(1,MAX(0,AP6-IF(S6="NO",Parametros!$E$17,0))+AC6-AN6-IF(AO6="SI",Parametros!$E$33,0)))</f>
        <v>1</v>
      </c>
      <c r="AR6" s="58"/>
      <c r="AS6" s="71" t="str">
        <f>'Captura Enero'!B8</f>
        <v>Calidad</v>
      </c>
      <c r="AT6" s="72">
        <f>'Captura Enero'!K8+'Captura Enero'!N8+'Captura Enero'!Q8</f>
        <v>0.24</v>
      </c>
      <c r="AU6" s="72">
        <f>'Captura Enero'!T8</f>
        <v>0.06</v>
      </c>
      <c r="AV6" s="72">
        <f>'Captura Enero'!V8</f>
        <v>0.25</v>
      </c>
      <c r="AW6" s="72">
        <f>'Captura Enero'!G8</f>
        <v>0.2</v>
      </c>
      <c r="AX6" s="72">
        <f>'Captura Enero'!X8</f>
        <v>0.25</v>
      </c>
      <c r="AY6" s="72">
        <f>'Captura Enero'!AC8</f>
        <v>0.08</v>
      </c>
      <c r="AZ6" s="73">
        <f>-'Captura Enero'!AN8</f>
        <v>0</v>
      </c>
      <c r="BA6" s="74">
        <f>'Captura Enero'!AQ8</f>
        <v>1</v>
      </c>
      <c r="BB6" s="58"/>
      <c r="BC6" s="58"/>
    </row>
    <row r="7" spans="1:55" ht="16.5" customHeight="1" x14ac:dyDescent="0.35">
      <c r="A7" s="12">
        <v>2</v>
      </c>
      <c r="B7" s="83" t="s">
        <v>135</v>
      </c>
      <c r="C7" s="84" t="str">
        <f>VLOOKUP(B7,Parametros!$I$6:$J$20,2,FALSE())</f>
        <v>Carlos Chavez</v>
      </c>
      <c r="D7" s="85">
        <v>1</v>
      </c>
      <c r="E7" s="85">
        <v>1</v>
      </c>
      <c r="F7" s="11">
        <f t="shared" si="0"/>
        <v>1</v>
      </c>
      <c r="G7" s="86">
        <f>F7*Parametros!$E$6</f>
        <v>0.2</v>
      </c>
      <c r="H7" s="87">
        <v>10</v>
      </c>
      <c r="I7" s="87">
        <v>10</v>
      </c>
      <c r="J7" s="88" t="s">
        <v>222</v>
      </c>
      <c r="K7" s="86">
        <f>IF(J7="NO",0,IFERROR(H7/I7,0)*Parametros!$E$7)</f>
        <v>0.08</v>
      </c>
      <c r="L7" s="85">
        <v>1</v>
      </c>
      <c r="M7" s="88" t="s">
        <v>222</v>
      </c>
      <c r="N7" s="86">
        <f>IF(M7="NO",0,L7*Parametros!$E$8)</f>
        <v>0.08</v>
      </c>
      <c r="O7" s="85">
        <v>1</v>
      </c>
      <c r="P7" s="88" t="s">
        <v>222</v>
      </c>
      <c r="Q7" s="86">
        <f>IF(P7="NO",0,O7*Parametros!$E$9)</f>
        <v>0.08</v>
      </c>
      <c r="R7" s="85">
        <v>1</v>
      </c>
      <c r="S7" s="88" t="s">
        <v>222</v>
      </c>
      <c r="T7" s="86">
        <f>IF(S7="NO",0,R7*Parametros!$E$10)</f>
        <v>0.06</v>
      </c>
      <c r="U7" s="85">
        <v>1</v>
      </c>
      <c r="V7" s="86">
        <f>U7*Parametros!$E$11</f>
        <v>0.25</v>
      </c>
      <c r="W7" s="87">
        <v>2</v>
      </c>
      <c r="X7" s="86">
        <f>MAX(0,Parametros!$E$12-Parametros!$E$18*W7)</f>
        <v>0.15</v>
      </c>
      <c r="Y7" s="87">
        <v>0</v>
      </c>
      <c r="Z7" s="87">
        <v>13</v>
      </c>
      <c r="AA7" s="89">
        <f>IF(Y7&gt;=Parametros!$E$22,Parametros!$E$24,0)</f>
        <v>0</v>
      </c>
      <c r="AB7" s="89">
        <f>IF(Z7&gt;=Parametros!$E$23,Parametros!$E$25,0)</f>
        <v>0.04</v>
      </c>
      <c r="AC7" s="89">
        <f t="shared" si="1"/>
        <v>0.04</v>
      </c>
      <c r="AD7" s="87">
        <v>0</v>
      </c>
      <c r="AE7" s="88" t="s">
        <v>222</v>
      </c>
      <c r="AF7" s="87">
        <v>0</v>
      </c>
      <c r="AG7" s="88" t="s">
        <v>222</v>
      </c>
      <c r="AH7" s="87">
        <v>0</v>
      </c>
      <c r="AI7" s="88" t="s">
        <v>222</v>
      </c>
      <c r="AJ7" s="87">
        <v>0</v>
      </c>
      <c r="AK7" s="88" t="s">
        <v>222</v>
      </c>
      <c r="AL7" s="87">
        <v>0</v>
      </c>
      <c r="AM7" s="88" t="s">
        <v>222</v>
      </c>
      <c r="AN7" s="89">
        <f>AD7*Parametros!$E$28+AF7*Parametros!$E$29+AH7*Parametros!$E$30+AJ7*Parametros!$E$31+AL7*Parametros!$E$32</f>
        <v>0</v>
      </c>
      <c r="AO7" s="12" t="str">
        <f t="shared" si="2"/>
        <v>NO</v>
      </c>
      <c r="AP7" s="11">
        <f t="shared" si="3"/>
        <v>0.9</v>
      </c>
      <c r="AQ7" s="90">
        <f>MAX(0,MIN(1,MAX(0,AP7-IF(S7="NO",Parametros!$E$17,0))+AC7-AN7-IF(AO7="SI",Parametros!$E$33,0)))</f>
        <v>0.94000000000000006</v>
      </c>
      <c r="AR7" s="58"/>
      <c r="AS7" s="79" t="str">
        <f>'Captura Enero'!B9</f>
        <v>Centro de Distribucion</v>
      </c>
      <c r="AT7" s="80">
        <f>'Captura Enero'!K9+'Captura Enero'!N9+'Captura Enero'!Q9</f>
        <v>0.24</v>
      </c>
      <c r="AU7" s="80">
        <f>'Captura Enero'!T9</f>
        <v>0.06</v>
      </c>
      <c r="AV7" s="80">
        <f>'Captura Enero'!V9</f>
        <v>0.25</v>
      </c>
      <c r="AW7" s="80">
        <f>'Captura Enero'!G9</f>
        <v>0.1974358974358974</v>
      </c>
      <c r="AX7" s="80">
        <f>'Captura Enero'!X9</f>
        <v>0.25</v>
      </c>
      <c r="AY7" s="80">
        <f>'Captura Enero'!AC9</f>
        <v>0.04</v>
      </c>
      <c r="AZ7" s="81">
        <f>-'Captura Enero'!AN9</f>
        <v>0</v>
      </c>
      <c r="BA7" s="82">
        <f>'Captura Enero'!AQ9</f>
        <v>1</v>
      </c>
      <c r="BB7" s="58"/>
      <c r="BC7" s="58"/>
    </row>
    <row r="8" spans="1:55" ht="16.5" customHeight="1" x14ac:dyDescent="0.35">
      <c r="A8" s="12">
        <v>3</v>
      </c>
      <c r="B8" s="83" t="s">
        <v>98</v>
      </c>
      <c r="C8" s="84" t="str">
        <f>VLOOKUP(B8,Parametros!$I$6:$J$20,2,FALSE())</f>
        <v>Alejandro Martinez</v>
      </c>
      <c r="D8" s="85">
        <v>1</v>
      </c>
      <c r="E8" s="85">
        <v>1</v>
      </c>
      <c r="F8" s="11">
        <f t="shared" si="0"/>
        <v>1</v>
      </c>
      <c r="G8" s="86">
        <f>F8*Parametros!$E$6</f>
        <v>0.2</v>
      </c>
      <c r="H8" s="87">
        <v>10</v>
      </c>
      <c r="I8" s="87">
        <v>10</v>
      </c>
      <c r="J8" s="88" t="s">
        <v>222</v>
      </c>
      <c r="K8" s="86">
        <f>IF(J8="NO",0,IFERROR(H8/I8,0)*Parametros!$E$7)</f>
        <v>0.08</v>
      </c>
      <c r="L8" s="85">
        <v>1</v>
      </c>
      <c r="M8" s="88" t="s">
        <v>222</v>
      </c>
      <c r="N8" s="86">
        <f>IF(M8="NO",0,L8*Parametros!$E$8)</f>
        <v>0.08</v>
      </c>
      <c r="O8" s="85">
        <v>1</v>
      </c>
      <c r="P8" s="88" t="s">
        <v>222</v>
      </c>
      <c r="Q8" s="86">
        <f>IF(P8="NO",0,O8*Parametros!$E$9)</f>
        <v>0.08</v>
      </c>
      <c r="R8" s="85">
        <v>1</v>
      </c>
      <c r="S8" s="88" t="s">
        <v>222</v>
      </c>
      <c r="T8" s="86">
        <f>IF(S8="NO",0,R8*Parametros!$E$10)</f>
        <v>0.06</v>
      </c>
      <c r="U8" s="85">
        <v>1</v>
      </c>
      <c r="V8" s="86">
        <f>U8*Parametros!$E$11</f>
        <v>0.25</v>
      </c>
      <c r="W8" s="87">
        <v>0</v>
      </c>
      <c r="X8" s="86">
        <f>MAX(0,Parametros!$E$12-Parametros!$E$18*W8)</f>
        <v>0.25</v>
      </c>
      <c r="Y8" s="87">
        <v>9</v>
      </c>
      <c r="Z8" s="87">
        <v>34</v>
      </c>
      <c r="AA8" s="89">
        <f>IF(Y8&gt;=Parametros!$E$22,Parametros!$E$24,0)</f>
        <v>0.04</v>
      </c>
      <c r="AB8" s="89">
        <f>IF(Z8&gt;=Parametros!$E$23,Parametros!$E$25,0)</f>
        <v>0.04</v>
      </c>
      <c r="AC8" s="89">
        <f t="shared" si="1"/>
        <v>0.08</v>
      </c>
      <c r="AD8" s="87">
        <v>0</v>
      </c>
      <c r="AE8" s="88" t="s">
        <v>222</v>
      </c>
      <c r="AF8" s="87">
        <v>0</v>
      </c>
      <c r="AG8" s="88" t="s">
        <v>222</v>
      </c>
      <c r="AH8" s="87">
        <v>0</v>
      </c>
      <c r="AI8" s="88" t="s">
        <v>222</v>
      </c>
      <c r="AJ8" s="87">
        <v>0</v>
      </c>
      <c r="AK8" s="88" t="s">
        <v>222</v>
      </c>
      <c r="AL8" s="87">
        <v>0</v>
      </c>
      <c r="AM8" s="88" t="s">
        <v>222</v>
      </c>
      <c r="AN8" s="89">
        <f>AD8*Parametros!$E$28+AF8*Parametros!$E$29+AH8*Parametros!$E$30+AJ8*Parametros!$E$31+AL8*Parametros!$E$32</f>
        <v>0</v>
      </c>
      <c r="AO8" s="12" t="str">
        <f t="shared" si="2"/>
        <v>NO</v>
      </c>
      <c r="AP8" s="11">
        <f t="shared" si="3"/>
        <v>1</v>
      </c>
      <c r="AQ8" s="90">
        <f>MAX(0,MIN(1,MAX(0,AP8-IF(S8="NO",Parametros!$E$17,0))+AC8-AN8-IF(AO8="SI",Parametros!$E$33,0)))</f>
        <v>1</v>
      </c>
      <c r="AR8" s="58"/>
      <c r="AS8" s="71" t="str">
        <f>'Captura Enero'!B10</f>
        <v>ETEI</v>
      </c>
      <c r="AT8" s="72">
        <f>'Captura Enero'!K10+'Captura Enero'!N10+'Captura Enero'!Q10</f>
        <v>0.24</v>
      </c>
      <c r="AU8" s="72">
        <f>'Captura Enero'!T10</f>
        <v>0.06</v>
      </c>
      <c r="AV8" s="72">
        <f>'Captura Enero'!V10</f>
        <v>0.25</v>
      </c>
      <c r="AW8" s="72">
        <f>'Captura Enero'!G10</f>
        <v>0.15000000000000002</v>
      </c>
      <c r="AX8" s="72">
        <f>'Captura Enero'!X10</f>
        <v>0.25</v>
      </c>
      <c r="AY8" s="72">
        <f>'Captura Enero'!AC10</f>
        <v>0</v>
      </c>
      <c r="AZ8" s="73">
        <f>-'Captura Enero'!AN10</f>
        <v>0</v>
      </c>
      <c r="BA8" s="74">
        <f>'Captura Enero'!AQ10</f>
        <v>0.95000000000000007</v>
      </c>
      <c r="BB8" s="58"/>
      <c r="BC8" s="58"/>
    </row>
    <row r="9" spans="1:55" ht="16.5" customHeight="1" x14ac:dyDescent="0.35">
      <c r="A9" s="12">
        <v>4</v>
      </c>
      <c r="B9" s="83" t="s">
        <v>128</v>
      </c>
      <c r="C9" s="84" t="str">
        <f>VLOOKUP(B9,Parametros!$I$6:$J$20,2,FALSE())</f>
        <v>Jimmy Velasquez</v>
      </c>
      <c r="D9" s="85">
        <v>0.97435897435897401</v>
      </c>
      <c r="E9" s="85">
        <v>1</v>
      </c>
      <c r="F9" s="11">
        <f t="shared" si="0"/>
        <v>0.987179487179487</v>
      </c>
      <c r="G9" s="86">
        <f>F9*Parametros!$E$6</f>
        <v>0.1974358974358974</v>
      </c>
      <c r="H9" s="87">
        <v>10</v>
      </c>
      <c r="I9" s="87">
        <v>10</v>
      </c>
      <c r="J9" s="88" t="s">
        <v>222</v>
      </c>
      <c r="K9" s="86">
        <f>IF(J9="NO",0,IFERROR(H9/I9,0)*Parametros!$E$7)</f>
        <v>0.08</v>
      </c>
      <c r="L9" s="85">
        <v>1</v>
      </c>
      <c r="M9" s="88" t="s">
        <v>222</v>
      </c>
      <c r="N9" s="86">
        <f>IF(M9="NO",0,L9*Parametros!$E$8)</f>
        <v>0.08</v>
      </c>
      <c r="O9" s="85">
        <v>1</v>
      </c>
      <c r="P9" s="88" t="s">
        <v>222</v>
      </c>
      <c r="Q9" s="86">
        <f>IF(P9="NO",0,O9*Parametros!$E$9)</f>
        <v>0.08</v>
      </c>
      <c r="R9" s="85">
        <v>1</v>
      </c>
      <c r="S9" s="88" t="s">
        <v>222</v>
      </c>
      <c r="T9" s="86">
        <f>IF(S9="NO",0,R9*Parametros!$E$10)</f>
        <v>0.06</v>
      </c>
      <c r="U9" s="85">
        <v>1</v>
      </c>
      <c r="V9" s="86">
        <f>U9*Parametros!$E$11</f>
        <v>0.25</v>
      </c>
      <c r="W9" s="87">
        <v>0</v>
      </c>
      <c r="X9" s="86">
        <f>MAX(0,Parametros!$E$12-Parametros!$E$18*W9)</f>
        <v>0.25</v>
      </c>
      <c r="Y9" s="87">
        <v>5</v>
      </c>
      <c r="Z9" s="87">
        <v>21</v>
      </c>
      <c r="AA9" s="89">
        <f>IF(Y9&gt;=Parametros!$E$22,Parametros!$E$24,0)</f>
        <v>0</v>
      </c>
      <c r="AB9" s="89">
        <f>IF(Z9&gt;=Parametros!$E$23,Parametros!$E$25,0)</f>
        <v>0.04</v>
      </c>
      <c r="AC9" s="89">
        <f t="shared" si="1"/>
        <v>0.04</v>
      </c>
      <c r="AD9" s="87">
        <v>0</v>
      </c>
      <c r="AE9" s="88" t="s">
        <v>222</v>
      </c>
      <c r="AF9" s="87">
        <v>0</v>
      </c>
      <c r="AG9" s="88" t="s">
        <v>222</v>
      </c>
      <c r="AH9" s="87">
        <v>0</v>
      </c>
      <c r="AI9" s="88" t="s">
        <v>222</v>
      </c>
      <c r="AJ9" s="87">
        <v>0</v>
      </c>
      <c r="AK9" s="88" t="s">
        <v>222</v>
      </c>
      <c r="AL9" s="87">
        <v>0</v>
      </c>
      <c r="AM9" s="88" t="s">
        <v>222</v>
      </c>
      <c r="AN9" s="89">
        <f>AD9*Parametros!$E$28+AF9*Parametros!$E$29+AH9*Parametros!$E$30+AJ9*Parametros!$E$31+AL9*Parametros!$E$32</f>
        <v>0</v>
      </c>
      <c r="AO9" s="12" t="str">
        <f t="shared" si="2"/>
        <v>NO</v>
      </c>
      <c r="AP9" s="11">
        <f t="shared" si="3"/>
        <v>0.99743589743589745</v>
      </c>
      <c r="AQ9" s="90">
        <f>MAX(0,MIN(1,MAX(0,AP9-IF(S9="NO",Parametros!$E$17,0))+AC9-AN9-IF(AO9="SI",Parametros!$E$33,0)))</f>
        <v>1</v>
      </c>
      <c r="AR9" s="58"/>
      <c r="AS9" s="79" t="str">
        <f>'Captura Enero'!B11</f>
        <v>Equipos Auxiliares</v>
      </c>
      <c r="AT9" s="80">
        <f>'Captura Enero'!K11+'Captura Enero'!N11+'Captura Enero'!Q11</f>
        <v>0.24</v>
      </c>
      <c r="AU9" s="80">
        <f>'Captura Enero'!T11</f>
        <v>0</v>
      </c>
      <c r="AV9" s="80">
        <f>'Captura Enero'!V11</f>
        <v>0.25</v>
      </c>
      <c r="AW9" s="80">
        <f>'Captura Enero'!G11</f>
        <v>0.2</v>
      </c>
      <c r="AX9" s="80">
        <f>'Captura Enero'!X11</f>
        <v>0.25</v>
      </c>
      <c r="AY9" s="80">
        <f>'Captura Enero'!AC11</f>
        <v>0</v>
      </c>
      <c r="AZ9" s="81">
        <f>-'Captura Enero'!AN11</f>
        <v>0</v>
      </c>
      <c r="BA9" s="82">
        <f>'Captura Enero'!AQ11</f>
        <v>0.84000000000000008</v>
      </c>
      <c r="BB9" s="58"/>
      <c r="BC9" s="58"/>
    </row>
    <row r="10" spans="1:55" ht="16.5" customHeight="1" x14ac:dyDescent="0.35">
      <c r="A10" s="12">
        <v>5</v>
      </c>
      <c r="B10" s="83" t="s">
        <v>125</v>
      </c>
      <c r="C10" s="84" t="str">
        <f>VLOOKUP(B10,Parametros!$I$6:$J$20,2,FALSE())</f>
        <v>Jessica Loarca</v>
      </c>
      <c r="D10" s="85">
        <v>1</v>
      </c>
      <c r="E10" s="85">
        <v>0.5</v>
      </c>
      <c r="F10" s="11">
        <f t="shared" si="0"/>
        <v>0.75</v>
      </c>
      <c r="G10" s="86">
        <f>F10*Parametros!$E$6</f>
        <v>0.15000000000000002</v>
      </c>
      <c r="H10" s="87">
        <v>10</v>
      </c>
      <c r="I10" s="87">
        <v>10</v>
      </c>
      <c r="J10" s="88" t="s">
        <v>222</v>
      </c>
      <c r="K10" s="86">
        <f>IF(J10="NO",0,IFERROR(H10/I10,0)*Parametros!$E$7)</f>
        <v>0.08</v>
      </c>
      <c r="L10" s="85">
        <v>1</v>
      </c>
      <c r="M10" s="88" t="s">
        <v>222</v>
      </c>
      <c r="N10" s="86">
        <f>IF(M10="NO",0,L10*Parametros!$E$8)</f>
        <v>0.08</v>
      </c>
      <c r="O10" s="85">
        <v>1</v>
      </c>
      <c r="P10" s="88" t="s">
        <v>222</v>
      </c>
      <c r="Q10" s="86">
        <f>IF(P10="NO",0,O10*Parametros!$E$9)</f>
        <v>0.08</v>
      </c>
      <c r="R10" s="85">
        <v>1</v>
      </c>
      <c r="S10" s="88" t="s">
        <v>222</v>
      </c>
      <c r="T10" s="86">
        <f>IF(S10="NO",0,R10*Parametros!$E$10)</f>
        <v>0.06</v>
      </c>
      <c r="U10" s="85">
        <v>1</v>
      </c>
      <c r="V10" s="86">
        <f>U10*Parametros!$E$11</f>
        <v>0.25</v>
      </c>
      <c r="W10" s="87">
        <v>0</v>
      </c>
      <c r="X10" s="86">
        <f>MAX(0,Parametros!$E$12-Parametros!$E$18*W10)</f>
        <v>0.25</v>
      </c>
      <c r="Y10" s="87">
        <v>0</v>
      </c>
      <c r="Z10" s="87">
        <v>7</v>
      </c>
      <c r="AA10" s="89">
        <f>IF(Y10&gt;=Parametros!$E$22,Parametros!$E$24,0)</f>
        <v>0</v>
      </c>
      <c r="AB10" s="89">
        <f>IF(Z10&gt;=Parametros!$E$23,Parametros!$E$25,0)</f>
        <v>0</v>
      </c>
      <c r="AC10" s="89">
        <f t="shared" si="1"/>
        <v>0</v>
      </c>
      <c r="AD10" s="87">
        <v>0</v>
      </c>
      <c r="AE10" s="88" t="s">
        <v>222</v>
      </c>
      <c r="AF10" s="87">
        <v>0</v>
      </c>
      <c r="AG10" s="88" t="s">
        <v>222</v>
      </c>
      <c r="AH10" s="87">
        <v>0</v>
      </c>
      <c r="AI10" s="88" t="s">
        <v>222</v>
      </c>
      <c r="AJ10" s="87">
        <v>0</v>
      </c>
      <c r="AK10" s="88" t="s">
        <v>222</v>
      </c>
      <c r="AL10" s="87">
        <v>0</v>
      </c>
      <c r="AM10" s="88" t="s">
        <v>222</v>
      </c>
      <c r="AN10" s="89">
        <f>AD10*Parametros!$E$28+AF10*Parametros!$E$29+AH10*Parametros!$E$30+AJ10*Parametros!$E$31+AL10*Parametros!$E$32</f>
        <v>0</v>
      </c>
      <c r="AO10" s="12" t="str">
        <f t="shared" si="2"/>
        <v>NO</v>
      </c>
      <c r="AP10" s="11">
        <f t="shared" si="3"/>
        <v>0.95000000000000007</v>
      </c>
      <c r="AQ10" s="90">
        <f>MAX(0,MIN(1,MAX(0,AP10-IF(S10="NO",Parametros!$E$17,0))+AC10-AN10-IF(AO10="SI",Parametros!$E$33,0)))</f>
        <v>0.95000000000000007</v>
      </c>
      <c r="AR10" s="58"/>
      <c r="AS10" s="71" t="str">
        <f>'Captura Enero'!B12</f>
        <v>Jarabes</v>
      </c>
      <c r="AT10" s="72">
        <f>'Captura Enero'!K12+'Captura Enero'!N12+'Captura Enero'!Q12</f>
        <v>0.24</v>
      </c>
      <c r="AU10" s="72">
        <f>'Captura Enero'!T12</f>
        <v>0.06</v>
      </c>
      <c r="AV10" s="72">
        <f>'Captura Enero'!V12</f>
        <v>0.25</v>
      </c>
      <c r="AW10" s="72">
        <f>'Captura Enero'!G12</f>
        <v>0.2</v>
      </c>
      <c r="AX10" s="72">
        <f>'Captura Enero'!X12</f>
        <v>0</v>
      </c>
      <c r="AY10" s="72">
        <f>'Captura Enero'!AC12</f>
        <v>0.04</v>
      </c>
      <c r="AZ10" s="73">
        <f>-'Captura Enero'!AN12</f>
        <v>0</v>
      </c>
      <c r="BA10" s="74">
        <f>'Captura Enero'!AQ12</f>
        <v>0.79</v>
      </c>
      <c r="BB10" s="58"/>
      <c r="BC10" s="58"/>
    </row>
    <row r="11" spans="1:55" ht="16.5" customHeight="1" x14ac:dyDescent="0.35">
      <c r="A11" s="12">
        <v>6</v>
      </c>
      <c r="B11" s="83" t="s">
        <v>117</v>
      </c>
      <c r="C11" s="84" t="str">
        <f>VLOOKUP(B11,Parametros!$I$6:$J$20,2,FALSE())</f>
        <v>Edson Bonifacio</v>
      </c>
      <c r="D11" s="85">
        <v>1</v>
      </c>
      <c r="E11" s="85">
        <v>1</v>
      </c>
      <c r="F11" s="11">
        <f t="shared" si="0"/>
        <v>1</v>
      </c>
      <c r="G11" s="86">
        <f>F11*Parametros!$E$6</f>
        <v>0.2</v>
      </c>
      <c r="H11" s="87">
        <v>10</v>
      </c>
      <c r="I11" s="87">
        <v>10</v>
      </c>
      <c r="J11" s="88" t="s">
        <v>222</v>
      </c>
      <c r="K11" s="86">
        <f>IF(J11="NO",0,IFERROR(H11/I11,0)*Parametros!$E$7)</f>
        <v>0.08</v>
      </c>
      <c r="L11" s="85">
        <v>1</v>
      </c>
      <c r="M11" s="88" t="s">
        <v>222</v>
      </c>
      <c r="N11" s="86">
        <f>IF(M11="NO",0,L11*Parametros!$E$8)</f>
        <v>0.08</v>
      </c>
      <c r="O11" s="85">
        <v>1</v>
      </c>
      <c r="P11" s="88" t="s">
        <v>222</v>
      </c>
      <c r="Q11" s="86">
        <f>IF(P11="NO",0,O11*Parametros!$E$9)</f>
        <v>0.08</v>
      </c>
      <c r="R11" s="85">
        <v>0</v>
      </c>
      <c r="S11" s="88" t="s">
        <v>223</v>
      </c>
      <c r="T11" s="86">
        <f>IF(S11="NO",0,R11*Parametros!$E$10)</f>
        <v>0</v>
      </c>
      <c r="U11" s="85">
        <v>1</v>
      </c>
      <c r="V11" s="86">
        <f>U11*Parametros!$E$11</f>
        <v>0.25</v>
      </c>
      <c r="W11" s="87">
        <v>0</v>
      </c>
      <c r="X11" s="86">
        <f>MAX(0,Parametros!$E$12-Parametros!$E$18*W11)</f>
        <v>0.25</v>
      </c>
      <c r="Y11" s="87">
        <v>3</v>
      </c>
      <c r="Z11" s="87">
        <v>9</v>
      </c>
      <c r="AA11" s="89">
        <f>IF(Y11&gt;=Parametros!$E$22,Parametros!$E$24,0)</f>
        <v>0</v>
      </c>
      <c r="AB11" s="89">
        <f>IF(Z11&gt;=Parametros!$E$23,Parametros!$E$25,0)</f>
        <v>0</v>
      </c>
      <c r="AC11" s="89">
        <f t="shared" si="1"/>
        <v>0</v>
      </c>
      <c r="AD11" s="87">
        <v>0</v>
      </c>
      <c r="AE11" s="88" t="s">
        <v>222</v>
      </c>
      <c r="AF11" s="87">
        <v>0</v>
      </c>
      <c r="AG11" s="88" t="s">
        <v>222</v>
      </c>
      <c r="AH11" s="87">
        <v>0</v>
      </c>
      <c r="AI11" s="88" t="s">
        <v>222</v>
      </c>
      <c r="AJ11" s="87">
        <v>0</v>
      </c>
      <c r="AK11" s="88" t="s">
        <v>222</v>
      </c>
      <c r="AL11" s="87">
        <v>0</v>
      </c>
      <c r="AM11" s="88" t="s">
        <v>222</v>
      </c>
      <c r="AN11" s="89">
        <f>AD11*Parametros!$E$28+AF11*Parametros!$E$29+AH11*Parametros!$E$30+AJ11*Parametros!$E$31+AL11*Parametros!$E$32</f>
        <v>0</v>
      </c>
      <c r="AO11" s="12" t="str">
        <f t="shared" si="2"/>
        <v>NO</v>
      </c>
      <c r="AP11" s="11">
        <f t="shared" si="3"/>
        <v>0.94000000000000006</v>
      </c>
      <c r="AQ11" s="90">
        <f>MAX(0,MIN(1,MAX(0,AP11-IF(S11="NO",Parametros!$E$17,0))+AC11-AN11-IF(AO11="SI",Parametros!$E$33,0)))</f>
        <v>0.84000000000000008</v>
      </c>
      <c r="AR11" s="58"/>
      <c r="AS11" s="79" t="str">
        <f>'Captura Enero'!B13</f>
        <v>Linea 1</v>
      </c>
      <c r="AT11" s="80">
        <f>'Captura Enero'!K13+'Captura Enero'!N13+'Captura Enero'!Q13</f>
        <v>0.24</v>
      </c>
      <c r="AU11" s="80">
        <f>'Captura Enero'!T13</f>
        <v>0.06</v>
      </c>
      <c r="AV11" s="80">
        <f>'Captura Enero'!V13</f>
        <v>0.25</v>
      </c>
      <c r="AW11" s="80">
        <f>'Captura Enero'!G13</f>
        <v>0.2</v>
      </c>
      <c r="AX11" s="80">
        <f>'Captura Enero'!X13</f>
        <v>0.25</v>
      </c>
      <c r="AY11" s="80">
        <f>'Captura Enero'!AC13</f>
        <v>0.04</v>
      </c>
      <c r="AZ11" s="81">
        <f>-'Captura Enero'!AN13</f>
        <v>-0.05</v>
      </c>
      <c r="BA11" s="82">
        <f>'Captura Enero'!AQ13</f>
        <v>0.99</v>
      </c>
      <c r="BB11" s="58"/>
      <c r="BC11" s="58"/>
    </row>
    <row r="12" spans="1:55" ht="16.5" customHeight="1" x14ac:dyDescent="0.35">
      <c r="A12" s="12">
        <v>7</v>
      </c>
      <c r="B12" s="83" t="s">
        <v>130</v>
      </c>
      <c r="C12" s="84" t="str">
        <f>VLOOKUP(B12,Parametros!$I$6:$J$20,2,FALSE())</f>
        <v>Adrian Santisteban</v>
      </c>
      <c r="D12" s="85">
        <v>1</v>
      </c>
      <c r="E12" s="85">
        <v>1</v>
      </c>
      <c r="F12" s="11">
        <f t="shared" si="0"/>
        <v>1</v>
      </c>
      <c r="G12" s="86">
        <f>F12*Parametros!$E$6</f>
        <v>0.2</v>
      </c>
      <c r="H12" s="87">
        <v>10</v>
      </c>
      <c r="I12" s="87">
        <v>10</v>
      </c>
      <c r="J12" s="88" t="s">
        <v>222</v>
      </c>
      <c r="K12" s="86">
        <f>IF(J12="NO",0,IFERROR(H12/I12,0)*Parametros!$E$7)</f>
        <v>0.08</v>
      </c>
      <c r="L12" s="85">
        <v>1</v>
      </c>
      <c r="M12" s="88" t="s">
        <v>222</v>
      </c>
      <c r="N12" s="86">
        <f>IF(M12="NO",0,L12*Parametros!$E$8)</f>
        <v>0.08</v>
      </c>
      <c r="O12" s="85">
        <v>1</v>
      </c>
      <c r="P12" s="88" t="s">
        <v>222</v>
      </c>
      <c r="Q12" s="86">
        <f>IF(P12="NO",0,O12*Parametros!$E$9)</f>
        <v>0.08</v>
      </c>
      <c r="R12" s="85">
        <v>1</v>
      </c>
      <c r="S12" s="88" t="s">
        <v>222</v>
      </c>
      <c r="T12" s="86">
        <f>IF(S12="NO",0,R12*Parametros!$E$10)</f>
        <v>0.06</v>
      </c>
      <c r="U12" s="85">
        <v>1</v>
      </c>
      <c r="V12" s="86">
        <f>U12*Parametros!$E$11</f>
        <v>0.25</v>
      </c>
      <c r="W12" s="87">
        <v>6</v>
      </c>
      <c r="X12" s="86">
        <f>MAX(0,Parametros!$E$12-Parametros!$E$18*W12)</f>
        <v>0</v>
      </c>
      <c r="Y12" s="87">
        <v>4</v>
      </c>
      <c r="Z12" s="87">
        <v>11</v>
      </c>
      <c r="AA12" s="89">
        <f>IF(Y12&gt;=Parametros!$E$22,Parametros!$E$24,0)</f>
        <v>0</v>
      </c>
      <c r="AB12" s="89">
        <f>IF(Z12&gt;=Parametros!$E$23,Parametros!$E$25,0)</f>
        <v>0.04</v>
      </c>
      <c r="AC12" s="89">
        <f t="shared" si="1"/>
        <v>0.04</v>
      </c>
      <c r="AD12" s="87">
        <v>0</v>
      </c>
      <c r="AE12" s="88" t="s">
        <v>222</v>
      </c>
      <c r="AF12" s="87">
        <v>0</v>
      </c>
      <c r="AG12" s="88" t="s">
        <v>222</v>
      </c>
      <c r="AH12" s="87">
        <v>0</v>
      </c>
      <c r="AI12" s="88" t="s">
        <v>222</v>
      </c>
      <c r="AJ12" s="87">
        <v>0</v>
      </c>
      <c r="AK12" s="88" t="s">
        <v>222</v>
      </c>
      <c r="AL12" s="87">
        <v>0</v>
      </c>
      <c r="AM12" s="88" t="s">
        <v>222</v>
      </c>
      <c r="AN12" s="89">
        <f>AD12*Parametros!$E$28+AF12*Parametros!$E$29+AH12*Parametros!$E$30+AJ12*Parametros!$E$31+AL12*Parametros!$E$32</f>
        <v>0</v>
      </c>
      <c r="AO12" s="12" t="str">
        <f t="shared" si="2"/>
        <v>NO</v>
      </c>
      <c r="AP12" s="11">
        <f t="shared" si="3"/>
        <v>0.75</v>
      </c>
      <c r="AQ12" s="90">
        <f>MAX(0,MIN(1,MAX(0,AP12-IF(S12="NO",Parametros!$E$17,0))+AC12-AN12-IF(AO12="SI",Parametros!$E$33,0)))</f>
        <v>0.79</v>
      </c>
      <c r="AR12" s="58"/>
      <c r="AS12" s="71" t="str">
        <f>'Captura Enero'!B14</f>
        <v>Linea 2</v>
      </c>
      <c r="AT12" s="72">
        <f>'Captura Enero'!K14+'Captura Enero'!N14+'Captura Enero'!Q14</f>
        <v>0.24</v>
      </c>
      <c r="AU12" s="72">
        <f>'Captura Enero'!T14</f>
        <v>0.06</v>
      </c>
      <c r="AV12" s="72">
        <f>'Captura Enero'!V14</f>
        <v>0.25</v>
      </c>
      <c r="AW12" s="72">
        <f>'Captura Enero'!G14</f>
        <v>0.2</v>
      </c>
      <c r="AX12" s="72">
        <f>'Captura Enero'!X14</f>
        <v>0.2</v>
      </c>
      <c r="AY12" s="72">
        <f>'Captura Enero'!AC14</f>
        <v>0.04</v>
      </c>
      <c r="AZ12" s="73">
        <f>-'Captura Enero'!AN14</f>
        <v>0</v>
      </c>
      <c r="BA12" s="74">
        <f>'Captura Enero'!AQ14</f>
        <v>0.99</v>
      </c>
      <c r="BB12" s="58"/>
      <c r="BC12" s="58"/>
    </row>
    <row r="13" spans="1:55" ht="16.5" customHeight="1" x14ac:dyDescent="0.35">
      <c r="A13" s="12">
        <v>8</v>
      </c>
      <c r="B13" s="83" t="s">
        <v>123</v>
      </c>
      <c r="C13" s="84" t="str">
        <f>VLOOKUP(B13,Parametros!$I$6:$J$20,2,FALSE())</f>
        <v>Amilcar Ralda</v>
      </c>
      <c r="D13" s="85">
        <v>1</v>
      </c>
      <c r="E13" s="85">
        <v>1</v>
      </c>
      <c r="F13" s="11">
        <f t="shared" si="0"/>
        <v>1</v>
      </c>
      <c r="G13" s="86">
        <f>F13*Parametros!$E$6</f>
        <v>0.2</v>
      </c>
      <c r="H13" s="87">
        <v>10</v>
      </c>
      <c r="I13" s="87">
        <v>10</v>
      </c>
      <c r="J13" s="88" t="s">
        <v>222</v>
      </c>
      <c r="K13" s="86">
        <f>IF(J13="NO",0,IFERROR(H13/I13,0)*Parametros!$E$7)</f>
        <v>0.08</v>
      </c>
      <c r="L13" s="85">
        <v>1</v>
      </c>
      <c r="M13" s="88" t="s">
        <v>222</v>
      </c>
      <c r="N13" s="86">
        <f>IF(M13="NO",0,L13*Parametros!$E$8)</f>
        <v>0.08</v>
      </c>
      <c r="O13" s="85">
        <v>1</v>
      </c>
      <c r="P13" s="88" t="s">
        <v>222</v>
      </c>
      <c r="Q13" s="86">
        <f>IF(P13="NO",0,O13*Parametros!$E$9)</f>
        <v>0.08</v>
      </c>
      <c r="R13" s="85">
        <v>1</v>
      </c>
      <c r="S13" s="88" t="s">
        <v>222</v>
      </c>
      <c r="T13" s="86">
        <f>IF(S13="NO",0,R13*Parametros!$E$10)</f>
        <v>0.06</v>
      </c>
      <c r="U13" s="85">
        <v>1</v>
      </c>
      <c r="V13" s="86">
        <f>U13*Parametros!$E$11</f>
        <v>0.25</v>
      </c>
      <c r="W13" s="87">
        <v>0</v>
      </c>
      <c r="X13" s="86">
        <f>MAX(0,Parametros!$E$12-Parametros!$E$18*W13)</f>
        <v>0.25</v>
      </c>
      <c r="Y13" s="87">
        <v>4</v>
      </c>
      <c r="Z13" s="87">
        <v>21</v>
      </c>
      <c r="AA13" s="89">
        <f>IF(Y13&gt;=Parametros!$E$22,Parametros!$E$24,0)</f>
        <v>0</v>
      </c>
      <c r="AB13" s="89">
        <f>IF(Z13&gt;=Parametros!$E$23,Parametros!$E$25,0)</f>
        <v>0.04</v>
      </c>
      <c r="AC13" s="89">
        <f t="shared" si="1"/>
        <v>0.04</v>
      </c>
      <c r="AD13" s="87">
        <v>1</v>
      </c>
      <c r="AE13" s="88" t="s">
        <v>222</v>
      </c>
      <c r="AF13" s="87">
        <v>0</v>
      </c>
      <c r="AG13" s="88" t="s">
        <v>222</v>
      </c>
      <c r="AH13" s="87">
        <v>0</v>
      </c>
      <c r="AI13" s="88" t="s">
        <v>222</v>
      </c>
      <c r="AJ13" s="87">
        <v>0</v>
      </c>
      <c r="AK13" s="88" t="s">
        <v>222</v>
      </c>
      <c r="AL13" s="87">
        <v>0</v>
      </c>
      <c r="AM13" s="88" t="s">
        <v>222</v>
      </c>
      <c r="AN13" s="89">
        <f>AD13*Parametros!$E$28+AF13*Parametros!$E$29+AH13*Parametros!$E$30+AJ13*Parametros!$E$31+AL13*Parametros!$E$32</f>
        <v>0.05</v>
      </c>
      <c r="AO13" s="12" t="str">
        <f t="shared" si="2"/>
        <v>NO</v>
      </c>
      <c r="AP13" s="11">
        <f t="shared" si="3"/>
        <v>1</v>
      </c>
      <c r="AQ13" s="90">
        <f>MAX(0,MIN(1,MAX(0,AP13-IF(S13="NO",Parametros!$E$17,0))+AC13-AN13-IF(AO13="SI",Parametros!$E$33,0)))</f>
        <v>0.99</v>
      </c>
      <c r="AR13" s="58"/>
      <c r="AS13" s="79" t="str">
        <f>'Captura Enero'!B15</f>
        <v>Linea 3</v>
      </c>
      <c r="AT13" s="80">
        <f>'Captura Enero'!K15+'Captura Enero'!N15+'Captura Enero'!Q15</f>
        <v>0.24</v>
      </c>
      <c r="AU13" s="80">
        <f>'Captura Enero'!T15</f>
        <v>0.06</v>
      </c>
      <c r="AV13" s="80">
        <f>'Captura Enero'!V15</f>
        <v>0.25</v>
      </c>
      <c r="AW13" s="80">
        <f>'Captura Enero'!G15</f>
        <v>0.2</v>
      </c>
      <c r="AX13" s="80">
        <f>'Captura Enero'!X15</f>
        <v>0.15</v>
      </c>
      <c r="AY13" s="80">
        <f>'Captura Enero'!AC15</f>
        <v>0.04</v>
      </c>
      <c r="AZ13" s="81">
        <f>-'Captura Enero'!AN15</f>
        <v>0</v>
      </c>
      <c r="BA13" s="82">
        <f>'Captura Enero'!AQ15</f>
        <v>0.94000000000000006</v>
      </c>
      <c r="BB13" s="58"/>
      <c r="BC13" s="58"/>
    </row>
    <row r="14" spans="1:55" ht="16.5" customHeight="1" x14ac:dyDescent="0.35">
      <c r="A14" s="12">
        <v>9</v>
      </c>
      <c r="B14" s="83" t="s">
        <v>113</v>
      </c>
      <c r="C14" s="84" t="str">
        <f>VLOOKUP(B14,Parametros!$I$6:$J$20,2,FALSE())</f>
        <v>Amilcar Ralda</v>
      </c>
      <c r="D14" s="85">
        <v>1</v>
      </c>
      <c r="E14" s="85">
        <v>1</v>
      </c>
      <c r="F14" s="11">
        <f t="shared" si="0"/>
        <v>1</v>
      </c>
      <c r="G14" s="86">
        <f>F14*Parametros!$E$6</f>
        <v>0.2</v>
      </c>
      <c r="H14" s="87">
        <v>10</v>
      </c>
      <c r="I14" s="87">
        <v>10</v>
      </c>
      <c r="J14" s="88" t="s">
        <v>222</v>
      </c>
      <c r="K14" s="86">
        <f>IF(J14="NO",0,IFERROR(H14/I14,0)*Parametros!$E$7)</f>
        <v>0.08</v>
      </c>
      <c r="L14" s="85">
        <v>1</v>
      </c>
      <c r="M14" s="88" t="s">
        <v>222</v>
      </c>
      <c r="N14" s="86">
        <f>IF(M14="NO",0,L14*Parametros!$E$8)</f>
        <v>0.08</v>
      </c>
      <c r="O14" s="85">
        <v>1</v>
      </c>
      <c r="P14" s="88" t="s">
        <v>222</v>
      </c>
      <c r="Q14" s="86">
        <f>IF(P14="NO",0,O14*Parametros!$E$9)</f>
        <v>0.08</v>
      </c>
      <c r="R14" s="85">
        <v>1</v>
      </c>
      <c r="S14" s="88" t="s">
        <v>222</v>
      </c>
      <c r="T14" s="86">
        <f>IF(S14="NO",0,R14*Parametros!$E$10)</f>
        <v>0.06</v>
      </c>
      <c r="U14" s="85">
        <v>1</v>
      </c>
      <c r="V14" s="86">
        <f>U14*Parametros!$E$11</f>
        <v>0.25</v>
      </c>
      <c r="W14" s="87">
        <v>1</v>
      </c>
      <c r="X14" s="86">
        <f>MAX(0,Parametros!$E$12-Parametros!$E$18*W14)</f>
        <v>0.2</v>
      </c>
      <c r="Y14" s="87">
        <v>4</v>
      </c>
      <c r="Z14" s="87">
        <v>12</v>
      </c>
      <c r="AA14" s="89">
        <f>IF(Y14&gt;=Parametros!$E$22,Parametros!$E$24,0)</f>
        <v>0</v>
      </c>
      <c r="AB14" s="89">
        <f>IF(Z14&gt;=Parametros!$E$23,Parametros!$E$25,0)</f>
        <v>0.04</v>
      </c>
      <c r="AC14" s="89">
        <f t="shared" si="1"/>
        <v>0.04</v>
      </c>
      <c r="AD14" s="87">
        <v>0</v>
      </c>
      <c r="AE14" s="88" t="s">
        <v>222</v>
      </c>
      <c r="AF14" s="87">
        <v>0</v>
      </c>
      <c r="AG14" s="88" t="s">
        <v>222</v>
      </c>
      <c r="AH14" s="87">
        <v>0</v>
      </c>
      <c r="AI14" s="88" t="s">
        <v>222</v>
      </c>
      <c r="AJ14" s="87">
        <v>0</v>
      </c>
      <c r="AK14" s="88" t="s">
        <v>222</v>
      </c>
      <c r="AL14" s="87">
        <v>0</v>
      </c>
      <c r="AM14" s="88" t="s">
        <v>222</v>
      </c>
      <c r="AN14" s="89">
        <f>AD14*Parametros!$E$28+AF14*Parametros!$E$29+AH14*Parametros!$E$30+AJ14*Parametros!$E$31+AL14*Parametros!$E$32</f>
        <v>0</v>
      </c>
      <c r="AO14" s="12" t="str">
        <f t="shared" si="2"/>
        <v>NO</v>
      </c>
      <c r="AP14" s="11">
        <f t="shared" si="3"/>
        <v>0.95</v>
      </c>
      <c r="AQ14" s="90">
        <f>MAX(0,MIN(1,MAX(0,AP14-IF(S14="NO",Parametros!$E$17,0))+AC14-AN14-IF(AO14="SI",Parametros!$E$33,0)))</f>
        <v>0.99</v>
      </c>
      <c r="AR14" s="58"/>
      <c r="AS14" s="71" t="str">
        <f>'Captura Enero'!B16</f>
        <v>Linea 4</v>
      </c>
      <c r="AT14" s="72">
        <f>'Captura Enero'!K16+'Captura Enero'!N16+'Captura Enero'!Q16</f>
        <v>0.24</v>
      </c>
      <c r="AU14" s="72">
        <f>'Captura Enero'!T16</f>
        <v>0.06</v>
      </c>
      <c r="AV14" s="72">
        <f>'Captura Enero'!V16</f>
        <v>0.25</v>
      </c>
      <c r="AW14" s="72">
        <f>'Captura Enero'!G16</f>
        <v>0.2</v>
      </c>
      <c r="AX14" s="72">
        <f>'Captura Enero'!X16</f>
        <v>0.15</v>
      </c>
      <c r="AY14" s="72">
        <f>'Captura Enero'!AC16</f>
        <v>0</v>
      </c>
      <c r="AZ14" s="73">
        <f>-'Captura Enero'!AN16</f>
        <v>0</v>
      </c>
      <c r="BA14" s="74">
        <f>'Captura Enero'!AQ16</f>
        <v>0.9</v>
      </c>
      <c r="BB14" s="58"/>
      <c r="BC14" s="58"/>
    </row>
    <row r="15" spans="1:55" ht="16.5" customHeight="1" x14ac:dyDescent="0.35">
      <c r="A15" s="12">
        <v>10</v>
      </c>
      <c r="B15" s="83" t="s">
        <v>133</v>
      </c>
      <c r="C15" s="84" t="str">
        <f>VLOOKUP(B15,Parametros!$I$6:$J$20,2,FALSE())</f>
        <v>Mario Ramos</v>
      </c>
      <c r="D15" s="85">
        <v>1</v>
      </c>
      <c r="E15" s="85">
        <v>1</v>
      </c>
      <c r="F15" s="11">
        <f t="shared" si="0"/>
        <v>1</v>
      </c>
      <c r="G15" s="86">
        <f>F15*Parametros!$E$6</f>
        <v>0.2</v>
      </c>
      <c r="H15" s="87">
        <v>10</v>
      </c>
      <c r="I15" s="87">
        <v>10</v>
      </c>
      <c r="J15" s="88" t="s">
        <v>222</v>
      </c>
      <c r="K15" s="86">
        <f>IF(J15="NO",0,IFERROR(H15/I15,0)*Parametros!$E$7)</f>
        <v>0.08</v>
      </c>
      <c r="L15" s="85">
        <v>1</v>
      </c>
      <c r="M15" s="88" t="s">
        <v>222</v>
      </c>
      <c r="N15" s="86">
        <f>IF(M15="NO",0,L15*Parametros!$E$8)</f>
        <v>0.08</v>
      </c>
      <c r="O15" s="85">
        <v>1</v>
      </c>
      <c r="P15" s="88" t="s">
        <v>222</v>
      </c>
      <c r="Q15" s="86">
        <f>IF(P15="NO",0,O15*Parametros!$E$9)</f>
        <v>0.08</v>
      </c>
      <c r="R15" s="85">
        <v>1</v>
      </c>
      <c r="S15" s="88" t="s">
        <v>222</v>
      </c>
      <c r="T15" s="86">
        <f>IF(S15="NO",0,R15*Parametros!$E$10)</f>
        <v>0.06</v>
      </c>
      <c r="U15" s="85">
        <v>1</v>
      </c>
      <c r="V15" s="86">
        <f>U15*Parametros!$E$11</f>
        <v>0.25</v>
      </c>
      <c r="W15" s="87">
        <v>2</v>
      </c>
      <c r="X15" s="86">
        <f>MAX(0,Parametros!$E$12-Parametros!$E$18*W15)</f>
        <v>0.15</v>
      </c>
      <c r="Y15" s="87">
        <v>4</v>
      </c>
      <c r="Z15" s="87">
        <v>12</v>
      </c>
      <c r="AA15" s="89">
        <f>IF(Y15&gt;=Parametros!$E$22,Parametros!$E$24,0)</f>
        <v>0</v>
      </c>
      <c r="AB15" s="89">
        <f>IF(Z15&gt;=Parametros!$E$23,Parametros!$E$25,0)</f>
        <v>0.04</v>
      </c>
      <c r="AC15" s="89">
        <f t="shared" si="1"/>
        <v>0.04</v>
      </c>
      <c r="AD15" s="87">
        <v>0</v>
      </c>
      <c r="AE15" s="88" t="s">
        <v>222</v>
      </c>
      <c r="AF15" s="87">
        <v>0</v>
      </c>
      <c r="AG15" s="88" t="s">
        <v>222</v>
      </c>
      <c r="AH15" s="87">
        <v>0</v>
      </c>
      <c r="AI15" s="88" t="s">
        <v>222</v>
      </c>
      <c r="AJ15" s="87">
        <v>0</v>
      </c>
      <c r="AK15" s="88" t="s">
        <v>222</v>
      </c>
      <c r="AL15" s="87">
        <v>0</v>
      </c>
      <c r="AM15" s="88" t="s">
        <v>222</v>
      </c>
      <c r="AN15" s="89">
        <f>AD15*Parametros!$E$28+AF15*Parametros!$E$29+AH15*Parametros!$E$30+AJ15*Parametros!$E$31+AL15*Parametros!$E$32</f>
        <v>0</v>
      </c>
      <c r="AO15" s="12" t="str">
        <f t="shared" si="2"/>
        <v>NO</v>
      </c>
      <c r="AP15" s="11">
        <f t="shared" si="3"/>
        <v>0.9</v>
      </c>
      <c r="AQ15" s="90">
        <f>MAX(0,MIN(1,MAX(0,AP15-IF(S15="NO",Parametros!$E$17,0))+AC15-AN15-IF(AO15="SI",Parametros!$E$33,0)))</f>
        <v>0.94000000000000006</v>
      </c>
      <c r="AR15" s="58"/>
      <c r="AS15" s="79" t="str">
        <f>'Captura Enero'!B17</f>
        <v>Linea 5</v>
      </c>
      <c r="AT15" s="80">
        <f>'Captura Enero'!K17+'Captura Enero'!N17+'Captura Enero'!Q17</f>
        <v>0.24</v>
      </c>
      <c r="AU15" s="80">
        <f>'Captura Enero'!T17</f>
        <v>0</v>
      </c>
      <c r="AV15" s="80">
        <f>'Captura Enero'!V17</f>
        <v>0.25</v>
      </c>
      <c r="AW15" s="80">
        <f>'Captura Enero'!G17</f>
        <v>0.18461538461538463</v>
      </c>
      <c r="AX15" s="80">
        <f>'Captura Enero'!X17</f>
        <v>0.25</v>
      </c>
      <c r="AY15" s="80">
        <f>'Captura Enero'!AC17</f>
        <v>0.04</v>
      </c>
      <c r="AZ15" s="81">
        <f>-'Captura Enero'!AN17</f>
        <v>0</v>
      </c>
      <c r="BA15" s="82">
        <f>'Captura Enero'!AQ17</f>
        <v>0.86461538461538467</v>
      </c>
      <c r="BB15" s="58"/>
      <c r="BC15" s="58"/>
    </row>
    <row r="16" spans="1:55" ht="16.5" customHeight="1" x14ac:dyDescent="0.35">
      <c r="A16" s="12">
        <v>11</v>
      </c>
      <c r="B16" s="83" t="s">
        <v>106</v>
      </c>
      <c r="C16" s="84" t="str">
        <f>VLOOKUP(B16,Parametros!$I$6:$J$20,2,FALSE())</f>
        <v>Mario Ramos</v>
      </c>
      <c r="D16" s="85">
        <v>1</v>
      </c>
      <c r="E16" s="85">
        <v>1</v>
      </c>
      <c r="F16" s="11">
        <f t="shared" si="0"/>
        <v>1</v>
      </c>
      <c r="G16" s="86">
        <f>F16*Parametros!$E$6</f>
        <v>0.2</v>
      </c>
      <c r="H16" s="87">
        <v>10</v>
      </c>
      <c r="I16" s="87">
        <v>10</v>
      </c>
      <c r="J16" s="88" t="s">
        <v>222</v>
      </c>
      <c r="K16" s="86">
        <f>IF(J16="NO",0,IFERROR(H16/I16,0)*Parametros!$E$7)</f>
        <v>0.08</v>
      </c>
      <c r="L16" s="85">
        <v>1</v>
      </c>
      <c r="M16" s="88" t="s">
        <v>222</v>
      </c>
      <c r="N16" s="86">
        <f>IF(M16="NO",0,L16*Parametros!$E$8)</f>
        <v>0.08</v>
      </c>
      <c r="O16" s="85">
        <v>1</v>
      </c>
      <c r="P16" s="88" t="s">
        <v>222</v>
      </c>
      <c r="Q16" s="86">
        <f>IF(P16="NO",0,O16*Parametros!$E$9)</f>
        <v>0.08</v>
      </c>
      <c r="R16" s="85">
        <v>1</v>
      </c>
      <c r="S16" s="88" t="s">
        <v>222</v>
      </c>
      <c r="T16" s="86">
        <f>IF(S16="NO",0,R16*Parametros!$E$10)</f>
        <v>0.06</v>
      </c>
      <c r="U16" s="85">
        <v>1</v>
      </c>
      <c r="V16" s="86">
        <f>U16*Parametros!$E$11</f>
        <v>0.25</v>
      </c>
      <c r="W16" s="87">
        <v>2</v>
      </c>
      <c r="X16" s="86">
        <f>MAX(0,Parametros!$E$12-Parametros!$E$18*W16)</f>
        <v>0.15</v>
      </c>
      <c r="Y16" s="87">
        <v>2</v>
      </c>
      <c r="Z16" s="87">
        <v>5</v>
      </c>
      <c r="AA16" s="89">
        <f>IF(Y16&gt;=Parametros!$E$22,Parametros!$E$24,0)</f>
        <v>0</v>
      </c>
      <c r="AB16" s="89">
        <f>IF(Z16&gt;=Parametros!$E$23,Parametros!$E$25,0)</f>
        <v>0</v>
      </c>
      <c r="AC16" s="89">
        <f t="shared" si="1"/>
        <v>0</v>
      </c>
      <c r="AD16" s="87">
        <v>0</v>
      </c>
      <c r="AE16" s="88" t="s">
        <v>222</v>
      </c>
      <c r="AF16" s="87">
        <v>0</v>
      </c>
      <c r="AG16" s="88" t="s">
        <v>222</v>
      </c>
      <c r="AH16" s="87">
        <v>0</v>
      </c>
      <c r="AI16" s="88" t="s">
        <v>222</v>
      </c>
      <c r="AJ16" s="87">
        <v>0</v>
      </c>
      <c r="AK16" s="88" t="s">
        <v>222</v>
      </c>
      <c r="AL16" s="87">
        <v>0</v>
      </c>
      <c r="AM16" s="88" t="s">
        <v>222</v>
      </c>
      <c r="AN16" s="89">
        <f>AD16*Parametros!$E$28+AF16*Parametros!$E$29+AH16*Parametros!$E$30+AJ16*Parametros!$E$31+AL16*Parametros!$E$32</f>
        <v>0</v>
      </c>
      <c r="AO16" s="12" t="str">
        <f t="shared" si="2"/>
        <v>NO</v>
      </c>
      <c r="AP16" s="11">
        <f t="shared" si="3"/>
        <v>0.9</v>
      </c>
      <c r="AQ16" s="90">
        <f>MAX(0,MIN(1,MAX(0,AP16-IF(S16="NO",Parametros!$E$17,0))+AC16-AN16-IF(AO16="SI",Parametros!$E$33,0)))</f>
        <v>0.9</v>
      </c>
      <c r="AR16" s="58"/>
      <c r="AS16" s="71" t="str">
        <f>'Captura Enero'!B18</f>
        <v>Mantenimiento</v>
      </c>
      <c r="AT16" s="72">
        <f>'Captura Enero'!K18+'Captura Enero'!N18+'Captura Enero'!Q18</f>
        <v>0.24</v>
      </c>
      <c r="AU16" s="72">
        <f>'Captura Enero'!T18</f>
        <v>0</v>
      </c>
      <c r="AV16" s="72">
        <f>'Captura Enero'!V18</f>
        <v>0.25</v>
      </c>
      <c r="AW16" s="72">
        <f>'Captura Enero'!G18</f>
        <v>0.2</v>
      </c>
      <c r="AX16" s="72">
        <f>'Captura Enero'!X18</f>
        <v>0.25</v>
      </c>
      <c r="AY16" s="72">
        <f>'Captura Enero'!AC18</f>
        <v>0</v>
      </c>
      <c r="AZ16" s="73">
        <f>-'Captura Enero'!AN18</f>
        <v>0</v>
      </c>
      <c r="BA16" s="74">
        <f>'Captura Enero'!AQ18</f>
        <v>0.84000000000000008</v>
      </c>
      <c r="BB16" s="58"/>
      <c r="BC16" s="58"/>
    </row>
    <row r="17" spans="1:55" ht="16.5" customHeight="1" x14ac:dyDescent="0.35">
      <c r="A17" s="12">
        <v>12</v>
      </c>
      <c r="B17" s="83" t="s">
        <v>109</v>
      </c>
      <c r="C17" s="84" t="str">
        <f>VLOOKUP(B17,Parametros!$I$6:$J$20,2,FALSE())</f>
        <v>Roy Luarca</v>
      </c>
      <c r="D17" s="85">
        <v>0.92307692307692302</v>
      </c>
      <c r="E17" s="85">
        <v>0.92307692307692302</v>
      </c>
      <c r="F17" s="11">
        <f t="shared" si="0"/>
        <v>0.92307692307692302</v>
      </c>
      <c r="G17" s="86">
        <f>F17*Parametros!$E$6</f>
        <v>0.18461538461538463</v>
      </c>
      <c r="H17" s="87">
        <v>10</v>
      </c>
      <c r="I17" s="87">
        <v>10</v>
      </c>
      <c r="J17" s="88" t="s">
        <v>222</v>
      </c>
      <c r="K17" s="86">
        <f>IF(J17="NO",0,IFERROR(H17/I17,0)*Parametros!$E$7)</f>
        <v>0.08</v>
      </c>
      <c r="L17" s="85">
        <v>1</v>
      </c>
      <c r="M17" s="88" t="s">
        <v>222</v>
      </c>
      <c r="N17" s="86">
        <f>IF(M17="NO",0,L17*Parametros!$E$8)</f>
        <v>0.08</v>
      </c>
      <c r="O17" s="85">
        <v>1</v>
      </c>
      <c r="P17" s="88" t="s">
        <v>222</v>
      </c>
      <c r="Q17" s="86">
        <f>IF(P17="NO",0,O17*Parametros!$E$9)</f>
        <v>0.08</v>
      </c>
      <c r="R17" s="85">
        <v>0</v>
      </c>
      <c r="S17" s="88" t="s">
        <v>223</v>
      </c>
      <c r="T17" s="86">
        <f>IF(S17="NO",0,R17*Parametros!$E$10)</f>
        <v>0</v>
      </c>
      <c r="U17" s="85">
        <v>1</v>
      </c>
      <c r="V17" s="86">
        <f>U17*Parametros!$E$11</f>
        <v>0.25</v>
      </c>
      <c r="W17" s="87">
        <v>0</v>
      </c>
      <c r="X17" s="86">
        <f>MAX(0,Parametros!$E$12-Parametros!$E$18*W17)</f>
        <v>0.25</v>
      </c>
      <c r="Y17" s="87">
        <v>5</v>
      </c>
      <c r="Z17" s="87">
        <v>11</v>
      </c>
      <c r="AA17" s="89">
        <f>IF(Y17&gt;=Parametros!$E$22,Parametros!$E$24,0)</f>
        <v>0</v>
      </c>
      <c r="AB17" s="89">
        <f>IF(Z17&gt;=Parametros!$E$23,Parametros!$E$25,0)</f>
        <v>0.04</v>
      </c>
      <c r="AC17" s="89">
        <f t="shared" si="1"/>
        <v>0.04</v>
      </c>
      <c r="AD17" s="87">
        <v>0</v>
      </c>
      <c r="AE17" s="88" t="s">
        <v>222</v>
      </c>
      <c r="AF17" s="87">
        <v>0</v>
      </c>
      <c r="AG17" s="88" t="s">
        <v>222</v>
      </c>
      <c r="AH17" s="87">
        <v>0</v>
      </c>
      <c r="AI17" s="88" t="s">
        <v>222</v>
      </c>
      <c r="AJ17" s="87">
        <v>0</v>
      </c>
      <c r="AK17" s="88" t="s">
        <v>222</v>
      </c>
      <c r="AL17" s="87">
        <v>0</v>
      </c>
      <c r="AM17" s="88" t="s">
        <v>222</v>
      </c>
      <c r="AN17" s="89">
        <f>AD17*Parametros!$E$28+AF17*Parametros!$E$29+AH17*Parametros!$E$30+AJ17*Parametros!$E$31+AL17*Parametros!$E$32</f>
        <v>0</v>
      </c>
      <c r="AO17" s="12" t="str">
        <f t="shared" si="2"/>
        <v>NO</v>
      </c>
      <c r="AP17" s="11">
        <f t="shared" si="3"/>
        <v>0.92461538461538462</v>
      </c>
      <c r="AQ17" s="90">
        <f>MAX(0,MIN(1,MAX(0,AP17-IF(S17="NO",Parametros!$E$17,0))+AC17-AN17-IF(AO17="SI",Parametros!$E$33,0)))</f>
        <v>0.86461538461538467</v>
      </c>
      <c r="AR17" s="58"/>
      <c r="AS17" s="79" t="str">
        <f>'Captura Enero'!B19</f>
        <v>Materias Primas</v>
      </c>
      <c r="AT17" s="80">
        <f>'Captura Enero'!K19+'Captura Enero'!N19+'Captura Enero'!Q19</f>
        <v>0.24</v>
      </c>
      <c r="AU17" s="80">
        <f>'Captura Enero'!T19</f>
        <v>0.06</v>
      </c>
      <c r="AV17" s="80">
        <f>'Captura Enero'!V19</f>
        <v>0.25</v>
      </c>
      <c r="AW17" s="80">
        <f>'Captura Enero'!G19</f>
        <v>0.2</v>
      </c>
      <c r="AX17" s="80">
        <f>'Captura Enero'!X19</f>
        <v>0.25</v>
      </c>
      <c r="AY17" s="80">
        <f>'Captura Enero'!AC19</f>
        <v>0.04</v>
      </c>
      <c r="AZ17" s="81">
        <f>-'Captura Enero'!AN19</f>
        <v>0</v>
      </c>
      <c r="BA17" s="82">
        <f>'Captura Enero'!AQ19</f>
        <v>1</v>
      </c>
      <c r="BB17" s="58"/>
      <c r="BC17" s="58"/>
    </row>
    <row r="18" spans="1:55" ht="16.5" customHeight="1" x14ac:dyDescent="0.35">
      <c r="A18" s="12">
        <v>13</v>
      </c>
      <c r="B18" s="83" t="s">
        <v>140</v>
      </c>
      <c r="C18" s="84" t="str">
        <f>VLOOKUP(B18,Parametros!$I$6:$J$20,2,FALSE())</f>
        <v>Eliu Tello</v>
      </c>
      <c r="D18" s="85">
        <v>1</v>
      </c>
      <c r="E18" s="85">
        <v>1</v>
      </c>
      <c r="F18" s="11">
        <f t="shared" si="0"/>
        <v>1</v>
      </c>
      <c r="G18" s="86">
        <f>F18*Parametros!$E$6</f>
        <v>0.2</v>
      </c>
      <c r="H18" s="87">
        <v>10</v>
      </c>
      <c r="I18" s="87">
        <v>10</v>
      </c>
      <c r="J18" s="88" t="s">
        <v>222</v>
      </c>
      <c r="K18" s="86">
        <f>IF(J18="NO",0,IFERROR(H18/I18,0)*Parametros!$E$7)</f>
        <v>0.08</v>
      </c>
      <c r="L18" s="85">
        <v>1</v>
      </c>
      <c r="M18" s="88" t="s">
        <v>222</v>
      </c>
      <c r="N18" s="86">
        <f>IF(M18="NO",0,L18*Parametros!$E$8)</f>
        <v>0.08</v>
      </c>
      <c r="O18" s="85">
        <v>1</v>
      </c>
      <c r="P18" s="88" t="s">
        <v>222</v>
      </c>
      <c r="Q18" s="86">
        <f>IF(P18="NO",0,O18*Parametros!$E$9)</f>
        <v>0.08</v>
      </c>
      <c r="R18" s="85">
        <v>0</v>
      </c>
      <c r="S18" s="88" t="s">
        <v>223</v>
      </c>
      <c r="T18" s="86">
        <f>IF(S18="NO",0,R18*Parametros!$E$10)</f>
        <v>0</v>
      </c>
      <c r="U18" s="85">
        <v>1</v>
      </c>
      <c r="V18" s="86">
        <f>U18*Parametros!$E$11</f>
        <v>0.25</v>
      </c>
      <c r="W18" s="87">
        <v>0</v>
      </c>
      <c r="X18" s="86">
        <f>MAX(0,Parametros!$E$12-Parametros!$E$18*W18)</f>
        <v>0.25</v>
      </c>
      <c r="Y18" s="87">
        <v>1</v>
      </c>
      <c r="Z18" s="87">
        <v>9</v>
      </c>
      <c r="AA18" s="89">
        <f>IF(Y18&gt;=Parametros!$E$22,Parametros!$E$24,0)</f>
        <v>0</v>
      </c>
      <c r="AB18" s="89">
        <f>IF(Z18&gt;=Parametros!$E$23,Parametros!$E$25,0)</f>
        <v>0</v>
      </c>
      <c r="AC18" s="89">
        <f t="shared" si="1"/>
        <v>0</v>
      </c>
      <c r="AD18" s="87">
        <v>0</v>
      </c>
      <c r="AE18" s="88" t="s">
        <v>222</v>
      </c>
      <c r="AF18" s="87">
        <v>0</v>
      </c>
      <c r="AG18" s="88" t="s">
        <v>222</v>
      </c>
      <c r="AH18" s="87">
        <v>0</v>
      </c>
      <c r="AI18" s="88" t="s">
        <v>222</v>
      </c>
      <c r="AJ18" s="87">
        <v>0</v>
      </c>
      <c r="AK18" s="88" t="s">
        <v>222</v>
      </c>
      <c r="AL18" s="87">
        <v>0</v>
      </c>
      <c r="AM18" s="88" t="s">
        <v>222</v>
      </c>
      <c r="AN18" s="89">
        <f>AD18*Parametros!$E$28+AF18*Parametros!$E$29+AH18*Parametros!$E$30+AJ18*Parametros!$E$31+AL18*Parametros!$E$32</f>
        <v>0</v>
      </c>
      <c r="AO18" s="12" t="str">
        <f t="shared" si="2"/>
        <v>NO</v>
      </c>
      <c r="AP18" s="11">
        <f t="shared" si="3"/>
        <v>0.94000000000000006</v>
      </c>
      <c r="AQ18" s="90">
        <f>MAX(0,MIN(1,MAX(0,AP18-IF(S18="NO",Parametros!$E$17,0))+AC18-AN18-IF(AO18="SI",Parametros!$E$33,0)))</f>
        <v>0.84000000000000008</v>
      </c>
      <c r="AR18" s="58"/>
      <c r="AS18" s="71" t="str">
        <f>'Captura Enero'!B20</f>
        <v>Tratamiento de Aguas</v>
      </c>
      <c r="AT18" s="72">
        <f>'Captura Enero'!K20+'Captura Enero'!N20+'Captura Enero'!Q20</f>
        <v>0.24</v>
      </c>
      <c r="AU18" s="72">
        <f>'Captura Enero'!T20</f>
        <v>0.06</v>
      </c>
      <c r="AV18" s="72">
        <f>'Captura Enero'!V20</f>
        <v>0.25</v>
      </c>
      <c r="AW18" s="72">
        <f>'Captura Enero'!G20</f>
        <v>0.2</v>
      </c>
      <c r="AX18" s="72">
        <f>'Captura Enero'!X20</f>
        <v>0.2</v>
      </c>
      <c r="AY18" s="72">
        <f>'Captura Enero'!AC20</f>
        <v>0</v>
      </c>
      <c r="AZ18" s="73">
        <f>-'Captura Enero'!AN20</f>
        <v>0</v>
      </c>
      <c r="BA18" s="74">
        <f>'Captura Enero'!AQ20</f>
        <v>0.95</v>
      </c>
      <c r="BB18" s="58"/>
      <c r="BC18" s="58"/>
    </row>
    <row r="19" spans="1:55" ht="25.5" customHeight="1" x14ac:dyDescent="0.35">
      <c r="A19" s="12">
        <v>14</v>
      </c>
      <c r="B19" s="83" t="s">
        <v>142</v>
      </c>
      <c r="C19" s="84" t="str">
        <f>VLOOKUP(B19,Parametros!$I$6:$J$20,2,FALSE())</f>
        <v>Miguel Godinez</v>
      </c>
      <c r="D19" s="85">
        <v>1</v>
      </c>
      <c r="E19" s="85">
        <v>1</v>
      </c>
      <c r="F19" s="11">
        <f t="shared" si="0"/>
        <v>1</v>
      </c>
      <c r="G19" s="86">
        <f>F19*Parametros!$E$6</f>
        <v>0.2</v>
      </c>
      <c r="H19" s="87">
        <v>10</v>
      </c>
      <c r="I19" s="87">
        <v>10</v>
      </c>
      <c r="J19" s="88" t="s">
        <v>222</v>
      </c>
      <c r="K19" s="86">
        <f>IF(J19="NO",0,IFERROR(H19/I19,0)*Parametros!$E$7)</f>
        <v>0.08</v>
      </c>
      <c r="L19" s="85">
        <v>1</v>
      </c>
      <c r="M19" s="88" t="s">
        <v>222</v>
      </c>
      <c r="N19" s="86">
        <f>IF(M19="NO",0,L19*Parametros!$E$8)</f>
        <v>0.08</v>
      </c>
      <c r="O19" s="85">
        <v>1</v>
      </c>
      <c r="P19" s="88" t="s">
        <v>222</v>
      </c>
      <c r="Q19" s="86">
        <f>IF(P19="NO",0,O19*Parametros!$E$9)</f>
        <v>0.08</v>
      </c>
      <c r="R19" s="85">
        <v>1</v>
      </c>
      <c r="S19" s="88" t="s">
        <v>222</v>
      </c>
      <c r="T19" s="86">
        <f>IF(S19="NO",0,R19*Parametros!$E$10)</f>
        <v>0.06</v>
      </c>
      <c r="U19" s="85">
        <v>1</v>
      </c>
      <c r="V19" s="86">
        <f>U19*Parametros!$E$11</f>
        <v>0.25</v>
      </c>
      <c r="W19" s="87">
        <v>0</v>
      </c>
      <c r="X19" s="86">
        <f>MAX(0,Parametros!$E$12-Parametros!$E$18*W19)</f>
        <v>0.25</v>
      </c>
      <c r="Y19" s="87">
        <v>1</v>
      </c>
      <c r="Z19" s="87">
        <v>16</v>
      </c>
      <c r="AA19" s="89">
        <f>IF(Y19&gt;=Parametros!$E$22,Parametros!$E$24,0)</f>
        <v>0</v>
      </c>
      <c r="AB19" s="89">
        <f>IF(Z19&gt;=Parametros!$E$23,Parametros!$E$25,0)</f>
        <v>0.04</v>
      </c>
      <c r="AC19" s="89">
        <f t="shared" si="1"/>
        <v>0.04</v>
      </c>
      <c r="AD19" s="87">
        <v>0</v>
      </c>
      <c r="AE19" s="88" t="s">
        <v>222</v>
      </c>
      <c r="AF19" s="87">
        <v>0</v>
      </c>
      <c r="AG19" s="88" t="s">
        <v>222</v>
      </c>
      <c r="AH19" s="87">
        <v>0</v>
      </c>
      <c r="AI19" s="88" t="s">
        <v>222</v>
      </c>
      <c r="AJ19" s="87">
        <v>0</v>
      </c>
      <c r="AK19" s="88" t="s">
        <v>222</v>
      </c>
      <c r="AL19" s="87">
        <v>0</v>
      </c>
      <c r="AM19" s="88" t="s">
        <v>222</v>
      </c>
      <c r="AN19" s="89">
        <f>AD19*Parametros!$E$28+AF19*Parametros!$E$29+AH19*Parametros!$E$30+AJ19*Parametros!$E$31+AL19*Parametros!$E$32</f>
        <v>0</v>
      </c>
      <c r="AO19" s="12" t="str">
        <f t="shared" si="2"/>
        <v>NO</v>
      </c>
      <c r="AP19" s="11">
        <f t="shared" si="3"/>
        <v>1</v>
      </c>
      <c r="AQ19" s="90">
        <f>MAX(0,MIN(1,MAX(0,AP19-IF(S19="NO",Parametros!$E$17,0))+AC19-AN19-IF(AO19="SI",Parametros!$E$33,0)))</f>
        <v>1</v>
      </c>
      <c r="AR19" s="58"/>
      <c r="AS19" s="111" t="s">
        <v>224</v>
      </c>
      <c r="AT19" s="111"/>
      <c r="AU19" s="111"/>
      <c r="AV19" s="111"/>
      <c r="AW19" s="111"/>
      <c r="AX19" s="111"/>
      <c r="AY19" s="111"/>
      <c r="AZ19" s="111"/>
      <c r="BA19" s="91">
        <f>AVERAGE(BA4:BA18)</f>
        <v>0.93297435897435899</v>
      </c>
      <c r="BB19" s="58"/>
      <c r="BC19" s="58"/>
    </row>
    <row r="20" spans="1:55" ht="16.5" customHeight="1" x14ac:dyDescent="0.35">
      <c r="A20" s="12">
        <v>15</v>
      </c>
      <c r="B20" s="83" t="s">
        <v>138</v>
      </c>
      <c r="C20" s="84" t="str">
        <f>VLOOKUP(B20,Parametros!$I$6:$J$20,2,FALSE())</f>
        <v>Adrian Santisteban</v>
      </c>
      <c r="D20" s="85">
        <v>1</v>
      </c>
      <c r="E20" s="85">
        <v>1</v>
      </c>
      <c r="F20" s="11">
        <f t="shared" si="0"/>
        <v>1</v>
      </c>
      <c r="G20" s="86">
        <f>F20*Parametros!$E$6</f>
        <v>0.2</v>
      </c>
      <c r="H20" s="87">
        <v>10</v>
      </c>
      <c r="I20" s="87">
        <v>10</v>
      </c>
      <c r="J20" s="88" t="s">
        <v>222</v>
      </c>
      <c r="K20" s="86">
        <f>IF(J20="NO",0,IFERROR(H20/I20,0)*Parametros!$E$7)</f>
        <v>0.08</v>
      </c>
      <c r="L20" s="85">
        <v>1</v>
      </c>
      <c r="M20" s="88" t="s">
        <v>222</v>
      </c>
      <c r="N20" s="86">
        <f>IF(M20="NO",0,L20*Parametros!$E$8)</f>
        <v>0.08</v>
      </c>
      <c r="O20" s="85">
        <v>1</v>
      </c>
      <c r="P20" s="88" t="s">
        <v>222</v>
      </c>
      <c r="Q20" s="86">
        <f>IF(P20="NO",0,O20*Parametros!$E$9)</f>
        <v>0.08</v>
      </c>
      <c r="R20" s="85">
        <v>1</v>
      </c>
      <c r="S20" s="88" t="s">
        <v>222</v>
      </c>
      <c r="T20" s="86">
        <f>IF(S20="NO",0,R20*Parametros!$E$10)</f>
        <v>0.06</v>
      </c>
      <c r="U20" s="85">
        <v>1</v>
      </c>
      <c r="V20" s="86">
        <f>U20*Parametros!$E$11</f>
        <v>0.25</v>
      </c>
      <c r="W20" s="87">
        <v>1</v>
      </c>
      <c r="X20" s="86">
        <f>MAX(0,Parametros!$E$12-Parametros!$E$18*W20)</f>
        <v>0.2</v>
      </c>
      <c r="Y20" s="87">
        <v>5</v>
      </c>
      <c r="Z20" s="87">
        <v>2</v>
      </c>
      <c r="AA20" s="89">
        <f>IF(Y20&gt;=Parametros!$E$22,Parametros!$E$24,0)</f>
        <v>0</v>
      </c>
      <c r="AB20" s="89">
        <f>IF(Z20&gt;=Parametros!$E$23,Parametros!$E$25,0)</f>
        <v>0</v>
      </c>
      <c r="AC20" s="89">
        <f t="shared" si="1"/>
        <v>0</v>
      </c>
      <c r="AD20" s="87">
        <v>0</v>
      </c>
      <c r="AE20" s="88" t="s">
        <v>222</v>
      </c>
      <c r="AF20" s="87">
        <v>0</v>
      </c>
      <c r="AG20" s="88" t="s">
        <v>222</v>
      </c>
      <c r="AH20" s="87">
        <v>0</v>
      </c>
      <c r="AI20" s="88" t="s">
        <v>222</v>
      </c>
      <c r="AJ20" s="87">
        <v>0</v>
      </c>
      <c r="AK20" s="88" t="s">
        <v>222</v>
      </c>
      <c r="AL20" s="87">
        <v>0</v>
      </c>
      <c r="AM20" s="88" t="s">
        <v>222</v>
      </c>
      <c r="AN20" s="89">
        <f>AD20*Parametros!$E$28+AF20*Parametros!$E$29+AH20*Parametros!$E$30+AJ20*Parametros!$E$31+AL20*Parametros!$E$32</f>
        <v>0</v>
      </c>
      <c r="AO20" s="12" t="str">
        <f t="shared" si="2"/>
        <v>NO</v>
      </c>
      <c r="AP20" s="11">
        <f t="shared" si="3"/>
        <v>0.95</v>
      </c>
      <c r="AQ20" s="90">
        <f>MAX(0,MIN(1,MAX(0,AP20-IF(S20="NO",Parametros!$E$17,0))+AC20-AN20-IF(AO20="SI",Parametros!$E$33,0)))</f>
        <v>0.95</v>
      </c>
      <c r="AR20" s="58"/>
      <c r="AS20" s="58"/>
      <c r="AT20" s="58"/>
      <c r="AU20" s="58"/>
      <c r="AV20" s="58"/>
      <c r="AW20" s="58"/>
      <c r="AX20" s="58"/>
      <c r="AY20" s="58"/>
      <c r="AZ20" s="58"/>
      <c r="BA20" s="58"/>
      <c r="BB20" s="58"/>
    </row>
    <row r="21" spans="1:55" ht="14.25" customHeight="1" x14ac:dyDescent="0.35">
      <c r="AB21">
        <v>0</v>
      </c>
    </row>
    <row r="22" spans="1:55" ht="21.75" customHeight="1" x14ac:dyDescent="0.35">
      <c r="A22" s="112"/>
      <c r="B22" s="112"/>
      <c r="C22" s="112"/>
      <c r="D22" s="70"/>
      <c r="E22" s="70"/>
      <c r="F22" s="70"/>
      <c r="G22" s="70"/>
      <c r="H22" s="70"/>
      <c r="I22" s="70"/>
      <c r="J22" s="70"/>
      <c r="K22" s="70"/>
      <c r="L22" s="70"/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V22" s="92"/>
    </row>
    <row r="23" spans="1:55" ht="21.75" customHeight="1" x14ac:dyDescent="0.35">
      <c r="A23" s="113" t="s">
        <v>225</v>
      </c>
      <c r="B23" s="113"/>
      <c r="C23" s="113"/>
      <c r="D23" s="93"/>
      <c r="E23" s="93"/>
      <c r="F23" s="93"/>
      <c r="G23" s="93"/>
      <c r="H23" s="93"/>
      <c r="I23" s="93"/>
      <c r="J23" s="93"/>
      <c r="K23" s="93"/>
      <c r="L23" s="93"/>
      <c r="M23" s="93"/>
      <c r="N23" s="93"/>
      <c r="O23" s="93"/>
      <c r="P23" s="93"/>
      <c r="Q23" s="93"/>
      <c r="R23" s="93"/>
      <c r="S23" s="93"/>
      <c r="T23" s="93"/>
      <c r="U23" s="93"/>
      <c r="V23" s="93"/>
      <c r="W23" s="93"/>
      <c r="X23" s="93"/>
      <c r="Y23" s="93"/>
      <c r="Z23" s="93"/>
      <c r="AA23" s="93"/>
      <c r="AB23" s="93"/>
      <c r="AC23" s="93"/>
      <c r="AD23" s="93"/>
      <c r="AE23" s="93"/>
      <c r="AF23" s="93"/>
      <c r="AG23" s="93"/>
      <c r="AH23" s="93"/>
      <c r="AI23" s="93"/>
      <c r="AJ23" s="93"/>
      <c r="AK23" s="93"/>
      <c r="AL23" s="93"/>
      <c r="AM23" s="93"/>
      <c r="AN23" s="93"/>
      <c r="AO23" s="93"/>
      <c r="AP23" s="93"/>
      <c r="AQ23" s="94">
        <f>AVERAGE(AQ6:AQ20)</f>
        <v>0.93297435897435899</v>
      </c>
      <c r="AR23" s="58"/>
      <c r="AS23" s="58"/>
      <c r="AT23" s="58"/>
      <c r="AU23" s="58"/>
      <c r="AV23" s="58"/>
      <c r="AW23" s="58"/>
      <c r="AX23" s="58"/>
      <c r="AY23" s="58"/>
      <c r="AZ23" s="58"/>
      <c r="BA23" s="58"/>
      <c r="BB23" s="58"/>
    </row>
  </sheetData>
  <mergeCells count="20">
    <mergeCell ref="A1:AB1"/>
    <mergeCell ref="AS1:BA1"/>
    <mergeCell ref="BB1:BC1"/>
    <mergeCell ref="B2:D2"/>
    <mergeCell ref="AT2:AV2"/>
    <mergeCell ref="AX2:BA2"/>
    <mergeCell ref="BB5:BC5"/>
    <mergeCell ref="AS19:AZ19"/>
    <mergeCell ref="A22:C22"/>
    <mergeCell ref="A23:C23"/>
    <mergeCell ref="U4:V4"/>
    <mergeCell ref="W4:X4"/>
    <mergeCell ref="Y4:AC4"/>
    <mergeCell ref="AD4:AO4"/>
    <mergeCell ref="AP4:AQ4"/>
    <mergeCell ref="D4:G4"/>
    <mergeCell ref="H4:K4"/>
    <mergeCell ref="L4:N4"/>
    <mergeCell ref="O4:Q4"/>
    <mergeCell ref="R4:T4"/>
  </mergeCells>
  <conditionalFormatting sqref="AQ6:AQ20">
    <cfRule type="cellIs" dxfId="110" priority="5" operator="greaterThanOrEqual">
      <formula>0.9</formula>
    </cfRule>
    <cfRule type="cellIs" dxfId="109" priority="6" operator="between">
      <formula>0.7</formula>
      <formula>0.8999</formula>
    </cfRule>
    <cfRule type="cellIs" dxfId="108" priority="7" operator="lessThan">
      <formula>0.7</formula>
    </cfRule>
  </conditionalFormatting>
  <conditionalFormatting sqref="AV19:AV20">
    <cfRule type="cellIs" dxfId="107" priority="2" operator="greaterThanOrEqual">
      <formula>0.9</formula>
    </cfRule>
    <cfRule type="expression" dxfId="106" priority="3">
      <formula>AND(AV19&gt;=0.7,AV19&lt;0.9)</formula>
    </cfRule>
    <cfRule type="cellIs" dxfId="105" priority="4" operator="lessThan">
      <formula>0.7</formula>
    </cfRule>
  </conditionalFormatting>
  <conditionalFormatting sqref="BA4:BA18">
    <cfRule type="cellIs" dxfId="104" priority="8" operator="greaterThanOrEqual">
      <formula>0.9</formula>
    </cfRule>
    <cfRule type="cellIs" dxfId="103" priority="9" operator="between">
      <formula>0.7</formula>
      <formula>0.8999</formula>
    </cfRule>
    <cfRule type="cellIs" dxfId="102" priority="10" operator="lessThan">
      <formula>0.7</formula>
    </cfRule>
  </conditionalFormatting>
  <dataValidations count="4">
    <dataValidation type="list" sqref="J6:J20 M6:M20 P6:P20 S6:T20 X6:X20 AE6:AE20 AG6:AG20 AI6:AN20 AP6:AP20 AR6:AR20" xr:uid="{00000000-0002-0000-0500-000000000000}">
      <formula1>"SI,NO"</formula1>
      <formula2>0</formula2>
    </dataValidation>
    <dataValidation type="whole" operator="greaterThanOrEqual" showErrorMessage="1" errorTitle="Valor invalido" error="Ingrese un numero entero &gt;= 0" sqref="F6:F20 K6:K20 N6:N20 V6:W20 AB6:AB20 AD6:AD20 AO6:AO20 AQ6:AQ20" xr:uid="{00000000-0002-0000-0500-000001000000}">
      <formula1>0</formula1>
      <formula2>0</formula2>
    </dataValidation>
    <dataValidation type="decimal" showErrorMessage="1" errorTitle="Valor invalido" error="Ingrese un porcentaje entre 0% y 100%" sqref="D6:E20 L6:L20 O6:O20 R6:R20 U6:U20" xr:uid="{00000000-0002-0000-0500-000002000000}">
      <formula1>0</formula1>
      <formula2>1</formula2>
    </dataValidation>
    <dataValidation type="whole" operator="greaterThanOrEqual" showErrorMessage="1" errorTitle="Valor inválido" error="Ingrese un número entero mayor o igual a 0" sqref="Z6:Z20" xr:uid="{00000000-0002-0000-0500-000003000000}">
      <formula1>0</formula1>
      <formula2>0</formula2>
    </dataValidation>
  </dataValidations>
  <pageMargins left="0.3" right="0.3" top="0.4" bottom="0.4" header="0.511811023622047" footer="0.511811023622047"/>
  <pageSetup fitToHeight="0" orientation="landscape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ED6B23"/>
    <pageSetUpPr fitToPage="1"/>
  </sheetPr>
  <dimension ref="A1:BC23"/>
  <sheetViews>
    <sheetView showGridLines="0" zoomScale="76" zoomScaleNormal="76" workbookViewId="0">
      <pane xSplit="3" ySplit="5" topLeftCell="AN7" activePane="bottomRight" state="frozen"/>
      <selection pane="topRight" activeCell="AN1" sqref="AN1"/>
      <selection pane="bottomLeft" activeCell="A7" sqref="A7"/>
      <selection pane="bottomRight" activeCell="BC4" sqref="BC4"/>
    </sheetView>
  </sheetViews>
  <sheetFormatPr baseColWidth="10" defaultColWidth="8.6328125" defaultRowHeight="14.5" x14ac:dyDescent="0.35"/>
  <cols>
    <col min="1" max="1" width="5" customWidth="1"/>
    <col min="2" max="2" width="22" customWidth="1"/>
    <col min="3" max="3" width="16" customWidth="1"/>
    <col min="4" max="48" width="9.54296875" customWidth="1"/>
    <col min="49" max="50" width="11" customWidth="1"/>
    <col min="51" max="51" width="13" customWidth="1"/>
    <col min="52" max="52" width="11" customWidth="1"/>
    <col min="53" max="53" width="14" customWidth="1"/>
    <col min="54" max="54" width="18" customWidth="1"/>
    <col min="55" max="55" width="10" customWidth="1"/>
  </cols>
  <sheetData>
    <row r="1" spans="1:55" ht="19.5" customHeight="1" x14ac:dyDescent="0.35">
      <c r="A1" s="117" t="s">
        <v>226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  <c r="AA1" s="117"/>
      <c r="AB1" s="117"/>
      <c r="AR1" s="58"/>
      <c r="AS1" s="118" t="s">
        <v>227</v>
      </c>
      <c r="AT1" s="118"/>
      <c r="AU1" s="118"/>
      <c r="AV1" s="118"/>
      <c r="AW1" s="118"/>
      <c r="AX1" s="118"/>
      <c r="AY1" s="118"/>
      <c r="AZ1" s="118"/>
      <c r="BA1" s="118"/>
      <c r="BB1" s="119" t="s">
        <v>228</v>
      </c>
      <c r="BC1" s="119"/>
    </row>
    <row r="2" spans="1:55" ht="18" customHeight="1" x14ac:dyDescent="0.35">
      <c r="A2" s="5" t="s">
        <v>163</v>
      </c>
      <c r="B2" s="120" t="s">
        <v>229</v>
      </c>
      <c r="C2" s="120"/>
      <c r="D2" s="120"/>
      <c r="F2" s="5" t="s">
        <v>165</v>
      </c>
      <c r="G2" s="59" t="s">
        <v>166</v>
      </c>
      <c r="AR2" s="58"/>
      <c r="AS2" s="60"/>
      <c r="AT2" s="121" t="s">
        <v>167</v>
      </c>
      <c r="AU2" s="121"/>
      <c r="AV2" s="121"/>
      <c r="AW2" s="61" t="s">
        <v>96</v>
      </c>
      <c r="AX2" s="122" t="s">
        <v>168</v>
      </c>
      <c r="AY2" s="122"/>
      <c r="AZ2" s="122"/>
      <c r="BA2" s="122"/>
      <c r="BB2" s="62" t="s">
        <v>169</v>
      </c>
      <c r="BC2" s="62" t="s">
        <v>170</v>
      </c>
    </row>
    <row r="3" spans="1:55" ht="21.75" customHeight="1" x14ac:dyDescent="0.35">
      <c r="AR3" s="58"/>
      <c r="AS3" s="63" t="s">
        <v>171</v>
      </c>
      <c r="AT3" s="64" t="s">
        <v>172</v>
      </c>
      <c r="AU3" s="64" t="s">
        <v>173</v>
      </c>
      <c r="AV3" s="64" t="s">
        <v>174</v>
      </c>
      <c r="AW3" s="65" t="s">
        <v>175</v>
      </c>
      <c r="AX3" s="66" t="s">
        <v>176</v>
      </c>
      <c r="AY3" s="66" t="s">
        <v>177</v>
      </c>
      <c r="AZ3" s="66" t="s">
        <v>178</v>
      </c>
      <c r="BA3" s="67" t="s">
        <v>179</v>
      </c>
      <c r="BB3" s="68" t="s">
        <v>180</v>
      </c>
      <c r="BC3" s="69">
        <v>63</v>
      </c>
    </row>
    <row r="4" spans="1:55" ht="21.75" customHeight="1" x14ac:dyDescent="0.35">
      <c r="A4" s="70"/>
      <c r="B4" s="70"/>
      <c r="C4" s="70"/>
      <c r="D4" s="114" t="s">
        <v>181</v>
      </c>
      <c r="E4" s="114"/>
      <c r="F4" s="114"/>
      <c r="G4" s="114"/>
      <c r="H4" s="114" t="s">
        <v>182</v>
      </c>
      <c r="I4" s="114"/>
      <c r="J4" s="114"/>
      <c r="K4" s="114"/>
      <c r="L4" s="114" t="s">
        <v>183</v>
      </c>
      <c r="M4" s="114"/>
      <c r="N4" s="114"/>
      <c r="O4" s="114" t="s">
        <v>184</v>
      </c>
      <c r="P4" s="114"/>
      <c r="Q4" s="114"/>
      <c r="R4" s="114" t="s">
        <v>185</v>
      </c>
      <c r="S4" s="114"/>
      <c r="T4" s="114"/>
      <c r="U4" s="114" t="s">
        <v>186</v>
      </c>
      <c r="V4" s="114"/>
      <c r="W4" s="115" t="s">
        <v>187</v>
      </c>
      <c r="X4" s="115"/>
      <c r="Y4" s="114" t="s">
        <v>188</v>
      </c>
      <c r="Z4" s="114"/>
      <c r="AA4" s="114"/>
      <c r="AB4" s="114"/>
      <c r="AC4" s="114"/>
      <c r="AD4" s="115" t="s">
        <v>189</v>
      </c>
      <c r="AE4" s="115"/>
      <c r="AF4" s="115"/>
      <c r="AG4" s="115"/>
      <c r="AH4" s="115"/>
      <c r="AI4" s="115"/>
      <c r="AJ4" s="115"/>
      <c r="AK4" s="115"/>
      <c r="AL4" s="115"/>
      <c r="AM4" s="115"/>
      <c r="AN4" s="115"/>
      <c r="AO4" s="115"/>
      <c r="AP4" s="116" t="s">
        <v>190</v>
      </c>
      <c r="AQ4" s="116"/>
      <c r="AR4" s="58"/>
      <c r="AS4" s="71" t="str">
        <f>'Captura Febrero'!B6</f>
        <v>Almacen de Repuestos</v>
      </c>
      <c r="AT4" s="72">
        <f>'Captura Febrero'!K6+'Captura Febrero'!N6+'Captura Febrero'!Q6</f>
        <v>0.24</v>
      </c>
      <c r="AU4" s="72">
        <f>'Captura Febrero'!T6</f>
        <v>0.06</v>
      </c>
      <c r="AV4" s="72">
        <f>'Captura Febrero'!V6</f>
        <v>0.25</v>
      </c>
      <c r="AW4" s="72">
        <f>'Captura Febrero'!G6</f>
        <v>0.2</v>
      </c>
      <c r="AX4" s="72">
        <f>'Captura Febrero'!X6</f>
        <v>0.25</v>
      </c>
      <c r="AY4" s="72">
        <f>'Captura Febrero'!AC6</f>
        <v>0.04</v>
      </c>
      <c r="AZ4" s="73">
        <f>-'Captura Febrero'!AN6</f>
        <v>0</v>
      </c>
      <c r="BA4" s="74">
        <f>'Captura Febrero'!AQ6</f>
        <v>1</v>
      </c>
      <c r="BB4" s="68" t="s">
        <v>191</v>
      </c>
      <c r="BC4" s="75">
        <v>185</v>
      </c>
    </row>
    <row r="5" spans="1:55" ht="13.5" customHeight="1" x14ac:dyDescent="0.35">
      <c r="A5" s="76" t="s">
        <v>93</v>
      </c>
      <c r="B5" s="76" t="s">
        <v>48</v>
      </c>
      <c r="C5" s="76" t="s">
        <v>94</v>
      </c>
      <c r="D5" s="77" t="s">
        <v>192</v>
      </c>
      <c r="E5" s="77" t="s">
        <v>193</v>
      </c>
      <c r="F5" s="77" t="s">
        <v>194</v>
      </c>
      <c r="G5" s="77" t="s">
        <v>195</v>
      </c>
      <c r="H5" s="77" t="s">
        <v>196</v>
      </c>
      <c r="I5" s="77" t="s">
        <v>197</v>
      </c>
      <c r="J5" s="77" t="s">
        <v>198</v>
      </c>
      <c r="K5" s="77" t="s">
        <v>195</v>
      </c>
      <c r="L5" s="77" t="s">
        <v>199</v>
      </c>
      <c r="M5" s="77" t="s">
        <v>198</v>
      </c>
      <c r="N5" s="77" t="s">
        <v>195</v>
      </c>
      <c r="O5" s="77" t="s">
        <v>199</v>
      </c>
      <c r="P5" s="77" t="s">
        <v>198</v>
      </c>
      <c r="Q5" s="77" t="s">
        <v>195</v>
      </c>
      <c r="R5" s="77" t="s">
        <v>199</v>
      </c>
      <c r="S5" s="77" t="s">
        <v>198</v>
      </c>
      <c r="T5" s="77" t="s">
        <v>195</v>
      </c>
      <c r="U5" s="77" t="s">
        <v>200</v>
      </c>
      <c r="V5" s="77" t="s">
        <v>195</v>
      </c>
      <c r="W5" s="78" t="s">
        <v>201</v>
      </c>
      <c r="X5" s="78" t="s">
        <v>195</v>
      </c>
      <c r="Y5" s="77" t="s">
        <v>202</v>
      </c>
      <c r="Z5" s="77" t="s">
        <v>203</v>
      </c>
      <c r="AA5" s="77" t="s">
        <v>204</v>
      </c>
      <c r="AB5" s="77" t="s">
        <v>205</v>
      </c>
      <c r="AC5" s="77" t="s">
        <v>206</v>
      </c>
      <c r="AD5" s="78" t="s">
        <v>207</v>
      </c>
      <c r="AE5" s="78" t="s">
        <v>208</v>
      </c>
      <c r="AF5" s="78" t="s">
        <v>209</v>
      </c>
      <c r="AG5" s="78" t="s">
        <v>210</v>
      </c>
      <c r="AH5" s="78" t="s">
        <v>211</v>
      </c>
      <c r="AI5" s="78" t="s">
        <v>212</v>
      </c>
      <c r="AJ5" s="78" t="s">
        <v>213</v>
      </c>
      <c r="AK5" s="78" t="s">
        <v>214</v>
      </c>
      <c r="AL5" s="78" t="s">
        <v>215</v>
      </c>
      <c r="AM5" s="78" t="s">
        <v>216</v>
      </c>
      <c r="AN5" s="78" t="s">
        <v>217</v>
      </c>
      <c r="AO5" s="78" t="s">
        <v>218</v>
      </c>
      <c r="AP5" s="76" t="s">
        <v>219</v>
      </c>
      <c r="AQ5" s="76" t="s">
        <v>220</v>
      </c>
      <c r="AR5" s="58"/>
      <c r="AS5" s="79" t="str">
        <f>'Captura Febrero'!B7</f>
        <v>Alrededores</v>
      </c>
      <c r="AT5" s="80">
        <f>'Captura Febrero'!K7+'Captura Febrero'!N7+'Captura Febrero'!Q7</f>
        <v>0.24</v>
      </c>
      <c r="AU5" s="80">
        <f>'Captura Febrero'!T7</f>
        <v>0.06</v>
      </c>
      <c r="AV5" s="80">
        <f>'Captura Febrero'!V7</f>
        <v>0.25</v>
      </c>
      <c r="AW5" s="80">
        <f>'Captura Febrero'!G7</f>
        <v>0.19</v>
      </c>
      <c r="AX5" s="80">
        <f>'Captura Febrero'!X7</f>
        <v>0.25</v>
      </c>
      <c r="AY5" s="80">
        <f>'Captura Febrero'!AC7</f>
        <v>0.04</v>
      </c>
      <c r="AZ5" s="81">
        <f>-'Captura Febrero'!AN7</f>
        <v>0</v>
      </c>
      <c r="BA5" s="82">
        <f>'Captura Febrero'!AQ7</f>
        <v>1</v>
      </c>
      <c r="BB5" s="110" t="s">
        <v>221</v>
      </c>
      <c r="BC5" s="110"/>
    </row>
    <row r="6" spans="1:55" ht="16.5" customHeight="1" x14ac:dyDescent="0.35">
      <c r="A6" s="12">
        <v>1</v>
      </c>
      <c r="B6" s="83" t="s">
        <v>103</v>
      </c>
      <c r="C6" s="84" t="str">
        <f>VLOOKUP(B6,Parametros!$I$6:$J$20,2,FALSE())</f>
        <v>Fredy Fuentes</v>
      </c>
      <c r="D6" s="85">
        <v>1</v>
      </c>
      <c r="E6" s="85">
        <v>1</v>
      </c>
      <c r="F6" s="11">
        <f t="shared" ref="F6:F20" si="0">AVERAGE(D6,E6)</f>
        <v>1</v>
      </c>
      <c r="G6" s="86">
        <f>F6*Parametros!$E$6</f>
        <v>0.2</v>
      </c>
      <c r="H6" s="87">
        <v>10</v>
      </c>
      <c r="I6" s="87">
        <v>10</v>
      </c>
      <c r="J6" s="88" t="s">
        <v>222</v>
      </c>
      <c r="K6" s="86">
        <f>IF(J6="NO",0,IFERROR(H6/I6,0)*Parametros!$E$7)</f>
        <v>0.08</v>
      </c>
      <c r="L6" s="85">
        <v>1</v>
      </c>
      <c r="M6" s="88" t="s">
        <v>222</v>
      </c>
      <c r="N6" s="86">
        <f>IF(M6="NO",0,L6*Parametros!$E$8)</f>
        <v>0.08</v>
      </c>
      <c r="O6" s="85">
        <v>1</v>
      </c>
      <c r="P6" s="88" t="s">
        <v>222</v>
      </c>
      <c r="Q6" s="86">
        <f>IF(P6="NO",0,O6*Parametros!$E$9)</f>
        <v>0.08</v>
      </c>
      <c r="R6" s="85">
        <v>1</v>
      </c>
      <c r="S6" s="88" t="s">
        <v>222</v>
      </c>
      <c r="T6" s="86">
        <f>IF(S6="NO",0,R6*Parametros!$E$10)</f>
        <v>0.06</v>
      </c>
      <c r="U6" s="85">
        <v>1</v>
      </c>
      <c r="V6" s="86">
        <f>U6*Parametros!$E$11</f>
        <v>0.25</v>
      </c>
      <c r="W6" s="87">
        <v>0</v>
      </c>
      <c r="X6" s="86">
        <f>MAX(0,Parametros!$E$12-Parametros!$E$18*W6)</f>
        <v>0.25</v>
      </c>
      <c r="Y6" s="87">
        <v>11</v>
      </c>
      <c r="Z6" s="87">
        <v>2</v>
      </c>
      <c r="AA6" s="89">
        <f>IF(Y6&gt;=Parametros!$E$22,Parametros!$E$24,0)</f>
        <v>0.04</v>
      </c>
      <c r="AB6" s="89">
        <f>IF(Z6&gt;=Parametros!$E$23,Parametros!$E$25,0)</f>
        <v>0</v>
      </c>
      <c r="AC6" s="89">
        <f t="shared" ref="AC6:AC20" si="1">AA6+AB6</f>
        <v>0.04</v>
      </c>
      <c r="AD6" s="87">
        <v>0</v>
      </c>
      <c r="AE6" s="88" t="s">
        <v>222</v>
      </c>
      <c r="AF6" s="87">
        <v>0</v>
      </c>
      <c r="AG6" s="88" t="s">
        <v>222</v>
      </c>
      <c r="AH6" s="87">
        <v>0</v>
      </c>
      <c r="AI6" s="88" t="s">
        <v>222</v>
      </c>
      <c r="AJ6" s="87">
        <v>0</v>
      </c>
      <c r="AK6" s="88" t="s">
        <v>222</v>
      </c>
      <c r="AL6" s="87">
        <v>0</v>
      </c>
      <c r="AM6" s="88" t="s">
        <v>222</v>
      </c>
      <c r="AN6" s="89">
        <f>AD6*Parametros!$E$28+AF6*Parametros!$E$29+AH6*Parametros!$E$30+AJ6*Parametros!$E$31+AL6*Parametros!$E$32</f>
        <v>0</v>
      </c>
      <c r="AO6" s="12" t="str">
        <f t="shared" ref="AO6:AO20" si="2">IF(OR(AND(AD6&gt;0,AE6="NO"),AND(AF6&gt;0,AG6="NO"),AND(AH6&gt;0,AI6="NO"),AND(AJ6&gt;0,AK6="NO"),AND(AL6&gt;0,AM6="NO")),"SI","NO")</f>
        <v>NO</v>
      </c>
      <c r="AP6" s="11">
        <f t="shared" ref="AP6:AP20" si="3">G6+K6+N6+Q6+T6+V6+X6</f>
        <v>1</v>
      </c>
      <c r="AQ6" s="90">
        <f>MAX(0,MIN(1,MAX(0,AP6-IF(S6="NO",Parametros!$E$17,0))+AC6-AN6-IF(AO6="SI",Parametros!$E$33,0)))</f>
        <v>1</v>
      </c>
      <c r="AR6" s="58"/>
      <c r="AS6" s="71" t="str">
        <f>'Captura Febrero'!B8</f>
        <v>Calidad</v>
      </c>
      <c r="AT6" s="72">
        <f>'Captura Febrero'!K8+'Captura Febrero'!N8+'Captura Febrero'!Q8</f>
        <v>0.24</v>
      </c>
      <c r="AU6" s="72">
        <f>'Captura Febrero'!T8</f>
        <v>0.06</v>
      </c>
      <c r="AV6" s="72">
        <f>'Captura Febrero'!V8</f>
        <v>0.25</v>
      </c>
      <c r="AW6" s="72">
        <f>'Captura Febrero'!G8</f>
        <v>0.2</v>
      </c>
      <c r="AX6" s="72">
        <f>'Captura Febrero'!X8</f>
        <v>0.25</v>
      </c>
      <c r="AY6" s="72">
        <f>'Captura Febrero'!AC8</f>
        <v>0.08</v>
      </c>
      <c r="AZ6" s="73">
        <f>-'Captura Febrero'!AN8</f>
        <v>0</v>
      </c>
      <c r="BA6" s="74">
        <f>'Captura Febrero'!AQ8</f>
        <v>1</v>
      </c>
      <c r="BB6" s="58"/>
      <c r="BC6" s="58"/>
    </row>
    <row r="7" spans="1:55" ht="16.5" customHeight="1" x14ac:dyDescent="0.35">
      <c r="A7" s="12">
        <v>2</v>
      </c>
      <c r="B7" s="83" t="s">
        <v>135</v>
      </c>
      <c r="C7" s="84" t="str">
        <f>VLOOKUP(B7,Parametros!$I$6:$J$20,2,FALSE())</f>
        <v>Carlos Chavez</v>
      </c>
      <c r="D7" s="85">
        <v>0.9</v>
      </c>
      <c r="E7" s="85">
        <v>1</v>
      </c>
      <c r="F7" s="11">
        <f t="shared" si="0"/>
        <v>0.95</v>
      </c>
      <c r="G7" s="86">
        <f>F7*Parametros!$E$6</f>
        <v>0.19</v>
      </c>
      <c r="H7" s="87">
        <v>10</v>
      </c>
      <c r="I7" s="87">
        <v>10</v>
      </c>
      <c r="J7" s="88" t="s">
        <v>222</v>
      </c>
      <c r="K7" s="86">
        <f>IF(J7="NO",0,IFERROR(H7/I7,0)*Parametros!$E$7)</f>
        <v>0.08</v>
      </c>
      <c r="L7" s="85">
        <v>1</v>
      </c>
      <c r="M7" s="88" t="s">
        <v>222</v>
      </c>
      <c r="N7" s="86">
        <f>IF(M7="NO",0,L7*Parametros!$E$8)</f>
        <v>0.08</v>
      </c>
      <c r="O7" s="85">
        <v>1</v>
      </c>
      <c r="P7" s="88" t="s">
        <v>222</v>
      </c>
      <c r="Q7" s="86">
        <f>IF(P7="NO",0,O7*Parametros!$E$9)</f>
        <v>0.08</v>
      </c>
      <c r="R7" s="85">
        <v>1</v>
      </c>
      <c r="S7" s="88" t="s">
        <v>222</v>
      </c>
      <c r="T7" s="86">
        <f>IF(S7="NO",0,R7*Parametros!$E$10)</f>
        <v>0.06</v>
      </c>
      <c r="U7" s="85">
        <v>1</v>
      </c>
      <c r="V7" s="86">
        <f>U7*Parametros!$E$11</f>
        <v>0.25</v>
      </c>
      <c r="W7" s="87">
        <v>0</v>
      </c>
      <c r="X7" s="86">
        <f>MAX(0,Parametros!$E$12-Parametros!$E$18*W7)</f>
        <v>0.25</v>
      </c>
      <c r="Y7" s="87">
        <v>0</v>
      </c>
      <c r="Z7" s="87">
        <v>13</v>
      </c>
      <c r="AA7" s="89">
        <f>IF(Y7&gt;=Parametros!$E$22,Parametros!$E$24,0)</f>
        <v>0</v>
      </c>
      <c r="AB7" s="89">
        <f>IF(Z7&gt;=Parametros!$E$23,Parametros!$E$25,0)</f>
        <v>0.04</v>
      </c>
      <c r="AC7" s="89">
        <f t="shared" si="1"/>
        <v>0.04</v>
      </c>
      <c r="AD7" s="87">
        <v>0</v>
      </c>
      <c r="AE7" s="88" t="s">
        <v>222</v>
      </c>
      <c r="AF7" s="87">
        <v>0</v>
      </c>
      <c r="AG7" s="88" t="s">
        <v>222</v>
      </c>
      <c r="AH7" s="87">
        <v>0</v>
      </c>
      <c r="AI7" s="88" t="s">
        <v>222</v>
      </c>
      <c r="AJ7" s="87">
        <v>0</v>
      </c>
      <c r="AK7" s="88" t="s">
        <v>222</v>
      </c>
      <c r="AL7" s="87">
        <v>0</v>
      </c>
      <c r="AM7" s="88" t="s">
        <v>222</v>
      </c>
      <c r="AN7" s="89">
        <f>AD7*Parametros!$E$28+AF7*Parametros!$E$29+AH7*Parametros!$E$30+AJ7*Parametros!$E$31+AL7*Parametros!$E$32</f>
        <v>0</v>
      </c>
      <c r="AO7" s="12" t="str">
        <f t="shared" si="2"/>
        <v>NO</v>
      </c>
      <c r="AP7" s="11">
        <f t="shared" si="3"/>
        <v>0.99</v>
      </c>
      <c r="AQ7" s="90">
        <f>MAX(0,MIN(1,MAX(0,AP7-IF(S7="NO",Parametros!$E$17,0))+AC7-AN7-IF(AO7="SI",Parametros!$E$33,0)))</f>
        <v>1</v>
      </c>
      <c r="AR7" s="58"/>
      <c r="AS7" s="79" t="str">
        <f>'Captura Febrero'!B9</f>
        <v>Centro de Distribucion</v>
      </c>
      <c r="AT7" s="80">
        <f>'Captura Febrero'!K9+'Captura Febrero'!N9+'Captura Febrero'!Q9</f>
        <v>0.24</v>
      </c>
      <c r="AU7" s="80">
        <f>'Captura Febrero'!T9</f>
        <v>0.06</v>
      </c>
      <c r="AV7" s="80">
        <f>'Captura Febrero'!V9</f>
        <v>0.25</v>
      </c>
      <c r="AW7" s="80">
        <f>'Captura Febrero'!G9</f>
        <v>0.19750000000000001</v>
      </c>
      <c r="AX7" s="80">
        <f>'Captura Febrero'!X9</f>
        <v>0.25</v>
      </c>
      <c r="AY7" s="80">
        <f>'Captura Febrero'!AC9</f>
        <v>0.04</v>
      </c>
      <c r="AZ7" s="81">
        <f>-'Captura Febrero'!AN9</f>
        <v>0</v>
      </c>
      <c r="BA7" s="82">
        <f>'Captura Febrero'!AQ9</f>
        <v>1</v>
      </c>
      <c r="BB7" s="58"/>
      <c r="BC7" s="58"/>
    </row>
    <row r="8" spans="1:55" ht="16.5" customHeight="1" x14ac:dyDescent="0.35">
      <c r="A8" s="12">
        <v>3</v>
      </c>
      <c r="B8" s="83" t="s">
        <v>98</v>
      </c>
      <c r="C8" s="84" t="str">
        <f>VLOOKUP(B8,Parametros!$I$6:$J$20,2,FALSE())</f>
        <v>Alejandro Martinez</v>
      </c>
      <c r="D8" s="85">
        <v>1</v>
      </c>
      <c r="E8" s="85">
        <v>1</v>
      </c>
      <c r="F8" s="11">
        <f t="shared" si="0"/>
        <v>1</v>
      </c>
      <c r="G8" s="86">
        <f>F8*Parametros!$E$6</f>
        <v>0.2</v>
      </c>
      <c r="H8" s="87">
        <v>10</v>
      </c>
      <c r="I8" s="87">
        <v>10</v>
      </c>
      <c r="J8" s="88" t="s">
        <v>222</v>
      </c>
      <c r="K8" s="86">
        <f>IF(J8="NO",0,IFERROR(H8/I8,0)*Parametros!$E$7)</f>
        <v>0.08</v>
      </c>
      <c r="L8" s="85">
        <v>1</v>
      </c>
      <c r="M8" s="88" t="s">
        <v>222</v>
      </c>
      <c r="N8" s="86">
        <f>IF(M8="NO",0,L8*Parametros!$E$8)</f>
        <v>0.08</v>
      </c>
      <c r="O8" s="85">
        <v>1</v>
      </c>
      <c r="P8" s="88" t="s">
        <v>222</v>
      </c>
      <c r="Q8" s="86">
        <f>IF(P8="NO",0,O8*Parametros!$E$9)</f>
        <v>0.08</v>
      </c>
      <c r="R8" s="85">
        <v>1</v>
      </c>
      <c r="S8" s="88" t="s">
        <v>222</v>
      </c>
      <c r="T8" s="86">
        <f>IF(S8="NO",0,R8*Parametros!$E$10)</f>
        <v>0.06</v>
      </c>
      <c r="U8" s="85">
        <v>1</v>
      </c>
      <c r="V8" s="86">
        <f>U8*Parametros!$E$11</f>
        <v>0.25</v>
      </c>
      <c r="W8" s="87">
        <v>0</v>
      </c>
      <c r="X8" s="86">
        <f>MAX(0,Parametros!$E$12-Parametros!$E$18*W8)</f>
        <v>0.25</v>
      </c>
      <c r="Y8" s="87">
        <v>14</v>
      </c>
      <c r="Z8" s="87">
        <v>27</v>
      </c>
      <c r="AA8" s="89">
        <f>IF(Y8&gt;=Parametros!$E$22,Parametros!$E$24,0)</f>
        <v>0.04</v>
      </c>
      <c r="AB8" s="89">
        <f>IF(Z8&gt;=Parametros!$E$23,Parametros!$E$25,0)</f>
        <v>0.04</v>
      </c>
      <c r="AC8" s="89">
        <f t="shared" si="1"/>
        <v>0.08</v>
      </c>
      <c r="AD8" s="87">
        <v>0</v>
      </c>
      <c r="AE8" s="88" t="s">
        <v>222</v>
      </c>
      <c r="AF8" s="87">
        <v>0</v>
      </c>
      <c r="AG8" s="88" t="s">
        <v>222</v>
      </c>
      <c r="AH8" s="87">
        <v>0</v>
      </c>
      <c r="AI8" s="88" t="s">
        <v>222</v>
      </c>
      <c r="AJ8" s="87">
        <v>0</v>
      </c>
      <c r="AK8" s="88" t="s">
        <v>222</v>
      </c>
      <c r="AL8" s="87">
        <v>0</v>
      </c>
      <c r="AM8" s="88" t="s">
        <v>222</v>
      </c>
      <c r="AN8" s="89">
        <f>AD8*Parametros!$E$28+AF8*Parametros!$E$29+AH8*Parametros!$E$30+AJ8*Parametros!$E$31+AL8*Parametros!$E$32</f>
        <v>0</v>
      </c>
      <c r="AO8" s="12" t="str">
        <f t="shared" si="2"/>
        <v>NO</v>
      </c>
      <c r="AP8" s="11">
        <f t="shared" si="3"/>
        <v>1</v>
      </c>
      <c r="AQ8" s="90">
        <f>MAX(0,MIN(1,MAX(0,AP8-IF(S8="NO",Parametros!$E$17,0))+AC8-AN8-IF(AO8="SI",Parametros!$E$33,0)))</f>
        <v>1</v>
      </c>
      <c r="AR8" s="58"/>
      <c r="AS8" s="71" t="str">
        <f>'Captura Febrero'!B10</f>
        <v>ETEI</v>
      </c>
      <c r="AT8" s="72">
        <f>'Captura Febrero'!K10+'Captura Febrero'!N10+'Captura Febrero'!Q10</f>
        <v>0.16</v>
      </c>
      <c r="AU8" s="72">
        <f>'Captura Febrero'!T10</f>
        <v>0.06</v>
      </c>
      <c r="AV8" s="72">
        <f>'Captura Febrero'!V10</f>
        <v>0.25</v>
      </c>
      <c r="AW8" s="72">
        <f>'Captura Febrero'!G10</f>
        <v>0.125</v>
      </c>
      <c r="AX8" s="72">
        <f>'Captura Febrero'!X10</f>
        <v>0.25</v>
      </c>
      <c r="AY8" s="72">
        <f>'Captura Febrero'!AC10</f>
        <v>0</v>
      </c>
      <c r="AZ8" s="73">
        <f>-'Captura Febrero'!AN10</f>
        <v>0</v>
      </c>
      <c r="BA8" s="74">
        <f>'Captura Febrero'!AQ10</f>
        <v>0.84499999999999997</v>
      </c>
      <c r="BB8" s="58"/>
      <c r="BC8" s="58"/>
    </row>
    <row r="9" spans="1:55" ht="16.5" customHeight="1" x14ac:dyDescent="0.35">
      <c r="A9" s="12">
        <v>4</v>
      </c>
      <c r="B9" s="83" t="s">
        <v>128</v>
      </c>
      <c r="C9" s="84" t="str">
        <f>VLOOKUP(B9,Parametros!$I$6:$J$20,2,FALSE())</f>
        <v>Jimmy Velasquez</v>
      </c>
      <c r="D9" s="85">
        <v>1</v>
      </c>
      <c r="E9" s="85">
        <v>0.97499999999999998</v>
      </c>
      <c r="F9" s="11">
        <f t="shared" si="0"/>
        <v>0.98750000000000004</v>
      </c>
      <c r="G9" s="86">
        <f>F9*Parametros!$E$6</f>
        <v>0.19750000000000001</v>
      </c>
      <c r="H9" s="87">
        <v>10</v>
      </c>
      <c r="I9" s="87">
        <v>10</v>
      </c>
      <c r="J9" s="88" t="s">
        <v>222</v>
      </c>
      <c r="K9" s="86">
        <f>IF(J9="NO",0,IFERROR(H9/I9,0)*Parametros!$E$7)</f>
        <v>0.08</v>
      </c>
      <c r="L9" s="85">
        <v>1</v>
      </c>
      <c r="M9" s="88" t="s">
        <v>222</v>
      </c>
      <c r="N9" s="86">
        <f>IF(M9="NO",0,L9*Parametros!$E$8)</f>
        <v>0.08</v>
      </c>
      <c r="O9" s="85">
        <v>1</v>
      </c>
      <c r="P9" s="88" t="s">
        <v>222</v>
      </c>
      <c r="Q9" s="86">
        <f>IF(P9="NO",0,O9*Parametros!$E$9)</f>
        <v>0.08</v>
      </c>
      <c r="R9" s="85">
        <v>1</v>
      </c>
      <c r="S9" s="88" t="s">
        <v>222</v>
      </c>
      <c r="T9" s="86">
        <f>IF(S9="NO",0,R9*Parametros!$E$10)</f>
        <v>0.06</v>
      </c>
      <c r="U9" s="85">
        <v>1</v>
      </c>
      <c r="V9" s="86">
        <f>U9*Parametros!$E$11</f>
        <v>0.25</v>
      </c>
      <c r="W9" s="87">
        <v>0</v>
      </c>
      <c r="X9" s="86">
        <f>MAX(0,Parametros!$E$12-Parametros!$E$18*W9)</f>
        <v>0.25</v>
      </c>
      <c r="Y9" s="87">
        <v>2</v>
      </c>
      <c r="Z9" s="87">
        <v>19</v>
      </c>
      <c r="AA9" s="89">
        <f>IF(Y9&gt;=Parametros!$E$22,Parametros!$E$24,0)</f>
        <v>0</v>
      </c>
      <c r="AB9" s="89">
        <f>IF(Z9&gt;=Parametros!$E$23,Parametros!$E$25,0)</f>
        <v>0.04</v>
      </c>
      <c r="AC9" s="89">
        <f t="shared" si="1"/>
        <v>0.04</v>
      </c>
      <c r="AD9" s="87">
        <v>0</v>
      </c>
      <c r="AE9" s="88" t="s">
        <v>222</v>
      </c>
      <c r="AF9" s="87">
        <v>0</v>
      </c>
      <c r="AG9" s="88" t="s">
        <v>222</v>
      </c>
      <c r="AH9" s="87">
        <v>0</v>
      </c>
      <c r="AI9" s="88" t="s">
        <v>222</v>
      </c>
      <c r="AJ9" s="87">
        <v>0</v>
      </c>
      <c r="AK9" s="88" t="s">
        <v>222</v>
      </c>
      <c r="AL9" s="87">
        <v>0</v>
      </c>
      <c r="AM9" s="88" t="s">
        <v>222</v>
      </c>
      <c r="AN9" s="89">
        <f>AD9*Parametros!$E$28+AF9*Parametros!$E$29+AH9*Parametros!$E$30+AJ9*Parametros!$E$31+AL9*Parametros!$E$32</f>
        <v>0</v>
      </c>
      <c r="AO9" s="12" t="str">
        <f t="shared" si="2"/>
        <v>NO</v>
      </c>
      <c r="AP9" s="11">
        <f t="shared" si="3"/>
        <v>0.99750000000000005</v>
      </c>
      <c r="AQ9" s="90">
        <f>MAX(0,MIN(1,MAX(0,AP9-IF(S9="NO",Parametros!$E$17,0))+AC9-AN9-IF(AO9="SI",Parametros!$E$33,0)))</f>
        <v>1</v>
      </c>
      <c r="AR9" s="58"/>
      <c r="AS9" s="79" t="str">
        <f>'Captura Febrero'!B11</f>
        <v>Equipos Auxiliares</v>
      </c>
      <c r="AT9" s="80">
        <f>'Captura Febrero'!K11+'Captura Febrero'!N11+'Captura Febrero'!Q11</f>
        <v>0.24</v>
      </c>
      <c r="AU9" s="80">
        <f>'Captura Febrero'!T11</f>
        <v>0.06</v>
      </c>
      <c r="AV9" s="80">
        <f>'Captura Febrero'!V11</f>
        <v>0.25</v>
      </c>
      <c r="AW9" s="80">
        <f>'Captura Febrero'!G11</f>
        <v>0.2</v>
      </c>
      <c r="AX9" s="80">
        <f>'Captura Febrero'!X11</f>
        <v>0.25</v>
      </c>
      <c r="AY9" s="80">
        <f>'Captura Febrero'!AC11</f>
        <v>0</v>
      </c>
      <c r="AZ9" s="81">
        <f>-'Captura Febrero'!AN11</f>
        <v>0</v>
      </c>
      <c r="BA9" s="82">
        <f>'Captura Febrero'!AQ11</f>
        <v>1</v>
      </c>
      <c r="BB9" s="58"/>
      <c r="BC9" s="58"/>
    </row>
    <row r="10" spans="1:55" ht="16.5" customHeight="1" x14ac:dyDescent="0.35">
      <c r="A10" s="12">
        <v>5</v>
      </c>
      <c r="B10" s="83" t="s">
        <v>125</v>
      </c>
      <c r="C10" s="84" t="str">
        <f>VLOOKUP(B10,Parametros!$I$6:$J$20,2,FALSE())</f>
        <v>Jessica Loarca</v>
      </c>
      <c r="D10" s="85">
        <v>0.25</v>
      </c>
      <c r="E10" s="85">
        <v>1</v>
      </c>
      <c r="F10" s="11">
        <f t="shared" si="0"/>
        <v>0.625</v>
      </c>
      <c r="G10" s="86">
        <f>F10*Parametros!$E$6</f>
        <v>0.125</v>
      </c>
      <c r="H10" s="87">
        <v>10</v>
      </c>
      <c r="I10" s="87">
        <v>10</v>
      </c>
      <c r="J10" s="88" t="s">
        <v>222</v>
      </c>
      <c r="K10" s="86">
        <f>IF(J10="NO",0,IFERROR(H10/I10,0)*Parametros!$E$7)</f>
        <v>0.08</v>
      </c>
      <c r="L10" s="85">
        <v>0</v>
      </c>
      <c r="M10" s="88" t="s">
        <v>223</v>
      </c>
      <c r="N10" s="86">
        <f>IF(M10="NO",0,L10*Parametros!$E$8)</f>
        <v>0</v>
      </c>
      <c r="O10" s="85">
        <v>1</v>
      </c>
      <c r="P10" s="88" t="s">
        <v>222</v>
      </c>
      <c r="Q10" s="86">
        <f>IF(P10="NO",0,O10*Parametros!$E$9)</f>
        <v>0.08</v>
      </c>
      <c r="R10" s="85">
        <v>1</v>
      </c>
      <c r="S10" s="88" t="s">
        <v>222</v>
      </c>
      <c r="T10" s="86">
        <f>IF(S10="NO",0,R10*Parametros!$E$10)</f>
        <v>0.06</v>
      </c>
      <c r="U10" s="85">
        <v>1</v>
      </c>
      <c r="V10" s="86">
        <f>U10*Parametros!$E$11</f>
        <v>0.25</v>
      </c>
      <c r="W10" s="87">
        <v>0</v>
      </c>
      <c r="X10" s="86">
        <f>MAX(0,Parametros!$E$12-Parametros!$E$18*W10)</f>
        <v>0.25</v>
      </c>
      <c r="Y10" s="87">
        <v>0</v>
      </c>
      <c r="Z10" s="87">
        <v>0</v>
      </c>
      <c r="AA10" s="89">
        <f>IF(Y10&gt;=Parametros!$E$22,Parametros!$E$24,0)</f>
        <v>0</v>
      </c>
      <c r="AB10" s="89">
        <f>IF(Z10&gt;=Parametros!$E$23,Parametros!$E$25,0)</f>
        <v>0</v>
      </c>
      <c r="AC10" s="89">
        <f t="shared" si="1"/>
        <v>0</v>
      </c>
      <c r="AD10" s="87">
        <v>0</v>
      </c>
      <c r="AE10" s="88" t="s">
        <v>222</v>
      </c>
      <c r="AF10" s="87">
        <v>0</v>
      </c>
      <c r="AG10" s="88" t="s">
        <v>222</v>
      </c>
      <c r="AH10" s="87">
        <v>0</v>
      </c>
      <c r="AI10" s="88" t="s">
        <v>222</v>
      </c>
      <c r="AJ10" s="87">
        <v>0</v>
      </c>
      <c r="AK10" s="88" t="s">
        <v>222</v>
      </c>
      <c r="AL10" s="87">
        <v>0</v>
      </c>
      <c r="AM10" s="88" t="s">
        <v>222</v>
      </c>
      <c r="AN10" s="89">
        <f>AD10*Parametros!$E$28+AF10*Parametros!$E$29+AH10*Parametros!$E$30+AJ10*Parametros!$E$31+AL10*Parametros!$E$32</f>
        <v>0</v>
      </c>
      <c r="AO10" s="12" t="str">
        <f t="shared" si="2"/>
        <v>NO</v>
      </c>
      <c r="AP10" s="11">
        <f t="shared" si="3"/>
        <v>0.84499999999999997</v>
      </c>
      <c r="AQ10" s="90">
        <f>MAX(0,MIN(1,MAX(0,AP10-IF(S10="NO",Parametros!$E$17,0))+AC10-AN10-IF(AO10="SI",Parametros!$E$33,0)))</f>
        <v>0.84499999999999997</v>
      </c>
      <c r="AR10" s="58"/>
      <c r="AS10" s="71" t="str">
        <f>'Captura Febrero'!B12</f>
        <v>Jarabes</v>
      </c>
      <c r="AT10" s="72">
        <f>'Captura Febrero'!K12+'Captura Febrero'!N12+'Captura Febrero'!Q12</f>
        <v>0.24</v>
      </c>
      <c r="AU10" s="72">
        <f>'Captura Febrero'!T12</f>
        <v>0.06</v>
      </c>
      <c r="AV10" s="72">
        <f>'Captura Febrero'!V12</f>
        <v>0.25</v>
      </c>
      <c r="AW10" s="72">
        <f>'Captura Febrero'!G12</f>
        <v>0.2</v>
      </c>
      <c r="AX10" s="72">
        <f>'Captura Febrero'!X12</f>
        <v>0.15</v>
      </c>
      <c r="AY10" s="72">
        <f>'Captura Febrero'!AC12</f>
        <v>0</v>
      </c>
      <c r="AZ10" s="73">
        <f>-'Captura Febrero'!AN12</f>
        <v>0</v>
      </c>
      <c r="BA10" s="74">
        <f>'Captura Febrero'!AQ12</f>
        <v>0.9</v>
      </c>
      <c r="BB10" s="58"/>
      <c r="BC10" s="58"/>
    </row>
    <row r="11" spans="1:55" ht="16.5" customHeight="1" x14ac:dyDescent="0.35">
      <c r="A11" s="12">
        <v>6</v>
      </c>
      <c r="B11" s="83" t="s">
        <v>117</v>
      </c>
      <c r="C11" s="84" t="str">
        <f>VLOOKUP(B11,Parametros!$I$6:$J$20,2,FALSE())</f>
        <v>Edson Bonifacio</v>
      </c>
      <c r="D11" s="85">
        <v>1</v>
      </c>
      <c r="E11" s="85">
        <v>1</v>
      </c>
      <c r="F11" s="11">
        <f t="shared" si="0"/>
        <v>1</v>
      </c>
      <c r="G11" s="86">
        <f>F11*Parametros!$E$6</f>
        <v>0.2</v>
      </c>
      <c r="H11" s="87">
        <v>10</v>
      </c>
      <c r="I11" s="87">
        <v>10</v>
      </c>
      <c r="J11" s="88" t="s">
        <v>222</v>
      </c>
      <c r="K11" s="86">
        <f>IF(J11="NO",0,IFERROR(H11/I11,0)*Parametros!$E$7)</f>
        <v>0.08</v>
      </c>
      <c r="L11" s="85">
        <v>1</v>
      </c>
      <c r="M11" s="88" t="s">
        <v>222</v>
      </c>
      <c r="N11" s="86">
        <f>IF(M11="NO",0,L11*Parametros!$E$8)</f>
        <v>0.08</v>
      </c>
      <c r="O11" s="85">
        <v>1</v>
      </c>
      <c r="P11" s="88" t="s">
        <v>222</v>
      </c>
      <c r="Q11" s="86">
        <f>IF(P11="NO",0,O11*Parametros!$E$9)</f>
        <v>0.08</v>
      </c>
      <c r="R11" s="85">
        <v>1</v>
      </c>
      <c r="S11" s="88" t="s">
        <v>222</v>
      </c>
      <c r="T11" s="86">
        <f>IF(S11="NO",0,R11*Parametros!$E$10)</f>
        <v>0.06</v>
      </c>
      <c r="U11" s="85">
        <v>1</v>
      </c>
      <c r="V11" s="86">
        <f>U11*Parametros!$E$11</f>
        <v>0.25</v>
      </c>
      <c r="W11" s="87">
        <v>0</v>
      </c>
      <c r="X11" s="86">
        <f>MAX(0,Parametros!$E$12-Parametros!$E$18*W11)</f>
        <v>0.25</v>
      </c>
      <c r="Y11" s="87">
        <v>0</v>
      </c>
      <c r="Z11" s="87">
        <v>1</v>
      </c>
      <c r="AA11" s="89">
        <f>IF(Y11&gt;=Parametros!$E$22,Parametros!$E$24,0)</f>
        <v>0</v>
      </c>
      <c r="AB11" s="89">
        <f>IF(Z11&gt;=Parametros!$E$23,Parametros!$E$25,0)</f>
        <v>0</v>
      </c>
      <c r="AC11" s="89">
        <f t="shared" si="1"/>
        <v>0</v>
      </c>
      <c r="AD11" s="87">
        <v>0</v>
      </c>
      <c r="AE11" s="88" t="s">
        <v>222</v>
      </c>
      <c r="AF11" s="87">
        <v>0</v>
      </c>
      <c r="AG11" s="88" t="s">
        <v>222</v>
      </c>
      <c r="AH11" s="87">
        <v>0</v>
      </c>
      <c r="AI11" s="88" t="s">
        <v>222</v>
      </c>
      <c r="AJ11" s="87">
        <v>0</v>
      </c>
      <c r="AK11" s="88" t="s">
        <v>222</v>
      </c>
      <c r="AL11" s="87">
        <v>0</v>
      </c>
      <c r="AM11" s="88" t="s">
        <v>222</v>
      </c>
      <c r="AN11" s="89">
        <f>AD11*Parametros!$E$28+AF11*Parametros!$E$29+AH11*Parametros!$E$30+AJ11*Parametros!$E$31+AL11*Parametros!$E$32</f>
        <v>0</v>
      </c>
      <c r="AO11" s="12" t="str">
        <f t="shared" si="2"/>
        <v>NO</v>
      </c>
      <c r="AP11" s="11">
        <f t="shared" si="3"/>
        <v>1</v>
      </c>
      <c r="AQ11" s="90">
        <f>MAX(0,MIN(1,MAX(0,AP11-IF(S11="NO",Parametros!$E$17,0))+AC11-AN11-IF(AO11="SI",Parametros!$E$33,0)))</f>
        <v>1</v>
      </c>
      <c r="AR11" s="58"/>
      <c r="AS11" s="79" t="str">
        <f>'Captura Febrero'!B13</f>
        <v>Linea 1</v>
      </c>
      <c r="AT11" s="80">
        <f>'Captura Febrero'!K13+'Captura Febrero'!N13+'Captura Febrero'!Q13</f>
        <v>0.24</v>
      </c>
      <c r="AU11" s="80">
        <f>'Captura Febrero'!T13</f>
        <v>0.06</v>
      </c>
      <c r="AV11" s="80">
        <f>'Captura Febrero'!V13</f>
        <v>0.25</v>
      </c>
      <c r="AW11" s="80">
        <f>'Captura Febrero'!G13</f>
        <v>0.2</v>
      </c>
      <c r="AX11" s="80">
        <f>'Captura Febrero'!X13</f>
        <v>0.2</v>
      </c>
      <c r="AY11" s="80">
        <f>'Captura Febrero'!AC13</f>
        <v>0.04</v>
      </c>
      <c r="AZ11" s="81">
        <f>-'Captura Febrero'!AN13</f>
        <v>0</v>
      </c>
      <c r="BA11" s="82">
        <f>'Captura Febrero'!AQ13</f>
        <v>0.99</v>
      </c>
      <c r="BB11" s="58"/>
      <c r="BC11" s="58"/>
    </row>
    <row r="12" spans="1:55" ht="16.5" customHeight="1" x14ac:dyDescent="0.35">
      <c r="A12" s="12">
        <v>7</v>
      </c>
      <c r="B12" s="83" t="s">
        <v>130</v>
      </c>
      <c r="C12" s="84" t="str">
        <f>VLOOKUP(B12,Parametros!$I$6:$J$20,2,FALSE())</f>
        <v>Adrian Santisteban</v>
      </c>
      <c r="D12" s="85">
        <v>1</v>
      </c>
      <c r="E12" s="85">
        <v>1</v>
      </c>
      <c r="F12" s="11">
        <f t="shared" si="0"/>
        <v>1</v>
      </c>
      <c r="G12" s="86">
        <f>F12*Parametros!$E$6</f>
        <v>0.2</v>
      </c>
      <c r="H12" s="87">
        <v>10</v>
      </c>
      <c r="I12" s="87">
        <v>10</v>
      </c>
      <c r="J12" s="88" t="s">
        <v>222</v>
      </c>
      <c r="K12" s="86">
        <f>IF(J12="NO",0,IFERROR(H12/I12,0)*Parametros!$E$7)</f>
        <v>0.08</v>
      </c>
      <c r="L12" s="85">
        <v>1</v>
      </c>
      <c r="M12" s="88" t="s">
        <v>222</v>
      </c>
      <c r="N12" s="86">
        <f>IF(M12="NO",0,L12*Parametros!$E$8)</f>
        <v>0.08</v>
      </c>
      <c r="O12" s="85">
        <v>1</v>
      </c>
      <c r="P12" s="88" t="s">
        <v>222</v>
      </c>
      <c r="Q12" s="86">
        <f>IF(P12="NO",0,O12*Parametros!$E$9)</f>
        <v>0.08</v>
      </c>
      <c r="R12" s="85">
        <v>1</v>
      </c>
      <c r="S12" s="88" t="s">
        <v>222</v>
      </c>
      <c r="T12" s="86">
        <f>IF(S12="NO",0,R12*Parametros!$E$10)</f>
        <v>0.06</v>
      </c>
      <c r="U12" s="85">
        <v>1</v>
      </c>
      <c r="V12" s="86">
        <f>U12*Parametros!$E$11</f>
        <v>0.25</v>
      </c>
      <c r="W12" s="87">
        <v>2</v>
      </c>
      <c r="X12" s="86">
        <f>MAX(0,Parametros!$E$12-Parametros!$E$18*W12)</f>
        <v>0.15</v>
      </c>
      <c r="Y12" s="87">
        <v>0</v>
      </c>
      <c r="Z12" s="87">
        <v>7</v>
      </c>
      <c r="AA12" s="89">
        <f>IF(Y12&gt;=Parametros!$E$22,Parametros!$E$24,0)</f>
        <v>0</v>
      </c>
      <c r="AB12" s="89">
        <f>IF(Z12&gt;=Parametros!$E$23,Parametros!$E$25,0)</f>
        <v>0</v>
      </c>
      <c r="AC12" s="89">
        <f t="shared" si="1"/>
        <v>0</v>
      </c>
      <c r="AD12" s="87">
        <v>0</v>
      </c>
      <c r="AE12" s="88" t="s">
        <v>222</v>
      </c>
      <c r="AF12" s="87">
        <v>0</v>
      </c>
      <c r="AG12" s="88" t="s">
        <v>222</v>
      </c>
      <c r="AH12" s="87">
        <v>0</v>
      </c>
      <c r="AI12" s="88" t="s">
        <v>222</v>
      </c>
      <c r="AJ12" s="87">
        <v>0</v>
      </c>
      <c r="AK12" s="88" t="s">
        <v>222</v>
      </c>
      <c r="AL12" s="87">
        <v>0</v>
      </c>
      <c r="AM12" s="88" t="s">
        <v>222</v>
      </c>
      <c r="AN12" s="89">
        <f>AD12*Parametros!$E$28+AF12*Parametros!$E$29+AH12*Parametros!$E$30+AJ12*Parametros!$E$31+AL12*Parametros!$E$32</f>
        <v>0</v>
      </c>
      <c r="AO12" s="12" t="str">
        <f t="shared" si="2"/>
        <v>NO</v>
      </c>
      <c r="AP12" s="11">
        <f t="shared" si="3"/>
        <v>0.9</v>
      </c>
      <c r="AQ12" s="90">
        <f>MAX(0,MIN(1,MAX(0,AP12-IF(S12="NO",Parametros!$E$17,0))+AC12-AN12-IF(AO12="SI",Parametros!$E$33,0)))</f>
        <v>0.9</v>
      </c>
      <c r="AR12" s="58"/>
      <c r="AS12" s="71" t="str">
        <f>'Captura Febrero'!B14</f>
        <v>Linea 2</v>
      </c>
      <c r="AT12" s="72">
        <f>'Captura Febrero'!K14+'Captura Febrero'!N14+'Captura Febrero'!Q14</f>
        <v>0.24</v>
      </c>
      <c r="AU12" s="72">
        <f>'Captura Febrero'!T14</f>
        <v>0.06</v>
      </c>
      <c r="AV12" s="72">
        <f>'Captura Febrero'!V14</f>
        <v>0.25</v>
      </c>
      <c r="AW12" s="72">
        <f>'Captura Febrero'!G14</f>
        <v>0.2</v>
      </c>
      <c r="AX12" s="72">
        <f>'Captura Febrero'!X14</f>
        <v>0.2</v>
      </c>
      <c r="AY12" s="72">
        <f>'Captura Febrero'!AC14</f>
        <v>0</v>
      </c>
      <c r="AZ12" s="73">
        <f>-'Captura Febrero'!AN14</f>
        <v>0</v>
      </c>
      <c r="BA12" s="74">
        <f>'Captura Febrero'!AQ14</f>
        <v>0.95</v>
      </c>
      <c r="BB12" s="58"/>
      <c r="BC12" s="58"/>
    </row>
    <row r="13" spans="1:55" ht="16.5" customHeight="1" x14ac:dyDescent="0.35">
      <c r="A13" s="12">
        <v>8</v>
      </c>
      <c r="B13" s="83" t="s">
        <v>123</v>
      </c>
      <c r="C13" s="84" t="str">
        <f>VLOOKUP(B13,Parametros!$I$6:$J$20,2,FALSE())</f>
        <v>Amilcar Ralda</v>
      </c>
      <c r="D13" s="85">
        <v>1</v>
      </c>
      <c r="E13" s="85">
        <v>1</v>
      </c>
      <c r="F13" s="11">
        <f t="shared" si="0"/>
        <v>1</v>
      </c>
      <c r="G13" s="86">
        <f>F13*Parametros!$E$6</f>
        <v>0.2</v>
      </c>
      <c r="H13" s="87">
        <v>10</v>
      </c>
      <c r="I13" s="87">
        <v>10</v>
      </c>
      <c r="J13" s="88" t="s">
        <v>222</v>
      </c>
      <c r="K13" s="86">
        <f>IF(J13="NO",0,IFERROR(H13/I13,0)*Parametros!$E$7)</f>
        <v>0.08</v>
      </c>
      <c r="L13" s="85">
        <v>1</v>
      </c>
      <c r="M13" s="88" t="s">
        <v>222</v>
      </c>
      <c r="N13" s="86">
        <f>IF(M13="NO",0,L13*Parametros!$E$8)</f>
        <v>0.08</v>
      </c>
      <c r="O13" s="85">
        <v>1</v>
      </c>
      <c r="P13" s="88" t="s">
        <v>222</v>
      </c>
      <c r="Q13" s="86">
        <f>IF(P13="NO",0,O13*Parametros!$E$9)</f>
        <v>0.08</v>
      </c>
      <c r="R13" s="85">
        <v>1</v>
      </c>
      <c r="S13" s="88" t="s">
        <v>222</v>
      </c>
      <c r="T13" s="86">
        <f>IF(S13="NO",0,R13*Parametros!$E$10)</f>
        <v>0.06</v>
      </c>
      <c r="U13" s="85">
        <v>1</v>
      </c>
      <c r="V13" s="86">
        <f>U13*Parametros!$E$11</f>
        <v>0.25</v>
      </c>
      <c r="W13" s="87">
        <v>1</v>
      </c>
      <c r="X13" s="86">
        <f>MAX(0,Parametros!$E$12-Parametros!$E$18*W13)</f>
        <v>0.2</v>
      </c>
      <c r="Y13" s="87">
        <v>5</v>
      </c>
      <c r="Z13" s="87">
        <v>11</v>
      </c>
      <c r="AA13" s="89">
        <f>IF(Y13&gt;=Parametros!$E$22,Parametros!$E$24,0)</f>
        <v>0</v>
      </c>
      <c r="AB13" s="89">
        <f>IF(Z13&gt;=Parametros!$E$23,Parametros!$E$25,0)</f>
        <v>0.04</v>
      </c>
      <c r="AC13" s="89">
        <f t="shared" si="1"/>
        <v>0.04</v>
      </c>
      <c r="AD13" s="87">
        <v>0</v>
      </c>
      <c r="AE13" s="88" t="s">
        <v>222</v>
      </c>
      <c r="AF13" s="87">
        <v>0</v>
      </c>
      <c r="AG13" s="88" t="s">
        <v>222</v>
      </c>
      <c r="AH13" s="87">
        <v>0</v>
      </c>
      <c r="AI13" s="88" t="s">
        <v>222</v>
      </c>
      <c r="AJ13" s="87">
        <v>0</v>
      </c>
      <c r="AK13" s="88" t="s">
        <v>222</v>
      </c>
      <c r="AL13" s="87">
        <v>0</v>
      </c>
      <c r="AM13" s="88" t="s">
        <v>222</v>
      </c>
      <c r="AN13" s="89">
        <f>AD13*Parametros!$E$28+AF13*Parametros!$E$29+AH13*Parametros!$E$30+AJ13*Parametros!$E$31+AL13*Parametros!$E$32</f>
        <v>0</v>
      </c>
      <c r="AO13" s="12" t="str">
        <f t="shared" si="2"/>
        <v>NO</v>
      </c>
      <c r="AP13" s="11">
        <f t="shared" si="3"/>
        <v>0.95</v>
      </c>
      <c r="AQ13" s="90">
        <f>MAX(0,MIN(1,MAX(0,AP13-IF(S13="NO",Parametros!$E$17,0))+AC13-AN13-IF(AO13="SI",Parametros!$E$33,0)))</f>
        <v>0.99</v>
      </c>
      <c r="AR13" s="58"/>
      <c r="AS13" s="79" t="str">
        <f>'Captura Febrero'!B15</f>
        <v>Linea 3</v>
      </c>
      <c r="AT13" s="80">
        <f>'Captura Febrero'!K15+'Captura Febrero'!N15+'Captura Febrero'!Q15</f>
        <v>0.24</v>
      </c>
      <c r="AU13" s="80">
        <f>'Captura Febrero'!T15</f>
        <v>0.06</v>
      </c>
      <c r="AV13" s="80">
        <f>'Captura Febrero'!V15</f>
        <v>0.25</v>
      </c>
      <c r="AW13" s="80">
        <f>'Captura Febrero'!G15</f>
        <v>0.19473684210526321</v>
      </c>
      <c r="AX13" s="80">
        <f>'Captura Febrero'!X15</f>
        <v>0.2</v>
      </c>
      <c r="AY13" s="80">
        <f>'Captura Febrero'!AC15</f>
        <v>0.04</v>
      </c>
      <c r="AZ13" s="81">
        <f>-'Captura Febrero'!AN15</f>
        <v>0</v>
      </c>
      <c r="BA13" s="82">
        <f>'Captura Febrero'!AQ15</f>
        <v>0.98473684210526335</v>
      </c>
      <c r="BB13" s="58"/>
      <c r="BC13" s="58"/>
    </row>
    <row r="14" spans="1:55" ht="16.5" customHeight="1" x14ac:dyDescent="0.35">
      <c r="A14" s="12">
        <v>9</v>
      </c>
      <c r="B14" s="83" t="s">
        <v>113</v>
      </c>
      <c r="C14" s="84" t="str">
        <f>VLOOKUP(B14,Parametros!$I$6:$J$20,2,FALSE())</f>
        <v>Amilcar Ralda</v>
      </c>
      <c r="D14" s="85">
        <v>1</v>
      </c>
      <c r="E14" s="85">
        <v>1</v>
      </c>
      <c r="F14" s="11">
        <f t="shared" si="0"/>
        <v>1</v>
      </c>
      <c r="G14" s="86">
        <f>F14*Parametros!$E$6</f>
        <v>0.2</v>
      </c>
      <c r="H14" s="87">
        <v>10</v>
      </c>
      <c r="I14" s="87">
        <v>10</v>
      </c>
      <c r="J14" s="88" t="s">
        <v>222</v>
      </c>
      <c r="K14" s="86">
        <f>IF(J14="NO",0,IFERROR(H14/I14,0)*Parametros!$E$7)</f>
        <v>0.08</v>
      </c>
      <c r="L14" s="85">
        <v>1</v>
      </c>
      <c r="M14" s="88" t="s">
        <v>222</v>
      </c>
      <c r="N14" s="86">
        <f>IF(M14="NO",0,L14*Parametros!$E$8)</f>
        <v>0.08</v>
      </c>
      <c r="O14" s="85">
        <v>1</v>
      </c>
      <c r="P14" s="88" t="s">
        <v>222</v>
      </c>
      <c r="Q14" s="86">
        <f>IF(P14="NO",0,O14*Parametros!$E$9)</f>
        <v>0.08</v>
      </c>
      <c r="R14" s="85">
        <v>1</v>
      </c>
      <c r="S14" s="88" t="s">
        <v>222</v>
      </c>
      <c r="T14" s="86">
        <f>IF(S14="NO",0,R14*Parametros!$E$10)</f>
        <v>0.06</v>
      </c>
      <c r="U14" s="85">
        <v>1</v>
      </c>
      <c r="V14" s="86">
        <f>U14*Parametros!$E$11</f>
        <v>0.25</v>
      </c>
      <c r="W14" s="87">
        <v>1</v>
      </c>
      <c r="X14" s="86">
        <f>MAX(0,Parametros!$E$12-Parametros!$E$18*W14)</f>
        <v>0.2</v>
      </c>
      <c r="Y14" s="87">
        <v>4</v>
      </c>
      <c r="Z14" s="87">
        <v>2</v>
      </c>
      <c r="AA14" s="89">
        <f>IF(Y14&gt;=Parametros!$E$22,Parametros!$E$24,0)</f>
        <v>0</v>
      </c>
      <c r="AB14" s="89">
        <f>IF(Z14&gt;=Parametros!$E$23,Parametros!$E$25,0)</f>
        <v>0</v>
      </c>
      <c r="AC14" s="89">
        <f t="shared" si="1"/>
        <v>0</v>
      </c>
      <c r="AD14" s="87">
        <v>0</v>
      </c>
      <c r="AE14" s="88" t="s">
        <v>222</v>
      </c>
      <c r="AF14" s="87">
        <v>0</v>
      </c>
      <c r="AG14" s="88" t="s">
        <v>222</v>
      </c>
      <c r="AH14" s="87">
        <v>0</v>
      </c>
      <c r="AI14" s="88" t="s">
        <v>222</v>
      </c>
      <c r="AJ14" s="87">
        <v>0</v>
      </c>
      <c r="AK14" s="88" t="s">
        <v>222</v>
      </c>
      <c r="AL14" s="87">
        <v>0</v>
      </c>
      <c r="AM14" s="88" t="s">
        <v>222</v>
      </c>
      <c r="AN14" s="89">
        <f>AD14*Parametros!$E$28+AF14*Parametros!$E$29+AH14*Parametros!$E$30+AJ14*Parametros!$E$31+AL14*Parametros!$E$32</f>
        <v>0</v>
      </c>
      <c r="AO14" s="12" t="str">
        <f t="shared" si="2"/>
        <v>NO</v>
      </c>
      <c r="AP14" s="11">
        <f t="shared" si="3"/>
        <v>0.95</v>
      </c>
      <c r="AQ14" s="90">
        <f>MAX(0,MIN(1,MAX(0,AP14-IF(S14="NO",Parametros!$E$17,0))+AC14-AN14-IF(AO14="SI",Parametros!$E$33,0)))</f>
        <v>0.95</v>
      </c>
      <c r="AR14" s="58"/>
      <c r="AS14" s="71" t="str">
        <f>'Captura Febrero'!B16</f>
        <v>Linea 4</v>
      </c>
      <c r="AT14" s="72">
        <f>'Captura Febrero'!K16+'Captura Febrero'!N16+'Captura Febrero'!Q16</f>
        <v>0.24</v>
      </c>
      <c r="AU14" s="72">
        <f>'Captura Febrero'!T16</f>
        <v>0.06</v>
      </c>
      <c r="AV14" s="72">
        <f>'Captura Febrero'!V16</f>
        <v>0.25</v>
      </c>
      <c r="AW14" s="72">
        <f>'Captura Febrero'!G16</f>
        <v>0.11428571428571431</v>
      </c>
      <c r="AX14" s="72">
        <f>'Captura Febrero'!X16</f>
        <v>0.25</v>
      </c>
      <c r="AY14" s="72">
        <f>'Captura Febrero'!AC16</f>
        <v>0</v>
      </c>
      <c r="AZ14" s="73">
        <f>-'Captura Febrero'!AN16</f>
        <v>0</v>
      </c>
      <c r="BA14" s="74">
        <f>'Captura Febrero'!AQ16</f>
        <v>0.91428571428571437</v>
      </c>
      <c r="BB14" s="58"/>
      <c r="BC14" s="58"/>
    </row>
    <row r="15" spans="1:55" ht="16.5" customHeight="1" x14ac:dyDescent="0.35">
      <c r="A15" s="12">
        <v>10</v>
      </c>
      <c r="B15" s="83" t="s">
        <v>133</v>
      </c>
      <c r="C15" s="84" t="str">
        <f>VLOOKUP(B15,Parametros!$I$6:$J$20,2,FALSE())</f>
        <v>Mario Ramos</v>
      </c>
      <c r="D15" s="85">
        <v>1</v>
      </c>
      <c r="E15" s="85">
        <v>0.94736842105263197</v>
      </c>
      <c r="F15" s="11">
        <f t="shared" si="0"/>
        <v>0.97368421052631593</v>
      </c>
      <c r="G15" s="86">
        <f>F15*Parametros!$E$6</f>
        <v>0.19473684210526321</v>
      </c>
      <c r="H15" s="87">
        <v>10</v>
      </c>
      <c r="I15" s="87">
        <v>10</v>
      </c>
      <c r="J15" s="88" t="s">
        <v>222</v>
      </c>
      <c r="K15" s="86">
        <f>IF(J15="NO",0,IFERROR(H15/I15,0)*Parametros!$E$7)</f>
        <v>0.08</v>
      </c>
      <c r="L15" s="85">
        <v>1</v>
      </c>
      <c r="M15" s="88" t="s">
        <v>222</v>
      </c>
      <c r="N15" s="86">
        <f>IF(M15="NO",0,L15*Parametros!$E$8)</f>
        <v>0.08</v>
      </c>
      <c r="O15" s="85">
        <v>1</v>
      </c>
      <c r="P15" s="88" t="s">
        <v>222</v>
      </c>
      <c r="Q15" s="86">
        <f>IF(P15="NO",0,O15*Parametros!$E$9)</f>
        <v>0.08</v>
      </c>
      <c r="R15" s="85">
        <v>1</v>
      </c>
      <c r="S15" s="88" t="s">
        <v>222</v>
      </c>
      <c r="T15" s="86">
        <f>IF(S15="NO",0,R15*Parametros!$E$10)</f>
        <v>0.06</v>
      </c>
      <c r="U15" s="85">
        <v>1</v>
      </c>
      <c r="V15" s="86">
        <f>U15*Parametros!$E$11</f>
        <v>0.25</v>
      </c>
      <c r="W15" s="87">
        <v>1</v>
      </c>
      <c r="X15" s="86">
        <f>MAX(0,Parametros!$E$12-Parametros!$E$18*W15)</f>
        <v>0.2</v>
      </c>
      <c r="Y15" s="87">
        <v>8</v>
      </c>
      <c r="Z15" s="87">
        <v>5</v>
      </c>
      <c r="AA15" s="89">
        <f>IF(Y15&gt;=Parametros!$E$22,Parametros!$E$24,0)</f>
        <v>0.04</v>
      </c>
      <c r="AB15" s="89">
        <f>IF(Z15&gt;=Parametros!$E$23,Parametros!$E$25,0)</f>
        <v>0</v>
      </c>
      <c r="AC15" s="89">
        <f t="shared" si="1"/>
        <v>0.04</v>
      </c>
      <c r="AD15" s="87">
        <v>0</v>
      </c>
      <c r="AE15" s="88" t="s">
        <v>222</v>
      </c>
      <c r="AF15" s="87">
        <v>0</v>
      </c>
      <c r="AG15" s="88" t="s">
        <v>222</v>
      </c>
      <c r="AH15" s="87">
        <v>0</v>
      </c>
      <c r="AI15" s="88" t="s">
        <v>222</v>
      </c>
      <c r="AJ15" s="87">
        <v>0</v>
      </c>
      <c r="AK15" s="88" t="s">
        <v>222</v>
      </c>
      <c r="AL15" s="87">
        <v>0</v>
      </c>
      <c r="AM15" s="88" t="s">
        <v>222</v>
      </c>
      <c r="AN15" s="89">
        <f>AD15*Parametros!$E$28+AF15*Parametros!$E$29+AH15*Parametros!$E$30+AJ15*Parametros!$E$31+AL15*Parametros!$E$32</f>
        <v>0</v>
      </c>
      <c r="AO15" s="12" t="str">
        <f t="shared" si="2"/>
        <v>NO</v>
      </c>
      <c r="AP15" s="11">
        <f t="shared" si="3"/>
        <v>0.94473684210526332</v>
      </c>
      <c r="AQ15" s="90">
        <f>MAX(0,MIN(1,MAX(0,AP15-IF(S15="NO",Parametros!$E$17,0))+AC15-AN15-IF(AO15="SI",Parametros!$E$33,0)))</f>
        <v>0.98473684210526335</v>
      </c>
      <c r="AR15" s="58"/>
      <c r="AS15" s="79" t="str">
        <f>'Captura Febrero'!B17</f>
        <v>Linea 5</v>
      </c>
      <c r="AT15" s="80">
        <f>'Captura Febrero'!K17+'Captura Febrero'!N17+'Captura Febrero'!Q17</f>
        <v>0.24</v>
      </c>
      <c r="AU15" s="80">
        <f>'Captura Febrero'!T17</f>
        <v>0.06</v>
      </c>
      <c r="AV15" s="80">
        <f>'Captura Febrero'!V17</f>
        <v>0.25</v>
      </c>
      <c r="AW15" s="80">
        <f>'Captura Febrero'!G17</f>
        <v>0.16428571428571431</v>
      </c>
      <c r="AX15" s="80">
        <f>'Captura Febrero'!X17</f>
        <v>0.25</v>
      </c>
      <c r="AY15" s="80">
        <f>'Captura Febrero'!AC17</f>
        <v>0</v>
      </c>
      <c r="AZ15" s="81">
        <f>-'Captura Febrero'!AN17</f>
        <v>0</v>
      </c>
      <c r="BA15" s="82">
        <f>'Captura Febrero'!AQ17</f>
        <v>0.96428571428571441</v>
      </c>
      <c r="BB15" s="58"/>
      <c r="BC15" s="58"/>
    </row>
    <row r="16" spans="1:55" ht="16.5" customHeight="1" x14ac:dyDescent="0.35">
      <c r="A16" s="12">
        <v>11</v>
      </c>
      <c r="B16" s="83" t="s">
        <v>106</v>
      </c>
      <c r="C16" s="84" t="str">
        <f>VLOOKUP(B16,Parametros!$I$6:$J$20,2,FALSE())</f>
        <v>Mario Ramos</v>
      </c>
      <c r="D16" s="85">
        <v>0.42857142857142899</v>
      </c>
      <c r="E16" s="85">
        <v>0.71428571428571397</v>
      </c>
      <c r="F16" s="11">
        <f t="shared" si="0"/>
        <v>0.57142857142857151</v>
      </c>
      <c r="G16" s="86">
        <f>F16*Parametros!$E$6</f>
        <v>0.11428571428571431</v>
      </c>
      <c r="H16" s="87">
        <v>10</v>
      </c>
      <c r="I16" s="87">
        <v>10</v>
      </c>
      <c r="J16" s="88" t="s">
        <v>222</v>
      </c>
      <c r="K16" s="86">
        <f>IF(J16="NO",0,IFERROR(H16/I16,0)*Parametros!$E$7)</f>
        <v>0.08</v>
      </c>
      <c r="L16" s="85">
        <v>1</v>
      </c>
      <c r="M16" s="88" t="s">
        <v>222</v>
      </c>
      <c r="N16" s="86">
        <f>IF(M16="NO",0,L16*Parametros!$E$8)</f>
        <v>0.08</v>
      </c>
      <c r="O16" s="85">
        <v>1</v>
      </c>
      <c r="P16" s="88" t="s">
        <v>222</v>
      </c>
      <c r="Q16" s="86">
        <f>IF(P16="NO",0,O16*Parametros!$E$9)</f>
        <v>0.08</v>
      </c>
      <c r="R16" s="85">
        <v>1</v>
      </c>
      <c r="S16" s="88" t="s">
        <v>222</v>
      </c>
      <c r="T16" s="86">
        <f>IF(S16="NO",0,R16*Parametros!$E$10)</f>
        <v>0.06</v>
      </c>
      <c r="U16" s="85">
        <v>1</v>
      </c>
      <c r="V16" s="86">
        <f>U16*Parametros!$E$11</f>
        <v>0.25</v>
      </c>
      <c r="W16" s="87">
        <v>0</v>
      </c>
      <c r="X16" s="86">
        <f>MAX(0,Parametros!$E$12-Parametros!$E$18*W16)</f>
        <v>0.25</v>
      </c>
      <c r="Y16" s="87">
        <v>4</v>
      </c>
      <c r="Z16" s="87">
        <v>4</v>
      </c>
      <c r="AA16" s="89">
        <f>IF(Y16&gt;=Parametros!$E$22,Parametros!$E$24,0)</f>
        <v>0</v>
      </c>
      <c r="AB16" s="89">
        <f>IF(Z16&gt;=Parametros!$E$23,Parametros!$E$25,0)</f>
        <v>0</v>
      </c>
      <c r="AC16" s="89">
        <f t="shared" si="1"/>
        <v>0</v>
      </c>
      <c r="AD16" s="87">
        <v>0</v>
      </c>
      <c r="AE16" s="88" t="s">
        <v>222</v>
      </c>
      <c r="AF16" s="87">
        <v>0</v>
      </c>
      <c r="AG16" s="88" t="s">
        <v>222</v>
      </c>
      <c r="AH16" s="87">
        <v>0</v>
      </c>
      <c r="AI16" s="88" t="s">
        <v>222</v>
      </c>
      <c r="AJ16" s="87">
        <v>0</v>
      </c>
      <c r="AK16" s="88" t="s">
        <v>222</v>
      </c>
      <c r="AL16" s="87">
        <v>0</v>
      </c>
      <c r="AM16" s="88" t="s">
        <v>222</v>
      </c>
      <c r="AN16" s="89">
        <f>AD16*Parametros!$E$28+AF16*Parametros!$E$29+AH16*Parametros!$E$30+AJ16*Parametros!$E$31+AL16*Parametros!$E$32</f>
        <v>0</v>
      </c>
      <c r="AO16" s="12" t="str">
        <f t="shared" si="2"/>
        <v>NO</v>
      </c>
      <c r="AP16" s="11">
        <f t="shared" si="3"/>
        <v>0.91428571428571437</v>
      </c>
      <c r="AQ16" s="90">
        <f>MAX(0,MIN(1,MAX(0,AP16-IF(S16="NO",Parametros!$E$17,0))+AC16-AN16-IF(AO16="SI",Parametros!$E$33,0)))</f>
        <v>0.91428571428571437</v>
      </c>
      <c r="AR16" s="58"/>
      <c r="AS16" s="71" t="str">
        <f>'Captura Febrero'!B18</f>
        <v>Mantenimiento</v>
      </c>
      <c r="AT16" s="72">
        <f>'Captura Febrero'!K18+'Captura Febrero'!N18+'Captura Febrero'!Q18</f>
        <v>0.24</v>
      </c>
      <c r="AU16" s="72">
        <f>'Captura Febrero'!T18</f>
        <v>0</v>
      </c>
      <c r="AV16" s="72">
        <f>'Captura Febrero'!V18</f>
        <v>0.25</v>
      </c>
      <c r="AW16" s="72">
        <f>'Captura Febrero'!G18</f>
        <v>0.1705882352941176</v>
      </c>
      <c r="AX16" s="72">
        <f>'Captura Febrero'!X18</f>
        <v>0.25</v>
      </c>
      <c r="AY16" s="72">
        <f>'Captura Febrero'!AC18</f>
        <v>0</v>
      </c>
      <c r="AZ16" s="73">
        <f>-'Captura Febrero'!AN18</f>
        <v>0</v>
      </c>
      <c r="BA16" s="74">
        <f>'Captura Febrero'!AQ18</f>
        <v>0.81058823529411772</v>
      </c>
      <c r="BB16" s="58"/>
      <c r="BC16" s="58"/>
    </row>
    <row r="17" spans="1:55" ht="16.5" customHeight="1" x14ac:dyDescent="0.35">
      <c r="A17" s="12">
        <v>12</v>
      </c>
      <c r="B17" s="83" t="s">
        <v>109</v>
      </c>
      <c r="C17" s="84" t="str">
        <f>VLOOKUP(B17,Parametros!$I$6:$J$20,2,FALSE())</f>
        <v>Roy Luarca</v>
      </c>
      <c r="D17" s="85">
        <v>0.78571428571428603</v>
      </c>
      <c r="E17" s="85">
        <v>0.85714285714285698</v>
      </c>
      <c r="F17" s="11">
        <f t="shared" si="0"/>
        <v>0.82142857142857151</v>
      </c>
      <c r="G17" s="86">
        <f>F17*Parametros!$E$6</f>
        <v>0.16428571428571431</v>
      </c>
      <c r="H17" s="87">
        <v>10</v>
      </c>
      <c r="I17" s="87">
        <v>10</v>
      </c>
      <c r="J17" s="88" t="s">
        <v>222</v>
      </c>
      <c r="K17" s="86">
        <f>IF(J17="NO",0,IFERROR(H17/I17,0)*Parametros!$E$7)</f>
        <v>0.08</v>
      </c>
      <c r="L17" s="85">
        <v>1</v>
      </c>
      <c r="M17" s="88" t="s">
        <v>222</v>
      </c>
      <c r="N17" s="86">
        <f>IF(M17="NO",0,L17*Parametros!$E$8)</f>
        <v>0.08</v>
      </c>
      <c r="O17" s="85">
        <v>1</v>
      </c>
      <c r="P17" s="88" t="s">
        <v>222</v>
      </c>
      <c r="Q17" s="86">
        <f>IF(P17="NO",0,O17*Parametros!$E$9)</f>
        <v>0.08</v>
      </c>
      <c r="R17" s="85">
        <v>1</v>
      </c>
      <c r="S17" s="88" t="s">
        <v>222</v>
      </c>
      <c r="T17" s="86">
        <f>IF(S17="NO",0,R17*Parametros!$E$10)</f>
        <v>0.06</v>
      </c>
      <c r="U17" s="85">
        <v>1</v>
      </c>
      <c r="V17" s="86">
        <f>U17*Parametros!$E$11</f>
        <v>0.25</v>
      </c>
      <c r="W17" s="87">
        <v>0</v>
      </c>
      <c r="X17" s="86">
        <f>MAX(0,Parametros!$E$12-Parametros!$E$18*W17)</f>
        <v>0.25</v>
      </c>
      <c r="Y17" s="87">
        <v>0</v>
      </c>
      <c r="Z17" s="87">
        <v>9</v>
      </c>
      <c r="AA17" s="89">
        <f>IF(Y17&gt;=Parametros!$E$22,Parametros!$E$24,0)</f>
        <v>0</v>
      </c>
      <c r="AB17" s="89">
        <f>IF(Z17&gt;=Parametros!$E$23,Parametros!$E$25,0)</f>
        <v>0</v>
      </c>
      <c r="AC17" s="89">
        <f t="shared" si="1"/>
        <v>0</v>
      </c>
      <c r="AD17" s="87">
        <v>0</v>
      </c>
      <c r="AE17" s="88" t="s">
        <v>222</v>
      </c>
      <c r="AF17" s="87">
        <v>0</v>
      </c>
      <c r="AG17" s="88" t="s">
        <v>222</v>
      </c>
      <c r="AH17" s="87">
        <v>0</v>
      </c>
      <c r="AI17" s="88" t="s">
        <v>222</v>
      </c>
      <c r="AJ17" s="87">
        <v>0</v>
      </c>
      <c r="AK17" s="88" t="s">
        <v>222</v>
      </c>
      <c r="AL17" s="87">
        <v>0</v>
      </c>
      <c r="AM17" s="88" t="s">
        <v>222</v>
      </c>
      <c r="AN17" s="89">
        <f>AD17*Parametros!$E$28+AF17*Parametros!$E$29+AH17*Parametros!$E$30+AJ17*Parametros!$E$31+AL17*Parametros!$E$32</f>
        <v>0</v>
      </c>
      <c r="AO17" s="12" t="str">
        <f t="shared" si="2"/>
        <v>NO</v>
      </c>
      <c r="AP17" s="11">
        <f t="shared" si="3"/>
        <v>0.96428571428571441</v>
      </c>
      <c r="AQ17" s="90">
        <f>MAX(0,MIN(1,MAX(0,AP17-IF(S17="NO",Parametros!$E$17,0))+AC17-AN17-IF(AO17="SI",Parametros!$E$33,0)))</f>
        <v>0.96428571428571441</v>
      </c>
      <c r="AR17" s="58"/>
      <c r="AS17" s="79" t="str">
        <f>'Captura Febrero'!B19</f>
        <v>Materias Primas</v>
      </c>
      <c r="AT17" s="80">
        <f>'Captura Febrero'!K19+'Captura Febrero'!N19+'Captura Febrero'!Q19</f>
        <v>0.24</v>
      </c>
      <c r="AU17" s="80">
        <f>'Captura Febrero'!T19</f>
        <v>0.06</v>
      </c>
      <c r="AV17" s="80">
        <f>'Captura Febrero'!V19</f>
        <v>0.25</v>
      </c>
      <c r="AW17" s="80">
        <f>'Captura Febrero'!G19</f>
        <v>0.2</v>
      </c>
      <c r="AX17" s="80">
        <f>'Captura Febrero'!X19</f>
        <v>0.25</v>
      </c>
      <c r="AY17" s="80">
        <f>'Captura Febrero'!AC19</f>
        <v>0.04</v>
      </c>
      <c r="AZ17" s="81">
        <f>-'Captura Febrero'!AN19</f>
        <v>0</v>
      </c>
      <c r="BA17" s="82">
        <f>'Captura Febrero'!AQ19</f>
        <v>1</v>
      </c>
      <c r="BB17" s="58"/>
      <c r="BC17" s="58"/>
    </row>
    <row r="18" spans="1:55" ht="16.5" customHeight="1" x14ac:dyDescent="0.35">
      <c r="A18" s="12">
        <v>13</v>
      </c>
      <c r="B18" s="83" t="s">
        <v>140</v>
      </c>
      <c r="C18" s="84" t="str">
        <f>VLOOKUP(B18,Parametros!$I$6:$J$20,2,FALSE())</f>
        <v>Eliu Tello</v>
      </c>
      <c r="D18" s="85">
        <v>0.76470588235294101</v>
      </c>
      <c r="E18" s="85">
        <v>0.94117647058823495</v>
      </c>
      <c r="F18" s="11">
        <f t="shared" si="0"/>
        <v>0.85294117647058798</v>
      </c>
      <c r="G18" s="86">
        <f>F18*Parametros!$E$6</f>
        <v>0.1705882352941176</v>
      </c>
      <c r="H18" s="87">
        <v>10</v>
      </c>
      <c r="I18" s="87">
        <v>10</v>
      </c>
      <c r="J18" s="88" t="s">
        <v>222</v>
      </c>
      <c r="K18" s="86">
        <f>IF(J18="NO",0,IFERROR(H18/I18,0)*Parametros!$E$7)</f>
        <v>0.08</v>
      </c>
      <c r="L18" s="85">
        <v>1</v>
      </c>
      <c r="M18" s="88" t="s">
        <v>222</v>
      </c>
      <c r="N18" s="86">
        <f>IF(M18="NO",0,L18*Parametros!$E$8)</f>
        <v>0.08</v>
      </c>
      <c r="O18" s="85">
        <v>1</v>
      </c>
      <c r="P18" s="88" t="s">
        <v>222</v>
      </c>
      <c r="Q18" s="86">
        <f>IF(P18="NO",0,O18*Parametros!$E$9)</f>
        <v>0.08</v>
      </c>
      <c r="R18" s="85">
        <v>0</v>
      </c>
      <c r="S18" s="88" t="s">
        <v>223</v>
      </c>
      <c r="T18" s="86">
        <f>IF(S18="NO",0,R18*Parametros!$E$10)</f>
        <v>0</v>
      </c>
      <c r="U18" s="85">
        <v>1</v>
      </c>
      <c r="V18" s="86">
        <f>U18*Parametros!$E$11</f>
        <v>0.25</v>
      </c>
      <c r="W18" s="87">
        <v>0</v>
      </c>
      <c r="X18" s="86">
        <f>MAX(0,Parametros!$E$12-Parametros!$E$18*W18)</f>
        <v>0.25</v>
      </c>
      <c r="Y18" s="87">
        <v>3</v>
      </c>
      <c r="Z18" s="87">
        <v>6</v>
      </c>
      <c r="AA18" s="89">
        <f>IF(Y18&gt;=Parametros!$E$22,Parametros!$E$24,0)</f>
        <v>0</v>
      </c>
      <c r="AB18" s="89">
        <f>IF(Z18&gt;=Parametros!$E$23,Parametros!$E$25,0)</f>
        <v>0</v>
      </c>
      <c r="AC18" s="89">
        <f t="shared" si="1"/>
        <v>0</v>
      </c>
      <c r="AD18" s="87">
        <v>0</v>
      </c>
      <c r="AE18" s="88" t="s">
        <v>222</v>
      </c>
      <c r="AF18" s="87">
        <v>0</v>
      </c>
      <c r="AG18" s="88" t="s">
        <v>222</v>
      </c>
      <c r="AH18" s="87">
        <v>0</v>
      </c>
      <c r="AI18" s="88" t="s">
        <v>222</v>
      </c>
      <c r="AJ18" s="87">
        <v>0</v>
      </c>
      <c r="AK18" s="88" t="s">
        <v>222</v>
      </c>
      <c r="AL18" s="87">
        <v>0</v>
      </c>
      <c r="AM18" s="88" t="s">
        <v>222</v>
      </c>
      <c r="AN18" s="89">
        <f>AD18*Parametros!$E$28+AF18*Parametros!$E$29+AH18*Parametros!$E$30+AJ18*Parametros!$E$31+AL18*Parametros!$E$32</f>
        <v>0</v>
      </c>
      <c r="AO18" s="12" t="str">
        <f t="shared" si="2"/>
        <v>NO</v>
      </c>
      <c r="AP18" s="11">
        <f t="shared" si="3"/>
        <v>0.9105882352941177</v>
      </c>
      <c r="AQ18" s="90">
        <f>MAX(0,MIN(1,MAX(0,AP18-IF(S18="NO",Parametros!$E$17,0))+AC18-AN18-IF(AO18="SI",Parametros!$E$33,0)))</f>
        <v>0.81058823529411772</v>
      </c>
      <c r="AR18" s="58"/>
      <c r="AS18" s="71" t="str">
        <f>'Captura Febrero'!B20</f>
        <v>Tratamiento de Aguas</v>
      </c>
      <c r="AT18" s="72">
        <f>'Captura Febrero'!K20+'Captura Febrero'!N20+'Captura Febrero'!Q20</f>
        <v>0.24</v>
      </c>
      <c r="AU18" s="72">
        <f>'Captura Febrero'!T20</f>
        <v>0.06</v>
      </c>
      <c r="AV18" s="72">
        <f>'Captura Febrero'!V20</f>
        <v>0.25</v>
      </c>
      <c r="AW18" s="72">
        <f>'Captura Febrero'!G20</f>
        <v>0.2</v>
      </c>
      <c r="AX18" s="72">
        <f>'Captura Febrero'!X20</f>
        <v>0.25</v>
      </c>
      <c r="AY18" s="72">
        <f>'Captura Febrero'!AC20</f>
        <v>0</v>
      </c>
      <c r="AZ18" s="73">
        <f>-'Captura Febrero'!AN20</f>
        <v>0</v>
      </c>
      <c r="BA18" s="74">
        <f>'Captura Febrero'!AQ20</f>
        <v>1</v>
      </c>
      <c r="BB18" s="58"/>
      <c r="BC18" s="58"/>
    </row>
    <row r="19" spans="1:55" ht="25.5" customHeight="1" x14ac:dyDescent="0.35">
      <c r="A19" s="12">
        <v>14</v>
      </c>
      <c r="B19" s="83" t="s">
        <v>142</v>
      </c>
      <c r="C19" s="84" t="str">
        <f>VLOOKUP(B19,Parametros!$I$6:$J$20,2,FALSE())</f>
        <v>Miguel Godinez</v>
      </c>
      <c r="D19" s="85">
        <v>1</v>
      </c>
      <c r="E19" s="85">
        <v>1</v>
      </c>
      <c r="F19" s="11">
        <f t="shared" si="0"/>
        <v>1</v>
      </c>
      <c r="G19" s="86">
        <f>F19*Parametros!$E$6</f>
        <v>0.2</v>
      </c>
      <c r="H19" s="87">
        <v>10</v>
      </c>
      <c r="I19" s="87">
        <v>10</v>
      </c>
      <c r="J19" s="88" t="s">
        <v>222</v>
      </c>
      <c r="K19" s="86">
        <f>IF(J19="NO",0,IFERROR(H19/I19,0)*Parametros!$E$7)</f>
        <v>0.08</v>
      </c>
      <c r="L19" s="85">
        <v>1</v>
      </c>
      <c r="M19" s="88" t="s">
        <v>222</v>
      </c>
      <c r="N19" s="86">
        <f>IF(M19="NO",0,L19*Parametros!$E$8)</f>
        <v>0.08</v>
      </c>
      <c r="O19" s="85">
        <v>1</v>
      </c>
      <c r="P19" s="88" t="s">
        <v>222</v>
      </c>
      <c r="Q19" s="86">
        <f>IF(P19="NO",0,O19*Parametros!$E$9)</f>
        <v>0.08</v>
      </c>
      <c r="R19" s="85">
        <v>1</v>
      </c>
      <c r="S19" s="88" t="s">
        <v>222</v>
      </c>
      <c r="T19" s="86">
        <f>IF(S19="NO",0,R19*Parametros!$E$10)</f>
        <v>0.06</v>
      </c>
      <c r="U19" s="85">
        <v>1</v>
      </c>
      <c r="V19" s="86">
        <f>U19*Parametros!$E$11</f>
        <v>0.25</v>
      </c>
      <c r="W19" s="87">
        <v>0</v>
      </c>
      <c r="X19" s="86">
        <f>MAX(0,Parametros!$E$12-Parametros!$E$18*W19)</f>
        <v>0.25</v>
      </c>
      <c r="Y19" s="87">
        <v>4</v>
      </c>
      <c r="Z19" s="87">
        <v>15</v>
      </c>
      <c r="AA19" s="89">
        <f>IF(Y19&gt;=Parametros!$E$22,Parametros!$E$24,0)</f>
        <v>0</v>
      </c>
      <c r="AB19" s="89">
        <f>IF(Z19&gt;=Parametros!$E$23,Parametros!$E$25,0)</f>
        <v>0.04</v>
      </c>
      <c r="AC19" s="89">
        <f t="shared" si="1"/>
        <v>0.04</v>
      </c>
      <c r="AD19" s="87">
        <v>0</v>
      </c>
      <c r="AE19" s="88" t="s">
        <v>222</v>
      </c>
      <c r="AF19" s="87">
        <v>0</v>
      </c>
      <c r="AG19" s="88" t="s">
        <v>222</v>
      </c>
      <c r="AH19" s="87">
        <v>0</v>
      </c>
      <c r="AI19" s="88" t="s">
        <v>222</v>
      </c>
      <c r="AJ19" s="87">
        <v>0</v>
      </c>
      <c r="AK19" s="88" t="s">
        <v>222</v>
      </c>
      <c r="AL19" s="87">
        <v>0</v>
      </c>
      <c r="AM19" s="88" t="s">
        <v>222</v>
      </c>
      <c r="AN19" s="89">
        <f>AD19*Parametros!$E$28+AF19*Parametros!$E$29+AH19*Parametros!$E$30+AJ19*Parametros!$E$31+AL19*Parametros!$E$32</f>
        <v>0</v>
      </c>
      <c r="AO19" s="12" t="str">
        <f t="shared" si="2"/>
        <v>NO</v>
      </c>
      <c r="AP19" s="11">
        <f t="shared" si="3"/>
        <v>1</v>
      </c>
      <c r="AQ19" s="90">
        <f>MAX(0,MIN(1,MAX(0,AP19-IF(S19="NO",Parametros!$E$17,0))+AC19-AN19-IF(AO19="SI",Parametros!$E$33,0)))</f>
        <v>1</v>
      </c>
      <c r="AR19" s="58"/>
      <c r="AS19" s="111" t="s">
        <v>230</v>
      </c>
      <c r="AT19" s="111"/>
      <c r="AU19" s="111"/>
      <c r="AV19" s="111"/>
      <c r="AW19" s="111"/>
      <c r="AX19" s="111"/>
      <c r="AY19" s="111"/>
      <c r="AZ19" s="111"/>
      <c r="BA19" s="91">
        <f>AVERAGE(BA4:BA18)</f>
        <v>0.9572597670647206</v>
      </c>
      <c r="BB19" s="58"/>
      <c r="BC19" s="58"/>
    </row>
    <row r="20" spans="1:55" ht="16.5" customHeight="1" x14ac:dyDescent="0.35">
      <c r="A20" s="12">
        <v>15</v>
      </c>
      <c r="B20" s="83" t="s">
        <v>138</v>
      </c>
      <c r="C20" s="84" t="str">
        <f>VLOOKUP(B20,Parametros!$I$6:$J$20,2,FALSE())</f>
        <v>Adrian Santisteban</v>
      </c>
      <c r="D20" s="85">
        <v>1</v>
      </c>
      <c r="E20" s="85">
        <v>1</v>
      </c>
      <c r="F20" s="11">
        <f t="shared" si="0"/>
        <v>1</v>
      </c>
      <c r="G20" s="86">
        <f>F20*Parametros!$E$6</f>
        <v>0.2</v>
      </c>
      <c r="H20" s="87">
        <v>10</v>
      </c>
      <c r="I20" s="87">
        <v>10</v>
      </c>
      <c r="J20" s="88" t="s">
        <v>222</v>
      </c>
      <c r="K20" s="86">
        <f>IF(J20="NO",0,IFERROR(H20/I20,0)*Parametros!$E$7)</f>
        <v>0.08</v>
      </c>
      <c r="L20" s="85">
        <v>1</v>
      </c>
      <c r="M20" s="88" t="s">
        <v>222</v>
      </c>
      <c r="N20" s="86">
        <f>IF(M20="NO",0,L20*Parametros!$E$8)</f>
        <v>0.08</v>
      </c>
      <c r="O20" s="85">
        <v>1</v>
      </c>
      <c r="P20" s="88" t="s">
        <v>222</v>
      </c>
      <c r="Q20" s="86">
        <f>IF(P20="NO",0,O20*Parametros!$E$9)</f>
        <v>0.08</v>
      </c>
      <c r="R20" s="85">
        <v>1</v>
      </c>
      <c r="S20" s="88" t="s">
        <v>222</v>
      </c>
      <c r="T20" s="86">
        <f>IF(S20="NO",0,R20*Parametros!$E$10)</f>
        <v>0.06</v>
      </c>
      <c r="U20" s="85">
        <v>1</v>
      </c>
      <c r="V20" s="86">
        <f>U20*Parametros!$E$11</f>
        <v>0.25</v>
      </c>
      <c r="W20" s="87">
        <v>0</v>
      </c>
      <c r="X20" s="86">
        <f>MAX(0,Parametros!$E$12-Parametros!$E$18*W20)</f>
        <v>0.25</v>
      </c>
      <c r="Y20" s="87">
        <v>0</v>
      </c>
      <c r="Z20" s="87">
        <v>4</v>
      </c>
      <c r="AA20" s="89">
        <f>IF(Y20&gt;=Parametros!$E$22,Parametros!$E$24,0)</f>
        <v>0</v>
      </c>
      <c r="AB20" s="89">
        <f>IF(Z20&gt;=Parametros!$E$23,Parametros!$E$25,0)</f>
        <v>0</v>
      </c>
      <c r="AC20" s="89">
        <f t="shared" si="1"/>
        <v>0</v>
      </c>
      <c r="AD20" s="87">
        <v>0</v>
      </c>
      <c r="AE20" s="88" t="s">
        <v>222</v>
      </c>
      <c r="AF20" s="87">
        <v>0</v>
      </c>
      <c r="AG20" s="88" t="s">
        <v>222</v>
      </c>
      <c r="AH20" s="87">
        <v>0</v>
      </c>
      <c r="AI20" s="88" t="s">
        <v>222</v>
      </c>
      <c r="AJ20" s="87">
        <v>0</v>
      </c>
      <c r="AK20" s="88" t="s">
        <v>222</v>
      </c>
      <c r="AL20" s="87">
        <v>0</v>
      </c>
      <c r="AM20" s="88" t="s">
        <v>222</v>
      </c>
      <c r="AN20" s="89">
        <f>AD20*Parametros!$E$28+AF20*Parametros!$E$29+AH20*Parametros!$E$30+AJ20*Parametros!$E$31+AL20*Parametros!$E$32</f>
        <v>0</v>
      </c>
      <c r="AO20" s="12" t="str">
        <f t="shared" si="2"/>
        <v>NO</v>
      </c>
      <c r="AP20" s="11">
        <f t="shared" si="3"/>
        <v>1</v>
      </c>
      <c r="AQ20" s="90">
        <f>MAX(0,MIN(1,MAX(0,AP20-IF(S20="NO",Parametros!$E$17,0))+AC20-AN20-IF(AO20="SI",Parametros!$E$33,0)))</f>
        <v>1</v>
      </c>
      <c r="AR20" s="58"/>
      <c r="AS20" s="58"/>
      <c r="AT20" s="58"/>
      <c r="AU20" s="58"/>
      <c r="AV20" s="58"/>
      <c r="AW20" s="58"/>
      <c r="AX20" s="58"/>
      <c r="AY20" s="58"/>
      <c r="AZ20" s="58"/>
      <c r="BA20" s="58"/>
      <c r="BB20" s="58"/>
    </row>
    <row r="22" spans="1:55" ht="21.75" customHeight="1" x14ac:dyDescent="0.35">
      <c r="A22" s="112"/>
      <c r="B22" s="112"/>
      <c r="C22" s="112"/>
      <c r="D22" s="70"/>
      <c r="E22" s="70"/>
      <c r="F22" s="70"/>
      <c r="G22" s="70"/>
      <c r="H22" s="70"/>
      <c r="I22" s="70"/>
      <c r="J22" s="70"/>
      <c r="K22" s="70"/>
      <c r="L22" s="70"/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V22" s="92"/>
    </row>
    <row r="23" spans="1:55" ht="21.75" customHeight="1" x14ac:dyDescent="0.35">
      <c r="A23" s="113" t="s">
        <v>225</v>
      </c>
      <c r="B23" s="113"/>
      <c r="C23" s="113"/>
      <c r="D23" s="93"/>
      <c r="E23" s="93"/>
      <c r="F23" s="93"/>
      <c r="G23" s="93"/>
      <c r="H23" s="93"/>
      <c r="I23" s="93"/>
      <c r="J23" s="93"/>
      <c r="K23" s="93"/>
      <c r="L23" s="93"/>
      <c r="M23" s="93"/>
      <c r="N23" s="93"/>
      <c r="O23" s="93"/>
      <c r="P23" s="93"/>
      <c r="Q23" s="93"/>
      <c r="R23" s="93"/>
      <c r="S23" s="93"/>
      <c r="T23" s="93"/>
      <c r="U23" s="93"/>
      <c r="V23" s="93"/>
      <c r="W23" s="93"/>
      <c r="X23" s="93"/>
      <c r="Y23" s="93"/>
      <c r="Z23" s="93"/>
      <c r="AA23" s="93"/>
      <c r="AB23" s="93"/>
      <c r="AC23" s="93"/>
      <c r="AD23" s="93"/>
      <c r="AE23" s="93"/>
      <c r="AF23" s="93"/>
      <c r="AG23" s="93"/>
      <c r="AH23" s="93"/>
      <c r="AI23" s="93"/>
      <c r="AJ23" s="93"/>
      <c r="AK23" s="93"/>
      <c r="AL23" s="93"/>
      <c r="AM23" s="93"/>
      <c r="AN23" s="93"/>
      <c r="AO23" s="93"/>
      <c r="AP23" s="93"/>
      <c r="AQ23" s="94">
        <f>AVERAGE(AQ6:AQ20)</f>
        <v>0.9572597670647206</v>
      </c>
      <c r="AR23" s="58"/>
      <c r="AS23" s="58"/>
      <c r="AT23" s="58"/>
      <c r="AU23" s="58"/>
      <c r="AV23" s="58"/>
      <c r="AW23" s="58"/>
      <c r="AX23" s="58"/>
      <c r="AY23" s="58"/>
      <c r="AZ23" s="58"/>
      <c r="BA23" s="58"/>
      <c r="BB23" s="58"/>
    </row>
  </sheetData>
  <mergeCells count="20">
    <mergeCell ref="A1:AB1"/>
    <mergeCell ref="AS1:BA1"/>
    <mergeCell ref="BB1:BC1"/>
    <mergeCell ref="B2:D2"/>
    <mergeCell ref="AT2:AV2"/>
    <mergeCell ref="AX2:BA2"/>
    <mergeCell ref="BB5:BC5"/>
    <mergeCell ref="AS19:AZ19"/>
    <mergeCell ref="A22:C22"/>
    <mergeCell ref="A23:C23"/>
    <mergeCell ref="U4:V4"/>
    <mergeCell ref="W4:X4"/>
    <mergeCell ref="Y4:AC4"/>
    <mergeCell ref="AD4:AO4"/>
    <mergeCell ref="AP4:AQ4"/>
    <mergeCell ref="D4:G4"/>
    <mergeCell ref="H4:K4"/>
    <mergeCell ref="L4:N4"/>
    <mergeCell ref="O4:Q4"/>
    <mergeCell ref="R4:T4"/>
  </mergeCells>
  <conditionalFormatting sqref="AQ6:AQ20">
    <cfRule type="cellIs" dxfId="101" priority="5" operator="greaterThanOrEqual">
      <formula>0.9</formula>
    </cfRule>
    <cfRule type="cellIs" dxfId="100" priority="6" operator="between">
      <formula>0.7</formula>
      <formula>0.8999</formula>
    </cfRule>
    <cfRule type="cellIs" dxfId="99" priority="7" operator="lessThan">
      <formula>0.7</formula>
    </cfRule>
  </conditionalFormatting>
  <conditionalFormatting sqref="AV6:AV20">
    <cfRule type="cellIs" dxfId="98" priority="2" operator="greaterThanOrEqual">
      <formula>0.9</formula>
    </cfRule>
    <cfRule type="expression" dxfId="97" priority="3">
      <formula>AND(AV6&gt;=0.7,AV6&lt;0.9)</formula>
    </cfRule>
    <cfRule type="cellIs" dxfId="96" priority="4" operator="lessThan">
      <formula>0.7</formula>
    </cfRule>
  </conditionalFormatting>
  <conditionalFormatting sqref="BA4:BA18">
    <cfRule type="cellIs" dxfId="95" priority="8" operator="greaterThanOrEqual">
      <formula>0.9</formula>
    </cfRule>
    <cfRule type="cellIs" dxfId="94" priority="9" operator="between">
      <formula>0.7</formula>
      <formula>0.8999</formula>
    </cfRule>
    <cfRule type="cellIs" dxfId="93" priority="10" operator="lessThan">
      <formula>0.7</formula>
    </cfRule>
  </conditionalFormatting>
  <dataValidations count="4">
    <dataValidation type="whole" operator="greaterThanOrEqual" showErrorMessage="1" errorTitle="Valor invalido" error="Ingrese un numero entero &gt;= 0" sqref="F6:F20 K6:K20 N6:N20 V6:W20 AB6:AB20 AD6:AD20 AO6:AO20 AQ6:AQ20" xr:uid="{00000000-0002-0000-0600-000000000000}">
      <formula1>0</formula1>
      <formula2>0</formula2>
    </dataValidation>
    <dataValidation type="decimal" showErrorMessage="1" errorTitle="Valor invalido" error="Ingrese un porcentaje entre 0% y 100%" sqref="D6:E20 L6:L20 O6:O20 R6:R20 U6:U20" xr:uid="{00000000-0002-0000-0600-000001000000}">
      <formula1>0</formula1>
      <formula2>1</formula2>
    </dataValidation>
    <dataValidation type="whole" operator="greaterThanOrEqual" showErrorMessage="1" errorTitle="Valor inválido" error="Ingrese un número entero mayor o igual a 0" sqref="Z6:Z20" xr:uid="{00000000-0002-0000-0600-000002000000}">
      <formula1>0</formula1>
      <formula2>0</formula2>
    </dataValidation>
    <dataValidation type="list" sqref="J6:J20 M6:M20 P6:P20 S6:T20 X6:X20 AE6:AE20 AG6:AG20 AI6:AN20 AP6:AP20 AR6:AR20" xr:uid="{00000000-0002-0000-0600-000003000000}">
      <formula1>"SI,NO"</formula1>
      <formula2>0</formula2>
    </dataValidation>
  </dataValidations>
  <pageMargins left="0.3" right="0.3" top="0.4" bottom="0.4" header="0.511811023622047" footer="0.511811023622047"/>
  <pageSetup fitToHeight="0" orientation="landscape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ED6B23"/>
    <pageSetUpPr fitToPage="1"/>
  </sheetPr>
  <dimension ref="A1:BC23"/>
  <sheetViews>
    <sheetView showGridLines="0" zoomScale="74" zoomScaleNormal="74" workbookViewId="0">
      <pane xSplit="3" ySplit="5" topLeftCell="AN6" activePane="bottomRight" state="frozen"/>
      <selection pane="topRight" activeCell="AN1" sqref="AN1"/>
      <selection pane="bottomLeft" activeCell="A6" sqref="A6"/>
      <selection pane="bottomRight" activeCell="BC4" sqref="BC4"/>
    </sheetView>
  </sheetViews>
  <sheetFormatPr baseColWidth="10" defaultColWidth="8.6328125" defaultRowHeight="14.5" x14ac:dyDescent="0.35"/>
  <cols>
    <col min="1" max="1" width="5" customWidth="1"/>
    <col min="2" max="2" width="22" customWidth="1"/>
    <col min="3" max="3" width="16" customWidth="1"/>
    <col min="4" max="48" width="9.54296875" customWidth="1"/>
    <col min="49" max="50" width="11" customWidth="1"/>
    <col min="51" max="51" width="13" customWidth="1"/>
    <col min="52" max="52" width="11" customWidth="1"/>
    <col min="53" max="53" width="14" customWidth="1"/>
    <col min="54" max="54" width="18" customWidth="1"/>
    <col min="55" max="55" width="10" customWidth="1"/>
  </cols>
  <sheetData>
    <row r="1" spans="1:55" ht="19.5" customHeight="1" x14ac:dyDescent="0.35">
      <c r="A1" s="117" t="s">
        <v>231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  <c r="AA1" s="117"/>
      <c r="AB1" s="117"/>
      <c r="AR1" s="58"/>
      <c r="AS1" s="118" t="s">
        <v>232</v>
      </c>
      <c r="AT1" s="118"/>
      <c r="AU1" s="118"/>
      <c r="AV1" s="118"/>
      <c r="AW1" s="118"/>
      <c r="AX1" s="118"/>
      <c r="AY1" s="118"/>
      <c r="AZ1" s="118"/>
      <c r="BA1" s="118"/>
      <c r="BB1" s="119" t="s">
        <v>233</v>
      </c>
      <c r="BC1" s="119"/>
    </row>
    <row r="2" spans="1:55" ht="18" customHeight="1" x14ac:dyDescent="0.35">
      <c r="A2" s="5" t="s">
        <v>163</v>
      </c>
      <c r="B2" s="120" t="s">
        <v>234</v>
      </c>
      <c r="C2" s="120"/>
      <c r="D2" s="120"/>
      <c r="F2" s="5" t="s">
        <v>165</v>
      </c>
      <c r="G2" s="59" t="s">
        <v>166</v>
      </c>
      <c r="AR2" s="58"/>
      <c r="AS2" s="60"/>
      <c r="AT2" s="121" t="s">
        <v>167</v>
      </c>
      <c r="AU2" s="121"/>
      <c r="AV2" s="121"/>
      <c r="AW2" s="61" t="s">
        <v>96</v>
      </c>
      <c r="AX2" s="122" t="s">
        <v>168</v>
      </c>
      <c r="AY2" s="122"/>
      <c r="AZ2" s="122"/>
      <c r="BA2" s="122"/>
      <c r="BB2" s="62" t="s">
        <v>169</v>
      </c>
      <c r="BC2" s="62" t="s">
        <v>170</v>
      </c>
    </row>
    <row r="3" spans="1:55" ht="21.75" customHeight="1" x14ac:dyDescent="0.35">
      <c r="AR3" s="58"/>
      <c r="AS3" s="63" t="s">
        <v>171</v>
      </c>
      <c r="AT3" s="64" t="s">
        <v>172</v>
      </c>
      <c r="AU3" s="64" t="s">
        <v>173</v>
      </c>
      <c r="AV3" s="64" t="s">
        <v>174</v>
      </c>
      <c r="AW3" s="65" t="s">
        <v>175</v>
      </c>
      <c r="AX3" s="66" t="s">
        <v>176</v>
      </c>
      <c r="AY3" s="66" t="s">
        <v>177</v>
      </c>
      <c r="AZ3" s="66" t="s">
        <v>178</v>
      </c>
      <c r="BA3" s="67" t="s">
        <v>179</v>
      </c>
      <c r="BB3" s="68" t="s">
        <v>180</v>
      </c>
      <c r="BC3" s="69">
        <v>58</v>
      </c>
    </row>
    <row r="4" spans="1:55" ht="21.75" customHeight="1" x14ac:dyDescent="0.35">
      <c r="A4" s="70"/>
      <c r="B4" s="70"/>
      <c r="C4" s="70"/>
      <c r="D4" s="114" t="s">
        <v>181</v>
      </c>
      <c r="E4" s="114"/>
      <c r="F4" s="114"/>
      <c r="G4" s="114"/>
      <c r="H4" s="114" t="s">
        <v>182</v>
      </c>
      <c r="I4" s="114"/>
      <c r="J4" s="114"/>
      <c r="K4" s="114"/>
      <c r="L4" s="114" t="s">
        <v>183</v>
      </c>
      <c r="M4" s="114"/>
      <c r="N4" s="114"/>
      <c r="O4" s="114" t="s">
        <v>184</v>
      </c>
      <c r="P4" s="114"/>
      <c r="Q4" s="114"/>
      <c r="R4" s="114" t="s">
        <v>185</v>
      </c>
      <c r="S4" s="114"/>
      <c r="T4" s="114"/>
      <c r="U4" s="114" t="s">
        <v>186</v>
      </c>
      <c r="V4" s="114"/>
      <c r="W4" s="115" t="s">
        <v>187</v>
      </c>
      <c r="X4" s="115"/>
      <c r="Y4" s="114" t="s">
        <v>188</v>
      </c>
      <c r="Z4" s="114"/>
      <c r="AA4" s="114"/>
      <c r="AB4" s="114"/>
      <c r="AC4" s="114"/>
      <c r="AD4" s="115" t="s">
        <v>189</v>
      </c>
      <c r="AE4" s="115"/>
      <c r="AF4" s="115"/>
      <c r="AG4" s="115"/>
      <c r="AH4" s="115"/>
      <c r="AI4" s="115"/>
      <c r="AJ4" s="115"/>
      <c r="AK4" s="115"/>
      <c r="AL4" s="115"/>
      <c r="AM4" s="115"/>
      <c r="AN4" s="115"/>
      <c r="AO4" s="115"/>
      <c r="AP4" s="116" t="s">
        <v>190</v>
      </c>
      <c r="AQ4" s="116"/>
      <c r="AR4" s="58"/>
      <c r="AS4" s="71" t="str">
        <f>'Captura Marzo'!B6</f>
        <v>Almacen de Repuestos</v>
      </c>
      <c r="AT4" s="72">
        <f>'Captura Marzo'!K6+'Captura Marzo'!N6+'Captura Marzo'!Q6</f>
        <v>0.24</v>
      </c>
      <c r="AU4" s="72">
        <f>'Captura Marzo'!T6</f>
        <v>0.06</v>
      </c>
      <c r="AV4" s="72">
        <f>'Captura Marzo'!V6</f>
        <v>0.25</v>
      </c>
      <c r="AW4" s="72">
        <f>'Captura Marzo'!G6</f>
        <v>0.2</v>
      </c>
      <c r="AX4" s="72">
        <f>'Captura Marzo'!X6</f>
        <v>0.25</v>
      </c>
      <c r="AY4" s="72">
        <f>'Captura Marzo'!AC6</f>
        <v>0</v>
      </c>
      <c r="AZ4" s="73">
        <f>-'Captura Marzo'!AN6</f>
        <v>0</v>
      </c>
      <c r="BA4" s="74">
        <f>'Captura Marzo'!AQ6</f>
        <v>1</v>
      </c>
      <c r="BB4" s="68" t="s">
        <v>191</v>
      </c>
      <c r="BC4" s="75">
        <v>275</v>
      </c>
    </row>
    <row r="5" spans="1:55" ht="13.5" customHeight="1" x14ac:dyDescent="0.35">
      <c r="A5" s="76" t="s">
        <v>93</v>
      </c>
      <c r="B5" s="76" t="s">
        <v>48</v>
      </c>
      <c r="C5" s="76" t="s">
        <v>94</v>
      </c>
      <c r="D5" s="77" t="s">
        <v>192</v>
      </c>
      <c r="E5" s="77" t="s">
        <v>193</v>
      </c>
      <c r="F5" s="77" t="s">
        <v>194</v>
      </c>
      <c r="G5" s="77" t="s">
        <v>195</v>
      </c>
      <c r="H5" s="77" t="s">
        <v>196</v>
      </c>
      <c r="I5" s="77" t="s">
        <v>197</v>
      </c>
      <c r="J5" s="77" t="s">
        <v>198</v>
      </c>
      <c r="K5" s="77" t="s">
        <v>195</v>
      </c>
      <c r="L5" s="77" t="s">
        <v>199</v>
      </c>
      <c r="M5" s="77" t="s">
        <v>198</v>
      </c>
      <c r="N5" s="77" t="s">
        <v>195</v>
      </c>
      <c r="O5" s="77" t="s">
        <v>199</v>
      </c>
      <c r="P5" s="77" t="s">
        <v>198</v>
      </c>
      <c r="Q5" s="77" t="s">
        <v>195</v>
      </c>
      <c r="R5" s="77" t="s">
        <v>199</v>
      </c>
      <c r="S5" s="77" t="s">
        <v>198</v>
      </c>
      <c r="T5" s="77" t="s">
        <v>195</v>
      </c>
      <c r="U5" s="77" t="s">
        <v>200</v>
      </c>
      <c r="V5" s="77" t="s">
        <v>195</v>
      </c>
      <c r="W5" s="78" t="s">
        <v>201</v>
      </c>
      <c r="X5" s="78" t="s">
        <v>195</v>
      </c>
      <c r="Y5" s="77" t="s">
        <v>202</v>
      </c>
      <c r="Z5" s="77" t="s">
        <v>203</v>
      </c>
      <c r="AA5" s="77" t="s">
        <v>204</v>
      </c>
      <c r="AB5" s="77" t="s">
        <v>205</v>
      </c>
      <c r="AC5" s="77" t="s">
        <v>206</v>
      </c>
      <c r="AD5" s="78" t="s">
        <v>207</v>
      </c>
      <c r="AE5" s="78" t="s">
        <v>208</v>
      </c>
      <c r="AF5" s="78" t="s">
        <v>209</v>
      </c>
      <c r="AG5" s="78" t="s">
        <v>210</v>
      </c>
      <c r="AH5" s="78" t="s">
        <v>211</v>
      </c>
      <c r="AI5" s="78" t="s">
        <v>212</v>
      </c>
      <c r="AJ5" s="78" t="s">
        <v>213</v>
      </c>
      <c r="AK5" s="78" t="s">
        <v>214</v>
      </c>
      <c r="AL5" s="78" t="s">
        <v>215</v>
      </c>
      <c r="AM5" s="78" t="s">
        <v>216</v>
      </c>
      <c r="AN5" s="78" t="s">
        <v>217</v>
      </c>
      <c r="AO5" s="78" t="s">
        <v>218</v>
      </c>
      <c r="AP5" s="76" t="s">
        <v>219</v>
      </c>
      <c r="AQ5" s="76" t="s">
        <v>220</v>
      </c>
      <c r="AR5" s="58"/>
      <c r="AS5" s="79" t="str">
        <f>'Captura Marzo'!B7</f>
        <v>Alrededores</v>
      </c>
      <c r="AT5" s="80">
        <f>'Captura Marzo'!K7+'Captura Marzo'!N7+'Captura Marzo'!Q7</f>
        <v>0.24</v>
      </c>
      <c r="AU5" s="80">
        <f>'Captura Marzo'!T7</f>
        <v>0.06</v>
      </c>
      <c r="AV5" s="80">
        <f>'Captura Marzo'!V7</f>
        <v>0.25</v>
      </c>
      <c r="AW5" s="80">
        <f>'Captura Marzo'!G7</f>
        <v>0.19</v>
      </c>
      <c r="AX5" s="80">
        <f>'Captura Marzo'!X7</f>
        <v>0.25</v>
      </c>
      <c r="AY5" s="80">
        <f>'Captura Marzo'!AC7</f>
        <v>0.04</v>
      </c>
      <c r="AZ5" s="81">
        <f>-'Captura Marzo'!AN7</f>
        <v>0</v>
      </c>
      <c r="BA5" s="82">
        <f>'Captura Marzo'!AQ7</f>
        <v>1</v>
      </c>
      <c r="BB5" s="110" t="s">
        <v>221</v>
      </c>
      <c r="BC5" s="110"/>
    </row>
    <row r="6" spans="1:55" ht="16.5" customHeight="1" x14ac:dyDescent="0.35">
      <c r="A6" s="12">
        <v>1</v>
      </c>
      <c r="B6" s="83" t="s">
        <v>103</v>
      </c>
      <c r="C6" s="84" t="str">
        <f>VLOOKUP(B6,Parametros!$I$6:$J$20,2,FALSE())</f>
        <v>Fredy Fuentes</v>
      </c>
      <c r="D6" s="85">
        <v>1</v>
      </c>
      <c r="E6" s="85">
        <v>1</v>
      </c>
      <c r="F6" s="11">
        <f t="shared" ref="F6:F20" si="0">AVERAGE(D6,E6)</f>
        <v>1</v>
      </c>
      <c r="G6" s="86">
        <f>F6*Parametros!$E$6</f>
        <v>0.2</v>
      </c>
      <c r="H6" s="87">
        <v>10</v>
      </c>
      <c r="I6" s="87">
        <v>10</v>
      </c>
      <c r="J6" s="88" t="s">
        <v>222</v>
      </c>
      <c r="K6" s="86">
        <f>IF(J6="NO",0,IFERROR(H6/I6,0)*Parametros!$E$7)</f>
        <v>0.08</v>
      </c>
      <c r="L6" s="85">
        <v>1</v>
      </c>
      <c r="M6" s="88" t="s">
        <v>222</v>
      </c>
      <c r="N6" s="86">
        <f>IF(M6="NO",0,L6*Parametros!$E$8)</f>
        <v>0.08</v>
      </c>
      <c r="O6" s="85">
        <v>1</v>
      </c>
      <c r="P6" s="88" t="s">
        <v>222</v>
      </c>
      <c r="Q6" s="86">
        <f>IF(P6="NO",0,O6*Parametros!$E$9)</f>
        <v>0.08</v>
      </c>
      <c r="R6" s="85">
        <v>1</v>
      </c>
      <c r="S6" s="88" t="s">
        <v>222</v>
      </c>
      <c r="T6" s="86">
        <f>IF(S6="NO",0,R6*Parametros!$E$10)</f>
        <v>0.06</v>
      </c>
      <c r="U6" s="85">
        <v>1</v>
      </c>
      <c r="V6" s="86">
        <f>U6*Parametros!$E$11</f>
        <v>0.25</v>
      </c>
      <c r="W6" s="87">
        <v>0</v>
      </c>
      <c r="X6" s="86">
        <f>MAX(0,Parametros!$E$12-Parametros!$E$18*W6)</f>
        <v>0.25</v>
      </c>
      <c r="Y6" s="87">
        <v>3</v>
      </c>
      <c r="Z6" s="87">
        <v>4</v>
      </c>
      <c r="AA6" s="89">
        <f>IF(Y6&gt;=Parametros!$E$22,Parametros!$E$24,0)</f>
        <v>0</v>
      </c>
      <c r="AB6" s="89">
        <f>IF(Z6&gt;=Parametros!$E$23,Parametros!$E$25,0)</f>
        <v>0</v>
      </c>
      <c r="AC6" s="89">
        <f t="shared" ref="AC6:AC20" si="1">AA6+AB6</f>
        <v>0</v>
      </c>
      <c r="AD6" s="87">
        <v>0</v>
      </c>
      <c r="AE6" s="88" t="s">
        <v>222</v>
      </c>
      <c r="AF6" s="87">
        <v>0</v>
      </c>
      <c r="AG6" s="88" t="s">
        <v>222</v>
      </c>
      <c r="AH6" s="87">
        <v>0</v>
      </c>
      <c r="AI6" s="88" t="s">
        <v>222</v>
      </c>
      <c r="AJ6" s="87">
        <v>0</v>
      </c>
      <c r="AK6" s="88" t="s">
        <v>222</v>
      </c>
      <c r="AL6" s="87">
        <v>0</v>
      </c>
      <c r="AM6" s="88" t="s">
        <v>222</v>
      </c>
      <c r="AN6" s="89">
        <f>AD6*Parametros!$E$28+AF6*Parametros!$E$29+AH6*Parametros!$E$30+AJ6*Parametros!$E$31+AL6*Parametros!$E$32</f>
        <v>0</v>
      </c>
      <c r="AO6" s="12" t="str">
        <f t="shared" ref="AO6:AO20" si="2">IF(OR(AND(AD6&gt;0,AE6="NO"),AND(AF6&gt;0,AG6="NO"),AND(AH6&gt;0,AI6="NO"),AND(AJ6&gt;0,AK6="NO"),AND(AL6&gt;0,AM6="NO")),"SI","NO")</f>
        <v>NO</v>
      </c>
      <c r="AP6" s="11">
        <f t="shared" ref="AP6:AP20" si="3">G6+K6+N6+Q6+T6+V6+X6</f>
        <v>1</v>
      </c>
      <c r="AQ6" s="90">
        <f>MAX(0,MIN(1,MAX(0,AP6-IF(S6="NO",Parametros!$E$17,0))+AC6-AN6-IF(AO6="SI",Parametros!$E$33,0)))</f>
        <v>1</v>
      </c>
      <c r="AR6" s="58"/>
      <c r="AS6" s="71" t="str">
        <f>'Captura Marzo'!B8</f>
        <v>Calidad</v>
      </c>
      <c r="AT6" s="72">
        <f>'Captura Marzo'!K8+'Captura Marzo'!N8+'Captura Marzo'!Q8</f>
        <v>0.24</v>
      </c>
      <c r="AU6" s="72">
        <f>'Captura Marzo'!T8</f>
        <v>0.06</v>
      </c>
      <c r="AV6" s="72">
        <f>'Captura Marzo'!V8</f>
        <v>0.25</v>
      </c>
      <c r="AW6" s="72">
        <f>'Captura Marzo'!G8</f>
        <v>0.2</v>
      </c>
      <c r="AX6" s="72">
        <f>'Captura Marzo'!X8</f>
        <v>0.25</v>
      </c>
      <c r="AY6" s="72">
        <f>'Captura Marzo'!AC8</f>
        <v>0.08</v>
      </c>
      <c r="AZ6" s="73">
        <f>-'Captura Marzo'!AN8</f>
        <v>0</v>
      </c>
      <c r="BA6" s="74">
        <f>'Captura Marzo'!AQ8</f>
        <v>1</v>
      </c>
      <c r="BB6" s="58"/>
      <c r="BC6" s="58"/>
    </row>
    <row r="7" spans="1:55" ht="16.5" customHeight="1" x14ac:dyDescent="0.35">
      <c r="A7" s="12">
        <v>2</v>
      </c>
      <c r="B7" s="83" t="s">
        <v>135</v>
      </c>
      <c r="C7" s="84" t="str">
        <f>VLOOKUP(B7,Parametros!$I$6:$J$20,2,FALSE())</f>
        <v>Carlos Chavez</v>
      </c>
      <c r="D7" s="85">
        <v>1</v>
      </c>
      <c r="E7" s="85">
        <v>0.9</v>
      </c>
      <c r="F7" s="11">
        <f t="shared" si="0"/>
        <v>0.95</v>
      </c>
      <c r="G7" s="86">
        <f>F7*Parametros!$E$6</f>
        <v>0.19</v>
      </c>
      <c r="H7" s="87">
        <v>10</v>
      </c>
      <c r="I7" s="87">
        <v>10</v>
      </c>
      <c r="J7" s="88" t="s">
        <v>222</v>
      </c>
      <c r="K7" s="86">
        <f>IF(J7="NO",0,IFERROR(H7/I7,0)*Parametros!$E$7)</f>
        <v>0.08</v>
      </c>
      <c r="L7" s="85">
        <v>1</v>
      </c>
      <c r="M7" s="88" t="s">
        <v>222</v>
      </c>
      <c r="N7" s="86">
        <f>IF(M7="NO",0,L7*Parametros!$E$8)</f>
        <v>0.08</v>
      </c>
      <c r="O7" s="85">
        <v>1</v>
      </c>
      <c r="P7" s="88" t="s">
        <v>222</v>
      </c>
      <c r="Q7" s="86">
        <f>IF(P7="NO",0,O7*Parametros!$E$9)</f>
        <v>0.08</v>
      </c>
      <c r="R7" s="85">
        <v>1</v>
      </c>
      <c r="S7" s="88" t="s">
        <v>222</v>
      </c>
      <c r="T7" s="86">
        <f>IF(S7="NO",0,R7*Parametros!$E$10)</f>
        <v>0.06</v>
      </c>
      <c r="U7" s="85">
        <v>1</v>
      </c>
      <c r="V7" s="86">
        <f>U7*Parametros!$E$11</f>
        <v>0.25</v>
      </c>
      <c r="W7" s="87">
        <v>0</v>
      </c>
      <c r="X7" s="86">
        <f>MAX(0,Parametros!$E$12-Parametros!$E$18*W7)</f>
        <v>0.25</v>
      </c>
      <c r="Y7" s="87">
        <v>0</v>
      </c>
      <c r="Z7" s="87">
        <v>10</v>
      </c>
      <c r="AA7" s="89">
        <f>IF(Y7&gt;=Parametros!$E$22,Parametros!$E$24,0)</f>
        <v>0</v>
      </c>
      <c r="AB7" s="89">
        <f>IF(Z7&gt;=Parametros!$E$23,Parametros!$E$25,0)</f>
        <v>0.04</v>
      </c>
      <c r="AC7" s="89">
        <f t="shared" si="1"/>
        <v>0.04</v>
      </c>
      <c r="AD7" s="87">
        <v>0</v>
      </c>
      <c r="AE7" s="88" t="s">
        <v>222</v>
      </c>
      <c r="AF7" s="87">
        <v>0</v>
      </c>
      <c r="AG7" s="88" t="s">
        <v>222</v>
      </c>
      <c r="AH7" s="87">
        <v>0</v>
      </c>
      <c r="AI7" s="88" t="s">
        <v>222</v>
      </c>
      <c r="AJ7" s="87">
        <v>0</v>
      </c>
      <c r="AK7" s="88" t="s">
        <v>222</v>
      </c>
      <c r="AL7" s="87">
        <v>0</v>
      </c>
      <c r="AM7" s="88" t="s">
        <v>222</v>
      </c>
      <c r="AN7" s="89">
        <f>AD7*Parametros!$E$28+AF7*Parametros!$E$29+AH7*Parametros!$E$30+AJ7*Parametros!$E$31+AL7*Parametros!$E$32</f>
        <v>0</v>
      </c>
      <c r="AO7" s="12" t="str">
        <f t="shared" si="2"/>
        <v>NO</v>
      </c>
      <c r="AP7" s="11">
        <f t="shared" si="3"/>
        <v>0.99</v>
      </c>
      <c r="AQ7" s="90">
        <f>MAX(0,MIN(1,MAX(0,AP7-IF(S7="NO",Parametros!$E$17,0))+AC7-AN7-IF(AO7="SI",Parametros!$E$33,0)))</f>
        <v>1</v>
      </c>
      <c r="AR7" s="58"/>
      <c r="AS7" s="79" t="str">
        <f>'Captura Marzo'!B9</f>
        <v>Centro de Distribucion</v>
      </c>
      <c r="AT7" s="80">
        <f>'Captura Marzo'!K9+'Captura Marzo'!N9+'Captura Marzo'!Q9</f>
        <v>0.24</v>
      </c>
      <c r="AU7" s="80">
        <f>'Captura Marzo'!T9</f>
        <v>0.06</v>
      </c>
      <c r="AV7" s="80">
        <f>'Captura Marzo'!V9</f>
        <v>0.25</v>
      </c>
      <c r="AW7" s="80">
        <f>'Captura Marzo'!G9</f>
        <v>0.19750000000000001</v>
      </c>
      <c r="AX7" s="80">
        <f>'Captura Marzo'!X9</f>
        <v>0.2</v>
      </c>
      <c r="AY7" s="80">
        <f>'Captura Marzo'!AC9</f>
        <v>0.04</v>
      </c>
      <c r="AZ7" s="81">
        <f>-'Captura Marzo'!AN9</f>
        <v>0</v>
      </c>
      <c r="BA7" s="82">
        <f>'Captura Marzo'!AQ9</f>
        <v>0.98750000000000004</v>
      </c>
      <c r="BB7" s="58"/>
      <c r="BC7" s="58"/>
    </row>
    <row r="8" spans="1:55" ht="16.5" customHeight="1" x14ac:dyDescent="0.35">
      <c r="A8" s="12">
        <v>3</v>
      </c>
      <c r="B8" s="83" t="s">
        <v>98</v>
      </c>
      <c r="C8" s="84" t="str">
        <f>VLOOKUP(B8,Parametros!$I$6:$J$20,2,FALSE())</f>
        <v>Alejandro Martinez</v>
      </c>
      <c r="D8" s="85">
        <v>1</v>
      </c>
      <c r="E8" s="85">
        <v>1</v>
      </c>
      <c r="F8" s="11">
        <f t="shared" si="0"/>
        <v>1</v>
      </c>
      <c r="G8" s="86">
        <f>F8*Parametros!$E$6</f>
        <v>0.2</v>
      </c>
      <c r="H8" s="87">
        <v>10</v>
      </c>
      <c r="I8" s="87">
        <v>10</v>
      </c>
      <c r="J8" s="88" t="s">
        <v>222</v>
      </c>
      <c r="K8" s="86">
        <f>IF(J8="NO",0,IFERROR(H8/I8,0)*Parametros!$E$7)</f>
        <v>0.08</v>
      </c>
      <c r="L8" s="85">
        <v>1</v>
      </c>
      <c r="M8" s="88" t="s">
        <v>222</v>
      </c>
      <c r="N8" s="86">
        <f>IF(M8="NO",0,L8*Parametros!$E$8)</f>
        <v>0.08</v>
      </c>
      <c r="O8" s="85">
        <v>1</v>
      </c>
      <c r="P8" s="88" t="s">
        <v>222</v>
      </c>
      <c r="Q8" s="86">
        <f>IF(P8="NO",0,O8*Parametros!$E$9)</f>
        <v>0.08</v>
      </c>
      <c r="R8" s="85">
        <v>1</v>
      </c>
      <c r="S8" s="88" t="s">
        <v>222</v>
      </c>
      <c r="T8" s="86">
        <f>IF(S8="NO",0,R8*Parametros!$E$10)</f>
        <v>0.06</v>
      </c>
      <c r="U8" s="85">
        <v>1</v>
      </c>
      <c r="V8" s="86">
        <f>U8*Parametros!$E$11</f>
        <v>0.25</v>
      </c>
      <c r="W8" s="87">
        <v>0</v>
      </c>
      <c r="X8" s="86">
        <f>MAX(0,Parametros!$E$12-Parametros!$E$18*W8)</f>
        <v>0.25</v>
      </c>
      <c r="Y8" s="87">
        <v>17</v>
      </c>
      <c r="Z8" s="87">
        <v>38</v>
      </c>
      <c r="AA8" s="89">
        <f>IF(Y8&gt;=Parametros!$E$22,Parametros!$E$24,0)</f>
        <v>0.04</v>
      </c>
      <c r="AB8" s="89">
        <f>IF(Z8&gt;=Parametros!$E$23,Parametros!$E$25,0)</f>
        <v>0.04</v>
      </c>
      <c r="AC8" s="89">
        <f t="shared" si="1"/>
        <v>0.08</v>
      </c>
      <c r="AD8" s="87">
        <v>0</v>
      </c>
      <c r="AE8" s="88" t="s">
        <v>222</v>
      </c>
      <c r="AF8" s="87">
        <v>0</v>
      </c>
      <c r="AG8" s="88" t="s">
        <v>222</v>
      </c>
      <c r="AH8" s="87">
        <v>0</v>
      </c>
      <c r="AI8" s="88" t="s">
        <v>222</v>
      </c>
      <c r="AJ8" s="87">
        <v>0</v>
      </c>
      <c r="AK8" s="88" t="s">
        <v>222</v>
      </c>
      <c r="AL8" s="87">
        <v>0</v>
      </c>
      <c r="AM8" s="88" t="s">
        <v>222</v>
      </c>
      <c r="AN8" s="89">
        <f>AD8*Parametros!$E$28+AF8*Parametros!$E$29+AH8*Parametros!$E$30+AJ8*Parametros!$E$31+AL8*Parametros!$E$32</f>
        <v>0</v>
      </c>
      <c r="AO8" s="12" t="str">
        <f t="shared" si="2"/>
        <v>NO</v>
      </c>
      <c r="AP8" s="11">
        <f t="shared" si="3"/>
        <v>1</v>
      </c>
      <c r="AQ8" s="90">
        <f>MAX(0,MIN(1,MAX(0,AP8-IF(S8="NO",Parametros!$E$17,0))+AC8-AN8-IF(AO8="SI",Parametros!$E$33,0)))</f>
        <v>1</v>
      </c>
      <c r="AR8" s="58"/>
      <c r="AS8" s="71" t="str">
        <f>'Captura Marzo'!B10</f>
        <v>ETEI</v>
      </c>
      <c r="AT8" s="72">
        <f>'Captura Marzo'!K10+'Captura Marzo'!N10+'Captura Marzo'!Q10</f>
        <v>0.24</v>
      </c>
      <c r="AU8" s="72">
        <f>'Captura Marzo'!T10</f>
        <v>0.06</v>
      </c>
      <c r="AV8" s="72">
        <f>'Captura Marzo'!V10</f>
        <v>0.25</v>
      </c>
      <c r="AW8" s="72">
        <f>'Captura Marzo'!G10</f>
        <v>0.2</v>
      </c>
      <c r="AX8" s="72">
        <f>'Captura Marzo'!X10</f>
        <v>0.25</v>
      </c>
      <c r="AY8" s="72">
        <f>'Captura Marzo'!AC10</f>
        <v>0.04</v>
      </c>
      <c r="AZ8" s="73">
        <f>-'Captura Marzo'!AN10</f>
        <v>0</v>
      </c>
      <c r="BA8" s="74">
        <f>'Captura Marzo'!AQ10</f>
        <v>1</v>
      </c>
      <c r="BB8" s="58"/>
      <c r="BC8" s="58"/>
    </row>
    <row r="9" spans="1:55" ht="16.5" customHeight="1" x14ac:dyDescent="0.35">
      <c r="A9" s="12">
        <v>4</v>
      </c>
      <c r="B9" s="83" t="s">
        <v>128</v>
      </c>
      <c r="C9" s="84" t="str">
        <f>VLOOKUP(B9,Parametros!$I$6:$J$20,2,FALSE())</f>
        <v>Jimmy Velasquez</v>
      </c>
      <c r="D9" s="85">
        <v>0.97499999999999998</v>
      </c>
      <c r="E9" s="85">
        <v>1</v>
      </c>
      <c r="F9" s="11">
        <f t="shared" si="0"/>
        <v>0.98750000000000004</v>
      </c>
      <c r="G9" s="86">
        <f>F9*Parametros!$E$6</f>
        <v>0.19750000000000001</v>
      </c>
      <c r="H9" s="87">
        <v>10</v>
      </c>
      <c r="I9" s="87">
        <v>10</v>
      </c>
      <c r="J9" s="88" t="s">
        <v>222</v>
      </c>
      <c r="K9" s="86">
        <f>IF(J9="NO",0,IFERROR(H9/I9,0)*Parametros!$E$7)</f>
        <v>0.08</v>
      </c>
      <c r="L9" s="85">
        <v>1</v>
      </c>
      <c r="M9" s="88" t="s">
        <v>222</v>
      </c>
      <c r="N9" s="86">
        <f>IF(M9="NO",0,L9*Parametros!$E$8)</f>
        <v>0.08</v>
      </c>
      <c r="O9" s="85">
        <v>1</v>
      </c>
      <c r="P9" s="88" t="s">
        <v>222</v>
      </c>
      <c r="Q9" s="86">
        <f>IF(P9="NO",0,O9*Parametros!$E$9)</f>
        <v>0.08</v>
      </c>
      <c r="R9" s="85">
        <v>1</v>
      </c>
      <c r="S9" s="88" t="s">
        <v>222</v>
      </c>
      <c r="T9" s="86">
        <f>IF(S9="NO",0,R9*Parametros!$E$10)</f>
        <v>0.06</v>
      </c>
      <c r="U9" s="85">
        <v>1</v>
      </c>
      <c r="V9" s="86">
        <f>U9*Parametros!$E$11</f>
        <v>0.25</v>
      </c>
      <c r="W9" s="87">
        <v>1</v>
      </c>
      <c r="X9" s="86">
        <f>MAX(0,Parametros!$E$12-Parametros!$E$18*W9)</f>
        <v>0.2</v>
      </c>
      <c r="Y9" s="87">
        <v>5</v>
      </c>
      <c r="Z9" s="87">
        <v>13</v>
      </c>
      <c r="AA9" s="89">
        <f>IF(Y9&gt;=Parametros!$E$22,Parametros!$E$24,0)</f>
        <v>0</v>
      </c>
      <c r="AB9" s="89">
        <f>IF(Z9&gt;=Parametros!$E$23,Parametros!$E$25,0)</f>
        <v>0.04</v>
      </c>
      <c r="AC9" s="89">
        <f t="shared" si="1"/>
        <v>0.04</v>
      </c>
      <c r="AD9" s="87">
        <v>0</v>
      </c>
      <c r="AE9" s="88" t="s">
        <v>222</v>
      </c>
      <c r="AF9" s="87">
        <v>0</v>
      </c>
      <c r="AG9" s="88" t="s">
        <v>222</v>
      </c>
      <c r="AH9" s="87">
        <v>0</v>
      </c>
      <c r="AI9" s="88" t="s">
        <v>222</v>
      </c>
      <c r="AJ9" s="87">
        <v>0</v>
      </c>
      <c r="AK9" s="88" t="s">
        <v>222</v>
      </c>
      <c r="AL9" s="87">
        <v>0</v>
      </c>
      <c r="AM9" s="88" t="s">
        <v>222</v>
      </c>
      <c r="AN9" s="89">
        <f>AD9*Parametros!$E$28+AF9*Parametros!$E$29+AH9*Parametros!$E$30+AJ9*Parametros!$E$31+AL9*Parametros!$E$32</f>
        <v>0</v>
      </c>
      <c r="AO9" s="12" t="str">
        <f t="shared" si="2"/>
        <v>NO</v>
      </c>
      <c r="AP9" s="11">
        <f t="shared" si="3"/>
        <v>0.94750000000000001</v>
      </c>
      <c r="AQ9" s="90">
        <f>MAX(0,MIN(1,MAX(0,AP9-IF(S9="NO",Parametros!$E$17,0))+AC9-AN9-IF(AO9="SI",Parametros!$E$33,0)))</f>
        <v>0.98750000000000004</v>
      </c>
      <c r="AR9" s="58"/>
      <c r="AS9" s="79" t="str">
        <f>'Captura Marzo'!B11</f>
        <v>Equipos Auxiliares</v>
      </c>
      <c r="AT9" s="80">
        <f>'Captura Marzo'!K11+'Captura Marzo'!N11+'Captura Marzo'!Q11</f>
        <v>0.24</v>
      </c>
      <c r="AU9" s="80">
        <f>'Captura Marzo'!T11</f>
        <v>0.06</v>
      </c>
      <c r="AV9" s="80">
        <f>'Captura Marzo'!V11</f>
        <v>0.25</v>
      </c>
      <c r="AW9" s="80">
        <f>'Captura Marzo'!G11</f>
        <v>0.17500000000000002</v>
      </c>
      <c r="AX9" s="80">
        <f>'Captura Marzo'!X11</f>
        <v>0.25</v>
      </c>
      <c r="AY9" s="80">
        <f>'Captura Marzo'!AC11</f>
        <v>0</v>
      </c>
      <c r="AZ9" s="81">
        <f>-'Captura Marzo'!AN11</f>
        <v>0</v>
      </c>
      <c r="BA9" s="82">
        <f>'Captura Marzo'!AQ11</f>
        <v>0.97500000000000009</v>
      </c>
      <c r="BB9" s="58"/>
      <c r="BC9" s="58"/>
    </row>
    <row r="10" spans="1:55" ht="16.5" customHeight="1" x14ac:dyDescent="0.35">
      <c r="A10" s="12">
        <v>5</v>
      </c>
      <c r="B10" s="83" t="s">
        <v>125</v>
      </c>
      <c r="C10" s="84" t="str">
        <f>VLOOKUP(B10,Parametros!$I$6:$J$20,2,FALSE())</f>
        <v>Jessica Loarca</v>
      </c>
      <c r="D10" s="85">
        <v>1</v>
      </c>
      <c r="E10" s="85">
        <v>1</v>
      </c>
      <c r="F10" s="11">
        <f t="shared" si="0"/>
        <v>1</v>
      </c>
      <c r="G10" s="86">
        <f>F10*Parametros!$E$6</f>
        <v>0.2</v>
      </c>
      <c r="H10" s="87">
        <v>10</v>
      </c>
      <c r="I10" s="87">
        <v>10</v>
      </c>
      <c r="J10" s="88" t="s">
        <v>222</v>
      </c>
      <c r="K10" s="86">
        <f>IF(J10="NO",0,IFERROR(H10/I10,0)*Parametros!$E$7)</f>
        <v>0.08</v>
      </c>
      <c r="L10" s="85">
        <v>1</v>
      </c>
      <c r="M10" s="88" t="s">
        <v>222</v>
      </c>
      <c r="N10" s="86">
        <f>IF(M10="NO",0,L10*Parametros!$E$8)</f>
        <v>0.08</v>
      </c>
      <c r="O10" s="85">
        <v>1</v>
      </c>
      <c r="P10" s="88" t="s">
        <v>222</v>
      </c>
      <c r="Q10" s="86">
        <f>IF(P10="NO",0,O10*Parametros!$E$9)</f>
        <v>0.08</v>
      </c>
      <c r="R10" s="85">
        <v>1</v>
      </c>
      <c r="S10" s="88" t="s">
        <v>222</v>
      </c>
      <c r="T10" s="86">
        <f>IF(S10="NO",0,R10*Parametros!$E$10)</f>
        <v>0.06</v>
      </c>
      <c r="U10" s="85">
        <v>1</v>
      </c>
      <c r="V10" s="86">
        <f>U10*Parametros!$E$11</f>
        <v>0.25</v>
      </c>
      <c r="W10" s="87">
        <v>0</v>
      </c>
      <c r="X10" s="86">
        <f>MAX(0,Parametros!$E$12-Parametros!$E$18*W10)</f>
        <v>0.25</v>
      </c>
      <c r="Y10" s="87">
        <v>0</v>
      </c>
      <c r="Z10" s="87">
        <v>11</v>
      </c>
      <c r="AA10" s="89">
        <f>IF(Y10&gt;=Parametros!$E$22,Parametros!$E$24,0)</f>
        <v>0</v>
      </c>
      <c r="AB10" s="89">
        <f>IF(Z10&gt;=Parametros!$E$23,Parametros!$E$25,0)</f>
        <v>0.04</v>
      </c>
      <c r="AC10" s="89">
        <f t="shared" si="1"/>
        <v>0.04</v>
      </c>
      <c r="AD10" s="87">
        <v>0</v>
      </c>
      <c r="AE10" s="88" t="s">
        <v>222</v>
      </c>
      <c r="AF10" s="87">
        <v>0</v>
      </c>
      <c r="AG10" s="88" t="s">
        <v>222</v>
      </c>
      <c r="AH10" s="87">
        <v>0</v>
      </c>
      <c r="AI10" s="88" t="s">
        <v>222</v>
      </c>
      <c r="AJ10" s="87">
        <v>0</v>
      </c>
      <c r="AK10" s="88" t="s">
        <v>222</v>
      </c>
      <c r="AL10" s="87">
        <v>0</v>
      </c>
      <c r="AM10" s="88" t="s">
        <v>222</v>
      </c>
      <c r="AN10" s="89">
        <f>AD10*Parametros!$E$28+AF10*Parametros!$E$29+AH10*Parametros!$E$30+AJ10*Parametros!$E$31+AL10*Parametros!$E$32</f>
        <v>0</v>
      </c>
      <c r="AO10" s="12" t="str">
        <f t="shared" si="2"/>
        <v>NO</v>
      </c>
      <c r="AP10" s="11">
        <f t="shared" si="3"/>
        <v>1</v>
      </c>
      <c r="AQ10" s="90">
        <f>MAX(0,MIN(1,MAX(0,AP10-IF(S10="NO",Parametros!$E$17,0))+AC10-AN10-IF(AO10="SI",Parametros!$E$33,0)))</f>
        <v>1</v>
      </c>
      <c r="AR10" s="58"/>
      <c r="AS10" s="71" t="str">
        <f>'Captura Marzo'!B12</f>
        <v>Jarabes</v>
      </c>
      <c r="AT10" s="72">
        <f>'Captura Marzo'!K12+'Captura Marzo'!N12+'Captura Marzo'!Q12</f>
        <v>0.24</v>
      </c>
      <c r="AU10" s="72">
        <f>'Captura Marzo'!T12</f>
        <v>0.06</v>
      </c>
      <c r="AV10" s="72">
        <f>'Captura Marzo'!V12</f>
        <v>0.25</v>
      </c>
      <c r="AW10" s="72">
        <f>'Captura Marzo'!G12</f>
        <v>0.2</v>
      </c>
      <c r="AX10" s="72">
        <f>'Captura Marzo'!X12</f>
        <v>0.2</v>
      </c>
      <c r="AY10" s="72">
        <f>'Captura Marzo'!AC12</f>
        <v>0</v>
      </c>
      <c r="AZ10" s="73">
        <f>-'Captura Marzo'!AN12</f>
        <v>0</v>
      </c>
      <c r="BA10" s="74">
        <f>'Captura Marzo'!AQ12</f>
        <v>0.95</v>
      </c>
      <c r="BB10" s="58"/>
      <c r="BC10" s="58"/>
    </row>
    <row r="11" spans="1:55" ht="16.5" customHeight="1" x14ac:dyDescent="0.35">
      <c r="A11" s="12">
        <v>6</v>
      </c>
      <c r="B11" s="83" t="s">
        <v>117</v>
      </c>
      <c r="C11" s="84" t="str">
        <f>VLOOKUP(B11,Parametros!$I$6:$J$20,2,FALSE())</f>
        <v>Edson Bonifacio</v>
      </c>
      <c r="D11" s="85">
        <v>0.75</v>
      </c>
      <c r="E11" s="85">
        <v>1</v>
      </c>
      <c r="F11" s="11">
        <f t="shared" si="0"/>
        <v>0.875</v>
      </c>
      <c r="G11" s="86">
        <f>F11*Parametros!$E$6</f>
        <v>0.17500000000000002</v>
      </c>
      <c r="H11" s="87">
        <v>10</v>
      </c>
      <c r="I11" s="87">
        <v>10</v>
      </c>
      <c r="J11" s="88" t="s">
        <v>222</v>
      </c>
      <c r="K11" s="86">
        <f>IF(J11="NO",0,IFERROR(H11/I11,0)*Parametros!$E$7)</f>
        <v>0.08</v>
      </c>
      <c r="L11" s="85">
        <v>1</v>
      </c>
      <c r="M11" s="88" t="s">
        <v>222</v>
      </c>
      <c r="N11" s="86">
        <f>IF(M11="NO",0,L11*Parametros!$E$8)</f>
        <v>0.08</v>
      </c>
      <c r="O11" s="85">
        <v>1</v>
      </c>
      <c r="P11" s="88" t="s">
        <v>222</v>
      </c>
      <c r="Q11" s="86">
        <f>IF(P11="NO",0,O11*Parametros!$E$9)</f>
        <v>0.08</v>
      </c>
      <c r="R11" s="85">
        <v>1</v>
      </c>
      <c r="S11" s="88" t="s">
        <v>222</v>
      </c>
      <c r="T11" s="86">
        <f>IF(S11="NO",0,R11*Parametros!$E$10)</f>
        <v>0.06</v>
      </c>
      <c r="U11" s="85">
        <v>1</v>
      </c>
      <c r="V11" s="86">
        <f>U11*Parametros!$E$11</f>
        <v>0.25</v>
      </c>
      <c r="W11" s="87">
        <v>0</v>
      </c>
      <c r="X11" s="86">
        <f>MAX(0,Parametros!$E$12-Parametros!$E$18*W11)</f>
        <v>0.25</v>
      </c>
      <c r="Y11" s="87">
        <v>0</v>
      </c>
      <c r="Z11" s="87">
        <v>5</v>
      </c>
      <c r="AA11" s="89">
        <f>IF(Y11&gt;=Parametros!$E$22,Parametros!$E$24,0)</f>
        <v>0</v>
      </c>
      <c r="AB11" s="89">
        <f>IF(Z11&gt;=Parametros!$E$23,Parametros!$E$25,0)</f>
        <v>0</v>
      </c>
      <c r="AC11" s="89">
        <f t="shared" si="1"/>
        <v>0</v>
      </c>
      <c r="AD11" s="87">
        <v>0</v>
      </c>
      <c r="AE11" s="88" t="s">
        <v>222</v>
      </c>
      <c r="AF11" s="87">
        <v>0</v>
      </c>
      <c r="AG11" s="88" t="s">
        <v>222</v>
      </c>
      <c r="AH11" s="87">
        <v>0</v>
      </c>
      <c r="AI11" s="88" t="s">
        <v>222</v>
      </c>
      <c r="AJ11" s="87">
        <v>0</v>
      </c>
      <c r="AK11" s="88" t="s">
        <v>222</v>
      </c>
      <c r="AL11" s="87">
        <v>0</v>
      </c>
      <c r="AM11" s="88" t="s">
        <v>222</v>
      </c>
      <c r="AN11" s="89">
        <f>AD11*Parametros!$E$28+AF11*Parametros!$E$29+AH11*Parametros!$E$30+AJ11*Parametros!$E$31+AL11*Parametros!$E$32</f>
        <v>0</v>
      </c>
      <c r="AO11" s="12" t="str">
        <f t="shared" si="2"/>
        <v>NO</v>
      </c>
      <c r="AP11" s="11">
        <f t="shared" si="3"/>
        <v>0.97500000000000009</v>
      </c>
      <c r="AQ11" s="90">
        <f>MAX(0,MIN(1,MAX(0,AP11-IF(S11="NO",Parametros!$E$17,0))+AC11-AN11-IF(AO11="SI",Parametros!$E$33,0)))</f>
        <v>0.97500000000000009</v>
      </c>
      <c r="AR11" s="58"/>
      <c r="AS11" s="79" t="str">
        <f>'Captura Marzo'!B13</f>
        <v>Linea 1</v>
      </c>
      <c r="AT11" s="80">
        <f>'Captura Marzo'!K13+'Captura Marzo'!N13+'Captura Marzo'!Q13</f>
        <v>0.24</v>
      </c>
      <c r="AU11" s="80">
        <f>'Captura Marzo'!T13</f>
        <v>0.06</v>
      </c>
      <c r="AV11" s="80">
        <f>'Captura Marzo'!V13</f>
        <v>0.25</v>
      </c>
      <c r="AW11" s="80">
        <f>'Captura Marzo'!G13</f>
        <v>0.2</v>
      </c>
      <c r="AX11" s="80">
        <f>'Captura Marzo'!X13</f>
        <v>0.2</v>
      </c>
      <c r="AY11" s="80">
        <f>'Captura Marzo'!AC13</f>
        <v>0.04</v>
      </c>
      <c r="AZ11" s="81">
        <f>-'Captura Marzo'!AN13</f>
        <v>0</v>
      </c>
      <c r="BA11" s="82">
        <f>'Captura Marzo'!AQ13</f>
        <v>0.99</v>
      </c>
      <c r="BB11" s="58"/>
      <c r="BC11" s="58"/>
    </row>
    <row r="12" spans="1:55" ht="16.5" customHeight="1" x14ac:dyDescent="0.35">
      <c r="A12" s="12">
        <v>7</v>
      </c>
      <c r="B12" s="83" t="s">
        <v>130</v>
      </c>
      <c r="C12" s="84" t="str">
        <f>VLOOKUP(B12,Parametros!$I$6:$J$20,2,FALSE())</f>
        <v>Adrian Santisteban</v>
      </c>
      <c r="D12" s="85">
        <v>1</v>
      </c>
      <c r="E12" s="85">
        <v>1</v>
      </c>
      <c r="F12" s="11">
        <f t="shared" si="0"/>
        <v>1</v>
      </c>
      <c r="G12" s="86">
        <f>F12*Parametros!$E$6</f>
        <v>0.2</v>
      </c>
      <c r="H12" s="87">
        <v>10</v>
      </c>
      <c r="I12" s="87">
        <v>10</v>
      </c>
      <c r="J12" s="88" t="s">
        <v>222</v>
      </c>
      <c r="K12" s="86">
        <f>IF(J12="NO",0,IFERROR(H12/I12,0)*Parametros!$E$7)</f>
        <v>0.08</v>
      </c>
      <c r="L12" s="85">
        <v>1</v>
      </c>
      <c r="M12" s="88" t="s">
        <v>222</v>
      </c>
      <c r="N12" s="86">
        <f>IF(M12="NO",0,L12*Parametros!$E$8)</f>
        <v>0.08</v>
      </c>
      <c r="O12" s="85">
        <v>1</v>
      </c>
      <c r="P12" s="88" t="s">
        <v>222</v>
      </c>
      <c r="Q12" s="86">
        <f>IF(P12="NO",0,O12*Parametros!$E$9)</f>
        <v>0.08</v>
      </c>
      <c r="R12" s="85">
        <v>1</v>
      </c>
      <c r="S12" s="88" t="s">
        <v>222</v>
      </c>
      <c r="T12" s="86">
        <f>IF(S12="NO",0,R12*Parametros!$E$10)</f>
        <v>0.06</v>
      </c>
      <c r="U12" s="85">
        <v>1</v>
      </c>
      <c r="V12" s="86">
        <f>U12*Parametros!$E$11</f>
        <v>0.25</v>
      </c>
      <c r="W12" s="87">
        <v>1</v>
      </c>
      <c r="X12" s="86">
        <f>MAX(0,Parametros!$E$12-Parametros!$E$18*W12)</f>
        <v>0.2</v>
      </c>
      <c r="Y12" s="87">
        <v>5</v>
      </c>
      <c r="Z12" s="87">
        <v>6</v>
      </c>
      <c r="AA12" s="89">
        <f>IF(Y12&gt;=Parametros!$E$22,Parametros!$E$24,0)</f>
        <v>0</v>
      </c>
      <c r="AB12" s="89">
        <f>IF(Z12&gt;=Parametros!$E$23,Parametros!$E$25,0)</f>
        <v>0</v>
      </c>
      <c r="AC12" s="89">
        <f t="shared" si="1"/>
        <v>0</v>
      </c>
      <c r="AD12" s="87">
        <v>0</v>
      </c>
      <c r="AE12" s="88" t="s">
        <v>222</v>
      </c>
      <c r="AF12" s="87">
        <v>0</v>
      </c>
      <c r="AG12" s="88" t="s">
        <v>222</v>
      </c>
      <c r="AH12" s="87">
        <v>0</v>
      </c>
      <c r="AI12" s="88" t="s">
        <v>222</v>
      </c>
      <c r="AJ12" s="87">
        <v>0</v>
      </c>
      <c r="AK12" s="88" t="s">
        <v>222</v>
      </c>
      <c r="AL12" s="87">
        <v>0</v>
      </c>
      <c r="AM12" s="88" t="s">
        <v>222</v>
      </c>
      <c r="AN12" s="89">
        <f>AD12*Parametros!$E$28+AF12*Parametros!$E$29+AH12*Parametros!$E$30+AJ12*Parametros!$E$31+AL12*Parametros!$E$32</f>
        <v>0</v>
      </c>
      <c r="AO12" s="12" t="str">
        <f t="shared" si="2"/>
        <v>NO</v>
      </c>
      <c r="AP12" s="11">
        <f t="shared" si="3"/>
        <v>0.95</v>
      </c>
      <c r="AQ12" s="90">
        <f>MAX(0,MIN(1,MAX(0,AP12-IF(S12="NO",Parametros!$E$17,0))+AC12-AN12-IF(AO12="SI",Parametros!$E$33,0)))</f>
        <v>0.95</v>
      </c>
      <c r="AR12" s="58"/>
      <c r="AS12" s="71" t="str">
        <f>'Captura Marzo'!B14</f>
        <v>Linea 2</v>
      </c>
      <c r="AT12" s="72">
        <f>'Captura Marzo'!K14+'Captura Marzo'!N14+'Captura Marzo'!Q14</f>
        <v>0.24</v>
      </c>
      <c r="AU12" s="72">
        <f>'Captura Marzo'!T14</f>
        <v>0.06</v>
      </c>
      <c r="AV12" s="72">
        <f>'Captura Marzo'!V14</f>
        <v>0.25</v>
      </c>
      <c r="AW12" s="72">
        <f>'Captura Marzo'!G14</f>
        <v>0.2</v>
      </c>
      <c r="AX12" s="72">
        <f>'Captura Marzo'!X14</f>
        <v>0.2</v>
      </c>
      <c r="AY12" s="72">
        <f>'Captura Marzo'!AC14</f>
        <v>0.04</v>
      </c>
      <c r="AZ12" s="73">
        <f>-'Captura Marzo'!AN14</f>
        <v>0</v>
      </c>
      <c r="BA12" s="74">
        <f>'Captura Marzo'!AQ14</f>
        <v>0.99</v>
      </c>
      <c r="BB12" s="58"/>
      <c r="BC12" s="58"/>
    </row>
    <row r="13" spans="1:55" ht="16.5" customHeight="1" x14ac:dyDescent="0.35">
      <c r="A13" s="12">
        <v>8</v>
      </c>
      <c r="B13" s="83" t="s">
        <v>123</v>
      </c>
      <c r="C13" s="84" t="str">
        <f>VLOOKUP(B13,Parametros!$I$6:$J$20,2,FALSE())</f>
        <v>Amilcar Ralda</v>
      </c>
      <c r="D13" s="85">
        <v>1</v>
      </c>
      <c r="E13" s="85">
        <v>1</v>
      </c>
      <c r="F13" s="11">
        <f t="shared" si="0"/>
        <v>1</v>
      </c>
      <c r="G13" s="86">
        <f>F13*Parametros!$E$6</f>
        <v>0.2</v>
      </c>
      <c r="H13" s="87">
        <v>10</v>
      </c>
      <c r="I13" s="87">
        <v>10</v>
      </c>
      <c r="J13" s="88" t="s">
        <v>222</v>
      </c>
      <c r="K13" s="86">
        <f>IF(J13="NO",0,IFERROR(H13/I13,0)*Parametros!$E$7)</f>
        <v>0.08</v>
      </c>
      <c r="L13" s="85">
        <v>1</v>
      </c>
      <c r="M13" s="88" t="s">
        <v>222</v>
      </c>
      <c r="N13" s="86">
        <f>IF(M13="NO",0,L13*Parametros!$E$8)</f>
        <v>0.08</v>
      </c>
      <c r="O13" s="85">
        <v>1</v>
      </c>
      <c r="P13" s="88" t="s">
        <v>222</v>
      </c>
      <c r="Q13" s="86">
        <f>IF(P13="NO",0,O13*Parametros!$E$9)</f>
        <v>0.08</v>
      </c>
      <c r="R13" s="85">
        <v>1</v>
      </c>
      <c r="S13" s="88" t="s">
        <v>222</v>
      </c>
      <c r="T13" s="86">
        <f>IF(S13="NO",0,R13*Parametros!$E$10)</f>
        <v>0.06</v>
      </c>
      <c r="U13" s="85">
        <v>1</v>
      </c>
      <c r="V13" s="86">
        <f>U13*Parametros!$E$11</f>
        <v>0.25</v>
      </c>
      <c r="W13" s="87">
        <v>1</v>
      </c>
      <c r="X13" s="86">
        <f>MAX(0,Parametros!$E$12-Parametros!$E$18*W13)</f>
        <v>0.2</v>
      </c>
      <c r="Y13" s="87">
        <v>4</v>
      </c>
      <c r="Z13" s="87">
        <v>22</v>
      </c>
      <c r="AA13" s="89">
        <f>IF(Y13&gt;=Parametros!$E$22,Parametros!$E$24,0)</f>
        <v>0</v>
      </c>
      <c r="AB13" s="89">
        <f>IF(Z13&gt;=Parametros!$E$23,Parametros!$E$25,0)</f>
        <v>0.04</v>
      </c>
      <c r="AC13" s="89">
        <f t="shared" si="1"/>
        <v>0.04</v>
      </c>
      <c r="AD13" s="87">
        <v>0</v>
      </c>
      <c r="AE13" s="88" t="s">
        <v>222</v>
      </c>
      <c r="AF13" s="87">
        <v>0</v>
      </c>
      <c r="AG13" s="88" t="s">
        <v>222</v>
      </c>
      <c r="AH13" s="87">
        <v>0</v>
      </c>
      <c r="AI13" s="88" t="s">
        <v>222</v>
      </c>
      <c r="AJ13" s="87">
        <v>0</v>
      </c>
      <c r="AK13" s="88" t="s">
        <v>222</v>
      </c>
      <c r="AL13" s="87">
        <v>0</v>
      </c>
      <c r="AM13" s="88" t="s">
        <v>222</v>
      </c>
      <c r="AN13" s="89">
        <f>AD13*Parametros!$E$28+AF13*Parametros!$E$29+AH13*Parametros!$E$30+AJ13*Parametros!$E$31+AL13*Parametros!$E$32</f>
        <v>0</v>
      </c>
      <c r="AO13" s="12" t="str">
        <f t="shared" si="2"/>
        <v>NO</v>
      </c>
      <c r="AP13" s="11">
        <f t="shared" si="3"/>
        <v>0.95</v>
      </c>
      <c r="AQ13" s="90">
        <f>MAX(0,MIN(1,MAX(0,AP13-IF(S13="NO",Parametros!$E$17,0))+AC13-AN13-IF(AO13="SI",Parametros!$E$33,0)))</f>
        <v>0.99</v>
      </c>
      <c r="AR13" s="58"/>
      <c r="AS13" s="79" t="str">
        <f>'Captura Marzo'!B15</f>
        <v>Linea 3</v>
      </c>
      <c r="AT13" s="80">
        <f>'Captura Marzo'!K15+'Captura Marzo'!N15+'Captura Marzo'!Q15</f>
        <v>0.24</v>
      </c>
      <c r="AU13" s="80">
        <f>'Captura Marzo'!T15</f>
        <v>0.06</v>
      </c>
      <c r="AV13" s="80">
        <f>'Captura Marzo'!V15</f>
        <v>0.25</v>
      </c>
      <c r="AW13" s="80">
        <f>'Captura Marzo'!G15</f>
        <v>0.2</v>
      </c>
      <c r="AX13" s="80">
        <f>'Captura Marzo'!X15</f>
        <v>0.25</v>
      </c>
      <c r="AY13" s="80">
        <f>'Captura Marzo'!AC15</f>
        <v>0</v>
      </c>
      <c r="AZ13" s="81">
        <f>-'Captura Marzo'!AN15</f>
        <v>0</v>
      </c>
      <c r="BA13" s="82">
        <f>'Captura Marzo'!AQ15</f>
        <v>1</v>
      </c>
      <c r="BB13" s="58"/>
      <c r="BC13" s="58"/>
    </row>
    <row r="14" spans="1:55" ht="16.5" customHeight="1" x14ac:dyDescent="0.35">
      <c r="A14" s="12">
        <v>9</v>
      </c>
      <c r="B14" s="83" t="s">
        <v>113</v>
      </c>
      <c r="C14" s="84" t="str">
        <f>VLOOKUP(B14,Parametros!$I$6:$J$20,2,FALSE())</f>
        <v>Amilcar Ralda</v>
      </c>
      <c r="D14" s="85">
        <v>1</v>
      </c>
      <c r="E14" s="85">
        <v>1</v>
      </c>
      <c r="F14" s="11">
        <f t="shared" si="0"/>
        <v>1</v>
      </c>
      <c r="G14" s="86">
        <f>F14*Parametros!$E$6</f>
        <v>0.2</v>
      </c>
      <c r="H14" s="87">
        <v>10</v>
      </c>
      <c r="I14" s="87">
        <v>10</v>
      </c>
      <c r="J14" s="88" t="s">
        <v>222</v>
      </c>
      <c r="K14" s="86">
        <f>IF(J14="NO",0,IFERROR(H14/I14,0)*Parametros!$E$7)</f>
        <v>0.08</v>
      </c>
      <c r="L14" s="85">
        <v>1</v>
      </c>
      <c r="M14" s="88" t="s">
        <v>222</v>
      </c>
      <c r="N14" s="86">
        <f>IF(M14="NO",0,L14*Parametros!$E$8)</f>
        <v>0.08</v>
      </c>
      <c r="O14" s="85">
        <v>1</v>
      </c>
      <c r="P14" s="88" t="s">
        <v>222</v>
      </c>
      <c r="Q14" s="86">
        <f>IF(P14="NO",0,O14*Parametros!$E$9)</f>
        <v>0.08</v>
      </c>
      <c r="R14" s="85">
        <v>1</v>
      </c>
      <c r="S14" s="88" t="s">
        <v>222</v>
      </c>
      <c r="T14" s="86">
        <f>IF(S14="NO",0,R14*Parametros!$E$10)</f>
        <v>0.06</v>
      </c>
      <c r="U14" s="85">
        <v>1</v>
      </c>
      <c r="V14" s="86">
        <f>U14*Parametros!$E$11</f>
        <v>0.25</v>
      </c>
      <c r="W14" s="87">
        <v>1</v>
      </c>
      <c r="X14" s="86">
        <f>MAX(0,Parametros!$E$12-Parametros!$E$18*W14)</f>
        <v>0.2</v>
      </c>
      <c r="Y14" s="87">
        <v>4</v>
      </c>
      <c r="Z14" s="87">
        <v>15</v>
      </c>
      <c r="AA14" s="89">
        <f>IF(Y14&gt;=Parametros!$E$22,Parametros!$E$24,0)</f>
        <v>0</v>
      </c>
      <c r="AB14" s="89">
        <f>IF(Z14&gt;=Parametros!$E$23,Parametros!$E$25,0)</f>
        <v>0.04</v>
      </c>
      <c r="AC14" s="89">
        <f t="shared" si="1"/>
        <v>0.04</v>
      </c>
      <c r="AD14" s="87">
        <v>0</v>
      </c>
      <c r="AE14" s="88" t="s">
        <v>222</v>
      </c>
      <c r="AF14" s="87">
        <v>0</v>
      </c>
      <c r="AG14" s="88" t="s">
        <v>222</v>
      </c>
      <c r="AH14" s="87">
        <v>0</v>
      </c>
      <c r="AI14" s="88" t="s">
        <v>222</v>
      </c>
      <c r="AJ14" s="87">
        <v>0</v>
      </c>
      <c r="AK14" s="88" t="s">
        <v>222</v>
      </c>
      <c r="AL14" s="87">
        <v>0</v>
      </c>
      <c r="AM14" s="88" t="s">
        <v>222</v>
      </c>
      <c r="AN14" s="89">
        <f>AD14*Parametros!$E$28+AF14*Parametros!$E$29+AH14*Parametros!$E$30+AJ14*Parametros!$E$31+AL14*Parametros!$E$32</f>
        <v>0</v>
      </c>
      <c r="AO14" s="12" t="str">
        <f t="shared" si="2"/>
        <v>NO</v>
      </c>
      <c r="AP14" s="11">
        <f t="shared" si="3"/>
        <v>0.95</v>
      </c>
      <c r="AQ14" s="90">
        <f>MAX(0,MIN(1,MAX(0,AP14-IF(S14="NO",Parametros!$E$17,0))+AC14-AN14-IF(AO14="SI",Parametros!$E$33,0)))</f>
        <v>0.99</v>
      </c>
      <c r="AR14" s="58"/>
      <c r="AS14" s="71" t="str">
        <f>'Captura Marzo'!B16</f>
        <v>Linea 4</v>
      </c>
      <c r="AT14" s="72">
        <f>'Captura Marzo'!K16+'Captura Marzo'!N16+'Captura Marzo'!Q16</f>
        <v>0.24</v>
      </c>
      <c r="AU14" s="72">
        <f>'Captura Marzo'!T16</f>
        <v>0.06</v>
      </c>
      <c r="AV14" s="72">
        <f>'Captura Marzo'!V16</f>
        <v>0.25</v>
      </c>
      <c r="AW14" s="72">
        <f>'Captura Marzo'!G16</f>
        <v>0.2</v>
      </c>
      <c r="AX14" s="72">
        <f>'Captura Marzo'!X16</f>
        <v>0.25</v>
      </c>
      <c r="AY14" s="72">
        <f>'Captura Marzo'!AC16</f>
        <v>0</v>
      </c>
      <c r="AZ14" s="73">
        <f>-'Captura Marzo'!AN16</f>
        <v>0</v>
      </c>
      <c r="BA14" s="74">
        <f>'Captura Marzo'!AQ16</f>
        <v>1</v>
      </c>
      <c r="BB14" s="58"/>
      <c r="BC14" s="58"/>
    </row>
    <row r="15" spans="1:55" ht="16.5" customHeight="1" x14ac:dyDescent="0.35">
      <c r="A15" s="12">
        <v>10</v>
      </c>
      <c r="B15" s="83" t="s">
        <v>133</v>
      </c>
      <c r="C15" s="84" t="str">
        <f>VLOOKUP(B15,Parametros!$I$6:$J$20,2,FALSE())</f>
        <v>Mario Ramos</v>
      </c>
      <c r="D15" s="85">
        <v>1</v>
      </c>
      <c r="E15" s="85">
        <v>1</v>
      </c>
      <c r="F15" s="11">
        <f t="shared" si="0"/>
        <v>1</v>
      </c>
      <c r="G15" s="86">
        <f>F15*Parametros!$E$6</f>
        <v>0.2</v>
      </c>
      <c r="H15" s="87">
        <v>10</v>
      </c>
      <c r="I15" s="87">
        <v>10</v>
      </c>
      <c r="J15" s="88" t="s">
        <v>222</v>
      </c>
      <c r="K15" s="86">
        <f>IF(J15="NO",0,IFERROR(H15/I15,0)*Parametros!$E$7)</f>
        <v>0.08</v>
      </c>
      <c r="L15" s="85">
        <v>1</v>
      </c>
      <c r="M15" s="88" t="s">
        <v>222</v>
      </c>
      <c r="N15" s="86">
        <f>IF(M15="NO",0,L15*Parametros!$E$8)</f>
        <v>0.08</v>
      </c>
      <c r="O15" s="85">
        <v>1</v>
      </c>
      <c r="P15" s="88" t="s">
        <v>222</v>
      </c>
      <c r="Q15" s="86">
        <f>IF(P15="NO",0,O15*Parametros!$E$9)</f>
        <v>0.08</v>
      </c>
      <c r="R15" s="85">
        <v>1</v>
      </c>
      <c r="S15" s="88" t="s">
        <v>222</v>
      </c>
      <c r="T15" s="86">
        <f>IF(S15="NO",0,R15*Parametros!$E$10)</f>
        <v>0.06</v>
      </c>
      <c r="U15" s="85">
        <v>1</v>
      </c>
      <c r="V15" s="86">
        <f>U15*Parametros!$E$11</f>
        <v>0.25</v>
      </c>
      <c r="W15" s="87">
        <v>0</v>
      </c>
      <c r="X15" s="86">
        <f>MAX(0,Parametros!$E$12-Parametros!$E$18*W15)</f>
        <v>0.25</v>
      </c>
      <c r="Y15" s="87">
        <v>5</v>
      </c>
      <c r="Z15" s="87">
        <v>6</v>
      </c>
      <c r="AA15" s="89">
        <f>IF(Y15&gt;=Parametros!$E$22,Parametros!$E$24,0)</f>
        <v>0</v>
      </c>
      <c r="AB15" s="89">
        <f>IF(Z15&gt;=Parametros!$E$23,Parametros!$E$25,0)</f>
        <v>0</v>
      </c>
      <c r="AC15" s="89">
        <f t="shared" si="1"/>
        <v>0</v>
      </c>
      <c r="AD15" s="87">
        <v>0</v>
      </c>
      <c r="AE15" s="88" t="s">
        <v>222</v>
      </c>
      <c r="AF15" s="87">
        <v>0</v>
      </c>
      <c r="AG15" s="88" t="s">
        <v>222</v>
      </c>
      <c r="AH15" s="87">
        <v>0</v>
      </c>
      <c r="AI15" s="88" t="s">
        <v>222</v>
      </c>
      <c r="AJ15" s="87">
        <v>0</v>
      </c>
      <c r="AK15" s="88" t="s">
        <v>222</v>
      </c>
      <c r="AL15" s="87">
        <v>0</v>
      </c>
      <c r="AM15" s="88" t="s">
        <v>222</v>
      </c>
      <c r="AN15" s="89">
        <f>AD15*Parametros!$E$28+AF15*Parametros!$E$29+AH15*Parametros!$E$30+AJ15*Parametros!$E$31+AL15*Parametros!$E$32</f>
        <v>0</v>
      </c>
      <c r="AO15" s="12" t="str">
        <f t="shared" si="2"/>
        <v>NO</v>
      </c>
      <c r="AP15" s="11">
        <f t="shared" si="3"/>
        <v>1</v>
      </c>
      <c r="AQ15" s="90">
        <f>MAX(0,MIN(1,MAX(0,AP15-IF(S15="NO",Parametros!$E$17,0))+AC15-AN15-IF(AO15="SI",Parametros!$E$33,0)))</f>
        <v>1</v>
      </c>
      <c r="AR15" s="58"/>
      <c r="AS15" s="79" t="str">
        <f>'Captura Marzo'!B17</f>
        <v>Linea 5</v>
      </c>
      <c r="AT15" s="80">
        <f>'Captura Marzo'!K17+'Captura Marzo'!N17+'Captura Marzo'!Q17</f>
        <v>0.24</v>
      </c>
      <c r="AU15" s="80">
        <f>'Captura Marzo'!T17</f>
        <v>0.06</v>
      </c>
      <c r="AV15" s="80">
        <f>'Captura Marzo'!V17</f>
        <v>0.25</v>
      </c>
      <c r="AW15" s="80">
        <f>'Captura Marzo'!G17</f>
        <v>0.1785714285714286</v>
      </c>
      <c r="AX15" s="80">
        <f>'Captura Marzo'!X17</f>
        <v>0.25</v>
      </c>
      <c r="AY15" s="80">
        <f>'Captura Marzo'!AC17</f>
        <v>0.04</v>
      </c>
      <c r="AZ15" s="81">
        <f>-'Captura Marzo'!AN17</f>
        <v>0</v>
      </c>
      <c r="BA15" s="82">
        <f>'Captura Marzo'!AQ17</f>
        <v>1</v>
      </c>
      <c r="BB15" s="58"/>
      <c r="BC15" s="58"/>
    </row>
    <row r="16" spans="1:55" ht="16.5" customHeight="1" x14ac:dyDescent="0.35">
      <c r="A16" s="12">
        <v>11</v>
      </c>
      <c r="B16" s="83" t="s">
        <v>106</v>
      </c>
      <c r="C16" s="84" t="str">
        <f>VLOOKUP(B16,Parametros!$I$6:$J$20,2,FALSE())</f>
        <v>Mario Ramos</v>
      </c>
      <c r="D16" s="85">
        <v>1</v>
      </c>
      <c r="E16" s="85">
        <v>1</v>
      </c>
      <c r="F16" s="11">
        <f t="shared" si="0"/>
        <v>1</v>
      </c>
      <c r="G16" s="86">
        <f>F16*Parametros!$E$6</f>
        <v>0.2</v>
      </c>
      <c r="H16" s="87">
        <v>10</v>
      </c>
      <c r="I16" s="87">
        <v>10</v>
      </c>
      <c r="J16" s="88" t="s">
        <v>222</v>
      </c>
      <c r="K16" s="86">
        <f>IF(J16="NO",0,IFERROR(H16/I16,0)*Parametros!$E$7)</f>
        <v>0.08</v>
      </c>
      <c r="L16" s="85">
        <v>1</v>
      </c>
      <c r="M16" s="88" t="s">
        <v>222</v>
      </c>
      <c r="N16" s="86">
        <f>IF(M16="NO",0,L16*Parametros!$E$8)</f>
        <v>0.08</v>
      </c>
      <c r="O16" s="85">
        <v>1</v>
      </c>
      <c r="P16" s="88" t="s">
        <v>222</v>
      </c>
      <c r="Q16" s="86">
        <f>IF(P16="NO",0,O16*Parametros!$E$9)</f>
        <v>0.08</v>
      </c>
      <c r="R16" s="85">
        <v>1</v>
      </c>
      <c r="S16" s="88" t="s">
        <v>222</v>
      </c>
      <c r="T16" s="86">
        <f>IF(S16="NO",0,R16*Parametros!$E$10)</f>
        <v>0.06</v>
      </c>
      <c r="U16" s="85">
        <v>1</v>
      </c>
      <c r="V16" s="86">
        <f>U16*Parametros!$E$11</f>
        <v>0.25</v>
      </c>
      <c r="W16" s="87">
        <v>0</v>
      </c>
      <c r="X16" s="86">
        <f>MAX(0,Parametros!$E$12-Parametros!$E$18*W16)</f>
        <v>0.25</v>
      </c>
      <c r="Y16" s="87">
        <v>4</v>
      </c>
      <c r="Z16" s="87">
        <v>6</v>
      </c>
      <c r="AA16" s="89">
        <f>IF(Y16&gt;=Parametros!$E$22,Parametros!$E$24,0)</f>
        <v>0</v>
      </c>
      <c r="AB16" s="89">
        <f>IF(Z16&gt;=Parametros!$E$23,Parametros!$E$25,0)</f>
        <v>0</v>
      </c>
      <c r="AC16" s="89">
        <f t="shared" si="1"/>
        <v>0</v>
      </c>
      <c r="AD16" s="87">
        <v>0</v>
      </c>
      <c r="AE16" s="88" t="s">
        <v>222</v>
      </c>
      <c r="AF16" s="87">
        <v>0</v>
      </c>
      <c r="AG16" s="88" t="s">
        <v>222</v>
      </c>
      <c r="AH16" s="87">
        <v>0</v>
      </c>
      <c r="AI16" s="88" t="s">
        <v>222</v>
      </c>
      <c r="AJ16" s="87">
        <v>0</v>
      </c>
      <c r="AK16" s="88" t="s">
        <v>222</v>
      </c>
      <c r="AL16" s="87">
        <v>0</v>
      </c>
      <c r="AM16" s="88" t="s">
        <v>222</v>
      </c>
      <c r="AN16" s="89">
        <f>AD16*Parametros!$E$28+AF16*Parametros!$E$29+AH16*Parametros!$E$30+AJ16*Parametros!$E$31+AL16*Parametros!$E$32</f>
        <v>0</v>
      </c>
      <c r="AO16" s="12" t="str">
        <f t="shared" si="2"/>
        <v>NO</v>
      </c>
      <c r="AP16" s="11">
        <f t="shared" si="3"/>
        <v>1</v>
      </c>
      <c r="AQ16" s="90">
        <f>MAX(0,MIN(1,MAX(0,AP16-IF(S16="NO",Parametros!$E$17,0))+AC16-AN16-IF(AO16="SI",Parametros!$E$33,0)))</f>
        <v>1</v>
      </c>
      <c r="AR16" s="58"/>
      <c r="AS16" s="71" t="str">
        <f>'Captura Marzo'!B18</f>
        <v>Mantenimiento</v>
      </c>
      <c r="AT16" s="72">
        <f>'Captura Marzo'!K18+'Captura Marzo'!N18+'Captura Marzo'!Q18</f>
        <v>0.24</v>
      </c>
      <c r="AU16" s="72">
        <f>'Captura Marzo'!T18</f>
        <v>0.06</v>
      </c>
      <c r="AV16" s="72">
        <f>'Captura Marzo'!V18</f>
        <v>0.25</v>
      </c>
      <c r="AW16" s="72">
        <f>'Captura Marzo'!G18</f>
        <v>0.19333333333333333</v>
      </c>
      <c r="AX16" s="72">
        <f>'Captura Marzo'!X18</f>
        <v>0.25</v>
      </c>
      <c r="AY16" s="72">
        <f>'Captura Marzo'!AC18</f>
        <v>0.04</v>
      </c>
      <c r="AZ16" s="73">
        <f>-'Captura Marzo'!AN18</f>
        <v>0</v>
      </c>
      <c r="BA16" s="74">
        <f>'Captura Marzo'!AQ18</f>
        <v>1</v>
      </c>
      <c r="BB16" s="58"/>
      <c r="BC16" s="58"/>
    </row>
    <row r="17" spans="1:55" ht="16.5" customHeight="1" x14ac:dyDescent="0.35">
      <c r="A17" s="12">
        <v>12</v>
      </c>
      <c r="B17" s="83" t="s">
        <v>109</v>
      </c>
      <c r="C17" s="84" t="str">
        <f>VLOOKUP(B17,Parametros!$I$6:$J$20,2,FALSE())</f>
        <v>Roy Luarca</v>
      </c>
      <c r="D17" s="85">
        <v>0.78571428571428603</v>
      </c>
      <c r="E17" s="85">
        <v>1</v>
      </c>
      <c r="F17" s="11">
        <f t="shared" si="0"/>
        <v>0.89285714285714302</v>
      </c>
      <c r="G17" s="86">
        <f>F17*Parametros!$E$6</f>
        <v>0.1785714285714286</v>
      </c>
      <c r="H17" s="87">
        <v>10</v>
      </c>
      <c r="I17" s="87">
        <v>10</v>
      </c>
      <c r="J17" s="88" t="s">
        <v>222</v>
      </c>
      <c r="K17" s="86">
        <f>IF(J17="NO",0,IFERROR(H17/I17,0)*Parametros!$E$7)</f>
        <v>0.08</v>
      </c>
      <c r="L17" s="85">
        <v>1</v>
      </c>
      <c r="M17" s="88" t="s">
        <v>222</v>
      </c>
      <c r="N17" s="86">
        <f>IF(M17="NO",0,L17*Parametros!$E$8)</f>
        <v>0.08</v>
      </c>
      <c r="O17" s="85">
        <v>1</v>
      </c>
      <c r="P17" s="88" t="s">
        <v>222</v>
      </c>
      <c r="Q17" s="86">
        <f>IF(P17="NO",0,O17*Parametros!$E$9)</f>
        <v>0.08</v>
      </c>
      <c r="R17" s="85">
        <v>1</v>
      </c>
      <c r="S17" s="88" t="s">
        <v>222</v>
      </c>
      <c r="T17" s="86">
        <f>IF(S17="NO",0,R17*Parametros!$E$10)</f>
        <v>0.06</v>
      </c>
      <c r="U17" s="85">
        <v>1</v>
      </c>
      <c r="V17" s="86">
        <f>U17*Parametros!$E$11</f>
        <v>0.25</v>
      </c>
      <c r="W17" s="87">
        <v>0</v>
      </c>
      <c r="X17" s="86">
        <f>MAX(0,Parametros!$E$12-Parametros!$E$18*W17)</f>
        <v>0.25</v>
      </c>
      <c r="Y17" s="87">
        <v>1</v>
      </c>
      <c r="Z17" s="87">
        <v>16</v>
      </c>
      <c r="AA17" s="89">
        <f>IF(Y17&gt;=Parametros!$E$22,Parametros!$E$24,0)</f>
        <v>0</v>
      </c>
      <c r="AB17" s="89">
        <f>IF(Z17&gt;=Parametros!$E$23,Parametros!$E$25,0)</f>
        <v>0.04</v>
      </c>
      <c r="AC17" s="89">
        <f t="shared" si="1"/>
        <v>0.04</v>
      </c>
      <c r="AD17" s="87">
        <v>0</v>
      </c>
      <c r="AE17" s="88" t="s">
        <v>222</v>
      </c>
      <c r="AF17" s="87">
        <v>0</v>
      </c>
      <c r="AG17" s="88" t="s">
        <v>222</v>
      </c>
      <c r="AH17" s="87">
        <v>0</v>
      </c>
      <c r="AI17" s="88" t="s">
        <v>222</v>
      </c>
      <c r="AJ17" s="87">
        <v>0</v>
      </c>
      <c r="AK17" s="88" t="s">
        <v>222</v>
      </c>
      <c r="AL17" s="87">
        <v>0</v>
      </c>
      <c r="AM17" s="88" t="s">
        <v>222</v>
      </c>
      <c r="AN17" s="89">
        <f>AD17*Parametros!$E$28+AF17*Parametros!$E$29+AH17*Parametros!$E$30+AJ17*Parametros!$E$31+AL17*Parametros!$E$32</f>
        <v>0</v>
      </c>
      <c r="AO17" s="12" t="str">
        <f t="shared" si="2"/>
        <v>NO</v>
      </c>
      <c r="AP17" s="11">
        <f t="shared" si="3"/>
        <v>0.97857142857142865</v>
      </c>
      <c r="AQ17" s="90">
        <f>MAX(0,MIN(1,MAX(0,AP17-IF(S17="NO",Parametros!$E$17,0))+AC17-AN17-IF(AO17="SI",Parametros!$E$33,0)))</f>
        <v>1</v>
      </c>
      <c r="AR17" s="58"/>
      <c r="AS17" s="79" t="str">
        <f>'Captura Marzo'!B19</f>
        <v>Materias Primas</v>
      </c>
      <c r="AT17" s="80">
        <f>'Captura Marzo'!K19+'Captura Marzo'!N19+'Captura Marzo'!Q19</f>
        <v>0.24</v>
      </c>
      <c r="AU17" s="80">
        <f>'Captura Marzo'!T19</f>
        <v>0.06</v>
      </c>
      <c r="AV17" s="80">
        <f>'Captura Marzo'!V19</f>
        <v>0.25</v>
      </c>
      <c r="AW17" s="80">
        <f>'Captura Marzo'!G19</f>
        <v>0.2</v>
      </c>
      <c r="AX17" s="80">
        <f>'Captura Marzo'!X19</f>
        <v>0.25</v>
      </c>
      <c r="AY17" s="80">
        <f>'Captura Marzo'!AC19</f>
        <v>0.04</v>
      </c>
      <c r="AZ17" s="81">
        <f>-'Captura Marzo'!AN19</f>
        <v>0</v>
      </c>
      <c r="BA17" s="82">
        <f>'Captura Marzo'!AQ19</f>
        <v>1</v>
      </c>
      <c r="BB17" s="58"/>
      <c r="BC17" s="58"/>
    </row>
    <row r="18" spans="1:55" ht="16.5" customHeight="1" x14ac:dyDescent="0.35">
      <c r="A18" s="12">
        <v>13</v>
      </c>
      <c r="B18" s="83" t="s">
        <v>140</v>
      </c>
      <c r="C18" s="84" t="str">
        <f>VLOOKUP(B18,Parametros!$I$6:$J$20,2,FALSE())</f>
        <v>Eliu Tello</v>
      </c>
      <c r="D18" s="85">
        <v>0.93333333333333302</v>
      </c>
      <c r="E18" s="85">
        <v>1</v>
      </c>
      <c r="F18" s="11">
        <f t="shared" si="0"/>
        <v>0.96666666666666656</v>
      </c>
      <c r="G18" s="86">
        <f>F18*Parametros!$E$6</f>
        <v>0.19333333333333333</v>
      </c>
      <c r="H18" s="87">
        <v>10</v>
      </c>
      <c r="I18" s="87">
        <v>10</v>
      </c>
      <c r="J18" s="88" t="s">
        <v>222</v>
      </c>
      <c r="K18" s="86">
        <f>IF(J18="NO",0,IFERROR(H18/I18,0)*Parametros!$E$7)</f>
        <v>0.08</v>
      </c>
      <c r="L18" s="85">
        <v>1</v>
      </c>
      <c r="M18" s="88" t="s">
        <v>222</v>
      </c>
      <c r="N18" s="86">
        <f>IF(M18="NO",0,L18*Parametros!$E$8)</f>
        <v>0.08</v>
      </c>
      <c r="O18" s="85">
        <v>1</v>
      </c>
      <c r="P18" s="88" t="s">
        <v>222</v>
      </c>
      <c r="Q18" s="86">
        <f>IF(P18="NO",0,O18*Parametros!$E$9)</f>
        <v>0.08</v>
      </c>
      <c r="R18" s="85">
        <v>1</v>
      </c>
      <c r="S18" s="88" t="s">
        <v>222</v>
      </c>
      <c r="T18" s="86">
        <f>IF(S18="NO",0,R18*Parametros!$E$10)</f>
        <v>0.06</v>
      </c>
      <c r="U18" s="85">
        <v>1</v>
      </c>
      <c r="V18" s="86">
        <f>U18*Parametros!$E$11</f>
        <v>0.25</v>
      </c>
      <c r="W18" s="87">
        <v>0</v>
      </c>
      <c r="X18" s="86">
        <f>MAX(0,Parametros!$E$12-Parametros!$E$18*W18)</f>
        <v>0.25</v>
      </c>
      <c r="Y18" s="87">
        <v>2</v>
      </c>
      <c r="Z18" s="87">
        <v>20</v>
      </c>
      <c r="AA18" s="89">
        <f>IF(Y18&gt;=Parametros!$E$22,Parametros!$E$24,0)</f>
        <v>0</v>
      </c>
      <c r="AB18" s="89">
        <f>IF(Z18&gt;=Parametros!$E$23,Parametros!$E$25,0)</f>
        <v>0.04</v>
      </c>
      <c r="AC18" s="89">
        <f t="shared" si="1"/>
        <v>0.04</v>
      </c>
      <c r="AD18" s="87">
        <v>0</v>
      </c>
      <c r="AE18" s="88" t="s">
        <v>222</v>
      </c>
      <c r="AF18" s="87">
        <v>0</v>
      </c>
      <c r="AG18" s="88" t="s">
        <v>222</v>
      </c>
      <c r="AH18" s="87">
        <v>0</v>
      </c>
      <c r="AI18" s="88" t="s">
        <v>222</v>
      </c>
      <c r="AJ18" s="87">
        <v>0</v>
      </c>
      <c r="AK18" s="88" t="s">
        <v>222</v>
      </c>
      <c r="AL18" s="87">
        <v>0</v>
      </c>
      <c r="AM18" s="88" t="s">
        <v>222</v>
      </c>
      <c r="AN18" s="89">
        <f>AD18*Parametros!$E$28+AF18*Parametros!$E$29+AH18*Parametros!$E$30+AJ18*Parametros!$E$31+AL18*Parametros!$E$32</f>
        <v>0</v>
      </c>
      <c r="AO18" s="12" t="str">
        <f t="shared" si="2"/>
        <v>NO</v>
      </c>
      <c r="AP18" s="11">
        <f t="shared" si="3"/>
        <v>0.9933333333333334</v>
      </c>
      <c r="AQ18" s="90">
        <f>MAX(0,MIN(1,MAX(0,AP18-IF(S18="NO",Parametros!$E$17,0))+AC18-AN18-IF(AO18="SI",Parametros!$E$33,0)))</f>
        <v>1</v>
      </c>
      <c r="AR18" s="58"/>
      <c r="AS18" s="71" t="str">
        <f>'Captura Marzo'!B20</f>
        <v>Tratamiento de Aguas</v>
      </c>
      <c r="AT18" s="72">
        <f>'Captura Marzo'!K20+'Captura Marzo'!N20+'Captura Marzo'!Q20</f>
        <v>0.24</v>
      </c>
      <c r="AU18" s="72">
        <f>'Captura Marzo'!T20</f>
        <v>0.06</v>
      </c>
      <c r="AV18" s="72">
        <f>'Captura Marzo'!V20</f>
        <v>0.25</v>
      </c>
      <c r="AW18" s="72">
        <f>'Captura Marzo'!G20</f>
        <v>0.2</v>
      </c>
      <c r="AX18" s="72">
        <f>'Captura Marzo'!X20</f>
        <v>0.25</v>
      </c>
      <c r="AY18" s="72">
        <f>'Captura Marzo'!AC20</f>
        <v>0</v>
      </c>
      <c r="AZ18" s="73">
        <f>-'Captura Marzo'!AN20</f>
        <v>0</v>
      </c>
      <c r="BA18" s="74">
        <f>'Captura Marzo'!AQ20</f>
        <v>1</v>
      </c>
      <c r="BB18" s="58"/>
      <c r="BC18" s="58"/>
    </row>
    <row r="19" spans="1:55" ht="25.5" customHeight="1" x14ac:dyDescent="0.35">
      <c r="A19" s="12">
        <v>14</v>
      </c>
      <c r="B19" s="83" t="s">
        <v>142</v>
      </c>
      <c r="C19" s="84" t="str">
        <f>VLOOKUP(B19,Parametros!$I$6:$J$20,2,FALSE())</f>
        <v>Miguel Godinez</v>
      </c>
      <c r="D19" s="85">
        <v>1</v>
      </c>
      <c r="E19" s="85">
        <v>1</v>
      </c>
      <c r="F19" s="11">
        <f t="shared" si="0"/>
        <v>1</v>
      </c>
      <c r="G19" s="86">
        <f>F19*Parametros!$E$6</f>
        <v>0.2</v>
      </c>
      <c r="H19" s="87">
        <v>10</v>
      </c>
      <c r="I19" s="87">
        <v>10</v>
      </c>
      <c r="J19" s="88" t="s">
        <v>222</v>
      </c>
      <c r="K19" s="86">
        <f>IF(J19="NO",0,IFERROR(H19/I19,0)*Parametros!$E$7)</f>
        <v>0.08</v>
      </c>
      <c r="L19" s="85">
        <v>1</v>
      </c>
      <c r="M19" s="88" t="s">
        <v>222</v>
      </c>
      <c r="N19" s="86">
        <f>IF(M19="NO",0,L19*Parametros!$E$8)</f>
        <v>0.08</v>
      </c>
      <c r="O19" s="85">
        <v>1</v>
      </c>
      <c r="P19" s="88" t="s">
        <v>222</v>
      </c>
      <c r="Q19" s="86">
        <f>IF(P19="NO",0,O19*Parametros!$E$9)</f>
        <v>0.08</v>
      </c>
      <c r="R19" s="85">
        <v>1</v>
      </c>
      <c r="S19" s="88" t="s">
        <v>222</v>
      </c>
      <c r="T19" s="86">
        <f>IF(S19="NO",0,R19*Parametros!$E$10)</f>
        <v>0.06</v>
      </c>
      <c r="U19" s="85">
        <v>1</v>
      </c>
      <c r="V19" s="86">
        <f>U19*Parametros!$E$11</f>
        <v>0.25</v>
      </c>
      <c r="W19" s="87">
        <v>0</v>
      </c>
      <c r="X19" s="86">
        <f>MAX(0,Parametros!$E$12-Parametros!$E$18*W19)</f>
        <v>0.25</v>
      </c>
      <c r="Y19" s="87">
        <v>2</v>
      </c>
      <c r="Z19" s="87">
        <v>15</v>
      </c>
      <c r="AA19" s="89">
        <f>IF(Y19&gt;=Parametros!$E$22,Parametros!$E$24,0)</f>
        <v>0</v>
      </c>
      <c r="AB19" s="89">
        <f>IF(Z19&gt;=Parametros!$E$23,Parametros!$E$25,0)</f>
        <v>0.04</v>
      </c>
      <c r="AC19" s="89">
        <f t="shared" si="1"/>
        <v>0.04</v>
      </c>
      <c r="AD19" s="87">
        <v>0</v>
      </c>
      <c r="AE19" s="88" t="s">
        <v>222</v>
      </c>
      <c r="AF19" s="87">
        <v>0</v>
      </c>
      <c r="AG19" s="88" t="s">
        <v>222</v>
      </c>
      <c r="AH19" s="87">
        <v>0</v>
      </c>
      <c r="AI19" s="88" t="s">
        <v>222</v>
      </c>
      <c r="AJ19" s="87">
        <v>0</v>
      </c>
      <c r="AK19" s="88" t="s">
        <v>222</v>
      </c>
      <c r="AL19" s="87">
        <v>0</v>
      </c>
      <c r="AM19" s="88" t="s">
        <v>222</v>
      </c>
      <c r="AN19" s="89">
        <f>AD19*Parametros!$E$28+AF19*Parametros!$E$29+AH19*Parametros!$E$30+AJ19*Parametros!$E$31+AL19*Parametros!$E$32</f>
        <v>0</v>
      </c>
      <c r="AO19" s="12" t="str">
        <f t="shared" si="2"/>
        <v>NO</v>
      </c>
      <c r="AP19" s="11">
        <f t="shared" si="3"/>
        <v>1</v>
      </c>
      <c r="AQ19" s="90">
        <f>MAX(0,MIN(1,MAX(0,AP19-IF(S19="NO",Parametros!$E$17,0))+AC19-AN19-IF(AO19="SI",Parametros!$E$33,0)))</f>
        <v>1</v>
      </c>
      <c r="AR19" s="58"/>
      <c r="AS19" s="111" t="s">
        <v>235</v>
      </c>
      <c r="AT19" s="111"/>
      <c r="AU19" s="111"/>
      <c r="AV19" s="111"/>
      <c r="AW19" s="111"/>
      <c r="AX19" s="111"/>
      <c r="AY19" s="111"/>
      <c r="AZ19" s="111"/>
      <c r="BA19" s="91">
        <f>AVERAGE(BA4:BA18)</f>
        <v>0.99283333333333335</v>
      </c>
      <c r="BB19" s="58"/>
      <c r="BC19" s="58"/>
    </row>
    <row r="20" spans="1:55" ht="16.5" customHeight="1" x14ac:dyDescent="0.35">
      <c r="A20" s="12">
        <v>15</v>
      </c>
      <c r="B20" s="83" t="s">
        <v>138</v>
      </c>
      <c r="C20" s="84" t="str">
        <f>VLOOKUP(B20,Parametros!$I$6:$J$20,2,FALSE())</f>
        <v>Adrian Santisteban</v>
      </c>
      <c r="D20" s="85">
        <v>1</v>
      </c>
      <c r="E20" s="85">
        <v>1</v>
      </c>
      <c r="F20" s="11">
        <f t="shared" si="0"/>
        <v>1</v>
      </c>
      <c r="G20" s="86">
        <f>F20*Parametros!$E$6</f>
        <v>0.2</v>
      </c>
      <c r="H20" s="87">
        <v>10</v>
      </c>
      <c r="I20" s="87">
        <v>10</v>
      </c>
      <c r="J20" s="88" t="s">
        <v>222</v>
      </c>
      <c r="K20" s="86">
        <f>IF(J20="NO",0,IFERROR(H20/I20,0)*Parametros!$E$7)</f>
        <v>0.08</v>
      </c>
      <c r="L20" s="85">
        <v>1</v>
      </c>
      <c r="M20" s="88" t="s">
        <v>222</v>
      </c>
      <c r="N20" s="86">
        <f>IF(M20="NO",0,L20*Parametros!$E$8)</f>
        <v>0.08</v>
      </c>
      <c r="O20" s="85">
        <v>1</v>
      </c>
      <c r="P20" s="88" t="s">
        <v>222</v>
      </c>
      <c r="Q20" s="86">
        <f>IF(P20="NO",0,O20*Parametros!$E$9)</f>
        <v>0.08</v>
      </c>
      <c r="R20" s="85">
        <v>1</v>
      </c>
      <c r="S20" s="88" t="s">
        <v>222</v>
      </c>
      <c r="T20" s="86">
        <f>IF(S20="NO",0,R20*Parametros!$E$10)</f>
        <v>0.06</v>
      </c>
      <c r="U20" s="85">
        <v>1</v>
      </c>
      <c r="V20" s="86">
        <f>U20*Parametros!$E$11</f>
        <v>0.25</v>
      </c>
      <c r="W20" s="87">
        <v>0</v>
      </c>
      <c r="X20" s="86">
        <f>MAX(0,Parametros!$E$12-Parametros!$E$18*W20)</f>
        <v>0.25</v>
      </c>
      <c r="Y20" s="87">
        <v>4</v>
      </c>
      <c r="Z20" s="87">
        <v>4</v>
      </c>
      <c r="AA20" s="89">
        <f>IF(Y20&gt;=Parametros!$E$22,Parametros!$E$24,0)</f>
        <v>0</v>
      </c>
      <c r="AB20" s="89">
        <f>IF(Z20&gt;=Parametros!$E$23,Parametros!$E$25,0)</f>
        <v>0</v>
      </c>
      <c r="AC20" s="89">
        <f t="shared" si="1"/>
        <v>0</v>
      </c>
      <c r="AD20" s="87">
        <v>0</v>
      </c>
      <c r="AE20" s="88" t="s">
        <v>222</v>
      </c>
      <c r="AF20" s="87">
        <v>0</v>
      </c>
      <c r="AG20" s="88" t="s">
        <v>222</v>
      </c>
      <c r="AH20" s="87">
        <v>0</v>
      </c>
      <c r="AI20" s="88" t="s">
        <v>222</v>
      </c>
      <c r="AJ20" s="87">
        <v>0</v>
      </c>
      <c r="AK20" s="88" t="s">
        <v>222</v>
      </c>
      <c r="AL20" s="87">
        <v>0</v>
      </c>
      <c r="AM20" s="88" t="s">
        <v>222</v>
      </c>
      <c r="AN20" s="89">
        <f>AD20*Parametros!$E$28+AF20*Parametros!$E$29+AH20*Parametros!$E$30+AJ20*Parametros!$E$31+AL20*Parametros!$E$32</f>
        <v>0</v>
      </c>
      <c r="AO20" s="12" t="str">
        <f t="shared" si="2"/>
        <v>NO</v>
      </c>
      <c r="AP20" s="11">
        <f t="shared" si="3"/>
        <v>1</v>
      </c>
      <c r="AQ20" s="90">
        <f>MAX(0,MIN(1,MAX(0,AP20-IF(S20="NO",Parametros!$E$17,0))+AC20-AN20-IF(AO20="SI",Parametros!$E$33,0)))</f>
        <v>1</v>
      </c>
      <c r="AR20" s="58"/>
      <c r="AS20" s="58"/>
      <c r="AT20" s="58"/>
      <c r="AU20" s="58"/>
      <c r="AV20" s="58"/>
      <c r="AW20" s="58"/>
      <c r="AX20" s="58"/>
      <c r="AY20" s="58"/>
      <c r="AZ20" s="58"/>
      <c r="BA20" s="58"/>
      <c r="BB20" s="58"/>
    </row>
    <row r="22" spans="1:55" ht="21.75" customHeight="1" x14ac:dyDescent="0.35">
      <c r="A22" s="112"/>
      <c r="B22" s="112"/>
      <c r="C22" s="112"/>
      <c r="D22" s="70"/>
      <c r="E22" s="70"/>
      <c r="F22" s="70"/>
      <c r="G22" s="70"/>
      <c r="H22" s="70"/>
      <c r="I22" s="70"/>
      <c r="J22" s="70"/>
      <c r="K22" s="70"/>
      <c r="L22" s="70"/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V22" s="92"/>
    </row>
    <row r="23" spans="1:55" ht="21.75" customHeight="1" x14ac:dyDescent="0.35">
      <c r="A23" s="113" t="s">
        <v>225</v>
      </c>
      <c r="B23" s="113"/>
      <c r="C23" s="113"/>
      <c r="D23" s="93"/>
      <c r="E23" s="93"/>
      <c r="F23" s="93"/>
      <c r="G23" s="93"/>
      <c r="H23" s="93"/>
      <c r="I23" s="93"/>
      <c r="J23" s="93"/>
      <c r="K23" s="93"/>
      <c r="L23" s="93"/>
      <c r="M23" s="93"/>
      <c r="N23" s="93"/>
      <c r="O23" s="93"/>
      <c r="P23" s="93"/>
      <c r="Q23" s="93"/>
      <c r="R23" s="93"/>
      <c r="S23" s="93"/>
      <c r="T23" s="93"/>
      <c r="U23" s="93"/>
      <c r="V23" s="93"/>
      <c r="W23" s="93"/>
      <c r="X23" s="93"/>
      <c r="Y23" s="93"/>
      <c r="Z23" s="93"/>
      <c r="AA23" s="93"/>
      <c r="AB23" s="93"/>
      <c r="AC23" s="93"/>
      <c r="AD23" s="93"/>
      <c r="AE23" s="93"/>
      <c r="AF23" s="93"/>
      <c r="AG23" s="93"/>
      <c r="AH23" s="93"/>
      <c r="AI23" s="93"/>
      <c r="AJ23" s="93"/>
      <c r="AK23" s="93"/>
      <c r="AL23" s="93"/>
      <c r="AM23" s="93"/>
      <c r="AN23" s="93"/>
      <c r="AO23" s="93"/>
      <c r="AP23" s="93"/>
      <c r="AQ23" s="94">
        <f>AVERAGE(AQ6:AQ20)</f>
        <v>0.99283333333333335</v>
      </c>
      <c r="AR23" s="58"/>
      <c r="AS23" s="58"/>
      <c r="AT23" s="58"/>
      <c r="AU23" s="58"/>
      <c r="AV23" s="58"/>
      <c r="AW23" s="58"/>
      <c r="AX23" s="58"/>
      <c r="AY23" s="58"/>
      <c r="AZ23" s="58"/>
      <c r="BA23" s="58"/>
      <c r="BB23" s="58"/>
    </row>
  </sheetData>
  <mergeCells count="20">
    <mergeCell ref="A1:AB1"/>
    <mergeCell ref="AS1:BA1"/>
    <mergeCell ref="BB1:BC1"/>
    <mergeCell ref="B2:D2"/>
    <mergeCell ref="AT2:AV2"/>
    <mergeCell ref="AX2:BA2"/>
    <mergeCell ref="BB5:BC5"/>
    <mergeCell ref="AS19:AZ19"/>
    <mergeCell ref="A22:C22"/>
    <mergeCell ref="A23:C23"/>
    <mergeCell ref="U4:V4"/>
    <mergeCell ref="W4:X4"/>
    <mergeCell ref="Y4:AC4"/>
    <mergeCell ref="AD4:AO4"/>
    <mergeCell ref="AP4:AQ4"/>
    <mergeCell ref="D4:G4"/>
    <mergeCell ref="H4:K4"/>
    <mergeCell ref="L4:N4"/>
    <mergeCell ref="O4:Q4"/>
    <mergeCell ref="R4:T4"/>
  </mergeCells>
  <conditionalFormatting sqref="AQ6:AQ20">
    <cfRule type="cellIs" dxfId="92" priority="5" operator="greaterThanOrEqual">
      <formula>0.9</formula>
    </cfRule>
    <cfRule type="cellIs" dxfId="91" priority="6" operator="between">
      <formula>0.7</formula>
      <formula>0.8999</formula>
    </cfRule>
    <cfRule type="cellIs" dxfId="90" priority="7" operator="lessThan">
      <formula>0.7</formula>
    </cfRule>
  </conditionalFormatting>
  <conditionalFormatting sqref="AV6:AV20">
    <cfRule type="cellIs" dxfId="89" priority="2" operator="greaterThanOrEqual">
      <formula>0.9</formula>
    </cfRule>
    <cfRule type="expression" dxfId="88" priority="3">
      <formula>AND(AV6&gt;=0.7,AV6&lt;0.9)</formula>
    </cfRule>
    <cfRule type="cellIs" dxfId="87" priority="4" operator="lessThan">
      <formula>0.7</formula>
    </cfRule>
  </conditionalFormatting>
  <conditionalFormatting sqref="BA4:BA18">
    <cfRule type="cellIs" dxfId="86" priority="8" operator="greaterThanOrEqual">
      <formula>0.9</formula>
    </cfRule>
    <cfRule type="cellIs" dxfId="85" priority="9" operator="between">
      <formula>0.7</formula>
      <formula>0.8999</formula>
    </cfRule>
    <cfRule type="cellIs" dxfId="84" priority="10" operator="lessThan">
      <formula>0.7</formula>
    </cfRule>
  </conditionalFormatting>
  <dataValidations count="4">
    <dataValidation type="whole" operator="greaterThanOrEqual" showErrorMessage="1" errorTitle="Valor invalido" error="Ingrese un numero entero &gt;= 0" sqref="F6:F20 K6:K20 N6:N20 V6:W20 AB6:AB20 AD6:AD20 AO6:AO20 AQ6:AQ20" xr:uid="{00000000-0002-0000-0700-000000000000}">
      <formula1>0</formula1>
      <formula2>0</formula2>
    </dataValidation>
    <dataValidation type="decimal" showErrorMessage="1" errorTitle="Valor invalido" error="Ingrese un porcentaje entre 0% y 100%" sqref="D6:E20 L6:L20 O6:O20 R6:R20 U6:U20" xr:uid="{00000000-0002-0000-0700-000001000000}">
      <formula1>0</formula1>
      <formula2>1</formula2>
    </dataValidation>
    <dataValidation type="whole" operator="greaterThanOrEqual" showErrorMessage="1" errorTitle="Valor inválido" error="Ingrese un número entero mayor o igual a 0" sqref="Z6:Z20" xr:uid="{00000000-0002-0000-0700-000002000000}">
      <formula1>0</formula1>
      <formula2>0</formula2>
    </dataValidation>
    <dataValidation type="list" sqref="J6:J20 M6:M20 P6:P20 S6:T20 X6:X20 AE6:AE20 AG6:AG20 AI6:AN20 AP6:AP20 AR6:AR20" xr:uid="{00000000-0002-0000-0700-000003000000}">
      <formula1>"SI,NO"</formula1>
      <formula2>0</formula2>
    </dataValidation>
  </dataValidations>
  <pageMargins left="0.3" right="0.3" top="0.4" bottom="0.4" header="0.511811023622047" footer="0.511811023622047"/>
  <pageSetup fitToHeight="0" orientation="landscape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ED6B23"/>
    <pageSetUpPr fitToPage="1"/>
  </sheetPr>
  <dimension ref="A1:BC23"/>
  <sheetViews>
    <sheetView showGridLines="0" zoomScale="70" zoomScaleNormal="70" workbookViewId="0">
      <pane xSplit="3" ySplit="5" topLeftCell="AQ6" activePane="bottomRight" state="frozen"/>
      <selection pane="topRight" activeCell="AQ1" sqref="AQ1"/>
      <selection pane="bottomLeft" activeCell="A6" sqref="A6"/>
      <selection pane="bottomRight" activeCell="BC4" sqref="BC4"/>
    </sheetView>
  </sheetViews>
  <sheetFormatPr baseColWidth="10" defaultColWidth="8.6328125" defaultRowHeight="14.5" x14ac:dyDescent="0.35"/>
  <cols>
    <col min="1" max="1" width="5" customWidth="1"/>
    <col min="2" max="2" width="22" customWidth="1"/>
    <col min="3" max="3" width="16" customWidth="1"/>
    <col min="4" max="48" width="9.54296875" customWidth="1"/>
    <col min="49" max="50" width="11" customWidth="1"/>
    <col min="51" max="51" width="13" customWidth="1"/>
    <col min="52" max="52" width="11" customWidth="1"/>
    <col min="53" max="53" width="14" customWidth="1"/>
    <col min="54" max="54" width="18" customWidth="1"/>
    <col min="55" max="55" width="10" customWidth="1"/>
  </cols>
  <sheetData>
    <row r="1" spans="1:55" ht="19.5" customHeight="1" x14ac:dyDescent="0.35">
      <c r="A1" s="117" t="s">
        <v>236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  <c r="AA1" s="117"/>
      <c r="AB1" s="117"/>
      <c r="AR1" s="58"/>
      <c r="AS1" s="118" t="s">
        <v>237</v>
      </c>
      <c r="AT1" s="118"/>
      <c r="AU1" s="118"/>
      <c r="AV1" s="118"/>
      <c r="AW1" s="118"/>
      <c r="AX1" s="118"/>
      <c r="AY1" s="118"/>
      <c r="AZ1" s="118"/>
      <c r="BA1" s="118"/>
      <c r="BB1" s="119" t="s">
        <v>238</v>
      </c>
      <c r="BC1" s="119"/>
    </row>
    <row r="2" spans="1:55" ht="18" customHeight="1" x14ac:dyDescent="0.35">
      <c r="A2" s="5" t="s">
        <v>163</v>
      </c>
      <c r="B2" s="120" t="s">
        <v>239</v>
      </c>
      <c r="C2" s="120"/>
      <c r="D2" s="120"/>
      <c r="F2" s="5" t="s">
        <v>165</v>
      </c>
      <c r="G2" s="59" t="s">
        <v>166</v>
      </c>
      <c r="AR2" s="58"/>
      <c r="AS2" s="60"/>
      <c r="AT2" s="121" t="s">
        <v>167</v>
      </c>
      <c r="AU2" s="121"/>
      <c r="AV2" s="121"/>
      <c r="AW2" s="61" t="s">
        <v>96</v>
      </c>
      <c r="AX2" s="122" t="s">
        <v>168</v>
      </c>
      <c r="AY2" s="122"/>
      <c r="AZ2" s="122"/>
      <c r="BA2" s="122"/>
      <c r="BB2" s="62" t="s">
        <v>169</v>
      </c>
      <c r="BC2" s="62" t="s">
        <v>170</v>
      </c>
    </row>
    <row r="3" spans="1:55" ht="21.75" customHeight="1" x14ac:dyDescent="0.35">
      <c r="AR3" s="58"/>
      <c r="AS3" s="63" t="s">
        <v>171</v>
      </c>
      <c r="AT3" s="64" t="s">
        <v>172</v>
      </c>
      <c r="AU3" s="64" t="s">
        <v>173</v>
      </c>
      <c r="AV3" s="64" t="s">
        <v>174</v>
      </c>
      <c r="AW3" s="65" t="s">
        <v>175</v>
      </c>
      <c r="AX3" s="66" t="s">
        <v>176</v>
      </c>
      <c r="AY3" s="66" t="s">
        <v>177</v>
      </c>
      <c r="AZ3" s="66" t="s">
        <v>178</v>
      </c>
      <c r="BA3" s="67" t="s">
        <v>179</v>
      </c>
      <c r="BB3" s="68" t="s">
        <v>180</v>
      </c>
      <c r="BC3" s="69">
        <v>65</v>
      </c>
    </row>
    <row r="4" spans="1:55" ht="21.75" customHeight="1" x14ac:dyDescent="0.35">
      <c r="A4" s="70"/>
      <c r="B4" s="70"/>
      <c r="C4" s="70"/>
      <c r="D4" s="114" t="s">
        <v>181</v>
      </c>
      <c r="E4" s="114"/>
      <c r="F4" s="114"/>
      <c r="G4" s="114"/>
      <c r="H4" s="114" t="s">
        <v>182</v>
      </c>
      <c r="I4" s="114"/>
      <c r="J4" s="114"/>
      <c r="K4" s="114"/>
      <c r="L4" s="114" t="s">
        <v>183</v>
      </c>
      <c r="M4" s="114"/>
      <c r="N4" s="114"/>
      <c r="O4" s="114" t="s">
        <v>184</v>
      </c>
      <c r="P4" s="114"/>
      <c r="Q4" s="114"/>
      <c r="R4" s="114" t="s">
        <v>185</v>
      </c>
      <c r="S4" s="114"/>
      <c r="T4" s="114"/>
      <c r="U4" s="114" t="s">
        <v>186</v>
      </c>
      <c r="V4" s="114"/>
      <c r="W4" s="115" t="s">
        <v>187</v>
      </c>
      <c r="X4" s="115"/>
      <c r="Y4" s="114" t="s">
        <v>188</v>
      </c>
      <c r="Z4" s="114"/>
      <c r="AA4" s="114"/>
      <c r="AB4" s="114"/>
      <c r="AC4" s="114"/>
      <c r="AD4" s="115" t="s">
        <v>189</v>
      </c>
      <c r="AE4" s="115"/>
      <c r="AF4" s="115"/>
      <c r="AG4" s="115"/>
      <c r="AH4" s="115"/>
      <c r="AI4" s="115"/>
      <c r="AJ4" s="115"/>
      <c r="AK4" s="115"/>
      <c r="AL4" s="115"/>
      <c r="AM4" s="115"/>
      <c r="AN4" s="115"/>
      <c r="AO4" s="115"/>
      <c r="AP4" s="116" t="s">
        <v>190</v>
      </c>
      <c r="AQ4" s="116"/>
      <c r="AR4" s="58"/>
      <c r="AS4" s="71" t="str">
        <f>'Captura Abril'!B6</f>
        <v>Almacen de Repuestos</v>
      </c>
      <c r="AT4" s="72">
        <f>'Captura Abril'!K6+'Captura Abril'!N6+'Captura Abril'!Q6</f>
        <v>0.16</v>
      </c>
      <c r="AU4" s="72">
        <f>'Captura Abril'!T6</f>
        <v>0.06</v>
      </c>
      <c r="AV4" s="72">
        <f>'Captura Abril'!V6</f>
        <v>0.25</v>
      </c>
      <c r="AW4" s="72">
        <f>'Captura Abril'!G6</f>
        <v>0.2</v>
      </c>
      <c r="AX4" s="72">
        <f>'Captura Abril'!X6</f>
        <v>0.25</v>
      </c>
      <c r="AY4" s="72">
        <f>'Captura Abril'!AC6</f>
        <v>0.04</v>
      </c>
      <c r="AZ4" s="73">
        <f>-'Captura Abril'!AN6</f>
        <v>0</v>
      </c>
      <c r="BA4" s="74">
        <f>'Captura Abril'!AQ6</f>
        <v>0.96000000000000008</v>
      </c>
      <c r="BB4" s="68" t="s">
        <v>191</v>
      </c>
      <c r="BC4" s="75">
        <v>236</v>
      </c>
    </row>
    <row r="5" spans="1:55" ht="13.5" customHeight="1" x14ac:dyDescent="0.35">
      <c r="A5" s="76" t="s">
        <v>93</v>
      </c>
      <c r="B5" s="76" t="s">
        <v>48</v>
      </c>
      <c r="C5" s="76" t="s">
        <v>94</v>
      </c>
      <c r="D5" s="77" t="s">
        <v>192</v>
      </c>
      <c r="E5" s="77" t="s">
        <v>193</v>
      </c>
      <c r="F5" s="77" t="s">
        <v>194</v>
      </c>
      <c r="G5" s="77" t="s">
        <v>195</v>
      </c>
      <c r="H5" s="77" t="s">
        <v>196</v>
      </c>
      <c r="I5" s="77" t="s">
        <v>197</v>
      </c>
      <c r="J5" s="77" t="s">
        <v>198</v>
      </c>
      <c r="K5" s="77" t="s">
        <v>195</v>
      </c>
      <c r="L5" s="77" t="s">
        <v>199</v>
      </c>
      <c r="M5" s="77" t="s">
        <v>198</v>
      </c>
      <c r="N5" s="77" t="s">
        <v>195</v>
      </c>
      <c r="O5" s="77" t="s">
        <v>199</v>
      </c>
      <c r="P5" s="77" t="s">
        <v>198</v>
      </c>
      <c r="Q5" s="77" t="s">
        <v>195</v>
      </c>
      <c r="R5" s="77" t="s">
        <v>199</v>
      </c>
      <c r="S5" s="77" t="s">
        <v>198</v>
      </c>
      <c r="T5" s="77" t="s">
        <v>195</v>
      </c>
      <c r="U5" s="77" t="s">
        <v>200</v>
      </c>
      <c r="V5" s="77" t="s">
        <v>195</v>
      </c>
      <c r="W5" s="78" t="s">
        <v>201</v>
      </c>
      <c r="X5" s="78" t="s">
        <v>195</v>
      </c>
      <c r="Y5" s="77" t="s">
        <v>202</v>
      </c>
      <c r="Z5" s="77" t="s">
        <v>203</v>
      </c>
      <c r="AA5" s="77" t="s">
        <v>204</v>
      </c>
      <c r="AB5" s="77" t="s">
        <v>205</v>
      </c>
      <c r="AC5" s="77" t="s">
        <v>206</v>
      </c>
      <c r="AD5" s="78" t="s">
        <v>207</v>
      </c>
      <c r="AE5" s="78" t="s">
        <v>208</v>
      </c>
      <c r="AF5" s="78" t="s">
        <v>209</v>
      </c>
      <c r="AG5" s="78" t="s">
        <v>210</v>
      </c>
      <c r="AH5" s="78" t="s">
        <v>211</v>
      </c>
      <c r="AI5" s="78" t="s">
        <v>212</v>
      </c>
      <c r="AJ5" s="78" t="s">
        <v>213</v>
      </c>
      <c r="AK5" s="78" t="s">
        <v>214</v>
      </c>
      <c r="AL5" s="78" t="s">
        <v>215</v>
      </c>
      <c r="AM5" s="78" t="s">
        <v>216</v>
      </c>
      <c r="AN5" s="78" t="s">
        <v>217</v>
      </c>
      <c r="AO5" s="78" t="s">
        <v>218</v>
      </c>
      <c r="AP5" s="76" t="s">
        <v>219</v>
      </c>
      <c r="AQ5" s="76" t="s">
        <v>220</v>
      </c>
      <c r="AR5" s="58"/>
      <c r="AS5" s="79" t="str">
        <f>'Captura Abril'!B7</f>
        <v>Alrededores</v>
      </c>
      <c r="AT5" s="80">
        <f>'Captura Abril'!K7+'Captura Abril'!N7+'Captura Abril'!Q7</f>
        <v>0.08</v>
      </c>
      <c r="AU5" s="80">
        <f>'Captura Abril'!T7</f>
        <v>0.06</v>
      </c>
      <c r="AV5" s="80">
        <f>'Captura Abril'!V7</f>
        <v>0.25</v>
      </c>
      <c r="AW5" s="80">
        <f>'Captura Abril'!G7</f>
        <v>8.0000000000000016E-2</v>
      </c>
      <c r="AX5" s="80">
        <f>'Captura Abril'!X7</f>
        <v>0.2</v>
      </c>
      <c r="AY5" s="80">
        <f>'Captura Abril'!AC7</f>
        <v>0.04</v>
      </c>
      <c r="AZ5" s="81">
        <f>-'Captura Abril'!AN7</f>
        <v>0</v>
      </c>
      <c r="BA5" s="82">
        <f>'Captura Abril'!AQ7</f>
        <v>0.71000000000000008</v>
      </c>
      <c r="BB5" s="110" t="s">
        <v>221</v>
      </c>
      <c r="BC5" s="110"/>
    </row>
    <row r="6" spans="1:55" ht="16.5" customHeight="1" x14ac:dyDescent="0.35">
      <c r="A6" s="12">
        <v>1</v>
      </c>
      <c r="B6" s="83" t="s">
        <v>103</v>
      </c>
      <c r="C6" s="84" t="str">
        <f>VLOOKUP(B6,Parametros!$I$6:$J$20,2,FALSE())</f>
        <v>Fredy Fuentes</v>
      </c>
      <c r="D6" s="85">
        <v>1</v>
      </c>
      <c r="E6" s="85">
        <v>1</v>
      </c>
      <c r="F6" s="11">
        <f t="shared" ref="F6:F20" si="0">AVERAGE(D6,E6)</f>
        <v>1</v>
      </c>
      <c r="G6" s="86">
        <f>F6*Parametros!$E$6</f>
        <v>0.2</v>
      </c>
      <c r="H6" s="87">
        <v>10</v>
      </c>
      <c r="I6" s="87">
        <v>10</v>
      </c>
      <c r="J6" s="88" t="s">
        <v>223</v>
      </c>
      <c r="K6" s="86">
        <f>IF(J6="NO",0,IFERROR(H6/I6,0)*Parametros!$E$7)</f>
        <v>0</v>
      </c>
      <c r="L6" s="85">
        <v>1</v>
      </c>
      <c r="M6" s="88" t="s">
        <v>222</v>
      </c>
      <c r="N6" s="86">
        <f>IF(M6="NO",0,L6*Parametros!$E$8)</f>
        <v>0.08</v>
      </c>
      <c r="O6" s="85">
        <v>1</v>
      </c>
      <c r="P6" s="88" t="s">
        <v>222</v>
      </c>
      <c r="Q6" s="86">
        <f>IF(P6="NO",0,O6*Parametros!$E$9)</f>
        <v>0.08</v>
      </c>
      <c r="R6" s="85">
        <v>1</v>
      </c>
      <c r="S6" s="88" t="s">
        <v>222</v>
      </c>
      <c r="T6" s="86">
        <f>IF(S6="NO",0,R6*Parametros!$E$10)</f>
        <v>0.06</v>
      </c>
      <c r="U6" s="85">
        <v>1</v>
      </c>
      <c r="V6" s="86">
        <f>U6*Parametros!$E$11</f>
        <v>0.25</v>
      </c>
      <c r="W6" s="87">
        <v>0</v>
      </c>
      <c r="X6" s="86">
        <f>MAX(0,Parametros!$E$12-Parametros!$E$18*W6)</f>
        <v>0.25</v>
      </c>
      <c r="Y6" s="87">
        <v>5</v>
      </c>
      <c r="Z6" s="87">
        <v>11</v>
      </c>
      <c r="AA6" s="89">
        <f>IF(Y6&gt;=Parametros!$E$22,Parametros!$E$24,0)</f>
        <v>0</v>
      </c>
      <c r="AB6" s="89">
        <f>IF(Z6&gt;=Parametros!$E$23,Parametros!$E$25,0)</f>
        <v>0.04</v>
      </c>
      <c r="AC6" s="89">
        <f t="shared" ref="AC6:AC20" si="1">AA6+AB6</f>
        <v>0.04</v>
      </c>
      <c r="AD6" s="87">
        <v>0</v>
      </c>
      <c r="AE6" s="88" t="s">
        <v>222</v>
      </c>
      <c r="AF6" s="87">
        <v>0</v>
      </c>
      <c r="AG6" s="88" t="s">
        <v>222</v>
      </c>
      <c r="AH6" s="87">
        <v>0</v>
      </c>
      <c r="AI6" s="88" t="s">
        <v>222</v>
      </c>
      <c r="AJ6" s="87">
        <v>0</v>
      </c>
      <c r="AK6" s="88" t="s">
        <v>222</v>
      </c>
      <c r="AL6" s="87">
        <v>0</v>
      </c>
      <c r="AM6" s="88" t="s">
        <v>222</v>
      </c>
      <c r="AN6" s="89">
        <f>AD6*Parametros!$E$28+AF6*Parametros!$E$29+AH6*Parametros!$E$30+AJ6*Parametros!$E$31+AL6*Parametros!$E$32</f>
        <v>0</v>
      </c>
      <c r="AO6" s="12" t="str">
        <f t="shared" ref="AO6:AO20" si="2">IF(OR(AND(AD6&gt;0,AE6="NO"),AND(AF6&gt;0,AG6="NO"),AND(AH6&gt;0,AI6="NO"),AND(AJ6&gt;0,AK6="NO"),AND(AL6&gt;0,AM6="NO")),"SI","NO")</f>
        <v>NO</v>
      </c>
      <c r="AP6" s="11">
        <f t="shared" ref="AP6:AP20" si="3">G6+K6+N6+Q6+T6+V6+X6</f>
        <v>0.92</v>
      </c>
      <c r="AQ6" s="90">
        <f>MAX(0,MIN(1,MAX(0,AP6-IF(S6="NO",Parametros!$E$17,0))+AC6-AN6-IF(AO6="SI",Parametros!$E$33,0)))</f>
        <v>0.96000000000000008</v>
      </c>
      <c r="AR6" s="58"/>
      <c r="AS6" s="71" t="str">
        <f>'Captura Abril'!B8</f>
        <v>Calidad</v>
      </c>
      <c r="AT6" s="72">
        <f>'Captura Abril'!K8+'Captura Abril'!N8+'Captura Abril'!Q8</f>
        <v>0.24</v>
      </c>
      <c r="AU6" s="72">
        <f>'Captura Abril'!T8</f>
        <v>0.06</v>
      </c>
      <c r="AV6" s="72">
        <f>'Captura Abril'!V8</f>
        <v>0.25</v>
      </c>
      <c r="AW6" s="72">
        <f>'Captura Abril'!G8</f>
        <v>0.2</v>
      </c>
      <c r="AX6" s="72">
        <f>'Captura Abril'!X8</f>
        <v>0.25</v>
      </c>
      <c r="AY6" s="72">
        <f>'Captura Abril'!AC8</f>
        <v>0.08</v>
      </c>
      <c r="AZ6" s="73">
        <f>-'Captura Abril'!AN8</f>
        <v>0</v>
      </c>
      <c r="BA6" s="74">
        <f>'Captura Abril'!AQ8</f>
        <v>1</v>
      </c>
      <c r="BB6" s="58"/>
      <c r="BC6" s="58"/>
    </row>
    <row r="7" spans="1:55" ht="16.5" customHeight="1" x14ac:dyDescent="0.35">
      <c r="A7" s="12">
        <v>2</v>
      </c>
      <c r="B7" s="83" t="s">
        <v>135</v>
      </c>
      <c r="C7" s="84" t="str">
        <f>VLOOKUP(B7,Parametros!$I$6:$J$20,2,FALSE())</f>
        <v>Carlos Chavez</v>
      </c>
      <c r="D7" s="85">
        <v>0.8</v>
      </c>
      <c r="E7" s="85">
        <v>0</v>
      </c>
      <c r="F7" s="11">
        <f t="shared" si="0"/>
        <v>0.4</v>
      </c>
      <c r="G7" s="86">
        <f>F7*Parametros!$E$6</f>
        <v>8.0000000000000016E-2</v>
      </c>
      <c r="H7" s="87">
        <v>10</v>
      </c>
      <c r="I7" s="87">
        <v>10</v>
      </c>
      <c r="J7" s="88" t="s">
        <v>223</v>
      </c>
      <c r="K7" s="86">
        <f>IF(J7="NO",0,IFERROR(H7/I7,0)*Parametros!$E$7)</f>
        <v>0</v>
      </c>
      <c r="L7" s="85">
        <v>1</v>
      </c>
      <c r="M7" s="88" t="s">
        <v>222</v>
      </c>
      <c r="N7" s="86">
        <f>IF(M7="NO",0,L7*Parametros!$E$8)</f>
        <v>0.08</v>
      </c>
      <c r="O7" s="85">
        <v>0</v>
      </c>
      <c r="P7" s="88" t="s">
        <v>223</v>
      </c>
      <c r="Q7" s="86">
        <f>IF(P7="NO",0,O7*Parametros!$E$9)</f>
        <v>0</v>
      </c>
      <c r="R7" s="85">
        <v>1</v>
      </c>
      <c r="S7" s="88" t="s">
        <v>222</v>
      </c>
      <c r="T7" s="86">
        <f>IF(S7="NO",0,R7*Parametros!$E$10)</f>
        <v>0.06</v>
      </c>
      <c r="U7" s="85">
        <v>1</v>
      </c>
      <c r="V7" s="86">
        <f>U7*Parametros!$E$11</f>
        <v>0.25</v>
      </c>
      <c r="W7" s="87">
        <v>1</v>
      </c>
      <c r="X7" s="86">
        <f>MAX(0,Parametros!$E$12-Parametros!$E$18*W7)</f>
        <v>0.2</v>
      </c>
      <c r="Y7" s="87">
        <v>0</v>
      </c>
      <c r="Z7" s="87">
        <v>11</v>
      </c>
      <c r="AA7" s="89">
        <f>IF(Y7&gt;=Parametros!$E$22,Parametros!$E$24,0)</f>
        <v>0</v>
      </c>
      <c r="AB7" s="89">
        <f>IF(Z7&gt;=Parametros!$E$23,Parametros!$E$25,0)</f>
        <v>0.04</v>
      </c>
      <c r="AC7" s="89">
        <f t="shared" si="1"/>
        <v>0.04</v>
      </c>
      <c r="AD7" s="87">
        <v>0</v>
      </c>
      <c r="AE7" s="88" t="s">
        <v>222</v>
      </c>
      <c r="AF7" s="87">
        <v>0</v>
      </c>
      <c r="AG7" s="88" t="s">
        <v>222</v>
      </c>
      <c r="AH7" s="87">
        <v>0</v>
      </c>
      <c r="AI7" s="88" t="s">
        <v>222</v>
      </c>
      <c r="AJ7" s="87">
        <v>0</v>
      </c>
      <c r="AK7" s="88" t="s">
        <v>222</v>
      </c>
      <c r="AL7" s="87">
        <v>0</v>
      </c>
      <c r="AM7" s="88" t="s">
        <v>222</v>
      </c>
      <c r="AN7" s="89">
        <f>AD7*Parametros!$E$28+AF7*Parametros!$E$29+AH7*Parametros!$E$30+AJ7*Parametros!$E$31+AL7*Parametros!$E$32</f>
        <v>0</v>
      </c>
      <c r="AO7" s="12" t="str">
        <f t="shared" si="2"/>
        <v>NO</v>
      </c>
      <c r="AP7" s="11">
        <f t="shared" si="3"/>
        <v>0.67</v>
      </c>
      <c r="AQ7" s="90">
        <f>MAX(0,MIN(1,MAX(0,AP7-IF(S7="NO",Parametros!$E$17,0))+AC7-AN7-IF(AO7="SI",Parametros!$E$33,0)))</f>
        <v>0.71000000000000008</v>
      </c>
      <c r="AR7" s="58"/>
      <c r="AS7" s="79" t="str">
        <f>'Captura Abril'!B9</f>
        <v>Centro de Distribucion</v>
      </c>
      <c r="AT7" s="80">
        <f>'Captura Abril'!K9+'Captura Abril'!N9+'Captura Abril'!Q9</f>
        <v>0.24</v>
      </c>
      <c r="AU7" s="80">
        <f>'Captura Abril'!T9</f>
        <v>0.06</v>
      </c>
      <c r="AV7" s="80">
        <f>'Captura Abril'!V9</f>
        <v>0.25</v>
      </c>
      <c r="AW7" s="80">
        <f>'Captura Abril'!G9</f>
        <v>0.2</v>
      </c>
      <c r="AX7" s="80">
        <f>'Captura Abril'!X9</f>
        <v>0.2</v>
      </c>
      <c r="AY7" s="80">
        <f>'Captura Abril'!AC9</f>
        <v>0.04</v>
      </c>
      <c r="AZ7" s="81">
        <f>-'Captura Abril'!AN9</f>
        <v>0</v>
      </c>
      <c r="BA7" s="82">
        <f>'Captura Abril'!AQ9</f>
        <v>0.99</v>
      </c>
      <c r="BB7" s="58"/>
      <c r="BC7" s="58"/>
    </row>
    <row r="8" spans="1:55" ht="16.5" customHeight="1" x14ac:dyDescent="0.35">
      <c r="A8" s="12">
        <v>3</v>
      </c>
      <c r="B8" s="83" t="s">
        <v>98</v>
      </c>
      <c r="C8" s="84" t="str">
        <f>VLOOKUP(B8,Parametros!$I$6:$J$20,2,FALSE())</f>
        <v>Alejandro Martinez</v>
      </c>
      <c r="D8" s="85">
        <v>1</v>
      </c>
      <c r="E8" s="85">
        <v>1</v>
      </c>
      <c r="F8" s="11">
        <f t="shared" si="0"/>
        <v>1</v>
      </c>
      <c r="G8" s="86">
        <f>F8*Parametros!$E$6</f>
        <v>0.2</v>
      </c>
      <c r="H8" s="87">
        <v>10</v>
      </c>
      <c r="I8" s="87">
        <v>10</v>
      </c>
      <c r="J8" s="88" t="s">
        <v>222</v>
      </c>
      <c r="K8" s="86">
        <f>IF(J8="NO",0,IFERROR(H8/I8,0)*Parametros!$E$7)</f>
        <v>0.08</v>
      </c>
      <c r="L8" s="85">
        <v>1</v>
      </c>
      <c r="M8" s="88" t="s">
        <v>222</v>
      </c>
      <c r="N8" s="86">
        <f>IF(M8="NO",0,L8*Parametros!$E$8)</f>
        <v>0.08</v>
      </c>
      <c r="O8" s="85">
        <v>1</v>
      </c>
      <c r="P8" s="88" t="s">
        <v>222</v>
      </c>
      <c r="Q8" s="86">
        <f>IF(P8="NO",0,O8*Parametros!$E$9)</f>
        <v>0.08</v>
      </c>
      <c r="R8" s="85">
        <v>1</v>
      </c>
      <c r="S8" s="88" t="s">
        <v>222</v>
      </c>
      <c r="T8" s="86">
        <f>IF(S8="NO",0,R8*Parametros!$E$10)</f>
        <v>0.06</v>
      </c>
      <c r="U8" s="85">
        <v>1</v>
      </c>
      <c r="V8" s="86">
        <f>U8*Parametros!$E$11</f>
        <v>0.25</v>
      </c>
      <c r="W8" s="87">
        <v>0</v>
      </c>
      <c r="X8" s="86">
        <f>MAX(0,Parametros!$E$12-Parametros!$E$18*W8)</f>
        <v>0.25</v>
      </c>
      <c r="Y8" s="87">
        <v>13</v>
      </c>
      <c r="Z8" s="87">
        <v>26</v>
      </c>
      <c r="AA8" s="89">
        <f>IF(Y8&gt;=Parametros!$E$22,Parametros!$E$24,0)</f>
        <v>0.04</v>
      </c>
      <c r="AB8" s="89">
        <f>IF(Z8&gt;=Parametros!$E$23,Parametros!$E$25,0)</f>
        <v>0.04</v>
      </c>
      <c r="AC8" s="89">
        <f t="shared" si="1"/>
        <v>0.08</v>
      </c>
      <c r="AD8" s="87">
        <v>0</v>
      </c>
      <c r="AE8" s="88" t="s">
        <v>222</v>
      </c>
      <c r="AF8" s="87">
        <v>0</v>
      </c>
      <c r="AG8" s="88" t="s">
        <v>222</v>
      </c>
      <c r="AH8" s="87">
        <v>0</v>
      </c>
      <c r="AI8" s="88" t="s">
        <v>222</v>
      </c>
      <c r="AJ8" s="87">
        <v>0</v>
      </c>
      <c r="AK8" s="88" t="s">
        <v>222</v>
      </c>
      <c r="AL8" s="87">
        <v>0</v>
      </c>
      <c r="AM8" s="88" t="s">
        <v>222</v>
      </c>
      <c r="AN8" s="89">
        <f>AD8*Parametros!$E$28+AF8*Parametros!$E$29+AH8*Parametros!$E$30+AJ8*Parametros!$E$31+AL8*Parametros!$E$32</f>
        <v>0</v>
      </c>
      <c r="AO8" s="12" t="str">
        <f t="shared" si="2"/>
        <v>NO</v>
      </c>
      <c r="AP8" s="11">
        <f t="shared" si="3"/>
        <v>1</v>
      </c>
      <c r="AQ8" s="90">
        <f>MAX(0,MIN(1,MAX(0,AP8-IF(S8="NO",Parametros!$E$17,0))+AC8-AN8-IF(AO8="SI",Parametros!$E$33,0)))</f>
        <v>1</v>
      </c>
      <c r="AR8" s="58"/>
      <c r="AS8" s="71" t="str">
        <f>'Captura Abril'!B10</f>
        <v>ETEI</v>
      </c>
      <c r="AT8" s="72">
        <f>'Captura Abril'!K10+'Captura Abril'!N10+'Captura Abril'!Q10</f>
        <v>0.24</v>
      </c>
      <c r="AU8" s="72">
        <f>'Captura Abril'!T10</f>
        <v>0.06</v>
      </c>
      <c r="AV8" s="72">
        <f>'Captura Abril'!V10</f>
        <v>0.25</v>
      </c>
      <c r="AW8" s="72">
        <f>'Captura Abril'!G10</f>
        <v>0.2</v>
      </c>
      <c r="AX8" s="72">
        <f>'Captura Abril'!X10</f>
        <v>0.25</v>
      </c>
      <c r="AY8" s="72">
        <f>'Captura Abril'!AC10</f>
        <v>0</v>
      </c>
      <c r="AZ8" s="73">
        <f>-'Captura Abril'!AN10</f>
        <v>0</v>
      </c>
      <c r="BA8" s="74">
        <f>'Captura Abril'!AQ10</f>
        <v>1</v>
      </c>
      <c r="BB8" s="58"/>
      <c r="BC8" s="58"/>
    </row>
    <row r="9" spans="1:55" ht="16.5" customHeight="1" x14ac:dyDescent="0.35">
      <c r="A9" s="12">
        <v>4</v>
      </c>
      <c r="B9" s="83" t="s">
        <v>128</v>
      </c>
      <c r="C9" s="84" t="str">
        <f>VLOOKUP(B9,Parametros!$I$6:$J$20,2,FALSE())</f>
        <v>Jimmy Velasquez</v>
      </c>
      <c r="D9" s="85">
        <v>1</v>
      </c>
      <c r="E9" s="85">
        <v>1</v>
      </c>
      <c r="F9" s="11">
        <f t="shared" si="0"/>
        <v>1</v>
      </c>
      <c r="G9" s="86">
        <f>F9*Parametros!$E$6</f>
        <v>0.2</v>
      </c>
      <c r="H9" s="87">
        <v>10</v>
      </c>
      <c r="I9" s="87">
        <v>10</v>
      </c>
      <c r="J9" s="88" t="s">
        <v>222</v>
      </c>
      <c r="K9" s="86">
        <f>IF(J9="NO",0,IFERROR(H9/I9,0)*Parametros!$E$7)</f>
        <v>0.08</v>
      </c>
      <c r="L9" s="85">
        <v>1</v>
      </c>
      <c r="M9" s="88" t="s">
        <v>222</v>
      </c>
      <c r="N9" s="86">
        <f>IF(M9="NO",0,L9*Parametros!$E$8)</f>
        <v>0.08</v>
      </c>
      <c r="O9" s="85">
        <v>1</v>
      </c>
      <c r="P9" s="88" t="s">
        <v>222</v>
      </c>
      <c r="Q9" s="86">
        <f>IF(P9="NO",0,O9*Parametros!$E$9)</f>
        <v>0.08</v>
      </c>
      <c r="R9" s="85">
        <v>1</v>
      </c>
      <c r="S9" s="88" t="s">
        <v>222</v>
      </c>
      <c r="T9" s="86">
        <f>IF(S9="NO",0,R9*Parametros!$E$10)</f>
        <v>0.06</v>
      </c>
      <c r="U9" s="85">
        <v>1</v>
      </c>
      <c r="V9" s="86">
        <f>U9*Parametros!$E$11</f>
        <v>0.25</v>
      </c>
      <c r="W9" s="87">
        <v>1</v>
      </c>
      <c r="X9" s="86">
        <f>MAX(0,Parametros!$E$12-Parametros!$E$18*W9)</f>
        <v>0.2</v>
      </c>
      <c r="Y9" s="87">
        <v>4</v>
      </c>
      <c r="Z9" s="87">
        <v>13</v>
      </c>
      <c r="AA9" s="89">
        <f>IF(Y9&gt;=Parametros!$E$22,Parametros!$E$24,0)</f>
        <v>0</v>
      </c>
      <c r="AB9" s="89">
        <f>IF(Z9&gt;=Parametros!$E$23,Parametros!$E$25,0)</f>
        <v>0.04</v>
      </c>
      <c r="AC9" s="89">
        <f t="shared" si="1"/>
        <v>0.04</v>
      </c>
      <c r="AD9" s="87">
        <v>0</v>
      </c>
      <c r="AE9" s="88" t="s">
        <v>222</v>
      </c>
      <c r="AF9" s="87">
        <v>0</v>
      </c>
      <c r="AG9" s="88" t="s">
        <v>222</v>
      </c>
      <c r="AH9" s="87">
        <v>0</v>
      </c>
      <c r="AI9" s="88" t="s">
        <v>222</v>
      </c>
      <c r="AJ9" s="87">
        <v>0</v>
      </c>
      <c r="AK9" s="88" t="s">
        <v>222</v>
      </c>
      <c r="AL9" s="87">
        <v>0</v>
      </c>
      <c r="AM9" s="88" t="s">
        <v>222</v>
      </c>
      <c r="AN9" s="89">
        <f>AD9*Parametros!$E$28+AF9*Parametros!$E$29+AH9*Parametros!$E$30+AJ9*Parametros!$E$31+AL9*Parametros!$E$32</f>
        <v>0</v>
      </c>
      <c r="AO9" s="12" t="str">
        <f t="shared" si="2"/>
        <v>NO</v>
      </c>
      <c r="AP9" s="11">
        <f t="shared" si="3"/>
        <v>0.95</v>
      </c>
      <c r="AQ9" s="90">
        <f>MAX(0,MIN(1,MAX(0,AP9-IF(S9="NO",Parametros!$E$17,0))+AC9-AN9-IF(AO9="SI",Parametros!$E$33,0)))</f>
        <v>0.99</v>
      </c>
      <c r="AR9" s="58"/>
      <c r="AS9" s="79" t="str">
        <f>'Captura Abril'!B11</f>
        <v>Equipos Auxiliares</v>
      </c>
      <c r="AT9" s="80">
        <f>'Captura Abril'!K11+'Captura Abril'!N11+'Captura Abril'!Q11</f>
        <v>0.24</v>
      </c>
      <c r="AU9" s="80">
        <f>'Captura Abril'!T11</f>
        <v>0.06</v>
      </c>
      <c r="AV9" s="80">
        <f>'Captura Abril'!V11</f>
        <v>0.25</v>
      </c>
      <c r="AW9" s="80">
        <f>'Captura Abril'!G11</f>
        <v>0.2</v>
      </c>
      <c r="AX9" s="80">
        <f>'Captura Abril'!X11</f>
        <v>0.25</v>
      </c>
      <c r="AY9" s="80">
        <f>'Captura Abril'!AC11</f>
        <v>0</v>
      </c>
      <c r="AZ9" s="81">
        <f>-'Captura Abril'!AN11</f>
        <v>0</v>
      </c>
      <c r="BA9" s="82">
        <f>'Captura Abril'!AQ11</f>
        <v>1</v>
      </c>
      <c r="BB9" s="58"/>
      <c r="BC9" s="58"/>
    </row>
    <row r="10" spans="1:55" ht="16.5" customHeight="1" x14ac:dyDescent="0.35">
      <c r="A10" s="12">
        <v>5</v>
      </c>
      <c r="B10" s="83" t="s">
        <v>125</v>
      </c>
      <c r="C10" s="84" t="str">
        <f>VLOOKUP(B10,Parametros!$I$6:$J$20,2,FALSE())</f>
        <v>Jessica Loarca</v>
      </c>
      <c r="D10" s="85">
        <v>1</v>
      </c>
      <c r="E10" s="85">
        <v>1</v>
      </c>
      <c r="F10" s="11">
        <f t="shared" si="0"/>
        <v>1</v>
      </c>
      <c r="G10" s="86">
        <f>F10*Parametros!$E$6</f>
        <v>0.2</v>
      </c>
      <c r="H10" s="87">
        <v>10</v>
      </c>
      <c r="I10" s="87">
        <v>10</v>
      </c>
      <c r="J10" s="88" t="s">
        <v>222</v>
      </c>
      <c r="K10" s="86">
        <f>IF(J10="NO",0,IFERROR(H10/I10,0)*Parametros!$E$7)</f>
        <v>0.08</v>
      </c>
      <c r="L10" s="85">
        <v>1</v>
      </c>
      <c r="M10" s="88" t="s">
        <v>222</v>
      </c>
      <c r="N10" s="86">
        <f>IF(M10="NO",0,L10*Parametros!$E$8)</f>
        <v>0.08</v>
      </c>
      <c r="O10" s="85">
        <v>1</v>
      </c>
      <c r="P10" s="88" t="s">
        <v>222</v>
      </c>
      <c r="Q10" s="86">
        <f>IF(P10="NO",0,O10*Parametros!$E$9)</f>
        <v>0.08</v>
      </c>
      <c r="R10" s="85">
        <v>1</v>
      </c>
      <c r="S10" s="88" t="s">
        <v>222</v>
      </c>
      <c r="T10" s="86">
        <f>IF(S10="NO",0,R10*Parametros!$E$10)</f>
        <v>0.06</v>
      </c>
      <c r="U10" s="85">
        <v>1</v>
      </c>
      <c r="V10" s="86">
        <f>U10*Parametros!$E$11</f>
        <v>0.25</v>
      </c>
      <c r="W10" s="87">
        <v>0</v>
      </c>
      <c r="X10" s="86">
        <f>MAX(0,Parametros!$E$12-Parametros!$E$18*W10)</f>
        <v>0.25</v>
      </c>
      <c r="Y10" s="87">
        <v>3</v>
      </c>
      <c r="Z10" s="87">
        <v>9</v>
      </c>
      <c r="AA10" s="89">
        <f>IF(Y10&gt;=Parametros!$E$22,Parametros!$E$24,0)</f>
        <v>0</v>
      </c>
      <c r="AB10" s="89">
        <f>IF(Z10&gt;=Parametros!$E$23,Parametros!$E$25,0)</f>
        <v>0</v>
      </c>
      <c r="AC10" s="89">
        <f t="shared" si="1"/>
        <v>0</v>
      </c>
      <c r="AD10" s="87">
        <v>0</v>
      </c>
      <c r="AE10" s="88" t="s">
        <v>222</v>
      </c>
      <c r="AF10" s="87">
        <v>0</v>
      </c>
      <c r="AG10" s="88" t="s">
        <v>222</v>
      </c>
      <c r="AH10" s="87">
        <v>0</v>
      </c>
      <c r="AI10" s="88" t="s">
        <v>222</v>
      </c>
      <c r="AJ10" s="87">
        <v>0</v>
      </c>
      <c r="AK10" s="88" t="s">
        <v>222</v>
      </c>
      <c r="AL10" s="87">
        <v>0</v>
      </c>
      <c r="AM10" s="88" t="s">
        <v>222</v>
      </c>
      <c r="AN10" s="89">
        <f>AD10*Parametros!$E$28+AF10*Parametros!$E$29+AH10*Parametros!$E$30+AJ10*Parametros!$E$31+AL10*Parametros!$E$32</f>
        <v>0</v>
      </c>
      <c r="AO10" s="12" t="str">
        <f t="shared" si="2"/>
        <v>NO</v>
      </c>
      <c r="AP10" s="11">
        <f t="shared" si="3"/>
        <v>1</v>
      </c>
      <c r="AQ10" s="90">
        <f>MAX(0,MIN(1,MAX(0,AP10-IF(S10="NO",Parametros!$E$17,0))+AC10-AN10-IF(AO10="SI",Parametros!$E$33,0)))</f>
        <v>1</v>
      </c>
      <c r="AR10" s="58"/>
      <c r="AS10" s="71" t="str">
        <f>'Captura Abril'!B12</f>
        <v>Jarabes</v>
      </c>
      <c r="AT10" s="72">
        <f>'Captura Abril'!K12+'Captura Abril'!N12+'Captura Abril'!Q12</f>
        <v>0.24</v>
      </c>
      <c r="AU10" s="72">
        <f>'Captura Abril'!T12</f>
        <v>0.06</v>
      </c>
      <c r="AV10" s="72">
        <f>'Captura Abril'!V12</f>
        <v>0.25</v>
      </c>
      <c r="AW10" s="72">
        <f>'Captura Abril'!G12</f>
        <v>0.2</v>
      </c>
      <c r="AX10" s="72">
        <f>'Captura Abril'!X12</f>
        <v>0.25</v>
      </c>
      <c r="AY10" s="72">
        <f>'Captura Abril'!AC12</f>
        <v>0</v>
      </c>
      <c r="AZ10" s="73">
        <f>-'Captura Abril'!AN12</f>
        <v>0</v>
      </c>
      <c r="BA10" s="74">
        <f>'Captura Abril'!AQ12</f>
        <v>1</v>
      </c>
      <c r="BB10" s="58"/>
      <c r="BC10" s="58"/>
    </row>
    <row r="11" spans="1:55" ht="16.5" customHeight="1" x14ac:dyDescent="0.35">
      <c r="A11" s="12">
        <v>6</v>
      </c>
      <c r="B11" s="83" t="s">
        <v>117</v>
      </c>
      <c r="C11" s="84" t="str">
        <f>VLOOKUP(B11,Parametros!$I$6:$J$20,2,FALSE())</f>
        <v>Edson Bonifacio</v>
      </c>
      <c r="D11" s="85">
        <v>1</v>
      </c>
      <c r="E11" s="85">
        <v>1</v>
      </c>
      <c r="F11" s="11">
        <f t="shared" si="0"/>
        <v>1</v>
      </c>
      <c r="G11" s="86">
        <f>F11*Parametros!$E$6</f>
        <v>0.2</v>
      </c>
      <c r="H11" s="87">
        <v>10</v>
      </c>
      <c r="I11" s="87">
        <v>10</v>
      </c>
      <c r="J11" s="88" t="s">
        <v>222</v>
      </c>
      <c r="K11" s="86">
        <f>IF(J11="NO",0,IFERROR(H11/I11,0)*Parametros!$E$7)</f>
        <v>0.08</v>
      </c>
      <c r="L11" s="85">
        <v>1</v>
      </c>
      <c r="M11" s="88" t="s">
        <v>222</v>
      </c>
      <c r="N11" s="86">
        <f>IF(M11="NO",0,L11*Parametros!$E$8)</f>
        <v>0.08</v>
      </c>
      <c r="O11" s="85">
        <v>1</v>
      </c>
      <c r="P11" s="88" t="s">
        <v>222</v>
      </c>
      <c r="Q11" s="86">
        <f>IF(P11="NO",0,O11*Parametros!$E$9)</f>
        <v>0.08</v>
      </c>
      <c r="R11" s="85">
        <v>1</v>
      </c>
      <c r="S11" s="88" t="s">
        <v>222</v>
      </c>
      <c r="T11" s="86">
        <f>IF(S11="NO",0,R11*Parametros!$E$10)</f>
        <v>0.06</v>
      </c>
      <c r="U11" s="85">
        <v>1</v>
      </c>
      <c r="V11" s="86">
        <f>U11*Parametros!$E$11</f>
        <v>0.25</v>
      </c>
      <c r="W11" s="87">
        <v>0</v>
      </c>
      <c r="X11" s="86">
        <f>MAX(0,Parametros!$E$12-Parametros!$E$18*W11)</f>
        <v>0.25</v>
      </c>
      <c r="Y11" s="87">
        <v>1</v>
      </c>
      <c r="Z11" s="87">
        <v>0</v>
      </c>
      <c r="AA11" s="89">
        <f>IF(Y11&gt;=Parametros!$E$22,Parametros!$E$24,0)</f>
        <v>0</v>
      </c>
      <c r="AB11" s="89">
        <f>IF(Z11&gt;=Parametros!$E$23,Parametros!$E$25,0)</f>
        <v>0</v>
      </c>
      <c r="AC11" s="89">
        <f t="shared" si="1"/>
        <v>0</v>
      </c>
      <c r="AD11" s="87">
        <v>0</v>
      </c>
      <c r="AE11" s="88" t="s">
        <v>222</v>
      </c>
      <c r="AF11" s="87">
        <v>0</v>
      </c>
      <c r="AG11" s="88" t="s">
        <v>222</v>
      </c>
      <c r="AH11" s="87">
        <v>0</v>
      </c>
      <c r="AI11" s="88" t="s">
        <v>222</v>
      </c>
      <c r="AJ11" s="87">
        <v>0</v>
      </c>
      <c r="AK11" s="88" t="s">
        <v>222</v>
      </c>
      <c r="AL11" s="87">
        <v>0</v>
      </c>
      <c r="AM11" s="88" t="s">
        <v>222</v>
      </c>
      <c r="AN11" s="89">
        <f>AD11*Parametros!$E$28+AF11*Parametros!$E$29+AH11*Parametros!$E$30+AJ11*Parametros!$E$31+AL11*Parametros!$E$32</f>
        <v>0</v>
      </c>
      <c r="AO11" s="12" t="str">
        <f t="shared" si="2"/>
        <v>NO</v>
      </c>
      <c r="AP11" s="11">
        <f t="shared" si="3"/>
        <v>1</v>
      </c>
      <c r="AQ11" s="90">
        <f>MAX(0,MIN(1,MAX(0,AP11-IF(S11="NO",Parametros!$E$17,0))+AC11-AN11-IF(AO11="SI",Parametros!$E$33,0)))</f>
        <v>1</v>
      </c>
      <c r="AR11" s="58"/>
      <c r="AS11" s="79" t="str">
        <f>'Captura Abril'!B13</f>
        <v>Linea 1</v>
      </c>
      <c r="AT11" s="80">
        <f>'Captura Abril'!K13+'Captura Abril'!N13+'Captura Abril'!Q13</f>
        <v>0.24</v>
      </c>
      <c r="AU11" s="80">
        <f>'Captura Abril'!T13</f>
        <v>0.06</v>
      </c>
      <c r="AV11" s="80">
        <f>'Captura Abril'!V13</f>
        <v>0.25</v>
      </c>
      <c r="AW11" s="80">
        <f>'Captura Abril'!G13</f>
        <v>0.2</v>
      </c>
      <c r="AX11" s="80">
        <f>'Captura Abril'!X13</f>
        <v>0</v>
      </c>
      <c r="AY11" s="80">
        <f>'Captura Abril'!AC13</f>
        <v>0.04</v>
      </c>
      <c r="AZ11" s="81">
        <f>-'Captura Abril'!AN13</f>
        <v>0</v>
      </c>
      <c r="BA11" s="82">
        <f>'Captura Abril'!AQ13</f>
        <v>0.79</v>
      </c>
      <c r="BB11" s="58"/>
      <c r="BC11" s="58"/>
    </row>
    <row r="12" spans="1:55" ht="16.5" customHeight="1" x14ac:dyDescent="0.35">
      <c r="A12" s="12">
        <v>7</v>
      </c>
      <c r="B12" s="83" t="s">
        <v>130</v>
      </c>
      <c r="C12" s="84" t="str">
        <f>VLOOKUP(B12,Parametros!$I$6:$J$20,2,FALSE())</f>
        <v>Adrian Santisteban</v>
      </c>
      <c r="D12" s="85">
        <v>1</v>
      </c>
      <c r="E12" s="85">
        <v>1</v>
      </c>
      <c r="F12" s="11">
        <f t="shared" si="0"/>
        <v>1</v>
      </c>
      <c r="G12" s="86">
        <f>F12*Parametros!$E$6</f>
        <v>0.2</v>
      </c>
      <c r="H12" s="87">
        <v>10</v>
      </c>
      <c r="I12" s="87">
        <v>10</v>
      </c>
      <c r="J12" s="88" t="s">
        <v>222</v>
      </c>
      <c r="K12" s="86">
        <f>IF(J12="NO",0,IFERROR(H12/I12,0)*Parametros!$E$7)</f>
        <v>0.08</v>
      </c>
      <c r="L12" s="85">
        <v>1</v>
      </c>
      <c r="M12" s="88" t="s">
        <v>222</v>
      </c>
      <c r="N12" s="86">
        <f>IF(M12="NO",0,L12*Parametros!$E$8)</f>
        <v>0.08</v>
      </c>
      <c r="O12" s="85">
        <v>1</v>
      </c>
      <c r="P12" s="88" t="s">
        <v>222</v>
      </c>
      <c r="Q12" s="86">
        <f>IF(P12="NO",0,O12*Parametros!$E$9)</f>
        <v>0.08</v>
      </c>
      <c r="R12" s="85">
        <v>1</v>
      </c>
      <c r="S12" s="88" t="s">
        <v>222</v>
      </c>
      <c r="T12" s="86">
        <f>IF(S12="NO",0,R12*Parametros!$E$10)</f>
        <v>0.06</v>
      </c>
      <c r="U12" s="85">
        <v>1</v>
      </c>
      <c r="V12" s="86">
        <f>U12*Parametros!$E$11</f>
        <v>0.25</v>
      </c>
      <c r="W12" s="87">
        <v>0</v>
      </c>
      <c r="X12" s="86">
        <f>MAX(0,Parametros!$E$12-Parametros!$E$18*W12)</f>
        <v>0.25</v>
      </c>
      <c r="Y12" s="87">
        <v>4</v>
      </c>
      <c r="Z12" s="87">
        <v>4</v>
      </c>
      <c r="AA12" s="89">
        <f>IF(Y12&gt;=Parametros!$E$22,Parametros!$E$24,0)</f>
        <v>0</v>
      </c>
      <c r="AB12" s="89">
        <f>IF(Z12&gt;=Parametros!$E$23,Parametros!$E$25,0)</f>
        <v>0</v>
      </c>
      <c r="AC12" s="89">
        <f t="shared" si="1"/>
        <v>0</v>
      </c>
      <c r="AD12" s="87">
        <v>0</v>
      </c>
      <c r="AE12" s="88" t="s">
        <v>222</v>
      </c>
      <c r="AF12" s="87">
        <v>0</v>
      </c>
      <c r="AG12" s="88" t="s">
        <v>222</v>
      </c>
      <c r="AH12" s="87">
        <v>0</v>
      </c>
      <c r="AI12" s="88" t="s">
        <v>222</v>
      </c>
      <c r="AJ12" s="87">
        <v>0</v>
      </c>
      <c r="AK12" s="88" t="s">
        <v>222</v>
      </c>
      <c r="AL12" s="87">
        <v>0</v>
      </c>
      <c r="AM12" s="88" t="s">
        <v>222</v>
      </c>
      <c r="AN12" s="89">
        <f>AD12*Parametros!$E$28+AF12*Parametros!$E$29+AH12*Parametros!$E$30+AJ12*Parametros!$E$31+AL12*Parametros!$E$32</f>
        <v>0</v>
      </c>
      <c r="AO12" s="12" t="str">
        <f t="shared" si="2"/>
        <v>NO</v>
      </c>
      <c r="AP12" s="11">
        <f t="shared" si="3"/>
        <v>1</v>
      </c>
      <c r="AQ12" s="90">
        <f>MAX(0,MIN(1,MAX(0,AP12-IF(S12="NO",Parametros!$E$17,0))+AC12-AN12-IF(AO12="SI",Parametros!$E$33,0)))</f>
        <v>1</v>
      </c>
      <c r="AR12" s="58"/>
      <c r="AS12" s="71" t="str">
        <f>'Captura Abril'!B14</f>
        <v>Linea 2</v>
      </c>
      <c r="AT12" s="72">
        <f>'Captura Abril'!K14+'Captura Abril'!N14+'Captura Abril'!Q14</f>
        <v>0.24</v>
      </c>
      <c r="AU12" s="72">
        <f>'Captura Abril'!T14</f>
        <v>0.06</v>
      </c>
      <c r="AV12" s="72">
        <f>'Captura Abril'!V14</f>
        <v>0.25</v>
      </c>
      <c r="AW12" s="72">
        <f>'Captura Abril'!G14</f>
        <v>0.2</v>
      </c>
      <c r="AX12" s="72">
        <f>'Captura Abril'!X14</f>
        <v>0.25</v>
      </c>
      <c r="AY12" s="72">
        <f>'Captura Abril'!AC14</f>
        <v>0.04</v>
      </c>
      <c r="AZ12" s="73">
        <f>-'Captura Abril'!AN14</f>
        <v>0</v>
      </c>
      <c r="BA12" s="74">
        <f>'Captura Abril'!AQ14</f>
        <v>1</v>
      </c>
      <c r="BB12" s="58"/>
      <c r="BC12" s="58"/>
    </row>
    <row r="13" spans="1:55" ht="16.5" customHeight="1" x14ac:dyDescent="0.35">
      <c r="A13" s="12">
        <v>8</v>
      </c>
      <c r="B13" s="83" t="s">
        <v>123</v>
      </c>
      <c r="C13" s="84" t="str">
        <f>VLOOKUP(B13,Parametros!$I$6:$J$20,2,FALSE())</f>
        <v>Amilcar Ralda</v>
      </c>
      <c r="D13" s="85">
        <v>1</v>
      </c>
      <c r="E13" s="85">
        <v>1</v>
      </c>
      <c r="F13" s="11">
        <f t="shared" si="0"/>
        <v>1</v>
      </c>
      <c r="G13" s="86">
        <f>F13*Parametros!$E$6</f>
        <v>0.2</v>
      </c>
      <c r="H13" s="87">
        <v>10</v>
      </c>
      <c r="I13" s="87">
        <v>10</v>
      </c>
      <c r="J13" s="88" t="s">
        <v>222</v>
      </c>
      <c r="K13" s="86">
        <f>IF(J13="NO",0,IFERROR(H13/I13,0)*Parametros!$E$7)</f>
        <v>0.08</v>
      </c>
      <c r="L13" s="85">
        <v>1</v>
      </c>
      <c r="M13" s="88" t="s">
        <v>222</v>
      </c>
      <c r="N13" s="86">
        <f>IF(M13="NO",0,L13*Parametros!$E$8)</f>
        <v>0.08</v>
      </c>
      <c r="O13" s="85">
        <v>1</v>
      </c>
      <c r="P13" s="88" t="s">
        <v>222</v>
      </c>
      <c r="Q13" s="86">
        <f>IF(P13="NO",0,O13*Parametros!$E$9)</f>
        <v>0.08</v>
      </c>
      <c r="R13" s="85">
        <v>1</v>
      </c>
      <c r="S13" s="88" t="s">
        <v>222</v>
      </c>
      <c r="T13" s="86">
        <f>IF(S13="NO",0,R13*Parametros!$E$10)</f>
        <v>0.06</v>
      </c>
      <c r="U13" s="85">
        <v>1</v>
      </c>
      <c r="V13" s="86">
        <f>U13*Parametros!$E$11</f>
        <v>0.25</v>
      </c>
      <c r="W13" s="87">
        <v>8</v>
      </c>
      <c r="X13" s="86">
        <f>MAX(0,Parametros!$E$12-Parametros!$E$18*W13)</f>
        <v>0</v>
      </c>
      <c r="Y13" s="87">
        <v>5</v>
      </c>
      <c r="Z13" s="87">
        <v>17</v>
      </c>
      <c r="AA13" s="89">
        <f>IF(Y13&gt;=Parametros!$E$22,Parametros!$E$24,0)</f>
        <v>0</v>
      </c>
      <c r="AB13" s="89">
        <f>IF(Z13&gt;=Parametros!$E$23,Parametros!$E$25,0)</f>
        <v>0.04</v>
      </c>
      <c r="AC13" s="89">
        <f t="shared" si="1"/>
        <v>0.04</v>
      </c>
      <c r="AD13" s="87">
        <v>0</v>
      </c>
      <c r="AE13" s="88" t="s">
        <v>222</v>
      </c>
      <c r="AF13" s="87">
        <v>0</v>
      </c>
      <c r="AG13" s="88" t="s">
        <v>222</v>
      </c>
      <c r="AH13" s="87">
        <v>0</v>
      </c>
      <c r="AI13" s="88" t="s">
        <v>222</v>
      </c>
      <c r="AJ13" s="87">
        <v>0</v>
      </c>
      <c r="AK13" s="88" t="s">
        <v>222</v>
      </c>
      <c r="AL13" s="87">
        <v>0</v>
      </c>
      <c r="AM13" s="88" t="s">
        <v>222</v>
      </c>
      <c r="AN13" s="89">
        <f>AD13*Parametros!$E$28+AF13*Parametros!$E$29+AH13*Parametros!$E$30+AJ13*Parametros!$E$31+AL13*Parametros!$E$32</f>
        <v>0</v>
      </c>
      <c r="AO13" s="12" t="str">
        <f t="shared" si="2"/>
        <v>NO</v>
      </c>
      <c r="AP13" s="11">
        <f t="shared" si="3"/>
        <v>0.75</v>
      </c>
      <c r="AQ13" s="90">
        <f>MAX(0,MIN(1,MAX(0,AP13-IF(S13="NO",Parametros!$E$17,0))+AC13-AN13-IF(AO13="SI",Parametros!$E$33,0)))</f>
        <v>0.79</v>
      </c>
      <c r="AR13" s="58"/>
      <c r="AS13" s="79" t="str">
        <f>'Captura Abril'!B15</f>
        <v>Linea 3</v>
      </c>
      <c r="AT13" s="80">
        <f>'Captura Abril'!K15+'Captura Abril'!N15+'Captura Abril'!Q15</f>
        <v>0.16</v>
      </c>
      <c r="AU13" s="80">
        <f>'Captura Abril'!T15</f>
        <v>0.06</v>
      </c>
      <c r="AV13" s="80">
        <f>'Captura Abril'!V15</f>
        <v>0.25</v>
      </c>
      <c r="AW13" s="80">
        <f>'Captura Abril'!G15</f>
        <v>0.2</v>
      </c>
      <c r="AX13" s="80">
        <f>'Captura Abril'!X15</f>
        <v>0.2</v>
      </c>
      <c r="AY13" s="80">
        <f>'Captura Abril'!AC15</f>
        <v>0</v>
      </c>
      <c r="AZ13" s="81">
        <f>-'Captura Abril'!AN15</f>
        <v>0</v>
      </c>
      <c r="BA13" s="82">
        <f>'Captura Abril'!AQ15</f>
        <v>0.87000000000000011</v>
      </c>
      <c r="BB13" s="58"/>
      <c r="BC13" s="58"/>
    </row>
    <row r="14" spans="1:55" ht="16.5" customHeight="1" x14ac:dyDescent="0.35">
      <c r="A14" s="12">
        <v>9</v>
      </c>
      <c r="B14" s="83" t="s">
        <v>113</v>
      </c>
      <c r="C14" s="84" t="str">
        <f>VLOOKUP(B14,Parametros!$I$6:$J$20,2,FALSE())</f>
        <v>Amilcar Ralda</v>
      </c>
      <c r="D14" s="85">
        <v>1</v>
      </c>
      <c r="E14" s="85">
        <v>1</v>
      </c>
      <c r="F14" s="11">
        <f t="shared" si="0"/>
        <v>1</v>
      </c>
      <c r="G14" s="86">
        <f>F14*Parametros!$E$6</f>
        <v>0.2</v>
      </c>
      <c r="H14" s="87">
        <v>10</v>
      </c>
      <c r="I14" s="87">
        <v>10</v>
      </c>
      <c r="J14" s="88" t="s">
        <v>222</v>
      </c>
      <c r="K14" s="86">
        <f>IF(J14="NO",0,IFERROR(H14/I14,0)*Parametros!$E$7)</f>
        <v>0.08</v>
      </c>
      <c r="L14" s="85">
        <v>1</v>
      </c>
      <c r="M14" s="88" t="s">
        <v>222</v>
      </c>
      <c r="N14" s="86">
        <f>IF(M14="NO",0,L14*Parametros!$E$8)</f>
        <v>0.08</v>
      </c>
      <c r="O14" s="85">
        <v>1</v>
      </c>
      <c r="P14" s="88" t="s">
        <v>222</v>
      </c>
      <c r="Q14" s="86">
        <f>IF(P14="NO",0,O14*Parametros!$E$9)</f>
        <v>0.08</v>
      </c>
      <c r="R14" s="85">
        <v>1</v>
      </c>
      <c r="S14" s="88" t="s">
        <v>222</v>
      </c>
      <c r="T14" s="86">
        <f>IF(S14="NO",0,R14*Parametros!$E$10)</f>
        <v>0.06</v>
      </c>
      <c r="U14" s="85">
        <v>1</v>
      </c>
      <c r="V14" s="86">
        <f>U14*Parametros!$E$11</f>
        <v>0.25</v>
      </c>
      <c r="W14" s="87">
        <v>0</v>
      </c>
      <c r="X14" s="86">
        <f>MAX(0,Parametros!$E$12-Parametros!$E$18*W14)</f>
        <v>0.25</v>
      </c>
      <c r="Y14" s="87">
        <v>3</v>
      </c>
      <c r="Z14" s="87">
        <v>11</v>
      </c>
      <c r="AA14" s="89">
        <f>IF(Y14&gt;=Parametros!$E$22,Parametros!$E$24,0)</f>
        <v>0</v>
      </c>
      <c r="AB14" s="89">
        <f>IF(Z14&gt;=Parametros!$E$23,Parametros!$E$25,0)</f>
        <v>0.04</v>
      </c>
      <c r="AC14" s="89">
        <f t="shared" si="1"/>
        <v>0.04</v>
      </c>
      <c r="AD14" s="87">
        <v>0</v>
      </c>
      <c r="AE14" s="88" t="s">
        <v>222</v>
      </c>
      <c r="AF14" s="87">
        <v>0</v>
      </c>
      <c r="AG14" s="88" t="s">
        <v>222</v>
      </c>
      <c r="AH14" s="87">
        <v>0</v>
      </c>
      <c r="AI14" s="88" t="s">
        <v>222</v>
      </c>
      <c r="AJ14" s="87">
        <v>0</v>
      </c>
      <c r="AK14" s="88" t="s">
        <v>222</v>
      </c>
      <c r="AL14" s="87">
        <v>0</v>
      </c>
      <c r="AM14" s="88" t="s">
        <v>222</v>
      </c>
      <c r="AN14" s="89">
        <f>AD14*Parametros!$E$28+AF14*Parametros!$E$29+AH14*Parametros!$E$30+AJ14*Parametros!$E$31+AL14*Parametros!$E$32</f>
        <v>0</v>
      </c>
      <c r="AO14" s="12" t="str">
        <f t="shared" si="2"/>
        <v>NO</v>
      </c>
      <c r="AP14" s="11">
        <f t="shared" si="3"/>
        <v>1</v>
      </c>
      <c r="AQ14" s="90">
        <f>MAX(0,MIN(1,MAX(0,AP14-IF(S14="NO",Parametros!$E$17,0))+AC14-AN14-IF(AO14="SI",Parametros!$E$33,0)))</f>
        <v>1</v>
      </c>
      <c r="AR14" s="58"/>
      <c r="AS14" s="71" t="str">
        <f>'Captura Abril'!B16</f>
        <v>Linea 4</v>
      </c>
      <c r="AT14" s="72">
        <f>'Captura Abril'!K16+'Captura Abril'!N16+'Captura Abril'!Q16</f>
        <v>0.16</v>
      </c>
      <c r="AU14" s="72">
        <f>'Captura Abril'!T16</f>
        <v>0.06</v>
      </c>
      <c r="AV14" s="72">
        <f>'Captura Abril'!V16</f>
        <v>0.25</v>
      </c>
      <c r="AW14" s="72">
        <f>'Captura Abril'!G16</f>
        <v>0.2</v>
      </c>
      <c r="AX14" s="72">
        <f>'Captura Abril'!X16</f>
        <v>0.25</v>
      </c>
      <c r="AY14" s="72">
        <f>'Captura Abril'!AC16</f>
        <v>0.04</v>
      </c>
      <c r="AZ14" s="73">
        <f>-'Captura Abril'!AN16</f>
        <v>0</v>
      </c>
      <c r="BA14" s="74">
        <f>'Captura Abril'!AQ16</f>
        <v>0.96000000000000008</v>
      </c>
      <c r="BB14" s="58"/>
      <c r="BC14" s="58"/>
    </row>
    <row r="15" spans="1:55" ht="16.5" customHeight="1" x14ac:dyDescent="0.35">
      <c r="A15" s="12">
        <v>10</v>
      </c>
      <c r="B15" s="83" t="s">
        <v>133</v>
      </c>
      <c r="C15" s="84" t="str">
        <f>VLOOKUP(B15,Parametros!$I$6:$J$20,2,FALSE())</f>
        <v>Mario Ramos</v>
      </c>
      <c r="D15" s="85">
        <v>1</v>
      </c>
      <c r="E15" s="85">
        <v>1</v>
      </c>
      <c r="F15" s="11">
        <f t="shared" si="0"/>
        <v>1</v>
      </c>
      <c r="G15" s="86">
        <f>F15*Parametros!$E$6</f>
        <v>0.2</v>
      </c>
      <c r="H15" s="87">
        <v>10</v>
      </c>
      <c r="I15" s="87">
        <v>10</v>
      </c>
      <c r="J15" s="88" t="s">
        <v>222</v>
      </c>
      <c r="K15" s="86">
        <f>IF(J15="NO",0,IFERROR(H15/I15,0)*Parametros!$E$7)</f>
        <v>0.08</v>
      </c>
      <c r="L15" s="85">
        <v>0</v>
      </c>
      <c r="M15" s="88" t="s">
        <v>223</v>
      </c>
      <c r="N15" s="86">
        <f>IF(M15="NO",0,L15*Parametros!$E$8)</f>
        <v>0</v>
      </c>
      <c r="O15" s="85">
        <v>1</v>
      </c>
      <c r="P15" s="88" t="s">
        <v>222</v>
      </c>
      <c r="Q15" s="86">
        <f>IF(P15="NO",0,O15*Parametros!$E$9)</f>
        <v>0.08</v>
      </c>
      <c r="R15" s="85">
        <v>1</v>
      </c>
      <c r="S15" s="88" t="s">
        <v>222</v>
      </c>
      <c r="T15" s="86">
        <f>IF(S15="NO",0,R15*Parametros!$E$10)</f>
        <v>0.06</v>
      </c>
      <c r="U15" s="85">
        <v>1</v>
      </c>
      <c r="V15" s="86">
        <f>U15*Parametros!$E$11</f>
        <v>0.25</v>
      </c>
      <c r="W15" s="87">
        <v>1</v>
      </c>
      <c r="X15" s="86">
        <f>MAX(0,Parametros!$E$12-Parametros!$E$18*W15)</f>
        <v>0.2</v>
      </c>
      <c r="Y15" s="87">
        <v>4</v>
      </c>
      <c r="Z15" s="87">
        <v>4</v>
      </c>
      <c r="AA15" s="89">
        <f>IF(Y15&gt;=Parametros!$E$22,Parametros!$E$24,0)</f>
        <v>0</v>
      </c>
      <c r="AB15" s="89">
        <f>IF(Z15&gt;=Parametros!$E$23,Parametros!$E$25,0)</f>
        <v>0</v>
      </c>
      <c r="AC15" s="89">
        <f t="shared" si="1"/>
        <v>0</v>
      </c>
      <c r="AD15" s="87">
        <v>0</v>
      </c>
      <c r="AE15" s="88" t="s">
        <v>222</v>
      </c>
      <c r="AF15" s="87">
        <v>0</v>
      </c>
      <c r="AG15" s="88" t="s">
        <v>222</v>
      </c>
      <c r="AH15" s="87">
        <v>0</v>
      </c>
      <c r="AI15" s="88" t="s">
        <v>222</v>
      </c>
      <c r="AJ15" s="87">
        <v>0</v>
      </c>
      <c r="AK15" s="88" t="s">
        <v>222</v>
      </c>
      <c r="AL15" s="87">
        <v>0</v>
      </c>
      <c r="AM15" s="88" t="s">
        <v>222</v>
      </c>
      <c r="AN15" s="89">
        <f>AD15*Parametros!$E$28+AF15*Parametros!$E$29+AH15*Parametros!$E$30+AJ15*Parametros!$E$31+AL15*Parametros!$E$32</f>
        <v>0</v>
      </c>
      <c r="AO15" s="12" t="str">
        <f t="shared" si="2"/>
        <v>NO</v>
      </c>
      <c r="AP15" s="11">
        <f t="shared" si="3"/>
        <v>0.87000000000000011</v>
      </c>
      <c r="AQ15" s="90">
        <f>MAX(0,MIN(1,MAX(0,AP15-IF(S15="NO",Parametros!$E$17,0))+AC15-AN15-IF(AO15="SI",Parametros!$E$33,0)))</f>
        <v>0.87000000000000011</v>
      </c>
      <c r="AR15" s="58"/>
      <c r="AS15" s="79" t="str">
        <f>'Captura Abril'!B17</f>
        <v>Linea 5</v>
      </c>
      <c r="AT15" s="80">
        <f>'Captura Abril'!K17+'Captura Abril'!N17+'Captura Abril'!Q17</f>
        <v>0</v>
      </c>
      <c r="AU15" s="80">
        <f>'Captura Abril'!T17</f>
        <v>0.06</v>
      </c>
      <c r="AV15" s="80">
        <f>'Captura Abril'!V17</f>
        <v>0.25</v>
      </c>
      <c r="AW15" s="80">
        <f>'Captura Abril'!G17</f>
        <v>0.2</v>
      </c>
      <c r="AX15" s="80">
        <f>'Captura Abril'!X17</f>
        <v>0.15</v>
      </c>
      <c r="AY15" s="80">
        <f>'Captura Abril'!AC17</f>
        <v>0.08</v>
      </c>
      <c r="AZ15" s="81">
        <f>-'Captura Abril'!AN17</f>
        <v>0</v>
      </c>
      <c r="BA15" s="82">
        <f>'Captura Abril'!AQ17</f>
        <v>0.74</v>
      </c>
      <c r="BB15" s="58"/>
      <c r="BC15" s="58"/>
    </row>
    <row r="16" spans="1:55" ht="16.5" customHeight="1" x14ac:dyDescent="0.35">
      <c r="A16" s="12">
        <v>11</v>
      </c>
      <c r="B16" s="83" t="s">
        <v>106</v>
      </c>
      <c r="C16" s="84" t="str">
        <f>VLOOKUP(B16,Parametros!$I$6:$J$20,2,FALSE())</f>
        <v>Mario Ramos</v>
      </c>
      <c r="D16" s="85">
        <v>1</v>
      </c>
      <c r="E16" s="85">
        <v>1</v>
      </c>
      <c r="F16" s="11">
        <f t="shared" si="0"/>
        <v>1</v>
      </c>
      <c r="G16" s="86">
        <f>F16*Parametros!$E$6</f>
        <v>0.2</v>
      </c>
      <c r="H16" s="87">
        <v>10</v>
      </c>
      <c r="I16" s="87">
        <v>10</v>
      </c>
      <c r="J16" s="88" t="s">
        <v>222</v>
      </c>
      <c r="K16" s="86">
        <f>IF(J16="NO",0,IFERROR(H16/I16,0)*Parametros!$E$7)</f>
        <v>0.08</v>
      </c>
      <c r="L16" s="85">
        <v>0</v>
      </c>
      <c r="M16" s="88" t="s">
        <v>223</v>
      </c>
      <c r="N16" s="86">
        <f>IF(M16="NO",0,L16*Parametros!$E$8)</f>
        <v>0</v>
      </c>
      <c r="O16" s="85">
        <v>1</v>
      </c>
      <c r="P16" s="88" t="s">
        <v>222</v>
      </c>
      <c r="Q16" s="86">
        <f>IF(P16="NO",0,O16*Parametros!$E$9)</f>
        <v>0.08</v>
      </c>
      <c r="R16" s="85">
        <v>1</v>
      </c>
      <c r="S16" s="88" t="s">
        <v>222</v>
      </c>
      <c r="T16" s="86">
        <f>IF(S16="NO",0,R16*Parametros!$E$10)</f>
        <v>0.06</v>
      </c>
      <c r="U16" s="85">
        <v>1</v>
      </c>
      <c r="V16" s="86">
        <f>U16*Parametros!$E$11</f>
        <v>0.25</v>
      </c>
      <c r="W16" s="87">
        <v>0</v>
      </c>
      <c r="X16" s="86">
        <f>MAX(0,Parametros!$E$12-Parametros!$E$18*W16)</f>
        <v>0.25</v>
      </c>
      <c r="Y16" s="87">
        <v>4</v>
      </c>
      <c r="Z16" s="87">
        <v>10</v>
      </c>
      <c r="AA16" s="89">
        <f>IF(Y16&gt;=Parametros!$E$22,Parametros!$E$24,0)</f>
        <v>0</v>
      </c>
      <c r="AB16" s="89">
        <f>IF(Z16&gt;=Parametros!$E$23,Parametros!$E$25,0)</f>
        <v>0.04</v>
      </c>
      <c r="AC16" s="89">
        <f t="shared" si="1"/>
        <v>0.04</v>
      </c>
      <c r="AD16" s="87">
        <v>0</v>
      </c>
      <c r="AE16" s="88" t="s">
        <v>222</v>
      </c>
      <c r="AF16" s="87">
        <v>0</v>
      </c>
      <c r="AG16" s="88" t="s">
        <v>222</v>
      </c>
      <c r="AH16" s="87">
        <v>0</v>
      </c>
      <c r="AI16" s="88" t="s">
        <v>222</v>
      </c>
      <c r="AJ16" s="87">
        <v>0</v>
      </c>
      <c r="AK16" s="88" t="s">
        <v>222</v>
      </c>
      <c r="AL16" s="87">
        <v>0</v>
      </c>
      <c r="AM16" s="88" t="s">
        <v>222</v>
      </c>
      <c r="AN16" s="89">
        <f>AD16*Parametros!$E$28+AF16*Parametros!$E$29+AH16*Parametros!$E$30+AJ16*Parametros!$E$31+AL16*Parametros!$E$32</f>
        <v>0</v>
      </c>
      <c r="AO16" s="12" t="str">
        <f t="shared" si="2"/>
        <v>NO</v>
      </c>
      <c r="AP16" s="11">
        <f t="shared" si="3"/>
        <v>0.92</v>
      </c>
      <c r="AQ16" s="90">
        <f>MAX(0,MIN(1,MAX(0,AP16-IF(S16="NO",Parametros!$E$17,0))+AC16-AN16-IF(AO16="SI",Parametros!$E$33,0)))</f>
        <v>0.96000000000000008</v>
      </c>
      <c r="AR16" s="58"/>
      <c r="AS16" s="71" t="str">
        <f>'Captura Abril'!B18</f>
        <v>Mantenimiento</v>
      </c>
      <c r="AT16" s="72">
        <f>'Captura Abril'!K18+'Captura Abril'!N18+'Captura Abril'!Q18</f>
        <v>0.24</v>
      </c>
      <c r="AU16" s="72">
        <f>'Captura Abril'!T18</f>
        <v>0.06</v>
      </c>
      <c r="AV16" s="72">
        <f>'Captura Abril'!V18</f>
        <v>0.25</v>
      </c>
      <c r="AW16" s="72">
        <f>'Captura Abril'!G18</f>
        <v>0.2</v>
      </c>
      <c r="AX16" s="72">
        <f>'Captura Abril'!X18</f>
        <v>0.25</v>
      </c>
      <c r="AY16" s="72">
        <f>'Captura Abril'!AC18</f>
        <v>0.04</v>
      </c>
      <c r="AZ16" s="73">
        <f>-'Captura Abril'!AN18</f>
        <v>0</v>
      </c>
      <c r="BA16" s="74">
        <f>'Captura Abril'!AQ18</f>
        <v>1</v>
      </c>
      <c r="BB16" s="58"/>
      <c r="BC16" s="58"/>
    </row>
    <row r="17" spans="1:55" ht="16.5" customHeight="1" x14ac:dyDescent="0.35">
      <c r="A17" s="12">
        <v>12</v>
      </c>
      <c r="B17" s="83" t="s">
        <v>109</v>
      </c>
      <c r="C17" s="84" t="str">
        <f>VLOOKUP(B17,Parametros!$I$6:$J$20,2,FALSE())</f>
        <v>Roy Luarca</v>
      </c>
      <c r="D17" s="85">
        <v>1</v>
      </c>
      <c r="E17" s="85">
        <v>1</v>
      </c>
      <c r="F17" s="11">
        <f t="shared" si="0"/>
        <v>1</v>
      </c>
      <c r="G17" s="86">
        <f>F17*Parametros!$E$6</f>
        <v>0.2</v>
      </c>
      <c r="H17" s="87">
        <v>10</v>
      </c>
      <c r="I17" s="87">
        <v>10</v>
      </c>
      <c r="J17" s="88" t="s">
        <v>223</v>
      </c>
      <c r="K17" s="86">
        <f>IF(J17="NO",0,IFERROR(H17/I17,0)*Parametros!$E$7)</f>
        <v>0</v>
      </c>
      <c r="L17" s="85">
        <v>0</v>
      </c>
      <c r="M17" s="88" t="s">
        <v>223</v>
      </c>
      <c r="N17" s="86">
        <f>IF(M17="NO",0,L17*Parametros!$E$8)</f>
        <v>0</v>
      </c>
      <c r="O17" s="85">
        <v>0</v>
      </c>
      <c r="P17" s="88" t="s">
        <v>223</v>
      </c>
      <c r="Q17" s="86">
        <f>IF(P17="NO",0,O17*Parametros!$E$9)</f>
        <v>0</v>
      </c>
      <c r="R17" s="85">
        <v>1</v>
      </c>
      <c r="S17" s="88" t="s">
        <v>222</v>
      </c>
      <c r="T17" s="86">
        <f>IF(S17="NO",0,R17*Parametros!$E$10)</f>
        <v>0.06</v>
      </c>
      <c r="U17" s="85">
        <v>1</v>
      </c>
      <c r="V17" s="86">
        <f>U17*Parametros!$E$11</f>
        <v>0.25</v>
      </c>
      <c r="W17" s="87">
        <v>2</v>
      </c>
      <c r="X17" s="86">
        <f>MAX(0,Parametros!$E$12-Parametros!$E$18*W17)</f>
        <v>0.15</v>
      </c>
      <c r="Y17" s="87">
        <v>8</v>
      </c>
      <c r="Z17" s="87">
        <v>10</v>
      </c>
      <c r="AA17" s="89">
        <f>IF(Y17&gt;=Parametros!$E$22,Parametros!$E$24,0)</f>
        <v>0.04</v>
      </c>
      <c r="AB17" s="89">
        <f>IF(Z17&gt;=Parametros!$E$23,Parametros!$E$25,0)</f>
        <v>0.04</v>
      </c>
      <c r="AC17" s="89">
        <f t="shared" si="1"/>
        <v>0.08</v>
      </c>
      <c r="AD17" s="87">
        <v>0</v>
      </c>
      <c r="AE17" s="88" t="s">
        <v>222</v>
      </c>
      <c r="AF17" s="87">
        <v>0</v>
      </c>
      <c r="AG17" s="88" t="s">
        <v>222</v>
      </c>
      <c r="AH17" s="87">
        <v>0</v>
      </c>
      <c r="AI17" s="88" t="s">
        <v>222</v>
      </c>
      <c r="AJ17" s="87">
        <v>0</v>
      </c>
      <c r="AK17" s="88" t="s">
        <v>222</v>
      </c>
      <c r="AL17" s="87">
        <v>0</v>
      </c>
      <c r="AM17" s="88" t="s">
        <v>222</v>
      </c>
      <c r="AN17" s="89">
        <f>AD17*Parametros!$E$28+AF17*Parametros!$E$29+AH17*Parametros!$E$30+AJ17*Parametros!$E$31+AL17*Parametros!$E$32</f>
        <v>0</v>
      </c>
      <c r="AO17" s="12" t="str">
        <f t="shared" si="2"/>
        <v>NO</v>
      </c>
      <c r="AP17" s="11">
        <f t="shared" si="3"/>
        <v>0.66</v>
      </c>
      <c r="AQ17" s="90">
        <f>MAX(0,MIN(1,MAX(0,AP17-IF(S17="NO",Parametros!$E$17,0))+AC17-AN17-IF(AO17="SI",Parametros!$E$33,0)))</f>
        <v>0.74</v>
      </c>
      <c r="AR17" s="58"/>
      <c r="AS17" s="79" t="str">
        <f>'Captura Abril'!B19</f>
        <v>Materias Primas</v>
      </c>
      <c r="AT17" s="80">
        <f>'Captura Abril'!K19+'Captura Abril'!N19+'Captura Abril'!Q19</f>
        <v>0.24</v>
      </c>
      <c r="AU17" s="80">
        <f>'Captura Abril'!T19</f>
        <v>0.06</v>
      </c>
      <c r="AV17" s="80">
        <f>'Captura Abril'!V19</f>
        <v>0.25</v>
      </c>
      <c r="AW17" s="80">
        <f>'Captura Abril'!G19</f>
        <v>0.2</v>
      </c>
      <c r="AX17" s="80">
        <f>'Captura Abril'!X19</f>
        <v>0.25</v>
      </c>
      <c r="AY17" s="80">
        <f>'Captura Abril'!AC19</f>
        <v>0</v>
      </c>
      <c r="AZ17" s="81">
        <f>-'Captura Abril'!AN19</f>
        <v>0</v>
      </c>
      <c r="BA17" s="82">
        <f>'Captura Abril'!AQ19</f>
        <v>1</v>
      </c>
      <c r="BB17" s="58"/>
      <c r="BC17" s="58"/>
    </row>
    <row r="18" spans="1:55" ht="16.5" customHeight="1" x14ac:dyDescent="0.35">
      <c r="A18" s="12">
        <v>13</v>
      </c>
      <c r="B18" s="83" t="s">
        <v>140</v>
      </c>
      <c r="C18" s="84" t="str">
        <f>VLOOKUP(B18,Parametros!$I$6:$J$20,2,FALSE())</f>
        <v>Eliu Tello</v>
      </c>
      <c r="D18" s="85">
        <v>1</v>
      </c>
      <c r="E18" s="85">
        <v>1</v>
      </c>
      <c r="F18" s="11">
        <f t="shared" si="0"/>
        <v>1</v>
      </c>
      <c r="G18" s="86">
        <f>F18*Parametros!$E$6</f>
        <v>0.2</v>
      </c>
      <c r="H18" s="87">
        <v>10</v>
      </c>
      <c r="I18" s="87">
        <v>10</v>
      </c>
      <c r="J18" s="88" t="s">
        <v>222</v>
      </c>
      <c r="K18" s="86">
        <f>IF(J18="NO",0,IFERROR(H18/I18,0)*Parametros!$E$7)</f>
        <v>0.08</v>
      </c>
      <c r="L18" s="85">
        <v>1</v>
      </c>
      <c r="M18" s="88" t="s">
        <v>222</v>
      </c>
      <c r="N18" s="86">
        <f>IF(M18="NO",0,L18*Parametros!$E$8)</f>
        <v>0.08</v>
      </c>
      <c r="O18" s="85">
        <v>1</v>
      </c>
      <c r="P18" s="88" t="s">
        <v>222</v>
      </c>
      <c r="Q18" s="86">
        <f>IF(P18="NO",0,O18*Parametros!$E$9)</f>
        <v>0.08</v>
      </c>
      <c r="R18" s="85">
        <v>1</v>
      </c>
      <c r="S18" s="88" t="s">
        <v>222</v>
      </c>
      <c r="T18" s="86">
        <f>IF(S18="NO",0,R18*Parametros!$E$10)</f>
        <v>0.06</v>
      </c>
      <c r="U18" s="85">
        <v>1</v>
      </c>
      <c r="V18" s="86">
        <f>U18*Parametros!$E$11</f>
        <v>0.25</v>
      </c>
      <c r="W18" s="87">
        <v>0</v>
      </c>
      <c r="X18" s="86">
        <f>MAX(0,Parametros!$E$12-Parametros!$E$18*W18)</f>
        <v>0.25</v>
      </c>
      <c r="Y18" s="87">
        <v>3</v>
      </c>
      <c r="Z18" s="87">
        <v>20</v>
      </c>
      <c r="AA18" s="89">
        <f>IF(Y18&gt;=Parametros!$E$22,Parametros!$E$24,0)</f>
        <v>0</v>
      </c>
      <c r="AB18" s="89">
        <f>IF(Z18&gt;=Parametros!$E$23,Parametros!$E$25,0)</f>
        <v>0.04</v>
      </c>
      <c r="AC18" s="89">
        <f t="shared" si="1"/>
        <v>0.04</v>
      </c>
      <c r="AD18" s="87">
        <v>0</v>
      </c>
      <c r="AE18" s="88" t="s">
        <v>222</v>
      </c>
      <c r="AF18" s="87">
        <v>0</v>
      </c>
      <c r="AG18" s="88" t="s">
        <v>222</v>
      </c>
      <c r="AH18" s="87">
        <v>0</v>
      </c>
      <c r="AI18" s="88" t="s">
        <v>222</v>
      </c>
      <c r="AJ18" s="87">
        <v>0</v>
      </c>
      <c r="AK18" s="88" t="s">
        <v>222</v>
      </c>
      <c r="AL18" s="87">
        <v>0</v>
      </c>
      <c r="AM18" s="88" t="s">
        <v>222</v>
      </c>
      <c r="AN18" s="89">
        <f>AD18*Parametros!$E$28+AF18*Parametros!$E$29+AH18*Parametros!$E$30+AJ18*Parametros!$E$31+AL18*Parametros!$E$32</f>
        <v>0</v>
      </c>
      <c r="AO18" s="12" t="str">
        <f t="shared" si="2"/>
        <v>NO</v>
      </c>
      <c r="AP18" s="11">
        <f t="shared" si="3"/>
        <v>1</v>
      </c>
      <c r="AQ18" s="90">
        <f>MAX(0,MIN(1,MAX(0,AP18-IF(S18="NO",Parametros!$E$17,0))+AC18-AN18-IF(AO18="SI",Parametros!$E$33,0)))</f>
        <v>1</v>
      </c>
      <c r="AR18" s="58"/>
      <c r="AS18" s="71" t="str">
        <f>'Captura Abril'!B20</f>
        <v>Tratamiento de Aguas</v>
      </c>
      <c r="AT18" s="72">
        <f>'Captura Abril'!K20+'Captura Abril'!N20+'Captura Abril'!Q20</f>
        <v>0.24</v>
      </c>
      <c r="AU18" s="72">
        <f>'Captura Abril'!T20</f>
        <v>0.06</v>
      </c>
      <c r="AV18" s="72">
        <f>'Captura Abril'!V20</f>
        <v>0.25</v>
      </c>
      <c r="AW18" s="72">
        <f>'Captura Abril'!G20</f>
        <v>0.2</v>
      </c>
      <c r="AX18" s="72">
        <f>'Captura Abril'!X20</f>
        <v>0.25</v>
      </c>
      <c r="AY18" s="72">
        <f>'Captura Abril'!AC20</f>
        <v>0</v>
      </c>
      <c r="AZ18" s="73">
        <f>-'Captura Abril'!AN20</f>
        <v>0</v>
      </c>
      <c r="BA18" s="74">
        <f>'Captura Abril'!AQ20</f>
        <v>1</v>
      </c>
      <c r="BB18" s="58"/>
      <c r="BC18" s="58"/>
    </row>
    <row r="19" spans="1:55" ht="25.5" customHeight="1" x14ac:dyDescent="0.35">
      <c r="A19" s="12">
        <v>14</v>
      </c>
      <c r="B19" s="83" t="s">
        <v>142</v>
      </c>
      <c r="C19" s="84" t="str">
        <f>VLOOKUP(B19,Parametros!$I$6:$J$20,2,FALSE())</f>
        <v>Miguel Godinez</v>
      </c>
      <c r="D19" s="85">
        <v>1</v>
      </c>
      <c r="E19" s="85">
        <v>1</v>
      </c>
      <c r="F19" s="11">
        <f t="shared" si="0"/>
        <v>1</v>
      </c>
      <c r="G19" s="86">
        <f>F19*Parametros!$E$6</f>
        <v>0.2</v>
      </c>
      <c r="H19" s="87">
        <v>10</v>
      </c>
      <c r="I19" s="87">
        <v>10</v>
      </c>
      <c r="J19" s="88" t="s">
        <v>222</v>
      </c>
      <c r="K19" s="86">
        <f>IF(J19="NO",0,IFERROR(H19/I19,0)*Parametros!$E$7)</f>
        <v>0.08</v>
      </c>
      <c r="L19" s="85">
        <v>1</v>
      </c>
      <c r="M19" s="88" t="s">
        <v>222</v>
      </c>
      <c r="N19" s="86">
        <f>IF(M19="NO",0,L19*Parametros!$E$8)</f>
        <v>0.08</v>
      </c>
      <c r="O19" s="85">
        <v>1</v>
      </c>
      <c r="P19" s="88" t="s">
        <v>222</v>
      </c>
      <c r="Q19" s="86">
        <f>IF(P19="NO",0,O19*Parametros!$E$9)</f>
        <v>0.08</v>
      </c>
      <c r="R19" s="85">
        <v>1</v>
      </c>
      <c r="S19" s="88" t="s">
        <v>222</v>
      </c>
      <c r="T19" s="86">
        <f>IF(S19="NO",0,R19*Parametros!$E$10)</f>
        <v>0.06</v>
      </c>
      <c r="U19" s="85">
        <v>1</v>
      </c>
      <c r="V19" s="86">
        <f>U19*Parametros!$E$11</f>
        <v>0.25</v>
      </c>
      <c r="W19" s="87">
        <v>0</v>
      </c>
      <c r="X19" s="86">
        <f>MAX(0,Parametros!$E$12-Parametros!$E$18*W19)</f>
        <v>0.25</v>
      </c>
      <c r="Y19" s="87">
        <v>3</v>
      </c>
      <c r="Z19" s="87">
        <v>9</v>
      </c>
      <c r="AA19" s="89">
        <f>IF(Y19&gt;=Parametros!$E$22,Parametros!$E$24,0)</f>
        <v>0</v>
      </c>
      <c r="AB19" s="89">
        <f>IF(Z19&gt;=Parametros!$E$23,Parametros!$E$25,0)</f>
        <v>0</v>
      </c>
      <c r="AC19" s="89">
        <f t="shared" si="1"/>
        <v>0</v>
      </c>
      <c r="AD19" s="87">
        <v>0</v>
      </c>
      <c r="AE19" s="88" t="s">
        <v>222</v>
      </c>
      <c r="AF19" s="87">
        <v>0</v>
      </c>
      <c r="AG19" s="88" t="s">
        <v>222</v>
      </c>
      <c r="AH19" s="87">
        <v>0</v>
      </c>
      <c r="AI19" s="88" t="s">
        <v>222</v>
      </c>
      <c r="AJ19" s="87">
        <v>0</v>
      </c>
      <c r="AK19" s="88" t="s">
        <v>222</v>
      </c>
      <c r="AL19" s="87">
        <v>0</v>
      </c>
      <c r="AM19" s="88" t="s">
        <v>222</v>
      </c>
      <c r="AN19" s="89">
        <f>AD19*Parametros!$E$28+AF19*Parametros!$E$29+AH19*Parametros!$E$30+AJ19*Parametros!$E$31+AL19*Parametros!$E$32</f>
        <v>0</v>
      </c>
      <c r="AO19" s="12" t="str">
        <f t="shared" si="2"/>
        <v>NO</v>
      </c>
      <c r="AP19" s="11">
        <f t="shared" si="3"/>
        <v>1</v>
      </c>
      <c r="AQ19" s="90">
        <f>MAX(0,MIN(1,MAX(0,AP19-IF(S19="NO",Parametros!$E$17,0))+AC19-AN19-IF(AO19="SI",Parametros!$E$33,0)))</f>
        <v>1</v>
      </c>
      <c r="AR19" s="58"/>
      <c r="AS19" s="111" t="s">
        <v>240</v>
      </c>
      <c r="AT19" s="111"/>
      <c r="AU19" s="111"/>
      <c r="AV19" s="111"/>
      <c r="AW19" s="111"/>
      <c r="AX19" s="111"/>
      <c r="AY19" s="111"/>
      <c r="AZ19" s="111"/>
      <c r="BA19" s="91">
        <f>AVERAGE(BA4:BA18)</f>
        <v>0.93466666666666676</v>
      </c>
      <c r="BB19" s="58"/>
      <c r="BC19" s="58"/>
    </row>
    <row r="20" spans="1:55" ht="16.5" customHeight="1" x14ac:dyDescent="0.35">
      <c r="A20" s="12">
        <v>15</v>
      </c>
      <c r="B20" s="83" t="s">
        <v>138</v>
      </c>
      <c r="C20" s="84" t="str">
        <f>VLOOKUP(B20,Parametros!$I$6:$J$20,2,FALSE())</f>
        <v>Adrian Santisteban</v>
      </c>
      <c r="D20" s="85">
        <v>1</v>
      </c>
      <c r="E20" s="85">
        <v>1</v>
      </c>
      <c r="F20" s="11">
        <f t="shared" si="0"/>
        <v>1</v>
      </c>
      <c r="G20" s="86">
        <f>F20*Parametros!$E$6</f>
        <v>0.2</v>
      </c>
      <c r="H20" s="87">
        <v>10</v>
      </c>
      <c r="I20" s="87">
        <v>10</v>
      </c>
      <c r="J20" s="88" t="s">
        <v>222</v>
      </c>
      <c r="K20" s="86">
        <f>IF(J20="NO",0,IFERROR(H20/I20,0)*Parametros!$E$7)</f>
        <v>0.08</v>
      </c>
      <c r="L20" s="85">
        <v>1</v>
      </c>
      <c r="M20" s="88" t="s">
        <v>222</v>
      </c>
      <c r="N20" s="86">
        <f>IF(M20="NO",0,L20*Parametros!$E$8)</f>
        <v>0.08</v>
      </c>
      <c r="O20" s="85">
        <v>1</v>
      </c>
      <c r="P20" s="88" t="s">
        <v>222</v>
      </c>
      <c r="Q20" s="86">
        <f>IF(P20="NO",0,O20*Parametros!$E$9)</f>
        <v>0.08</v>
      </c>
      <c r="R20" s="85">
        <v>1</v>
      </c>
      <c r="S20" s="88" t="s">
        <v>222</v>
      </c>
      <c r="T20" s="86">
        <f>IF(S20="NO",0,R20*Parametros!$E$10)</f>
        <v>0.06</v>
      </c>
      <c r="U20" s="85">
        <v>1</v>
      </c>
      <c r="V20" s="86">
        <f>U20*Parametros!$E$11</f>
        <v>0.25</v>
      </c>
      <c r="W20" s="87">
        <v>0</v>
      </c>
      <c r="X20" s="86">
        <f>MAX(0,Parametros!$E$12-Parametros!$E$18*W20)</f>
        <v>0.25</v>
      </c>
      <c r="Y20" s="87">
        <v>3</v>
      </c>
      <c r="Z20" s="87">
        <v>4</v>
      </c>
      <c r="AA20" s="89">
        <f>IF(Y20&gt;=Parametros!$E$22,Parametros!$E$24,0)</f>
        <v>0</v>
      </c>
      <c r="AB20" s="89">
        <f>IF(Z20&gt;=Parametros!$E$23,Parametros!$E$25,0)</f>
        <v>0</v>
      </c>
      <c r="AC20" s="89">
        <f t="shared" si="1"/>
        <v>0</v>
      </c>
      <c r="AD20" s="87">
        <v>0</v>
      </c>
      <c r="AE20" s="88" t="s">
        <v>222</v>
      </c>
      <c r="AF20" s="87">
        <v>0</v>
      </c>
      <c r="AG20" s="88" t="s">
        <v>222</v>
      </c>
      <c r="AH20" s="87">
        <v>0</v>
      </c>
      <c r="AI20" s="88" t="s">
        <v>222</v>
      </c>
      <c r="AJ20" s="87">
        <v>0</v>
      </c>
      <c r="AK20" s="88" t="s">
        <v>222</v>
      </c>
      <c r="AL20" s="87">
        <v>0</v>
      </c>
      <c r="AM20" s="88" t="s">
        <v>222</v>
      </c>
      <c r="AN20" s="89">
        <f>AD20*Parametros!$E$28+AF20*Parametros!$E$29+AH20*Parametros!$E$30+AJ20*Parametros!$E$31+AL20*Parametros!$E$32</f>
        <v>0</v>
      </c>
      <c r="AO20" s="12" t="str">
        <f t="shared" si="2"/>
        <v>NO</v>
      </c>
      <c r="AP20" s="11">
        <f t="shared" si="3"/>
        <v>1</v>
      </c>
      <c r="AQ20" s="90">
        <f>MAX(0,MIN(1,MAX(0,AP20-IF(S20="NO",Parametros!$E$17,0))+AC20-AN20-IF(AO20="SI",Parametros!$E$33,0)))</f>
        <v>1</v>
      </c>
      <c r="AR20" s="58"/>
      <c r="AS20" s="58"/>
      <c r="AT20" s="58"/>
      <c r="AU20" s="58"/>
      <c r="AV20" s="58"/>
      <c r="AW20" s="58"/>
      <c r="AX20" s="58"/>
      <c r="AY20" s="58"/>
      <c r="AZ20" s="58"/>
      <c r="BA20" s="58"/>
      <c r="BB20" s="58"/>
    </row>
    <row r="22" spans="1:55" ht="21.75" customHeight="1" x14ac:dyDescent="0.35">
      <c r="A22" s="112"/>
      <c r="B22" s="112"/>
      <c r="C22" s="112"/>
      <c r="D22" s="70"/>
      <c r="E22" s="70"/>
      <c r="F22" s="70"/>
      <c r="G22" s="70"/>
      <c r="H22" s="70"/>
      <c r="I22" s="70"/>
      <c r="J22" s="70"/>
      <c r="K22" s="70"/>
      <c r="L22" s="70"/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V22" s="92"/>
    </row>
    <row r="23" spans="1:55" ht="21.75" customHeight="1" x14ac:dyDescent="0.35">
      <c r="A23" s="113" t="s">
        <v>225</v>
      </c>
      <c r="B23" s="113"/>
      <c r="C23" s="113"/>
      <c r="D23" s="93"/>
      <c r="E23" s="93"/>
      <c r="F23" s="93"/>
      <c r="G23" s="93"/>
      <c r="H23" s="93"/>
      <c r="I23" s="93"/>
      <c r="J23" s="93"/>
      <c r="K23" s="93"/>
      <c r="L23" s="93"/>
      <c r="M23" s="93"/>
      <c r="N23" s="93"/>
      <c r="O23" s="93"/>
      <c r="P23" s="93"/>
      <c r="Q23" s="93"/>
      <c r="R23" s="93"/>
      <c r="S23" s="93"/>
      <c r="T23" s="93"/>
      <c r="U23" s="93"/>
      <c r="V23" s="93"/>
      <c r="W23" s="93"/>
      <c r="X23" s="93"/>
      <c r="Y23" s="93"/>
      <c r="Z23" s="93"/>
      <c r="AA23" s="93"/>
      <c r="AB23" s="93"/>
      <c r="AC23" s="93"/>
      <c r="AD23" s="93"/>
      <c r="AE23" s="93"/>
      <c r="AF23" s="93"/>
      <c r="AG23" s="93"/>
      <c r="AH23" s="93"/>
      <c r="AI23" s="93"/>
      <c r="AJ23" s="93"/>
      <c r="AK23" s="93"/>
      <c r="AL23" s="93"/>
      <c r="AM23" s="93"/>
      <c r="AN23" s="93"/>
      <c r="AO23" s="93"/>
      <c r="AP23" s="93"/>
      <c r="AQ23" s="94">
        <f>AVERAGE(AQ6:AQ20)</f>
        <v>0.93466666666666676</v>
      </c>
      <c r="AR23" s="58"/>
      <c r="AS23" s="58"/>
      <c r="AT23" s="58"/>
      <c r="AU23" s="58"/>
      <c r="AV23" s="58"/>
      <c r="AW23" s="58"/>
      <c r="AX23" s="58"/>
      <c r="AY23" s="58"/>
      <c r="AZ23" s="58"/>
      <c r="BA23" s="58"/>
      <c r="BB23" s="58"/>
    </row>
  </sheetData>
  <mergeCells count="20">
    <mergeCell ref="A1:AB1"/>
    <mergeCell ref="AS1:BA1"/>
    <mergeCell ref="BB1:BC1"/>
    <mergeCell ref="B2:D2"/>
    <mergeCell ref="AT2:AV2"/>
    <mergeCell ref="AX2:BA2"/>
    <mergeCell ref="BB5:BC5"/>
    <mergeCell ref="AS19:AZ19"/>
    <mergeCell ref="A22:C22"/>
    <mergeCell ref="A23:C23"/>
    <mergeCell ref="U4:V4"/>
    <mergeCell ref="W4:X4"/>
    <mergeCell ref="Y4:AC4"/>
    <mergeCell ref="AD4:AO4"/>
    <mergeCell ref="AP4:AQ4"/>
    <mergeCell ref="D4:G4"/>
    <mergeCell ref="H4:K4"/>
    <mergeCell ref="L4:N4"/>
    <mergeCell ref="O4:Q4"/>
    <mergeCell ref="R4:T4"/>
  </mergeCells>
  <conditionalFormatting sqref="AQ6:AQ20">
    <cfRule type="cellIs" dxfId="83" priority="5" operator="greaterThanOrEqual">
      <formula>0.9</formula>
    </cfRule>
    <cfRule type="cellIs" dxfId="82" priority="6" operator="between">
      <formula>0.7</formula>
      <formula>0.8999</formula>
    </cfRule>
    <cfRule type="cellIs" dxfId="81" priority="7" operator="lessThan">
      <formula>0.7</formula>
    </cfRule>
  </conditionalFormatting>
  <conditionalFormatting sqref="AV6:AV20">
    <cfRule type="cellIs" dxfId="80" priority="2" operator="greaterThanOrEqual">
      <formula>0.9</formula>
    </cfRule>
    <cfRule type="expression" dxfId="79" priority="3">
      <formula>AND(AV6&gt;=0.7,AV6&lt;0.9)</formula>
    </cfRule>
    <cfRule type="cellIs" dxfId="78" priority="4" operator="lessThan">
      <formula>0.7</formula>
    </cfRule>
  </conditionalFormatting>
  <conditionalFormatting sqref="BA4:BA18">
    <cfRule type="cellIs" dxfId="77" priority="8" operator="greaterThanOrEqual">
      <formula>0.9</formula>
    </cfRule>
    <cfRule type="cellIs" dxfId="76" priority="9" operator="between">
      <formula>0.7</formula>
      <formula>0.8999</formula>
    </cfRule>
    <cfRule type="cellIs" dxfId="75" priority="10" operator="lessThan">
      <formula>0.7</formula>
    </cfRule>
  </conditionalFormatting>
  <dataValidations count="4">
    <dataValidation type="whole" operator="greaterThanOrEqual" showErrorMessage="1" errorTitle="Valor invalido" error="Ingrese un numero entero &gt;= 0" sqref="F6:F20 K6:K20 N6:N20 V6:W20 AB6:AB20 AD6:AD20 AO6:AO20 AQ6:AQ20" xr:uid="{00000000-0002-0000-0800-000000000000}">
      <formula1>0</formula1>
      <formula2>0</formula2>
    </dataValidation>
    <dataValidation type="decimal" showErrorMessage="1" errorTitle="Valor invalido" error="Ingrese un porcentaje entre 0% y 100%" sqref="D6:E20 L6:L20 O6:O20 R6:R20 U6:U20" xr:uid="{00000000-0002-0000-0800-000001000000}">
      <formula1>0</formula1>
      <formula2>1</formula2>
    </dataValidation>
    <dataValidation type="whole" operator="greaterThanOrEqual" showErrorMessage="1" errorTitle="Valor inválido" error="Ingrese un número entero mayor o igual a 0" sqref="Z6:Z20" xr:uid="{00000000-0002-0000-0800-000002000000}">
      <formula1>0</formula1>
      <formula2>0</formula2>
    </dataValidation>
    <dataValidation type="list" sqref="J6:J20 M6:M20 P6:P20 S6:T20 X6:X20 AE6:AE20 AG6:AG20 AI6:AN20 AP6:AP20 AR6:AR20" xr:uid="{00000000-0002-0000-0800-000003000000}">
      <formula1>"SI,NO"</formula1>
      <formula2>0</formula2>
    </dataValidation>
  </dataValidations>
  <pageMargins left="0.3" right="0.3" top="0.4" bottom="0.4" header="0.511811023622047" footer="0.511811023622047"/>
  <pageSetup fitToHeight="0" orientation="landscape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ED6B23"/>
    <pageSetUpPr fitToPage="1"/>
  </sheetPr>
  <dimension ref="A1:BC23"/>
  <sheetViews>
    <sheetView showGridLines="0" zoomScale="75" zoomScaleNormal="75" workbookViewId="0">
      <pane xSplit="3" ySplit="5" topLeftCell="AT6" activePane="bottomRight" state="frozen"/>
      <selection pane="topRight" activeCell="AT1" sqref="AT1"/>
      <selection pane="bottomLeft" activeCell="A6" sqref="A6"/>
      <selection pane="bottomRight" activeCell="BB5" sqref="BB5"/>
    </sheetView>
  </sheetViews>
  <sheetFormatPr baseColWidth="10" defaultColWidth="8.6328125" defaultRowHeight="14.5" x14ac:dyDescent="0.35"/>
  <cols>
    <col min="1" max="1" width="5" customWidth="1"/>
    <col min="2" max="2" width="22" customWidth="1"/>
    <col min="3" max="3" width="16" customWidth="1"/>
    <col min="4" max="48" width="9.54296875" customWidth="1"/>
    <col min="49" max="50" width="11" customWidth="1"/>
    <col min="51" max="51" width="13" customWidth="1"/>
    <col min="52" max="52" width="11" customWidth="1"/>
    <col min="53" max="53" width="14" customWidth="1"/>
    <col min="54" max="54" width="18" customWidth="1"/>
    <col min="55" max="55" width="10" customWidth="1"/>
  </cols>
  <sheetData>
    <row r="1" spans="1:55" ht="19.5" customHeight="1" x14ac:dyDescent="0.35">
      <c r="A1" s="117" t="s">
        <v>241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  <c r="AA1" s="117"/>
      <c r="AB1" s="117"/>
      <c r="AR1" s="58"/>
      <c r="AS1" s="118" t="s">
        <v>242</v>
      </c>
      <c r="AT1" s="118"/>
      <c r="AU1" s="118"/>
      <c r="AV1" s="118"/>
      <c r="AW1" s="118"/>
      <c r="AX1" s="118"/>
      <c r="AY1" s="118"/>
      <c r="AZ1" s="118"/>
      <c r="BA1" s="118"/>
      <c r="BB1" s="119" t="s">
        <v>243</v>
      </c>
      <c r="BC1" s="119"/>
    </row>
    <row r="2" spans="1:55" ht="18" customHeight="1" x14ac:dyDescent="0.35">
      <c r="A2" s="5" t="s">
        <v>163</v>
      </c>
      <c r="B2" s="120" t="s">
        <v>244</v>
      </c>
      <c r="C2" s="120"/>
      <c r="D2" s="120"/>
      <c r="F2" s="5" t="s">
        <v>165</v>
      </c>
      <c r="G2" s="59" t="s">
        <v>166</v>
      </c>
      <c r="AR2" s="58"/>
      <c r="AS2" s="60"/>
      <c r="AT2" s="121" t="s">
        <v>167</v>
      </c>
      <c r="AU2" s="121"/>
      <c r="AV2" s="121"/>
      <c r="AW2" s="61" t="s">
        <v>96</v>
      </c>
      <c r="AX2" s="122" t="s">
        <v>168</v>
      </c>
      <c r="AY2" s="122"/>
      <c r="AZ2" s="122"/>
      <c r="BA2" s="122"/>
      <c r="BB2" s="62" t="s">
        <v>169</v>
      </c>
      <c r="BC2" s="62" t="s">
        <v>170</v>
      </c>
    </row>
    <row r="3" spans="1:55" ht="21.75" customHeight="1" x14ac:dyDescent="0.35">
      <c r="AR3" s="58"/>
      <c r="AS3" s="63" t="s">
        <v>171</v>
      </c>
      <c r="AT3" s="64" t="s">
        <v>172</v>
      </c>
      <c r="AU3" s="64" t="s">
        <v>173</v>
      </c>
      <c r="AV3" s="64" t="s">
        <v>174</v>
      </c>
      <c r="AW3" s="65" t="s">
        <v>175</v>
      </c>
      <c r="AX3" s="66" t="s">
        <v>176</v>
      </c>
      <c r="AY3" s="66" t="s">
        <v>177</v>
      </c>
      <c r="AZ3" s="66" t="s">
        <v>178</v>
      </c>
      <c r="BA3" s="67" t="s">
        <v>179</v>
      </c>
      <c r="BB3" s="68" t="s">
        <v>180</v>
      </c>
      <c r="BC3" s="69">
        <v>54</v>
      </c>
    </row>
    <row r="4" spans="1:55" ht="21.75" customHeight="1" x14ac:dyDescent="0.35">
      <c r="A4" s="70"/>
      <c r="B4" s="70"/>
      <c r="C4" s="70"/>
      <c r="D4" s="114" t="s">
        <v>181</v>
      </c>
      <c r="E4" s="114"/>
      <c r="F4" s="114"/>
      <c r="G4" s="114"/>
      <c r="H4" s="114" t="s">
        <v>182</v>
      </c>
      <c r="I4" s="114"/>
      <c r="J4" s="114"/>
      <c r="K4" s="114"/>
      <c r="L4" s="114" t="s">
        <v>183</v>
      </c>
      <c r="M4" s="114"/>
      <c r="N4" s="114"/>
      <c r="O4" s="114" t="s">
        <v>184</v>
      </c>
      <c r="P4" s="114"/>
      <c r="Q4" s="114"/>
      <c r="R4" s="114" t="s">
        <v>185</v>
      </c>
      <c r="S4" s="114"/>
      <c r="T4" s="114"/>
      <c r="U4" s="114" t="s">
        <v>186</v>
      </c>
      <c r="V4" s="114"/>
      <c r="W4" s="115" t="s">
        <v>187</v>
      </c>
      <c r="X4" s="115"/>
      <c r="Y4" s="114" t="s">
        <v>188</v>
      </c>
      <c r="Z4" s="114"/>
      <c r="AA4" s="114"/>
      <c r="AB4" s="114"/>
      <c r="AC4" s="114"/>
      <c r="AD4" s="115" t="s">
        <v>189</v>
      </c>
      <c r="AE4" s="115"/>
      <c r="AF4" s="115"/>
      <c r="AG4" s="115"/>
      <c r="AH4" s="115"/>
      <c r="AI4" s="115"/>
      <c r="AJ4" s="115"/>
      <c r="AK4" s="115"/>
      <c r="AL4" s="115"/>
      <c r="AM4" s="115"/>
      <c r="AN4" s="115"/>
      <c r="AO4" s="115"/>
      <c r="AP4" s="116" t="s">
        <v>190</v>
      </c>
      <c r="AQ4" s="116"/>
      <c r="AR4" s="58"/>
      <c r="AS4" s="71" t="str">
        <f>'Captura Mayo'!B6</f>
        <v>Almacen de Repuestos</v>
      </c>
      <c r="AT4" s="72">
        <f>'Captura Mayo'!K6+'Captura Mayo'!N6+'Captura Mayo'!Q6</f>
        <v>0.16</v>
      </c>
      <c r="AU4" s="72">
        <f>'Captura Mayo'!T6</f>
        <v>0.06</v>
      </c>
      <c r="AV4" s="72">
        <f>'Captura Mayo'!V6</f>
        <v>0.25</v>
      </c>
      <c r="AW4" s="72">
        <f>'Captura Mayo'!G6</f>
        <v>0.2</v>
      </c>
      <c r="AX4" s="72">
        <f>'Captura Mayo'!X6</f>
        <v>0.25</v>
      </c>
      <c r="AY4" s="72">
        <f>'Captura Mayo'!AC6</f>
        <v>0.04</v>
      </c>
      <c r="AZ4" s="73">
        <f>-'Captura Mayo'!AN6</f>
        <v>0</v>
      </c>
      <c r="BA4" s="74">
        <f>'Captura Mayo'!AQ6</f>
        <v>0.96000000000000008</v>
      </c>
      <c r="BB4" s="68" t="s">
        <v>191</v>
      </c>
      <c r="BC4" s="75">
        <v>277</v>
      </c>
    </row>
    <row r="5" spans="1:55" ht="13.5" customHeight="1" x14ac:dyDescent="0.35">
      <c r="A5" s="76" t="s">
        <v>93</v>
      </c>
      <c r="B5" s="76" t="s">
        <v>48</v>
      </c>
      <c r="C5" s="76" t="s">
        <v>94</v>
      </c>
      <c r="D5" s="77" t="s">
        <v>192</v>
      </c>
      <c r="E5" s="77" t="s">
        <v>193</v>
      </c>
      <c r="F5" s="77" t="s">
        <v>194</v>
      </c>
      <c r="G5" s="77" t="s">
        <v>195</v>
      </c>
      <c r="H5" s="77" t="s">
        <v>196</v>
      </c>
      <c r="I5" s="77" t="s">
        <v>197</v>
      </c>
      <c r="J5" s="77" t="s">
        <v>198</v>
      </c>
      <c r="K5" s="77" t="s">
        <v>195</v>
      </c>
      <c r="L5" s="77" t="s">
        <v>199</v>
      </c>
      <c r="M5" s="77" t="s">
        <v>198</v>
      </c>
      <c r="N5" s="77" t="s">
        <v>195</v>
      </c>
      <c r="O5" s="77" t="s">
        <v>199</v>
      </c>
      <c r="P5" s="77" t="s">
        <v>198</v>
      </c>
      <c r="Q5" s="77" t="s">
        <v>195</v>
      </c>
      <c r="R5" s="77" t="s">
        <v>199</v>
      </c>
      <c r="S5" s="77" t="s">
        <v>198</v>
      </c>
      <c r="T5" s="77" t="s">
        <v>195</v>
      </c>
      <c r="U5" s="77" t="s">
        <v>200</v>
      </c>
      <c r="V5" s="77" t="s">
        <v>195</v>
      </c>
      <c r="W5" s="78" t="s">
        <v>201</v>
      </c>
      <c r="X5" s="78" t="s">
        <v>195</v>
      </c>
      <c r="Y5" s="77" t="s">
        <v>202</v>
      </c>
      <c r="Z5" s="77" t="s">
        <v>203</v>
      </c>
      <c r="AA5" s="77" t="s">
        <v>204</v>
      </c>
      <c r="AB5" s="77" t="s">
        <v>205</v>
      </c>
      <c r="AC5" s="77" t="s">
        <v>206</v>
      </c>
      <c r="AD5" s="78" t="s">
        <v>207</v>
      </c>
      <c r="AE5" s="78" t="s">
        <v>208</v>
      </c>
      <c r="AF5" s="78" t="s">
        <v>209</v>
      </c>
      <c r="AG5" s="78" t="s">
        <v>210</v>
      </c>
      <c r="AH5" s="78" t="s">
        <v>211</v>
      </c>
      <c r="AI5" s="78" t="s">
        <v>212</v>
      </c>
      <c r="AJ5" s="78" t="s">
        <v>213</v>
      </c>
      <c r="AK5" s="78" t="s">
        <v>214</v>
      </c>
      <c r="AL5" s="78" t="s">
        <v>215</v>
      </c>
      <c r="AM5" s="78" t="s">
        <v>216</v>
      </c>
      <c r="AN5" s="78" t="s">
        <v>217</v>
      </c>
      <c r="AO5" s="78" t="s">
        <v>218</v>
      </c>
      <c r="AP5" s="76" t="s">
        <v>219</v>
      </c>
      <c r="AQ5" s="76" t="s">
        <v>220</v>
      </c>
      <c r="AR5" s="58"/>
      <c r="AS5" s="79" t="str">
        <f>'Captura Mayo'!B7</f>
        <v>Alrededores</v>
      </c>
      <c r="AT5" s="80">
        <f>'Captura Mayo'!K7+'Captura Mayo'!N7+'Captura Mayo'!Q7</f>
        <v>0.24</v>
      </c>
      <c r="AU5" s="80">
        <f>'Captura Mayo'!T7</f>
        <v>0.06</v>
      </c>
      <c r="AV5" s="80">
        <f>'Captura Mayo'!V7</f>
        <v>0.25</v>
      </c>
      <c r="AW5" s="80">
        <f>'Captura Mayo'!G7</f>
        <v>0.1</v>
      </c>
      <c r="AX5" s="80">
        <f>'Captura Mayo'!X7</f>
        <v>0</v>
      </c>
      <c r="AY5" s="80">
        <f>'Captura Mayo'!AC7</f>
        <v>0.04</v>
      </c>
      <c r="AZ5" s="81">
        <f>-'Captura Mayo'!AN7</f>
        <v>0</v>
      </c>
      <c r="BA5" s="82">
        <f>'Captura Mayo'!AQ7</f>
        <v>0.69000000000000006</v>
      </c>
      <c r="BB5" s="110" t="s">
        <v>221</v>
      </c>
      <c r="BC5" s="110"/>
    </row>
    <row r="6" spans="1:55" ht="16.5" customHeight="1" x14ac:dyDescent="0.35">
      <c r="A6" s="12">
        <v>1</v>
      </c>
      <c r="B6" s="83" t="s">
        <v>103</v>
      </c>
      <c r="C6" s="84" t="str">
        <f>VLOOKUP(B6,Parametros!$I$6:$J$20,2,FALSE())</f>
        <v>Fredy Fuentes</v>
      </c>
      <c r="D6" s="85">
        <v>1</v>
      </c>
      <c r="E6" s="85">
        <v>1</v>
      </c>
      <c r="F6" s="11">
        <f t="shared" ref="F6:F20" si="0">AVERAGE(D6,E6)</f>
        <v>1</v>
      </c>
      <c r="G6" s="86">
        <f>F6*Parametros!$E$6</f>
        <v>0.2</v>
      </c>
      <c r="H6" s="87">
        <v>10</v>
      </c>
      <c r="I6" s="87">
        <v>10</v>
      </c>
      <c r="J6" s="88" t="s">
        <v>222</v>
      </c>
      <c r="K6" s="86">
        <f>IF(J6="NO",0,IFERROR(H6/I6,0)*Parametros!$E$7)</f>
        <v>0.08</v>
      </c>
      <c r="L6" s="85">
        <v>1</v>
      </c>
      <c r="M6" s="88" t="s">
        <v>222</v>
      </c>
      <c r="N6" s="86">
        <f>IF(M6="NO",0,L6*Parametros!$E$8)</f>
        <v>0.08</v>
      </c>
      <c r="O6" s="85">
        <v>0</v>
      </c>
      <c r="P6" s="88" t="s">
        <v>223</v>
      </c>
      <c r="Q6" s="86">
        <f>IF(P6="NO",0,O6*Parametros!$E$9)</f>
        <v>0</v>
      </c>
      <c r="R6" s="85">
        <v>1</v>
      </c>
      <c r="S6" s="88" t="s">
        <v>222</v>
      </c>
      <c r="T6" s="86">
        <f>IF(S6="NO",0,R6*Parametros!$E$10)</f>
        <v>0.06</v>
      </c>
      <c r="U6" s="85">
        <v>1</v>
      </c>
      <c r="V6" s="86">
        <f>U6*Parametros!$E$11</f>
        <v>0.25</v>
      </c>
      <c r="W6" s="87">
        <v>0</v>
      </c>
      <c r="X6" s="86">
        <f>MAX(0,Parametros!$E$12-Parametros!$E$18*W6)</f>
        <v>0.25</v>
      </c>
      <c r="Y6" s="87">
        <v>5</v>
      </c>
      <c r="Z6" s="87">
        <v>15</v>
      </c>
      <c r="AA6" s="89">
        <f>IF(Y6&gt;=Parametros!$E$22,Parametros!$E$24,0)</f>
        <v>0</v>
      </c>
      <c r="AB6" s="89">
        <f>IF(Z6&gt;=Parametros!$E$23,Parametros!$E$25,0)</f>
        <v>0.04</v>
      </c>
      <c r="AC6" s="89">
        <f t="shared" ref="AC6:AC20" si="1">AA6+AB6</f>
        <v>0.04</v>
      </c>
      <c r="AD6" s="87">
        <v>0</v>
      </c>
      <c r="AE6" s="88" t="s">
        <v>222</v>
      </c>
      <c r="AF6" s="87">
        <v>0</v>
      </c>
      <c r="AG6" s="88" t="s">
        <v>222</v>
      </c>
      <c r="AH6" s="87">
        <v>0</v>
      </c>
      <c r="AI6" s="88" t="s">
        <v>222</v>
      </c>
      <c r="AJ6" s="87">
        <v>0</v>
      </c>
      <c r="AK6" s="88" t="s">
        <v>222</v>
      </c>
      <c r="AL6" s="87">
        <v>0</v>
      </c>
      <c r="AM6" s="88" t="s">
        <v>222</v>
      </c>
      <c r="AN6" s="89">
        <f>AD6*Parametros!$E$28+AF6*Parametros!$E$29+AH6*Parametros!$E$30+AJ6*Parametros!$E$31+AL6*Parametros!$E$32</f>
        <v>0</v>
      </c>
      <c r="AO6" s="12" t="str">
        <f t="shared" ref="AO6:AO20" si="2">IF(OR(AND(AD6&gt;0,AE6="NO"),AND(AF6&gt;0,AG6="NO"),AND(AH6&gt;0,AI6="NO"),AND(AJ6&gt;0,AK6="NO"),AND(AL6&gt;0,AM6="NO")),"SI","NO")</f>
        <v>NO</v>
      </c>
      <c r="AP6" s="11">
        <f t="shared" ref="AP6:AP20" si="3">G6+K6+N6+Q6+T6+V6+X6</f>
        <v>0.92</v>
      </c>
      <c r="AQ6" s="90">
        <f>MAX(0,MIN(1,MAX(0,AP6-IF(S6="NO",Parametros!$E$17,0))+AC6-AN6-IF(AO6="SI",Parametros!$E$33,0)))</f>
        <v>0.96000000000000008</v>
      </c>
      <c r="AR6" s="58"/>
      <c r="AS6" s="71" t="str">
        <f>'Captura Mayo'!B8</f>
        <v>Calidad</v>
      </c>
      <c r="AT6" s="72">
        <f>'Captura Mayo'!K8+'Captura Mayo'!N8+'Captura Mayo'!Q8</f>
        <v>0.24</v>
      </c>
      <c r="AU6" s="72">
        <f>'Captura Mayo'!T8</f>
        <v>0.06</v>
      </c>
      <c r="AV6" s="72">
        <f>'Captura Mayo'!V8</f>
        <v>0.25</v>
      </c>
      <c r="AW6" s="72">
        <f>'Captura Mayo'!G8</f>
        <v>0.2</v>
      </c>
      <c r="AX6" s="72">
        <f>'Captura Mayo'!X8</f>
        <v>0.25</v>
      </c>
      <c r="AY6" s="72">
        <f>'Captura Mayo'!AC8</f>
        <v>0.08</v>
      </c>
      <c r="AZ6" s="73">
        <f>-'Captura Mayo'!AN8</f>
        <v>0</v>
      </c>
      <c r="BA6" s="74">
        <f>'Captura Mayo'!AQ8</f>
        <v>1</v>
      </c>
      <c r="BB6" s="58"/>
      <c r="BC6" s="58"/>
    </row>
    <row r="7" spans="1:55" ht="16.5" customHeight="1" x14ac:dyDescent="0.35">
      <c r="A7" s="12">
        <v>2</v>
      </c>
      <c r="B7" s="83" t="s">
        <v>135</v>
      </c>
      <c r="C7" s="84" t="str">
        <f>VLOOKUP(B7,Parametros!$I$6:$J$20,2,FALSE())</f>
        <v>Carlos Chavez</v>
      </c>
      <c r="D7" s="85">
        <v>1</v>
      </c>
      <c r="E7" s="85">
        <v>0</v>
      </c>
      <c r="F7" s="11">
        <f t="shared" si="0"/>
        <v>0.5</v>
      </c>
      <c r="G7" s="86">
        <f>F7*Parametros!$E$6</f>
        <v>0.1</v>
      </c>
      <c r="H7" s="87">
        <v>10</v>
      </c>
      <c r="I7" s="87">
        <v>10</v>
      </c>
      <c r="J7" s="88" t="s">
        <v>222</v>
      </c>
      <c r="K7" s="86">
        <f>IF(J7="NO",0,IFERROR(H7/I7,0)*Parametros!$E$7)</f>
        <v>0.08</v>
      </c>
      <c r="L7" s="85">
        <v>1</v>
      </c>
      <c r="M7" s="88" t="s">
        <v>222</v>
      </c>
      <c r="N7" s="86">
        <f>IF(M7="NO",0,L7*Parametros!$E$8)</f>
        <v>0.08</v>
      </c>
      <c r="O7" s="85">
        <v>1</v>
      </c>
      <c r="P7" s="88" t="s">
        <v>222</v>
      </c>
      <c r="Q7" s="86">
        <f>IF(P7="NO",0,O7*Parametros!$E$9)</f>
        <v>0.08</v>
      </c>
      <c r="R7" s="85">
        <v>1</v>
      </c>
      <c r="S7" s="88" t="s">
        <v>222</v>
      </c>
      <c r="T7" s="86">
        <f>IF(S7="NO",0,R7*Parametros!$E$10)</f>
        <v>0.06</v>
      </c>
      <c r="U7" s="85">
        <v>1</v>
      </c>
      <c r="V7" s="86">
        <f>U7*Parametros!$E$11</f>
        <v>0.25</v>
      </c>
      <c r="W7" s="87">
        <v>7</v>
      </c>
      <c r="X7" s="86">
        <f>MAX(0,Parametros!$E$12-Parametros!$E$18*W7)</f>
        <v>0</v>
      </c>
      <c r="Y7" s="87">
        <v>1</v>
      </c>
      <c r="Z7" s="87">
        <v>12</v>
      </c>
      <c r="AA7" s="89">
        <f>IF(Y7&gt;=Parametros!$E$22,Parametros!$E$24,0)</f>
        <v>0</v>
      </c>
      <c r="AB7" s="89">
        <f>IF(Z7&gt;=Parametros!$E$23,Parametros!$E$25,0)</f>
        <v>0.04</v>
      </c>
      <c r="AC7" s="89">
        <f t="shared" si="1"/>
        <v>0.04</v>
      </c>
      <c r="AD7" s="87">
        <v>0</v>
      </c>
      <c r="AE7" s="88" t="s">
        <v>222</v>
      </c>
      <c r="AF7" s="87">
        <v>0</v>
      </c>
      <c r="AG7" s="88" t="s">
        <v>222</v>
      </c>
      <c r="AH7" s="87">
        <v>0</v>
      </c>
      <c r="AI7" s="88" t="s">
        <v>222</v>
      </c>
      <c r="AJ7" s="87">
        <v>0</v>
      </c>
      <c r="AK7" s="88" t="s">
        <v>222</v>
      </c>
      <c r="AL7" s="87">
        <v>0</v>
      </c>
      <c r="AM7" s="88" t="s">
        <v>222</v>
      </c>
      <c r="AN7" s="89">
        <f>AD7*Parametros!$E$28+AF7*Parametros!$E$29+AH7*Parametros!$E$30+AJ7*Parametros!$E$31+AL7*Parametros!$E$32</f>
        <v>0</v>
      </c>
      <c r="AO7" s="12" t="str">
        <f t="shared" si="2"/>
        <v>NO</v>
      </c>
      <c r="AP7" s="11">
        <f t="shared" si="3"/>
        <v>0.65</v>
      </c>
      <c r="AQ7" s="90">
        <f>MAX(0,MIN(1,MAX(0,AP7-IF(S7="NO",Parametros!$E$17,0))+AC7-AN7-IF(AO7="SI",Parametros!$E$33,0)))</f>
        <v>0.69000000000000006</v>
      </c>
      <c r="AR7" s="58"/>
      <c r="AS7" s="79" t="str">
        <f>'Captura Mayo'!B9</f>
        <v>Centro de Distribucion</v>
      </c>
      <c r="AT7" s="80">
        <f>'Captura Mayo'!K9+'Captura Mayo'!N9+'Captura Mayo'!Q9</f>
        <v>0.24</v>
      </c>
      <c r="AU7" s="80">
        <f>'Captura Mayo'!T9</f>
        <v>0.06</v>
      </c>
      <c r="AV7" s="80">
        <f>'Captura Mayo'!V9</f>
        <v>0.25</v>
      </c>
      <c r="AW7" s="80">
        <f>'Captura Mayo'!G9</f>
        <v>0.2</v>
      </c>
      <c r="AX7" s="80">
        <f>'Captura Mayo'!X9</f>
        <v>0.25</v>
      </c>
      <c r="AY7" s="80">
        <f>'Captura Mayo'!AC9</f>
        <v>0.04</v>
      </c>
      <c r="AZ7" s="81">
        <f>-'Captura Mayo'!AN9</f>
        <v>-0.1</v>
      </c>
      <c r="BA7" s="82">
        <f>'Captura Mayo'!AQ9</f>
        <v>0.94000000000000006</v>
      </c>
      <c r="BB7" s="58"/>
      <c r="BC7" s="58"/>
    </row>
    <row r="8" spans="1:55" ht="16.5" customHeight="1" x14ac:dyDescent="0.35">
      <c r="A8" s="12">
        <v>3</v>
      </c>
      <c r="B8" s="83" t="s">
        <v>98</v>
      </c>
      <c r="C8" s="84" t="str">
        <f>VLOOKUP(B8,Parametros!$I$6:$J$20,2,FALSE())</f>
        <v>Alejandro Martinez</v>
      </c>
      <c r="D8" s="85">
        <v>1</v>
      </c>
      <c r="E8" s="85">
        <v>1</v>
      </c>
      <c r="F8" s="11">
        <f t="shared" si="0"/>
        <v>1</v>
      </c>
      <c r="G8" s="86">
        <f>F8*Parametros!$E$6</f>
        <v>0.2</v>
      </c>
      <c r="H8" s="87">
        <v>10</v>
      </c>
      <c r="I8" s="87">
        <v>10</v>
      </c>
      <c r="J8" s="88" t="s">
        <v>222</v>
      </c>
      <c r="K8" s="86">
        <f>IF(J8="NO",0,IFERROR(H8/I8,0)*Parametros!$E$7)</f>
        <v>0.08</v>
      </c>
      <c r="L8" s="85">
        <v>1</v>
      </c>
      <c r="M8" s="88" t="s">
        <v>222</v>
      </c>
      <c r="N8" s="86">
        <f>IF(M8="NO",0,L8*Parametros!$E$8)</f>
        <v>0.08</v>
      </c>
      <c r="O8" s="85">
        <v>1</v>
      </c>
      <c r="P8" s="88" t="s">
        <v>222</v>
      </c>
      <c r="Q8" s="86">
        <f>IF(P8="NO",0,O8*Parametros!$E$9)</f>
        <v>0.08</v>
      </c>
      <c r="R8" s="85">
        <v>1</v>
      </c>
      <c r="S8" s="88" t="s">
        <v>222</v>
      </c>
      <c r="T8" s="86">
        <f>IF(S8="NO",0,R8*Parametros!$E$10)</f>
        <v>0.06</v>
      </c>
      <c r="U8" s="85">
        <v>1</v>
      </c>
      <c r="V8" s="86">
        <f>U8*Parametros!$E$11</f>
        <v>0.25</v>
      </c>
      <c r="W8" s="87">
        <v>0</v>
      </c>
      <c r="X8" s="86">
        <f>MAX(0,Parametros!$E$12-Parametros!$E$18*W8)</f>
        <v>0.25</v>
      </c>
      <c r="Y8" s="87">
        <v>9</v>
      </c>
      <c r="Z8" s="87">
        <v>24</v>
      </c>
      <c r="AA8" s="89">
        <f>IF(Y8&gt;=Parametros!$E$22,Parametros!$E$24,0)</f>
        <v>0.04</v>
      </c>
      <c r="AB8" s="89">
        <f>IF(Z8&gt;=Parametros!$E$23,Parametros!$E$25,0)</f>
        <v>0.04</v>
      </c>
      <c r="AC8" s="89">
        <f t="shared" si="1"/>
        <v>0.08</v>
      </c>
      <c r="AD8" s="87">
        <v>0</v>
      </c>
      <c r="AE8" s="88" t="s">
        <v>222</v>
      </c>
      <c r="AF8" s="87">
        <v>0</v>
      </c>
      <c r="AG8" s="88" t="s">
        <v>222</v>
      </c>
      <c r="AH8" s="87">
        <v>0</v>
      </c>
      <c r="AI8" s="88" t="s">
        <v>222</v>
      </c>
      <c r="AJ8" s="87">
        <v>0</v>
      </c>
      <c r="AK8" s="88" t="s">
        <v>222</v>
      </c>
      <c r="AL8" s="87">
        <v>0</v>
      </c>
      <c r="AM8" s="88" t="s">
        <v>222</v>
      </c>
      <c r="AN8" s="89">
        <f>AD8*Parametros!$E$28+AF8*Parametros!$E$29+AH8*Parametros!$E$30+AJ8*Parametros!$E$31+AL8*Parametros!$E$32</f>
        <v>0</v>
      </c>
      <c r="AO8" s="12" t="str">
        <f t="shared" si="2"/>
        <v>NO</v>
      </c>
      <c r="AP8" s="11">
        <f t="shared" si="3"/>
        <v>1</v>
      </c>
      <c r="AQ8" s="90">
        <f>MAX(0,MIN(1,MAX(0,AP8-IF(S8="NO",Parametros!$E$17,0))+AC8-AN8-IF(AO8="SI",Parametros!$E$33,0)))</f>
        <v>1</v>
      </c>
      <c r="AR8" s="58"/>
      <c r="AS8" s="71" t="str">
        <f>'Captura Mayo'!B10</f>
        <v>ETEI</v>
      </c>
      <c r="AT8" s="72">
        <f>'Captura Mayo'!K10+'Captura Mayo'!N10+'Captura Mayo'!Q10</f>
        <v>0.24</v>
      </c>
      <c r="AU8" s="72">
        <f>'Captura Mayo'!T10</f>
        <v>0.06</v>
      </c>
      <c r="AV8" s="72">
        <f>'Captura Mayo'!V10</f>
        <v>0.25</v>
      </c>
      <c r="AW8" s="72">
        <f>'Captura Mayo'!G10</f>
        <v>0.2</v>
      </c>
      <c r="AX8" s="72">
        <f>'Captura Mayo'!X10</f>
        <v>0.2</v>
      </c>
      <c r="AY8" s="72">
        <f>'Captura Mayo'!AC10</f>
        <v>0.04</v>
      </c>
      <c r="AZ8" s="73">
        <f>-'Captura Mayo'!AN10</f>
        <v>0</v>
      </c>
      <c r="BA8" s="74">
        <f>'Captura Mayo'!AQ10</f>
        <v>0.99</v>
      </c>
      <c r="BB8" s="58"/>
      <c r="BC8" s="58"/>
    </row>
    <row r="9" spans="1:55" ht="16.5" customHeight="1" x14ac:dyDescent="0.35">
      <c r="A9" s="12">
        <v>4</v>
      </c>
      <c r="B9" s="83" t="s">
        <v>128</v>
      </c>
      <c r="C9" s="84" t="str">
        <f>VLOOKUP(B9,Parametros!$I$6:$J$20,2,FALSE())</f>
        <v>Jimmy Velasquez</v>
      </c>
      <c r="D9" s="85">
        <v>1</v>
      </c>
      <c r="E9" s="85">
        <v>1</v>
      </c>
      <c r="F9" s="11">
        <f t="shared" si="0"/>
        <v>1</v>
      </c>
      <c r="G9" s="86">
        <f>F9*Parametros!$E$6</f>
        <v>0.2</v>
      </c>
      <c r="H9" s="87">
        <v>10</v>
      </c>
      <c r="I9" s="87">
        <v>10</v>
      </c>
      <c r="J9" s="88" t="s">
        <v>222</v>
      </c>
      <c r="K9" s="86">
        <f>IF(J9="NO",0,IFERROR(H9/I9,0)*Parametros!$E$7)</f>
        <v>0.08</v>
      </c>
      <c r="L9" s="85">
        <v>1</v>
      </c>
      <c r="M9" s="88" t="s">
        <v>222</v>
      </c>
      <c r="N9" s="86">
        <f>IF(M9="NO",0,L9*Parametros!$E$8)</f>
        <v>0.08</v>
      </c>
      <c r="O9" s="85">
        <v>1</v>
      </c>
      <c r="P9" s="88" t="s">
        <v>222</v>
      </c>
      <c r="Q9" s="86">
        <f>IF(P9="NO",0,O9*Parametros!$E$9)</f>
        <v>0.08</v>
      </c>
      <c r="R9" s="85">
        <v>1</v>
      </c>
      <c r="S9" s="88" t="s">
        <v>222</v>
      </c>
      <c r="T9" s="86">
        <f>IF(S9="NO",0,R9*Parametros!$E$10)</f>
        <v>0.06</v>
      </c>
      <c r="U9" s="85">
        <v>1</v>
      </c>
      <c r="V9" s="86">
        <f>U9*Parametros!$E$11</f>
        <v>0.25</v>
      </c>
      <c r="W9" s="87">
        <v>0</v>
      </c>
      <c r="X9" s="86">
        <f>MAX(0,Parametros!$E$12-Parametros!$E$18*W9)</f>
        <v>0.25</v>
      </c>
      <c r="Y9" s="87">
        <v>5</v>
      </c>
      <c r="Z9" s="87">
        <v>22</v>
      </c>
      <c r="AA9" s="89">
        <f>IF(Y9&gt;=Parametros!$E$22,Parametros!$E$24,0)</f>
        <v>0</v>
      </c>
      <c r="AB9" s="89">
        <f>IF(Z9&gt;=Parametros!$E$23,Parametros!$E$25,0)</f>
        <v>0.04</v>
      </c>
      <c r="AC9" s="89">
        <f t="shared" si="1"/>
        <v>0.04</v>
      </c>
      <c r="AD9" s="87">
        <v>2</v>
      </c>
      <c r="AE9" s="88" t="s">
        <v>222</v>
      </c>
      <c r="AF9" s="87">
        <v>0</v>
      </c>
      <c r="AG9" s="88" t="s">
        <v>222</v>
      </c>
      <c r="AH9" s="87">
        <v>0</v>
      </c>
      <c r="AI9" s="88" t="s">
        <v>222</v>
      </c>
      <c r="AJ9" s="87">
        <v>0</v>
      </c>
      <c r="AK9" s="88" t="s">
        <v>222</v>
      </c>
      <c r="AL9" s="87">
        <v>0</v>
      </c>
      <c r="AM9" s="88" t="s">
        <v>222</v>
      </c>
      <c r="AN9" s="89">
        <f>AD9*Parametros!$E$28+AF9*Parametros!$E$29+AH9*Parametros!$E$30+AJ9*Parametros!$E$31+AL9*Parametros!$E$32</f>
        <v>0.1</v>
      </c>
      <c r="AO9" s="12" t="str">
        <f t="shared" si="2"/>
        <v>NO</v>
      </c>
      <c r="AP9" s="11">
        <f t="shared" si="3"/>
        <v>1</v>
      </c>
      <c r="AQ9" s="90">
        <f>MAX(0,MIN(1,MAX(0,AP9-IF(S9="NO",Parametros!$E$17,0))+AC9-AN9-IF(AO9="SI",Parametros!$E$33,0)))</f>
        <v>0.94000000000000006</v>
      </c>
      <c r="AR9" s="58"/>
      <c r="AS9" s="79" t="str">
        <f>'Captura Mayo'!B11</f>
        <v>Equipos Auxiliares</v>
      </c>
      <c r="AT9" s="80">
        <f>'Captura Mayo'!K11+'Captura Mayo'!N11+'Captura Mayo'!Q11</f>
        <v>0.24</v>
      </c>
      <c r="AU9" s="80">
        <f>'Captura Mayo'!T11</f>
        <v>0.06</v>
      </c>
      <c r="AV9" s="80">
        <f>'Captura Mayo'!V11</f>
        <v>0.25</v>
      </c>
      <c r="AW9" s="80">
        <f>'Captura Mayo'!G11</f>
        <v>0.2</v>
      </c>
      <c r="AX9" s="80">
        <f>'Captura Mayo'!X11</f>
        <v>0.25</v>
      </c>
      <c r="AY9" s="80">
        <f>'Captura Mayo'!AC11</f>
        <v>0.04</v>
      </c>
      <c r="AZ9" s="81">
        <f>-'Captura Mayo'!AN11</f>
        <v>0</v>
      </c>
      <c r="BA9" s="82">
        <f>'Captura Mayo'!AQ11</f>
        <v>1</v>
      </c>
      <c r="BB9" s="58"/>
      <c r="BC9" s="58"/>
    </row>
    <row r="10" spans="1:55" ht="16.5" customHeight="1" x14ac:dyDescent="0.35">
      <c r="A10" s="12">
        <v>5</v>
      </c>
      <c r="B10" s="83" t="s">
        <v>125</v>
      </c>
      <c r="C10" s="84" t="str">
        <f>VLOOKUP(B10,Parametros!$I$6:$J$20,2,FALSE())</f>
        <v>Jessica Loarca</v>
      </c>
      <c r="D10" s="85">
        <v>1</v>
      </c>
      <c r="E10" s="85">
        <v>1</v>
      </c>
      <c r="F10" s="11">
        <f t="shared" si="0"/>
        <v>1</v>
      </c>
      <c r="G10" s="86">
        <f>F10*Parametros!$E$6</f>
        <v>0.2</v>
      </c>
      <c r="H10" s="87">
        <v>10</v>
      </c>
      <c r="I10" s="87">
        <v>10</v>
      </c>
      <c r="J10" s="88" t="s">
        <v>222</v>
      </c>
      <c r="K10" s="86">
        <f>IF(J10="NO",0,IFERROR(H10/I10,0)*Parametros!$E$7)</f>
        <v>0.08</v>
      </c>
      <c r="L10" s="85">
        <v>1</v>
      </c>
      <c r="M10" s="88" t="s">
        <v>222</v>
      </c>
      <c r="N10" s="86">
        <f>IF(M10="NO",0,L10*Parametros!$E$8)</f>
        <v>0.08</v>
      </c>
      <c r="O10" s="85">
        <v>1</v>
      </c>
      <c r="P10" s="88" t="s">
        <v>222</v>
      </c>
      <c r="Q10" s="86">
        <f>IF(P10="NO",0,O10*Parametros!$E$9)</f>
        <v>0.08</v>
      </c>
      <c r="R10" s="85">
        <v>1</v>
      </c>
      <c r="S10" s="88" t="s">
        <v>222</v>
      </c>
      <c r="T10" s="86">
        <f>IF(S10="NO",0,R10*Parametros!$E$10)</f>
        <v>0.06</v>
      </c>
      <c r="U10" s="85">
        <v>1</v>
      </c>
      <c r="V10" s="86">
        <f>U10*Parametros!$E$11</f>
        <v>0.25</v>
      </c>
      <c r="W10" s="87">
        <v>1</v>
      </c>
      <c r="X10" s="86">
        <f>MAX(0,Parametros!$E$12-Parametros!$E$18*W10)</f>
        <v>0.2</v>
      </c>
      <c r="Y10" s="87">
        <v>0</v>
      </c>
      <c r="Z10" s="87">
        <v>23</v>
      </c>
      <c r="AA10" s="89">
        <f>IF(Y10&gt;=Parametros!$E$22,Parametros!$E$24,0)</f>
        <v>0</v>
      </c>
      <c r="AB10" s="89">
        <f>IF(Z10&gt;=Parametros!$E$23,Parametros!$E$25,0)</f>
        <v>0.04</v>
      </c>
      <c r="AC10" s="89">
        <f t="shared" si="1"/>
        <v>0.04</v>
      </c>
      <c r="AD10" s="87">
        <v>0</v>
      </c>
      <c r="AE10" s="88" t="s">
        <v>222</v>
      </c>
      <c r="AF10" s="87">
        <v>0</v>
      </c>
      <c r="AG10" s="88" t="s">
        <v>222</v>
      </c>
      <c r="AH10" s="87">
        <v>0</v>
      </c>
      <c r="AI10" s="88" t="s">
        <v>222</v>
      </c>
      <c r="AJ10" s="87">
        <v>0</v>
      </c>
      <c r="AK10" s="88" t="s">
        <v>222</v>
      </c>
      <c r="AL10" s="87">
        <v>0</v>
      </c>
      <c r="AM10" s="88" t="s">
        <v>222</v>
      </c>
      <c r="AN10" s="89">
        <f>AD10*Parametros!$E$28+AF10*Parametros!$E$29+AH10*Parametros!$E$30+AJ10*Parametros!$E$31+AL10*Parametros!$E$32</f>
        <v>0</v>
      </c>
      <c r="AO10" s="12" t="str">
        <f t="shared" si="2"/>
        <v>NO</v>
      </c>
      <c r="AP10" s="11">
        <f t="shared" si="3"/>
        <v>0.95</v>
      </c>
      <c r="AQ10" s="90">
        <f>MAX(0,MIN(1,MAX(0,AP10-IF(S10="NO",Parametros!$E$17,0))+AC10-AN10-IF(AO10="SI",Parametros!$E$33,0)))</f>
        <v>0.99</v>
      </c>
      <c r="AR10" s="58"/>
      <c r="AS10" s="71" t="str">
        <f>'Captura Mayo'!B12</f>
        <v>Jarabes</v>
      </c>
      <c r="AT10" s="72">
        <f>'Captura Mayo'!K12+'Captura Mayo'!N12+'Captura Mayo'!Q12</f>
        <v>0.24</v>
      </c>
      <c r="AU10" s="72">
        <f>'Captura Mayo'!T12</f>
        <v>0.06</v>
      </c>
      <c r="AV10" s="72">
        <f>'Captura Mayo'!V12</f>
        <v>0.25</v>
      </c>
      <c r="AW10" s="72">
        <f>'Captura Mayo'!G12</f>
        <v>0.2</v>
      </c>
      <c r="AX10" s="72">
        <f>'Captura Mayo'!X12</f>
        <v>9.9999999999999978E-2</v>
      </c>
      <c r="AY10" s="72">
        <f>'Captura Mayo'!AC12</f>
        <v>0</v>
      </c>
      <c r="AZ10" s="73">
        <f>-'Captura Mayo'!AN12</f>
        <v>-0.15</v>
      </c>
      <c r="BA10" s="74">
        <f>'Captura Mayo'!AQ12</f>
        <v>0.7</v>
      </c>
      <c r="BB10" s="58"/>
      <c r="BC10" s="58"/>
    </row>
    <row r="11" spans="1:55" ht="16.5" customHeight="1" x14ac:dyDescent="0.35">
      <c r="A11" s="12">
        <v>6</v>
      </c>
      <c r="B11" s="83" t="s">
        <v>117</v>
      </c>
      <c r="C11" s="84" t="str">
        <f>VLOOKUP(B11,Parametros!$I$6:$J$20,2,FALSE())</f>
        <v>Edson Bonifacio</v>
      </c>
      <c r="D11" s="85">
        <v>1</v>
      </c>
      <c r="E11" s="85">
        <v>1</v>
      </c>
      <c r="F11" s="11">
        <f t="shared" si="0"/>
        <v>1</v>
      </c>
      <c r="G11" s="86">
        <f>F11*Parametros!$E$6</f>
        <v>0.2</v>
      </c>
      <c r="H11" s="87">
        <v>10</v>
      </c>
      <c r="I11" s="87">
        <v>10</v>
      </c>
      <c r="J11" s="88" t="s">
        <v>222</v>
      </c>
      <c r="K11" s="86">
        <f>IF(J11="NO",0,IFERROR(H11/I11,0)*Parametros!$E$7)</f>
        <v>0.08</v>
      </c>
      <c r="L11" s="85">
        <v>1</v>
      </c>
      <c r="M11" s="88" t="s">
        <v>222</v>
      </c>
      <c r="N11" s="86">
        <f>IF(M11="NO",0,L11*Parametros!$E$8)</f>
        <v>0.08</v>
      </c>
      <c r="O11" s="85">
        <v>1</v>
      </c>
      <c r="P11" s="88" t="s">
        <v>222</v>
      </c>
      <c r="Q11" s="86">
        <f>IF(P11="NO",0,O11*Parametros!$E$9)</f>
        <v>0.08</v>
      </c>
      <c r="R11" s="85">
        <v>1</v>
      </c>
      <c r="S11" s="88" t="s">
        <v>222</v>
      </c>
      <c r="T11" s="86">
        <f>IF(S11="NO",0,R11*Parametros!$E$10)</f>
        <v>0.06</v>
      </c>
      <c r="U11" s="85">
        <v>1</v>
      </c>
      <c r="V11" s="86">
        <f>U11*Parametros!$E$11</f>
        <v>0.25</v>
      </c>
      <c r="W11" s="87">
        <v>0</v>
      </c>
      <c r="X11" s="86">
        <f>MAX(0,Parametros!$E$12-Parametros!$E$18*W11)</f>
        <v>0.25</v>
      </c>
      <c r="Y11" s="87">
        <v>3</v>
      </c>
      <c r="Z11" s="87">
        <v>13</v>
      </c>
      <c r="AA11" s="89">
        <f>IF(Y11&gt;=Parametros!$E$22,Parametros!$E$24,0)</f>
        <v>0</v>
      </c>
      <c r="AB11" s="89">
        <f>IF(Z11&gt;=Parametros!$E$23,Parametros!$E$25,0)</f>
        <v>0.04</v>
      </c>
      <c r="AC11" s="89">
        <f t="shared" si="1"/>
        <v>0.04</v>
      </c>
      <c r="AD11" s="87">
        <v>0</v>
      </c>
      <c r="AE11" s="88" t="s">
        <v>222</v>
      </c>
      <c r="AF11" s="87">
        <v>0</v>
      </c>
      <c r="AG11" s="88" t="s">
        <v>222</v>
      </c>
      <c r="AH11" s="87">
        <v>0</v>
      </c>
      <c r="AI11" s="88" t="s">
        <v>222</v>
      </c>
      <c r="AJ11" s="87">
        <v>0</v>
      </c>
      <c r="AK11" s="88" t="s">
        <v>222</v>
      </c>
      <c r="AL11" s="87">
        <v>0</v>
      </c>
      <c r="AM11" s="88" t="s">
        <v>222</v>
      </c>
      <c r="AN11" s="89">
        <f>AD11*Parametros!$E$28+AF11*Parametros!$E$29+AH11*Parametros!$E$30+AJ11*Parametros!$E$31+AL11*Parametros!$E$32</f>
        <v>0</v>
      </c>
      <c r="AO11" s="12" t="str">
        <f t="shared" si="2"/>
        <v>NO</v>
      </c>
      <c r="AP11" s="11">
        <f t="shared" si="3"/>
        <v>1</v>
      </c>
      <c r="AQ11" s="90">
        <f>MAX(0,MIN(1,MAX(0,AP11-IF(S11="NO",Parametros!$E$17,0))+AC11-AN11-IF(AO11="SI",Parametros!$E$33,0)))</f>
        <v>1</v>
      </c>
      <c r="AR11" s="58"/>
      <c r="AS11" s="79" t="str">
        <f>'Captura Mayo'!B13</f>
        <v>Linea 1</v>
      </c>
      <c r="AT11" s="80">
        <f>'Captura Mayo'!K13+'Captura Mayo'!N13+'Captura Mayo'!Q13</f>
        <v>0.24</v>
      </c>
      <c r="AU11" s="80">
        <f>'Captura Mayo'!T13</f>
        <v>0.06</v>
      </c>
      <c r="AV11" s="80">
        <f>'Captura Mayo'!V13</f>
        <v>0.25</v>
      </c>
      <c r="AW11" s="80">
        <f>'Captura Mayo'!G13</f>
        <v>0.2</v>
      </c>
      <c r="AX11" s="80">
        <f>'Captura Mayo'!X13</f>
        <v>0</v>
      </c>
      <c r="AY11" s="80">
        <f>'Captura Mayo'!AC13</f>
        <v>0.04</v>
      </c>
      <c r="AZ11" s="81">
        <f>-'Captura Mayo'!AN13</f>
        <v>-0.15</v>
      </c>
      <c r="BA11" s="82">
        <f>'Captura Mayo'!AQ13</f>
        <v>0.64</v>
      </c>
      <c r="BB11" s="58"/>
      <c r="BC11" s="58"/>
    </row>
    <row r="12" spans="1:55" ht="16.5" customHeight="1" x14ac:dyDescent="0.35">
      <c r="A12" s="12">
        <v>7</v>
      </c>
      <c r="B12" s="83" t="s">
        <v>130</v>
      </c>
      <c r="C12" s="84" t="str">
        <f>VLOOKUP(B12,Parametros!$I$6:$J$20,2,FALSE())</f>
        <v>Adrian Santisteban</v>
      </c>
      <c r="D12" s="85">
        <v>1</v>
      </c>
      <c r="E12" s="85">
        <v>1</v>
      </c>
      <c r="F12" s="11">
        <f t="shared" si="0"/>
        <v>1</v>
      </c>
      <c r="G12" s="86">
        <f>F12*Parametros!$E$6</f>
        <v>0.2</v>
      </c>
      <c r="H12" s="87">
        <v>10</v>
      </c>
      <c r="I12" s="87">
        <v>10</v>
      </c>
      <c r="J12" s="88" t="s">
        <v>222</v>
      </c>
      <c r="K12" s="86">
        <f>IF(J12="NO",0,IFERROR(H12/I12,0)*Parametros!$E$7)</f>
        <v>0.08</v>
      </c>
      <c r="L12" s="85">
        <v>1</v>
      </c>
      <c r="M12" s="88" t="s">
        <v>222</v>
      </c>
      <c r="N12" s="86">
        <f>IF(M12="NO",0,L12*Parametros!$E$8)</f>
        <v>0.08</v>
      </c>
      <c r="O12" s="85">
        <v>1</v>
      </c>
      <c r="P12" s="88" t="s">
        <v>222</v>
      </c>
      <c r="Q12" s="86">
        <f>IF(P12="NO",0,O12*Parametros!$E$9)</f>
        <v>0.08</v>
      </c>
      <c r="R12" s="85">
        <v>1</v>
      </c>
      <c r="S12" s="88" t="s">
        <v>222</v>
      </c>
      <c r="T12" s="86">
        <f>IF(S12="NO",0,R12*Parametros!$E$10)</f>
        <v>0.06</v>
      </c>
      <c r="U12" s="85">
        <v>1</v>
      </c>
      <c r="V12" s="86">
        <f>U12*Parametros!$E$11</f>
        <v>0.25</v>
      </c>
      <c r="W12" s="87">
        <v>3</v>
      </c>
      <c r="X12" s="86">
        <f>MAX(0,Parametros!$E$12-Parametros!$E$18*W12)</f>
        <v>9.9999999999999978E-2</v>
      </c>
      <c r="Y12" s="87">
        <v>4</v>
      </c>
      <c r="Z12" s="87">
        <v>4</v>
      </c>
      <c r="AA12" s="89">
        <f>IF(Y12&gt;=Parametros!$E$22,Parametros!$E$24,0)</f>
        <v>0</v>
      </c>
      <c r="AB12" s="89">
        <f>IF(Z12&gt;=Parametros!$E$23,Parametros!$E$25,0)</f>
        <v>0</v>
      </c>
      <c r="AC12" s="89">
        <f t="shared" si="1"/>
        <v>0</v>
      </c>
      <c r="AD12" s="87">
        <v>0</v>
      </c>
      <c r="AE12" s="88" t="s">
        <v>222</v>
      </c>
      <c r="AF12" s="87">
        <v>0</v>
      </c>
      <c r="AG12" s="88" t="s">
        <v>222</v>
      </c>
      <c r="AH12" s="87">
        <v>1</v>
      </c>
      <c r="AI12" s="88" t="s">
        <v>222</v>
      </c>
      <c r="AJ12" s="87">
        <v>0</v>
      </c>
      <c r="AK12" s="88" t="s">
        <v>222</v>
      </c>
      <c r="AL12" s="87">
        <v>0</v>
      </c>
      <c r="AM12" s="88" t="s">
        <v>222</v>
      </c>
      <c r="AN12" s="89">
        <f>AD12*Parametros!$E$28+AF12*Parametros!$E$29+AH12*Parametros!$E$30+AJ12*Parametros!$E$31+AL12*Parametros!$E$32</f>
        <v>0.15</v>
      </c>
      <c r="AO12" s="12" t="str">
        <f t="shared" si="2"/>
        <v>NO</v>
      </c>
      <c r="AP12" s="11">
        <f t="shared" si="3"/>
        <v>0.85</v>
      </c>
      <c r="AQ12" s="90">
        <f>MAX(0,MIN(1,MAX(0,AP12-IF(S12="NO",Parametros!$E$17,0))+AC12-AN12-IF(AO12="SI",Parametros!$E$33,0)))</f>
        <v>0.7</v>
      </c>
      <c r="AR12" s="58"/>
      <c r="AS12" s="71" t="str">
        <f>'Captura Mayo'!B14</f>
        <v>Linea 2</v>
      </c>
      <c r="AT12" s="72">
        <f>'Captura Mayo'!K14+'Captura Mayo'!N14+'Captura Mayo'!Q14</f>
        <v>0.24</v>
      </c>
      <c r="AU12" s="72">
        <f>'Captura Mayo'!T14</f>
        <v>0.06</v>
      </c>
      <c r="AV12" s="72">
        <f>'Captura Mayo'!V14</f>
        <v>0.25</v>
      </c>
      <c r="AW12" s="72">
        <f>'Captura Mayo'!G14</f>
        <v>0.2</v>
      </c>
      <c r="AX12" s="72">
        <f>'Captura Mayo'!X14</f>
        <v>0.15</v>
      </c>
      <c r="AY12" s="72">
        <f>'Captura Mayo'!AC14</f>
        <v>0</v>
      </c>
      <c r="AZ12" s="73">
        <f>-'Captura Mayo'!AN14</f>
        <v>0</v>
      </c>
      <c r="BA12" s="74">
        <f>'Captura Mayo'!AQ14</f>
        <v>0.9</v>
      </c>
      <c r="BB12" s="58"/>
      <c r="BC12" s="58"/>
    </row>
    <row r="13" spans="1:55" ht="16.5" customHeight="1" x14ac:dyDescent="0.35">
      <c r="A13" s="12">
        <v>8</v>
      </c>
      <c r="B13" s="83" t="s">
        <v>123</v>
      </c>
      <c r="C13" s="84" t="str">
        <f>VLOOKUP(B13,Parametros!$I$6:$J$20,2,FALSE())</f>
        <v>Amilcar Ralda</v>
      </c>
      <c r="D13" s="85">
        <v>1</v>
      </c>
      <c r="E13" s="85">
        <v>1</v>
      </c>
      <c r="F13" s="11">
        <f t="shared" si="0"/>
        <v>1</v>
      </c>
      <c r="G13" s="86">
        <f>F13*Parametros!$E$6</f>
        <v>0.2</v>
      </c>
      <c r="H13" s="87">
        <v>10</v>
      </c>
      <c r="I13" s="87">
        <v>10</v>
      </c>
      <c r="J13" s="88" t="s">
        <v>222</v>
      </c>
      <c r="K13" s="86">
        <f>IF(J13="NO",0,IFERROR(H13/I13,0)*Parametros!$E$7)</f>
        <v>0.08</v>
      </c>
      <c r="L13" s="85">
        <v>1</v>
      </c>
      <c r="M13" s="88" t="s">
        <v>222</v>
      </c>
      <c r="N13" s="86">
        <f>IF(M13="NO",0,L13*Parametros!$E$8)</f>
        <v>0.08</v>
      </c>
      <c r="O13" s="85">
        <v>1</v>
      </c>
      <c r="P13" s="88" t="s">
        <v>222</v>
      </c>
      <c r="Q13" s="86">
        <f>IF(P13="NO",0,O13*Parametros!$E$9)</f>
        <v>0.08</v>
      </c>
      <c r="R13" s="85">
        <v>1</v>
      </c>
      <c r="S13" s="88" t="s">
        <v>222</v>
      </c>
      <c r="T13" s="86">
        <f>IF(S13="NO",0,R13*Parametros!$E$10)</f>
        <v>0.06</v>
      </c>
      <c r="U13" s="85">
        <v>1</v>
      </c>
      <c r="V13" s="86">
        <f>U13*Parametros!$E$11</f>
        <v>0.25</v>
      </c>
      <c r="W13" s="87">
        <v>11</v>
      </c>
      <c r="X13" s="86">
        <f>MAX(0,Parametros!$E$12-Parametros!$E$18*W13)</f>
        <v>0</v>
      </c>
      <c r="Y13" s="87">
        <v>4</v>
      </c>
      <c r="Z13" s="87">
        <v>18</v>
      </c>
      <c r="AA13" s="89">
        <f>IF(Y13&gt;=Parametros!$E$22,Parametros!$E$24,0)</f>
        <v>0</v>
      </c>
      <c r="AB13" s="89">
        <f>IF(Z13&gt;=Parametros!$E$23,Parametros!$E$25,0)</f>
        <v>0.04</v>
      </c>
      <c r="AC13" s="89">
        <f t="shared" si="1"/>
        <v>0.04</v>
      </c>
      <c r="AD13" s="87">
        <v>0</v>
      </c>
      <c r="AE13" s="88" t="s">
        <v>222</v>
      </c>
      <c r="AF13" s="87">
        <v>0</v>
      </c>
      <c r="AG13" s="88" t="s">
        <v>222</v>
      </c>
      <c r="AH13" s="87">
        <v>1</v>
      </c>
      <c r="AI13" s="88" t="s">
        <v>222</v>
      </c>
      <c r="AJ13" s="87">
        <v>0</v>
      </c>
      <c r="AK13" s="88" t="s">
        <v>222</v>
      </c>
      <c r="AL13" s="87">
        <v>0</v>
      </c>
      <c r="AM13" s="88" t="s">
        <v>222</v>
      </c>
      <c r="AN13" s="89">
        <f>AD13*Parametros!$E$28+AF13*Parametros!$E$29+AH13*Parametros!$E$30+AJ13*Parametros!$E$31+AL13*Parametros!$E$32</f>
        <v>0.15</v>
      </c>
      <c r="AO13" s="12" t="str">
        <f t="shared" si="2"/>
        <v>NO</v>
      </c>
      <c r="AP13" s="11">
        <f t="shared" si="3"/>
        <v>0.75</v>
      </c>
      <c r="AQ13" s="90">
        <f>MAX(0,MIN(1,MAX(0,AP13-IF(S13="NO",Parametros!$E$17,0))+AC13-AN13-IF(AO13="SI",Parametros!$E$33,0)))</f>
        <v>0.64</v>
      </c>
      <c r="AR13" s="58"/>
      <c r="AS13" s="79" t="str">
        <f>'Captura Mayo'!B15</f>
        <v>Linea 3</v>
      </c>
      <c r="AT13" s="80">
        <f>'Captura Mayo'!K15+'Captura Mayo'!N15+'Captura Mayo'!Q15</f>
        <v>0.24</v>
      </c>
      <c r="AU13" s="80">
        <f>'Captura Mayo'!T15</f>
        <v>0.06</v>
      </c>
      <c r="AV13" s="80">
        <f>'Captura Mayo'!V15</f>
        <v>0.25</v>
      </c>
      <c r="AW13" s="80">
        <f>'Captura Mayo'!G15</f>
        <v>0.2</v>
      </c>
      <c r="AX13" s="80">
        <f>'Captura Mayo'!X15</f>
        <v>0</v>
      </c>
      <c r="AY13" s="80">
        <f>'Captura Mayo'!AC15</f>
        <v>0.04</v>
      </c>
      <c r="AZ13" s="81">
        <f>-'Captura Mayo'!AN15</f>
        <v>-0.1</v>
      </c>
      <c r="BA13" s="82">
        <f>'Captura Mayo'!AQ15</f>
        <v>0.69000000000000006</v>
      </c>
      <c r="BB13" s="58"/>
      <c r="BC13" s="58"/>
    </row>
    <row r="14" spans="1:55" ht="16.5" customHeight="1" x14ac:dyDescent="0.35">
      <c r="A14" s="12">
        <v>9</v>
      </c>
      <c r="B14" s="83" t="s">
        <v>113</v>
      </c>
      <c r="C14" s="84" t="str">
        <f>VLOOKUP(B14,Parametros!$I$6:$J$20,2,FALSE())</f>
        <v>Amilcar Ralda</v>
      </c>
      <c r="D14" s="85">
        <v>1</v>
      </c>
      <c r="E14" s="85">
        <v>1</v>
      </c>
      <c r="F14" s="11">
        <f t="shared" si="0"/>
        <v>1</v>
      </c>
      <c r="G14" s="86">
        <f>F14*Parametros!$E$6</f>
        <v>0.2</v>
      </c>
      <c r="H14" s="87">
        <v>10</v>
      </c>
      <c r="I14" s="87">
        <v>10</v>
      </c>
      <c r="J14" s="88" t="s">
        <v>222</v>
      </c>
      <c r="K14" s="86">
        <f>IF(J14="NO",0,IFERROR(H14/I14,0)*Parametros!$E$7)</f>
        <v>0.08</v>
      </c>
      <c r="L14" s="85">
        <v>1</v>
      </c>
      <c r="M14" s="88" t="s">
        <v>222</v>
      </c>
      <c r="N14" s="86">
        <f>IF(M14="NO",0,L14*Parametros!$E$8)</f>
        <v>0.08</v>
      </c>
      <c r="O14" s="85">
        <v>1</v>
      </c>
      <c r="P14" s="88" t="s">
        <v>222</v>
      </c>
      <c r="Q14" s="86">
        <f>IF(P14="NO",0,O14*Parametros!$E$9)</f>
        <v>0.08</v>
      </c>
      <c r="R14" s="85">
        <v>1</v>
      </c>
      <c r="S14" s="88" t="s">
        <v>222</v>
      </c>
      <c r="T14" s="86">
        <f>IF(S14="NO",0,R14*Parametros!$E$10)</f>
        <v>0.06</v>
      </c>
      <c r="U14" s="85">
        <v>1</v>
      </c>
      <c r="V14" s="86">
        <f>U14*Parametros!$E$11</f>
        <v>0.25</v>
      </c>
      <c r="W14" s="87">
        <v>2</v>
      </c>
      <c r="X14" s="86">
        <f>MAX(0,Parametros!$E$12-Parametros!$E$18*W14)</f>
        <v>0.15</v>
      </c>
      <c r="Y14" s="87">
        <v>4</v>
      </c>
      <c r="Z14" s="87">
        <v>9</v>
      </c>
      <c r="AA14" s="89">
        <f>IF(Y14&gt;=Parametros!$E$22,Parametros!$E$24,0)</f>
        <v>0</v>
      </c>
      <c r="AB14" s="89">
        <f>IF(Z14&gt;=Parametros!$E$23,Parametros!$E$25,0)</f>
        <v>0</v>
      </c>
      <c r="AC14" s="89">
        <f t="shared" si="1"/>
        <v>0</v>
      </c>
      <c r="AD14" s="87">
        <v>0</v>
      </c>
      <c r="AE14" s="88" t="s">
        <v>222</v>
      </c>
      <c r="AF14" s="87">
        <v>0</v>
      </c>
      <c r="AG14" s="88" t="s">
        <v>222</v>
      </c>
      <c r="AH14" s="87">
        <v>0</v>
      </c>
      <c r="AI14" s="88" t="s">
        <v>222</v>
      </c>
      <c r="AJ14" s="87">
        <v>0</v>
      </c>
      <c r="AK14" s="88" t="s">
        <v>222</v>
      </c>
      <c r="AL14" s="87">
        <v>0</v>
      </c>
      <c r="AM14" s="88" t="s">
        <v>222</v>
      </c>
      <c r="AN14" s="89">
        <f>AD14*Parametros!$E$28+AF14*Parametros!$E$29+AH14*Parametros!$E$30+AJ14*Parametros!$E$31+AL14*Parametros!$E$32</f>
        <v>0</v>
      </c>
      <c r="AO14" s="12" t="str">
        <f t="shared" si="2"/>
        <v>NO</v>
      </c>
      <c r="AP14" s="11">
        <f t="shared" si="3"/>
        <v>0.9</v>
      </c>
      <c r="AQ14" s="90">
        <f>MAX(0,MIN(1,MAX(0,AP14-IF(S14="NO",Parametros!$E$17,0))+AC14-AN14-IF(AO14="SI",Parametros!$E$33,0)))</f>
        <v>0.9</v>
      </c>
      <c r="AR14" s="58"/>
      <c r="AS14" s="71" t="str">
        <f>'Captura Mayo'!B16</f>
        <v>Linea 4</v>
      </c>
      <c r="AT14" s="72">
        <f>'Captura Mayo'!K16+'Captura Mayo'!N16+'Captura Mayo'!Q16</f>
        <v>0.24</v>
      </c>
      <c r="AU14" s="72">
        <f>'Captura Mayo'!T16</f>
        <v>0.06</v>
      </c>
      <c r="AV14" s="72">
        <f>'Captura Mayo'!V16</f>
        <v>0.25</v>
      </c>
      <c r="AW14" s="72">
        <f>'Captura Mayo'!G16</f>
        <v>0.2</v>
      </c>
      <c r="AX14" s="72">
        <f>'Captura Mayo'!X16</f>
        <v>0.25</v>
      </c>
      <c r="AY14" s="72">
        <f>'Captura Mayo'!AC16</f>
        <v>0.04</v>
      </c>
      <c r="AZ14" s="73">
        <f>-'Captura Mayo'!AN16</f>
        <v>0</v>
      </c>
      <c r="BA14" s="74">
        <f>'Captura Mayo'!AQ16</f>
        <v>1</v>
      </c>
      <c r="BB14" s="58"/>
      <c r="BC14" s="58"/>
    </row>
    <row r="15" spans="1:55" ht="16.5" customHeight="1" x14ac:dyDescent="0.35">
      <c r="A15" s="12">
        <v>10</v>
      </c>
      <c r="B15" s="83" t="s">
        <v>133</v>
      </c>
      <c r="C15" s="84" t="str">
        <f>VLOOKUP(B15,Parametros!$I$6:$J$20,2,FALSE())</f>
        <v>Mario Ramos</v>
      </c>
      <c r="D15" s="85">
        <v>1</v>
      </c>
      <c r="E15" s="85">
        <v>1</v>
      </c>
      <c r="F15" s="11">
        <f t="shared" si="0"/>
        <v>1</v>
      </c>
      <c r="G15" s="86">
        <f>F15*Parametros!$E$6</f>
        <v>0.2</v>
      </c>
      <c r="H15" s="87">
        <v>10</v>
      </c>
      <c r="I15" s="87">
        <v>10</v>
      </c>
      <c r="J15" s="88" t="s">
        <v>222</v>
      </c>
      <c r="K15" s="86">
        <f>IF(J15="NO",0,IFERROR(H15/I15,0)*Parametros!$E$7)</f>
        <v>0.08</v>
      </c>
      <c r="L15" s="85">
        <v>1</v>
      </c>
      <c r="M15" s="88" t="s">
        <v>222</v>
      </c>
      <c r="N15" s="86">
        <f>IF(M15="NO",0,L15*Parametros!$E$8)</f>
        <v>0.08</v>
      </c>
      <c r="O15" s="85">
        <v>1</v>
      </c>
      <c r="P15" s="88" t="s">
        <v>222</v>
      </c>
      <c r="Q15" s="86">
        <f>IF(P15="NO",0,O15*Parametros!$E$9)</f>
        <v>0.08</v>
      </c>
      <c r="R15" s="85">
        <v>1</v>
      </c>
      <c r="S15" s="88" t="s">
        <v>222</v>
      </c>
      <c r="T15" s="86">
        <f>IF(S15="NO",0,R15*Parametros!$E$10)</f>
        <v>0.06</v>
      </c>
      <c r="U15" s="85">
        <v>1</v>
      </c>
      <c r="V15" s="86">
        <f>U15*Parametros!$E$11</f>
        <v>0.25</v>
      </c>
      <c r="W15" s="87">
        <v>11</v>
      </c>
      <c r="X15" s="86">
        <f>MAX(0,Parametros!$E$12-Parametros!$E$18*W15)</f>
        <v>0</v>
      </c>
      <c r="Y15" s="87">
        <v>4</v>
      </c>
      <c r="Z15" s="87">
        <v>11</v>
      </c>
      <c r="AA15" s="89">
        <f>IF(Y15&gt;=Parametros!$E$22,Parametros!$E$24,0)</f>
        <v>0</v>
      </c>
      <c r="AB15" s="89">
        <f>IF(Z15&gt;=Parametros!$E$23,Parametros!$E$25,0)</f>
        <v>0.04</v>
      </c>
      <c r="AC15" s="89">
        <f t="shared" si="1"/>
        <v>0.04</v>
      </c>
      <c r="AD15" s="87">
        <v>0</v>
      </c>
      <c r="AE15" s="88" t="s">
        <v>222</v>
      </c>
      <c r="AF15" s="87">
        <v>1</v>
      </c>
      <c r="AG15" s="88" t="s">
        <v>222</v>
      </c>
      <c r="AH15" s="87">
        <v>0</v>
      </c>
      <c r="AI15" s="88" t="s">
        <v>222</v>
      </c>
      <c r="AJ15" s="87">
        <v>0</v>
      </c>
      <c r="AK15" s="88" t="s">
        <v>222</v>
      </c>
      <c r="AL15" s="87">
        <v>0</v>
      </c>
      <c r="AM15" s="88" t="s">
        <v>222</v>
      </c>
      <c r="AN15" s="89">
        <f>AD15*Parametros!$E$28+AF15*Parametros!$E$29+AH15*Parametros!$E$30+AJ15*Parametros!$E$31+AL15*Parametros!$E$32</f>
        <v>0.1</v>
      </c>
      <c r="AO15" s="12" t="str">
        <f t="shared" si="2"/>
        <v>NO</v>
      </c>
      <c r="AP15" s="11">
        <f t="shared" si="3"/>
        <v>0.75</v>
      </c>
      <c r="AQ15" s="90">
        <f>MAX(0,MIN(1,MAX(0,AP15-IF(S15="NO",Parametros!$E$17,0))+AC15-AN15-IF(AO15="SI",Parametros!$E$33,0)))</f>
        <v>0.69000000000000006</v>
      </c>
      <c r="AR15" s="58"/>
      <c r="AS15" s="79" t="str">
        <f>'Captura Mayo'!B17</f>
        <v>Linea 5</v>
      </c>
      <c r="AT15" s="80">
        <f>'Captura Mayo'!K17+'Captura Mayo'!N17+'Captura Mayo'!Q17</f>
        <v>0.24</v>
      </c>
      <c r="AU15" s="80">
        <f>'Captura Mayo'!T17</f>
        <v>0.06</v>
      </c>
      <c r="AV15" s="80">
        <f>'Captura Mayo'!V17</f>
        <v>0.25</v>
      </c>
      <c r="AW15" s="80">
        <f>'Captura Mayo'!G17</f>
        <v>0.2</v>
      </c>
      <c r="AX15" s="80">
        <f>'Captura Mayo'!X17</f>
        <v>9.9999999999999978E-2</v>
      </c>
      <c r="AY15" s="80">
        <f>'Captura Mayo'!AC17</f>
        <v>0.04</v>
      </c>
      <c r="AZ15" s="81">
        <f>-'Captura Mayo'!AN17</f>
        <v>0</v>
      </c>
      <c r="BA15" s="82">
        <f>'Captura Mayo'!AQ17</f>
        <v>0.89</v>
      </c>
      <c r="BB15" s="58"/>
      <c r="BC15" s="58"/>
    </row>
    <row r="16" spans="1:55" ht="16.5" customHeight="1" x14ac:dyDescent="0.35">
      <c r="A16" s="12">
        <v>11</v>
      </c>
      <c r="B16" s="83" t="s">
        <v>106</v>
      </c>
      <c r="C16" s="84" t="str">
        <f>VLOOKUP(B16,Parametros!$I$6:$J$20,2,FALSE())</f>
        <v>Mario Ramos</v>
      </c>
      <c r="D16" s="85">
        <v>1</v>
      </c>
      <c r="E16" s="85">
        <v>1</v>
      </c>
      <c r="F16" s="11">
        <f t="shared" si="0"/>
        <v>1</v>
      </c>
      <c r="G16" s="86">
        <f>F16*Parametros!$E$6</f>
        <v>0.2</v>
      </c>
      <c r="H16" s="87">
        <v>10</v>
      </c>
      <c r="I16" s="87">
        <v>10</v>
      </c>
      <c r="J16" s="88" t="s">
        <v>222</v>
      </c>
      <c r="K16" s="86">
        <f>IF(J16="NO",0,IFERROR(H16/I16,0)*Parametros!$E$7)</f>
        <v>0.08</v>
      </c>
      <c r="L16" s="85">
        <v>1</v>
      </c>
      <c r="M16" s="88" t="s">
        <v>222</v>
      </c>
      <c r="N16" s="86">
        <f>IF(M16="NO",0,L16*Parametros!$E$8)</f>
        <v>0.08</v>
      </c>
      <c r="O16" s="85">
        <v>1</v>
      </c>
      <c r="P16" s="88" t="s">
        <v>222</v>
      </c>
      <c r="Q16" s="86">
        <f>IF(P16="NO",0,O16*Parametros!$E$9)</f>
        <v>0.08</v>
      </c>
      <c r="R16" s="85">
        <v>1</v>
      </c>
      <c r="S16" s="88" t="s">
        <v>222</v>
      </c>
      <c r="T16" s="86">
        <f>IF(S16="NO",0,R16*Parametros!$E$10)</f>
        <v>0.06</v>
      </c>
      <c r="U16" s="85">
        <v>1</v>
      </c>
      <c r="V16" s="86">
        <f>U16*Parametros!$E$11</f>
        <v>0.25</v>
      </c>
      <c r="W16" s="87">
        <v>0</v>
      </c>
      <c r="X16" s="86">
        <f>MAX(0,Parametros!$E$12-Parametros!$E$18*W16)</f>
        <v>0.25</v>
      </c>
      <c r="Y16" s="87">
        <v>2</v>
      </c>
      <c r="Z16" s="87">
        <v>11</v>
      </c>
      <c r="AA16" s="89">
        <f>IF(Y16&gt;=Parametros!$E$22,Parametros!$E$24,0)</f>
        <v>0</v>
      </c>
      <c r="AB16" s="89">
        <f>IF(Z16&gt;=Parametros!$E$23,Parametros!$E$25,0)</f>
        <v>0.04</v>
      </c>
      <c r="AC16" s="89">
        <f t="shared" si="1"/>
        <v>0.04</v>
      </c>
      <c r="AD16" s="87">
        <v>0</v>
      </c>
      <c r="AE16" s="88" t="s">
        <v>222</v>
      </c>
      <c r="AF16" s="87">
        <v>0</v>
      </c>
      <c r="AG16" s="88" t="s">
        <v>222</v>
      </c>
      <c r="AH16" s="87">
        <v>0</v>
      </c>
      <c r="AI16" s="88" t="s">
        <v>222</v>
      </c>
      <c r="AJ16" s="87">
        <v>0</v>
      </c>
      <c r="AK16" s="88" t="s">
        <v>222</v>
      </c>
      <c r="AL16" s="87">
        <v>0</v>
      </c>
      <c r="AM16" s="88" t="s">
        <v>222</v>
      </c>
      <c r="AN16" s="89">
        <f>AD16*Parametros!$E$28+AF16*Parametros!$E$29+AH16*Parametros!$E$30+AJ16*Parametros!$E$31+AL16*Parametros!$E$32</f>
        <v>0</v>
      </c>
      <c r="AO16" s="12" t="str">
        <f t="shared" si="2"/>
        <v>NO</v>
      </c>
      <c r="AP16" s="11">
        <f t="shared" si="3"/>
        <v>1</v>
      </c>
      <c r="AQ16" s="90">
        <f>MAX(0,MIN(1,MAX(0,AP16-IF(S16="NO",Parametros!$E$17,0))+AC16-AN16-IF(AO16="SI",Parametros!$E$33,0)))</f>
        <v>1</v>
      </c>
      <c r="AR16" s="58"/>
      <c r="AS16" s="71" t="str">
        <f>'Captura Mayo'!B18</f>
        <v>Mantenimiento</v>
      </c>
      <c r="AT16" s="72">
        <f>'Captura Mayo'!K18+'Captura Mayo'!N18+'Captura Mayo'!Q18</f>
        <v>0.24</v>
      </c>
      <c r="AU16" s="72">
        <f>'Captura Mayo'!T18</f>
        <v>0.06</v>
      </c>
      <c r="AV16" s="72">
        <f>'Captura Mayo'!V18</f>
        <v>0.25</v>
      </c>
      <c r="AW16" s="72">
        <f>'Captura Mayo'!G18</f>
        <v>0.18666666666666673</v>
      </c>
      <c r="AX16" s="72">
        <f>'Captura Mayo'!X18</f>
        <v>0.25</v>
      </c>
      <c r="AY16" s="72">
        <f>'Captura Mayo'!AC18</f>
        <v>0.04</v>
      </c>
      <c r="AZ16" s="73">
        <f>-'Captura Mayo'!AN18</f>
        <v>0</v>
      </c>
      <c r="BA16" s="74">
        <f>'Captura Mayo'!AQ18</f>
        <v>1</v>
      </c>
      <c r="BB16" s="58"/>
      <c r="BC16" s="58"/>
    </row>
    <row r="17" spans="1:55" ht="16.5" customHeight="1" x14ac:dyDescent="0.35">
      <c r="A17" s="12">
        <v>12</v>
      </c>
      <c r="B17" s="83" t="s">
        <v>109</v>
      </c>
      <c r="C17" s="84" t="str">
        <f>VLOOKUP(B17,Parametros!$I$6:$J$20,2,FALSE())</f>
        <v>Roy Luarca</v>
      </c>
      <c r="D17" s="85">
        <v>1</v>
      </c>
      <c r="E17" s="85">
        <v>1</v>
      </c>
      <c r="F17" s="11">
        <f t="shared" si="0"/>
        <v>1</v>
      </c>
      <c r="G17" s="86">
        <f>F17*Parametros!$E$6</f>
        <v>0.2</v>
      </c>
      <c r="H17" s="87">
        <v>10</v>
      </c>
      <c r="I17" s="87">
        <v>10</v>
      </c>
      <c r="J17" s="88" t="s">
        <v>222</v>
      </c>
      <c r="K17" s="86">
        <f>IF(J17="NO",0,IFERROR(H17/I17,0)*Parametros!$E$7)</f>
        <v>0.08</v>
      </c>
      <c r="L17" s="85">
        <v>1</v>
      </c>
      <c r="M17" s="88" t="s">
        <v>222</v>
      </c>
      <c r="N17" s="86">
        <f>IF(M17="NO",0,L17*Parametros!$E$8)</f>
        <v>0.08</v>
      </c>
      <c r="O17" s="85">
        <v>1</v>
      </c>
      <c r="P17" s="88" t="s">
        <v>222</v>
      </c>
      <c r="Q17" s="86">
        <f>IF(P17="NO",0,O17*Parametros!$E$9)</f>
        <v>0.08</v>
      </c>
      <c r="R17" s="85">
        <v>1</v>
      </c>
      <c r="S17" s="88" t="s">
        <v>222</v>
      </c>
      <c r="T17" s="86">
        <f>IF(S17="NO",0,R17*Parametros!$E$10)</f>
        <v>0.06</v>
      </c>
      <c r="U17" s="85">
        <v>1</v>
      </c>
      <c r="V17" s="86">
        <f>U17*Parametros!$E$11</f>
        <v>0.25</v>
      </c>
      <c r="W17" s="87">
        <v>3</v>
      </c>
      <c r="X17" s="86">
        <f>MAX(0,Parametros!$E$12-Parametros!$E$18*W17)</f>
        <v>9.9999999999999978E-2</v>
      </c>
      <c r="Y17" s="87">
        <v>5</v>
      </c>
      <c r="Z17" s="87">
        <v>14</v>
      </c>
      <c r="AA17" s="89">
        <f>IF(Y17&gt;=Parametros!$E$22,Parametros!$E$24,0)</f>
        <v>0</v>
      </c>
      <c r="AB17" s="89">
        <f>IF(Z17&gt;=Parametros!$E$23,Parametros!$E$25,0)</f>
        <v>0.04</v>
      </c>
      <c r="AC17" s="89">
        <f t="shared" si="1"/>
        <v>0.04</v>
      </c>
      <c r="AD17" s="87">
        <v>0</v>
      </c>
      <c r="AE17" s="88" t="s">
        <v>222</v>
      </c>
      <c r="AF17" s="87">
        <v>0</v>
      </c>
      <c r="AG17" s="88" t="s">
        <v>222</v>
      </c>
      <c r="AH17" s="87">
        <v>0</v>
      </c>
      <c r="AI17" s="88" t="s">
        <v>222</v>
      </c>
      <c r="AJ17" s="87">
        <v>0</v>
      </c>
      <c r="AK17" s="88" t="s">
        <v>222</v>
      </c>
      <c r="AL17" s="87">
        <v>0</v>
      </c>
      <c r="AM17" s="88" t="s">
        <v>222</v>
      </c>
      <c r="AN17" s="89">
        <f>AD17*Parametros!$E$28+AF17*Parametros!$E$29+AH17*Parametros!$E$30+AJ17*Parametros!$E$31+AL17*Parametros!$E$32</f>
        <v>0</v>
      </c>
      <c r="AO17" s="12" t="str">
        <f t="shared" si="2"/>
        <v>NO</v>
      </c>
      <c r="AP17" s="11">
        <f t="shared" si="3"/>
        <v>0.85</v>
      </c>
      <c r="AQ17" s="90">
        <f>MAX(0,MIN(1,MAX(0,AP17-IF(S17="NO",Parametros!$E$17,0))+AC17-AN17-IF(AO17="SI",Parametros!$E$33,0)))</f>
        <v>0.89</v>
      </c>
      <c r="AR17" s="58"/>
      <c r="AS17" s="79" t="str">
        <f>'Captura Mayo'!B19</f>
        <v>Materias Primas</v>
      </c>
      <c r="AT17" s="80">
        <f>'Captura Mayo'!K19+'Captura Mayo'!N19+'Captura Mayo'!Q19</f>
        <v>0.24</v>
      </c>
      <c r="AU17" s="80">
        <f>'Captura Mayo'!T19</f>
        <v>0</v>
      </c>
      <c r="AV17" s="80">
        <f>'Captura Mayo'!V19</f>
        <v>0.25</v>
      </c>
      <c r="AW17" s="80">
        <f>'Captura Mayo'!G19</f>
        <v>0.2</v>
      </c>
      <c r="AX17" s="80">
        <f>'Captura Mayo'!X19</f>
        <v>0.25</v>
      </c>
      <c r="AY17" s="80">
        <f>'Captura Mayo'!AC19</f>
        <v>0</v>
      </c>
      <c r="AZ17" s="81">
        <f>-'Captura Mayo'!AN19</f>
        <v>0</v>
      </c>
      <c r="BA17" s="82">
        <f>'Captura Mayo'!AQ19</f>
        <v>0.84000000000000008</v>
      </c>
      <c r="BB17" s="58"/>
      <c r="BC17" s="58"/>
    </row>
    <row r="18" spans="1:55" ht="16.5" customHeight="1" x14ac:dyDescent="0.35">
      <c r="A18" s="12">
        <v>13</v>
      </c>
      <c r="B18" s="83" t="s">
        <v>140</v>
      </c>
      <c r="C18" s="84" t="str">
        <f>VLOOKUP(B18,Parametros!$I$6:$J$20,2,FALSE())</f>
        <v>Eliu Tello</v>
      </c>
      <c r="D18" s="85">
        <v>0.86666666666666703</v>
      </c>
      <c r="E18" s="85">
        <v>1</v>
      </c>
      <c r="F18" s="11">
        <f t="shared" si="0"/>
        <v>0.93333333333333357</v>
      </c>
      <c r="G18" s="86">
        <f>F18*Parametros!$E$6</f>
        <v>0.18666666666666673</v>
      </c>
      <c r="H18" s="87">
        <v>10</v>
      </c>
      <c r="I18" s="87">
        <v>10</v>
      </c>
      <c r="J18" s="88" t="s">
        <v>222</v>
      </c>
      <c r="K18" s="86">
        <f>IF(J18="NO",0,IFERROR(H18/I18,0)*Parametros!$E$7)</f>
        <v>0.08</v>
      </c>
      <c r="L18" s="85">
        <v>1</v>
      </c>
      <c r="M18" s="88" t="s">
        <v>222</v>
      </c>
      <c r="N18" s="86">
        <f>IF(M18="NO",0,L18*Parametros!$E$8)</f>
        <v>0.08</v>
      </c>
      <c r="O18" s="85">
        <v>1</v>
      </c>
      <c r="P18" s="88" t="s">
        <v>222</v>
      </c>
      <c r="Q18" s="86">
        <f>IF(P18="NO",0,O18*Parametros!$E$9)</f>
        <v>0.08</v>
      </c>
      <c r="R18" s="85">
        <v>1</v>
      </c>
      <c r="S18" s="88" t="s">
        <v>222</v>
      </c>
      <c r="T18" s="86">
        <f>IF(S18="NO",0,R18*Parametros!$E$10)</f>
        <v>0.06</v>
      </c>
      <c r="U18" s="85">
        <v>1</v>
      </c>
      <c r="V18" s="86">
        <f>U18*Parametros!$E$11</f>
        <v>0.25</v>
      </c>
      <c r="W18" s="87">
        <v>0</v>
      </c>
      <c r="X18" s="86">
        <f>MAX(0,Parametros!$E$12-Parametros!$E$18*W18)</f>
        <v>0.25</v>
      </c>
      <c r="Y18" s="87">
        <v>1</v>
      </c>
      <c r="Z18" s="87">
        <v>15</v>
      </c>
      <c r="AA18" s="89">
        <f>IF(Y18&gt;=Parametros!$E$22,Parametros!$E$24,0)</f>
        <v>0</v>
      </c>
      <c r="AB18" s="89">
        <f>IF(Z18&gt;=Parametros!$E$23,Parametros!$E$25,0)</f>
        <v>0.04</v>
      </c>
      <c r="AC18" s="89">
        <f t="shared" si="1"/>
        <v>0.04</v>
      </c>
      <c r="AD18" s="87">
        <v>0</v>
      </c>
      <c r="AE18" s="88" t="s">
        <v>222</v>
      </c>
      <c r="AF18" s="87">
        <v>0</v>
      </c>
      <c r="AG18" s="88" t="s">
        <v>222</v>
      </c>
      <c r="AH18" s="87">
        <v>0</v>
      </c>
      <c r="AI18" s="88" t="s">
        <v>222</v>
      </c>
      <c r="AJ18" s="87">
        <v>0</v>
      </c>
      <c r="AK18" s="88" t="s">
        <v>222</v>
      </c>
      <c r="AL18" s="87">
        <v>0</v>
      </c>
      <c r="AM18" s="88" t="s">
        <v>222</v>
      </c>
      <c r="AN18" s="89">
        <f>AD18*Parametros!$E$28+AF18*Parametros!$E$29+AH18*Parametros!$E$30+AJ18*Parametros!$E$31+AL18*Parametros!$E$32</f>
        <v>0</v>
      </c>
      <c r="AO18" s="12" t="str">
        <f t="shared" si="2"/>
        <v>NO</v>
      </c>
      <c r="AP18" s="11">
        <f t="shared" si="3"/>
        <v>0.9866666666666668</v>
      </c>
      <c r="AQ18" s="90">
        <f>MAX(0,MIN(1,MAX(0,AP18-IF(S18="NO",Parametros!$E$17,0))+AC18-AN18-IF(AO18="SI",Parametros!$E$33,0)))</f>
        <v>1</v>
      </c>
      <c r="AR18" s="58"/>
      <c r="AS18" s="71" t="str">
        <f>'Captura Mayo'!B20</f>
        <v>Tratamiento de Aguas</v>
      </c>
      <c r="AT18" s="72">
        <f>'Captura Mayo'!K20+'Captura Mayo'!N20+'Captura Mayo'!Q20</f>
        <v>0.24</v>
      </c>
      <c r="AU18" s="72">
        <f>'Captura Mayo'!T20</f>
        <v>0.06</v>
      </c>
      <c r="AV18" s="72">
        <f>'Captura Mayo'!V20</f>
        <v>0.25</v>
      </c>
      <c r="AW18" s="72">
        <f>'Captura Mayo'!G20</f>
        <v>0.2</v>
      </c>
      <c r="AX18" s="72">
        <f>'Captura Mayo'!X20</f>
        <v>0.2</v>
      </c>
      <c r="AY18" s="72">
        <f>'Captura Mayo'!AC20</f>
        <v>0</v>
      </c>
      <c r="AZ18" s="73">
        <f>-'Captura Mayo'!AN20</f>
        <v>0</v>
      </c>
      <c r="BA18" s="74">
        <f>'Captura Mayo'!AQ20</f>
        <v>0.95</v>
      </c>
      <c r="BB18" s="58"/>
      <c r="BC18" s="58"/>
    </row>
    <row r="19" spans="1:55" ht="25.5" customHeight="1" x14ac:dyDescent="0.35">
      <c r="A19" s="12">
        <v>14</v>
      </c>
      <c r="B19" s="83" t="s">
        <v>142</v>
      </c>
      <c r="C19" s="84" t="str">
        <f>VLOOKUP(B19,Parametros!$I$6:$J$20,2,FALSE())</f>
        <v>Miguel Godinez</v>
      </c>
      <c r="D19" s="85">
        <v>1</v>
      </c>
      <c r="E19" s="85">
        <v>1</v>
      </c>
      <c r="F19" s="11">
        <f t="shared" si="0"/>
        <v>1</v>
      </c>
      <c r="G19" s="86">
        <f>F19*Parametros!$E$6</f>
        <v>0.2</v>
      </c>
      <c r="H19" s="87">
        <v>10</v>
      </c>
      <c r="I19" s="87">
        <v>10</v>
      </c>
      <c r="J19" s="88" t="s">
        <v>222</v>
      </c>
      <c r="K19" s="86">
        <f>IF(J19="NO",0,IFERROR(H19/I19,0)*Parametros!$E$7)</f>
        <v>0.08</v>
      </c>
      <c r="L19" s="85">
        <v>1</v>
      </c>
      <c r="M19" s="88" t="s">
        <v>222</v>
      </c>
      <c r="N19" s="86">
        <f>IF(M19="NO",0,L19*Parametros!$E$8)</f>
        <v>0.08</v>
      </c>
      <c r="O19" s="85">
        <v>1</v>
      </c>
      <c r="P19" s="88" t="s">
        <v>222</v>
      </c>
      <c r="Q19" s="86">
        <f>IF(P19="NO",0,O19*Parametros!$E$9)</f>
        <v>0.08</v>
      </c>
      <c r="R19" s="85">
        <v>0</v>
      </c>
      <c r="S19" s="88" t="s">
        <v>223</v>
      </c>
      <c r="T19" s="86">
        <f>IF(S19="NO",0,R19*Parametros!$E$10)</f>
        <v>0</v>
      </c>
      <c r="U19" s="85">
        <v>1</v>
      </c>
      <c r="V19" s="86">
        <f>U19*Parametros!$E$11</f>
        <v>0.25</v>
      </c>
      <c r="W19" s="87">
        <v>0</v>
      </c>
      <c r="X19" s="86">
        <f>MAX(0,Parametros!$E$12-Parametros!$E$18*W19)</f>
        <v>0.25</v>
      </c>
      <c r="Y19" s="87">
        <v>1</v>
      </c>
      <c r="Z19" s="87">
        <v>1</v>
      </c>
      <c r="AA19" s="89">
        <f>IF(Y19&gt;=Parametros!$E$22,Parametros!$E$24,0)</f>
        <v>0</v>
      </c>
      <c r="AB19" s="89">
        <f>IF(Z19&gt;=Parametros!$E$23,Parametros!$E$25,0)</f>
        <v>0</v>
      </c>
      <c r="AC19" s="89">
        <f t="shared" si="1"/>
        <v>0</v>
      </c>
      <c r="AD19" s="87">
        <v>0</v>
      </c>
      <c r="AE19" s="88" t="s">
        <v>222</v>
      </c>
      <c r="AF19" s="87">
        <v>0</v>
      </c>
      <c r="AG19" s="88" t="s">
        <v>222</v>
      </c>
      <c r="AH19" s="87">
        <v>0</v>
      </c>
      <c r="AI19" s="88" t="s">
        <v>222</v>
      </c>
      <c r="AJ19" s="87">
        <v>0</v>
      </c>
      <c r="AK19" s="88" t="s">
        <v>222</v>
      </c>
      <c r="AL19" s="87">
        <v>0</v>
      </c>
      <c r="AM19" s="88" t="s">
        <v>222</v>
      </c>
      <c r="AN19" s="89">
        <f>AD19*Parametros!$E$28+AF19*Parametros!$E$29+AH19*Parametros!$E$30+AJ19*Parametros!$E$31+AL19*Parametros!$E$32</f>
        <v>0</v>
      </c>
      <c r="AO19" s="12" t="str">
        <f t="shared" si="2"/>
        <v>NO</v>
      </c>
      <c r="AP19" s="11">
        <f t="shared" si="3"/>
        <v>0.94000000000000006</v>
      </c>
      <c r="AQ19" s="90">
        <f>MAX(0,MIN(1,MAX(0,AP19-IF(S19="NO",Parametros!$E$17,0))+AC19-AN19-IF(AO19="SI",Parametros!$E$33,0)))</f>
        <v>0.84000000000000008</v>
      </c>
      <c r="AR19" s="58"/>
      <c r="AS19" s="111" t="s">
        <v>245</v>
      </c>
      <c r="AT19" s="111"/>
      <c r="AU19" s="111"/>
      <c r="AV19" s="111"/>
      <c r="AW19" s="111"/>
      <c r="AX19" s="111"/>
      <c r="AY19" s="111"/>
      <c r="AZ19" s="111"/>
      <c r="BA19" s="91">
        <f>AVERAGE(BA4:BA18)</f>
        <v>0.8793333333333333</v>
      </c>
      <c r="BB19" s="58"/>
      <c r="BC19" s="58"/>
    </row>
    <row r="20" spans="1:55" ht="16.5" customHeight="1" x14ac:dyDescent="0.35">
      <c r="A20" s="12">
        <v>15</v>
      </c>
      <c r="B20" s="83" t="s">
        <v>138</v>
      </c>
      <c r="C20" s="84" t="str">
        <f>VLOOKUP(B20,Parametros!$I$6:$J$20,2,FALSE())</f>
        <v>Adrian Santisteban</v>
      </c>
      <c r="D20" s="85">
        <v>1</v>
      </c>
      <c r="E20" s="85">
        <v>1</v>
      </c>
      <c r="F20" s="11">
        <f t="shared" si="0"/>
        <v>1</v>
      </c>
      <c r="G20" s="86">
        <f>F20*Parametros!$E$6</f>
        <v>0.2</v>
      </c>
      <c r="H20" s="87">
        <v>10</v>
      </c>
      <c r="I20" s="87">
        <v>10</v>
      </c>
      <c r="J20" s="88" t="s">
        <v>222</v>
      </c>
      <c r="K20" s="86">
        <f>IF(J20="NO",0,IFERROR(H20/I20,0)*Parametros!$E$7)</f>
        <v>0.08</v>
      </c>
      <c r="L20" s="85">
        <v>1</v>
      </c>
      <c r="M20" s="88" t="s">
        <v>222</v>
      </c>
      <c r="N20" s="86">
        <f>IF(M20="NO",0,L20*Parametros!$E$8)</f>
        <v>0.08</v>
      </c>
      <c r="O20" s="85">
        <v>1</v>
      </c>
      <c r="P20" s="88" t="s">
        <v>222</v>
      </c>
      <c r="Q20" s="86">
        <f>IF(P20="NO",0,O20*Parametros!$E$9)</f>
        <v>0.08</v>
      </c>
      <c r="R20" s="85">
        <v>1</v>
      </c>
      <c r="S20" s="88" t="s">
        <v>222</v>
      </c>
      <c r="T20" s="86">
        <f>IF(S20="NO",0,R20*Parametros!$E$10)</f>
        <v>0.06</v>
      </c>
      <c r="U20" s="85">
        <v>1</v>
      </c>
      <c r="V20" s="86">
        <f>U20*Parametros!$E$11</f>
        <v>0.25</v>
      </c>
      <c r="W20" s="87">
        <v>1</v>
      </c>
      <c r="X20" s="86">
        <f>MAX(0,Parametros!$E$12-Parametros!$E$18*W20)</f>
        <v>0.2</v>
      </c>
      <c r="Y20" s="87">
        <v>5</v>
      </c>
      <c r="Z20" s="87">
        <v>4</v>
      </c>
      <c r="AA20" s="89">
        <f>IF(Y20&gt;=Parametros!$E$22,Parametros!$E$24,0)</f>
        <v>0</v>
      </c>
      <c r="AB20" s="89">
        <f>IF(Z20&gt;=Parametros!$E$23,Parametros!$E$25,0)</f>
        <v>0</v>
      </c>
      <c r="AC20" s="89">
        <f t="shared" si="1"/>
        <v>0</v>
      </c>
      <c r="AD20" s="87">
        <v>0</v>
      </c>
      <c r="AE20" s="88" t="s">
        <v>222</v>
      </c>
      <c r="AF20" s="87">
        <v>0</v>
      </c>
      <c r="AG20" s="88" t="s">
        <v>222</v>
      </c>
      <c r="AH20" s="87">
        <v>0</v>
      </c>
      <c r="AI20" s="88" t="s">
        <v>222</v>
      </c>
      <c r="AJ20" s="87">
        <v>0</v>
      </c>
      <c r="AK20" s="88" t="s">
        <v>222</v>
      </c>
      <c r="AL20" s="87">
        <v>0</v>
      </c>
      <c r="AM20" s="88" t="s">
        <v>222</v>
      </c>
      <c r="AN20" s="89">
        <f>AD20*Parametros!$E$28+AF20*Parametros!$E$29+AH20*Parametros!$E$30+AJ20*Parametros!$E$31+AL20*Parametros!$E$32</f>
        <v>0</v>
      </c>
      <c r="AO20" s="12" t="str">
        <f t="shared" si="2"/>
        <v>NO</v>
      </c>
      <c r="AP20" s="11">
        <f t="shared" si="3"/>
        <v>0.95</v>
      </c>
      <c r="AQ20" s="90">
        <f>MAX(0,MIN(1,MAX(0,AP20-IF(S20="NO",Parametros!$E$17,0))+AC20-AN20-IF(AO20="SI",Parametros!$E$33,0)))</f>
        <v>0.95</v>
      </c>
      <c r="AR20" s="58"/>
      <c r="AS20" s="58"/>
      <c r="AT20" s="58"/>
      <c r="AU20" s="58"/>
      <c r="AV20" s="58"/>
      <c r="AW20" s="58"/>
      <c r="AX20" s="58"/>
      <c r="AY20" s="58"/>
      <c r="AZ20" s="58"/>
      <c r="BA20" s="58"/>
      <c r="BB20" s="58"/>
    </row>
    <row r="22" spans="1:55" ht="21.75" customHeight="1" x14ac:dyDescent="0.35">
      <c r="A22" s="112"/>
      <c r="B22" s="112"/>
      <c r="C22" s="112"/>
      <c r="D22" s="70"/>
      <c r="E22" s="70"/>
      <c r="F22" s="70"/>
      <c r="G22" s="70"/>
      <c r="H22" s="70"/>
      <c r="I22" s="70"/>
      <c r="J22" s="70"/>
      <c r="K22" s="70"/>
      <c r="L22" s="70"/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V22" s="92"/>
    </row>
    <row r="23" spans="1:55" ht="21.75" customHeight="1" x14ac:dyDescent="0.35">
      <c r="A23" s="113" t="s">
        <v>225</v>
      </c>
      <c r="B23" s="113"/>
      <c r="C23" s="113"/>
      <c r="D23" s="93"/>
      <c r="E23" s="93"/>
      <c r="F23" s="93"/>
      <c r="G23" s="93"/>
      <c r="H23" s="93"/>
      <c r="I23" s="93"/>
      <c r="J23" s="93"/>
      <c r="K23" s="93"/>
      <c r="L23" s="93"/>
      <c r="M23" s="93"/>
      <c r="N23" s="93"/>
      <c r="O23" s="93"/>
      <c r="P23" s="93"/>
      <c r="Q23" s="93"/>
      <c r="R23" s="93"/>
      <c r="S23" s="93"/>
      <c r="T23" s="93"/>
      <c r="U23" s="93"/>
      <c r="V23" s="93"/>
      <c r="W23" s="93"/>
      <c r="X23" s="93"/>
      <c r="Y23" s="93"/>
      <c r="Z23" s="93"/>
      <c r="AA23" s="93"/>
      <c r="AB23" s="93"/>
      <c r="AC23" s="93"/>
      <c r="AD23" s="93"/>
      <c r="AE23" s="93"/>
      <c r="AF23" s="93"/>
      <c r="AG23" s="93"/>
      <c r="AH23" s="93"/>
      <c r="AI23" s="93"/>
      <c r="AJ23" s="93"/>
      <c r="AK23" s="93"/>
      <c r="AL23" s="93"/>
      <c r="AM23" s="93"/>
      <c r="AN23" s="93"/>
      <c r="AO23" s="93"/>
      <c r="AP23" s="93"/>
      <c r="AQ23" s="94">
        <f>AVERAGE(AQ6:AQ20)</f>
        <v>0.8793333333333333</v>
      </c>
      <c r="AR23" s="58"/>
      <c r="AS23" s="58"/>
      <c r="AT23" s="58"/>
      <c r="AU23" s="58"/>
      <c r="AV23" s="58"/>
      <c r="AW23" s="58"/>
      <c r="AX23" s="58"/>
      <c r="AY23" s="58"/>
      <c r="AZ23" s="58"/>
      <c r="BA23" s="58"/>
      <c r="BB23" s="58"/>
    </row>
  </sheetData>
  <mergeCells count="20">
    <mergeCell ref="A1:AB1"/>
    <mergeCell ref="AS1:BA1"/>
    <mergeCell ref="BB1:BC1"/>
    <mergeCell ref="B2:D2"/>
    <mergeCell ref="AT2:AV2"/>
    <mergeCell ref="AX2:BA2"/>
    <mergeCell ref="BB5:BC5"/>
    <mergeCell ref="AS19:AZ19"/>
    <mergeCell ref="A22:C22"/>
    <mergeCell ref="A23:C23"/>
    <mergeCell ref="U4:V4"/>
    <mergeCell ref="W4:X4"/>
    <mergeCell ref="Y4:AC4"/>
    <mergeCell ref="AD4:AO4"/>
    <mergeCell ref="AP4:AQ4"/>
    <mergeCell ref="D4:G4"/>
    <mergeCell ref="H4:K4"/>
    <mergeCell ref="L4:N4"/>
    <mergeCell ref="O4:Q4"/>
    <mergeCell ref="R4:T4"/>
  </mergeCells>
  <conditionalFormatting sqref="AQ6:AQ20">
    <cfRule type="cellIs" dxfId="74" priority="5" operator="greaterThanOrEqual">
      <formula>0.9</formula>
    </cfRule>
    <cfRule type="cellIs" dxfId="73" priority="6" operator="between">
      <formula>0.7</formula>
      <formula>0.8999</formula>
    </cfRule>
    <cfRule type="cellIs" dxfId="72" priority="7" operator="lessThan">
      <formula>0.7</formula>
    </cfRule>
  </conditionalFormatting>
  <conditionalFormatting sqref="AV6:AV20">
    <cfRule type="cellIs" dxfId="71" priority="2" operator="greaterThanOrEqual">
      <formula>0.9</formula>
    </cfRule>
    <cfRule type="expression" dxfId="70" priority="3">
      <formula>AND(AV6&gt;=0.7,AV6&lt;0.9)</formula>
    </cfRule>
    <cfRule type="cellIs" dxfId="69" priority="4" operator="lessThan">
      <formula>0.7</formula>
    </cfRule>
  </conditionalFormatting>
  <conditionalFormatting sqref="BA4:BA18">
    <cfRule type="cellIs" dxfId="68" priority="8" operator="greaterThanOrEqual">
      <formula>0.9</formula>
    </cfRule>
    <cfRule type="cellIs" dxfId="67" priority="9" operator="between">
      <formula>0.7</formula>
      <formula>0.8999</formula>
    </cfRule>
    <cfRule type="cellIs" dxfId="66" priority="10" operator="lessThan">
      <formula>0.7</formula>
    </cfRule>
  </conditionalFormatting>
  <dataValidations count="4">
    <dataValidation type="whole" operator="greaterThanOrEqual" showErrorMessage="1" errorTitle="Valor invalido" error="Ingrese un numero entero &gt;= 0" sqref="F6:F20 K6:K20 N6:N20 V6:W20 AB6:AB20 AD6:AD20 AO6:AO20 AQ6:AQ20" xr:uid="{00000000-0002-0000-0900-000000000000}">
      <formula1>0</formula1>
      <formula2>0</formula2>
    </dataValidation>
    <dataValidation type="decimal" showErrorMessage="1" errorTitle="Valor invalido" error="Ingrese un porcentaje entre 0% y 100%" sqref="D6:E20 L6:L20 O6:O20 R6:R20 U6:U20" xr:uid="{00000000-0002-0000-0900-000001000000}">
      <formula1>0</formula1>
      <formula2>1</formula2>
    </dataValidation>
    <dataValidation type="whole" operator="greaterThanOrEqual" showErrorMessage="1" errorTitle="Valor inválido" error="Ingrese un número entero mayor o igual a 0" sqref="Z6:Z20" xr:uid="{00000000-0002-0000-0900-000002000000}">
      <formula1>0</formula1>
      <formula2>0</formula2>
    </dataValidation>
    <dataValidation type="list" sqref="J6:J20 M6:M20 P6:P20 S6:T20 X6:X20 AE6:AE20 AG6:AG20 AI6:AN20 AP6:AP20 AR6:AR20" xr:uid="{00000000-0002-0000-0900-000003000000}">
      <formula1>"SI,NO"</formula1>
      <formula2>0</formula2>
    </dataValidation>
  </dataValidations>
  <pageMargins left="0.3" right="0.3" top="0.4" bottom="0.4" header="0.511811023622047" footer="0.511811023622047"/>
  <pageSetup fitToHeight="0" orientation="landscape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ED6B23"/>
    <pageSetUpPr fitToPage="1"/>
  </sheetPr>
  <dimension ref="A1:BC23"/>
  <sheetViews>
    <sheetView showGridLines="0" zoomScale="77" zoomScaleNormal="77" workbookViewId="0">
      <pane xSplit="3" ySplit="5" topLeftCell="AU6" activePane="bottomRight" state="frozen"/>
      <selection pane="topRight" activeCell="AU1" sqref="AU1"/>
      <selection pane="bottomLeft" activeCell="A6" sqref="A6"/>
      <selection pane="bottomRight" activeCell="BB5" sqref="BB5"/>
    </sheetView>
  </sheetViews>
  <sheetFormatPr baseColWidth="10" defaultColWidth="8.6328125" defaultRowHeight="14.5" x14ac:dyDescent="0.35"/>
  <cols>
    <col min="1" max="1" width="5" customWidth="1"/>
    <col min="2" max="2" width="22" customWidth="1"/>
    <col min="3" max="3" width="16" customWidth="1"/>
    <col min="4" max="48" width="9.54296875" customWidth="1"/>
    <col min="49" max="50" width="11" customWidth="1"/>
    <col min="51" max="51" width="13" customWidth="1"/>
    <col min="52" max="52" width="11" customWidth="1"/>
    <col min="53" max="53" width="14" customWidth="1"/>
    <col min="54" max="54" width="18" customWidth="1"/>
    <col min="55" max="55" width="10" customWidth="1"/>
  </cols>
  <sheetData>
    <row r="1" spans="1:55" ht="19.5" customHeight="1" x14ac:dyDescent="0.35">
      <c r="A1" s="117" t="s">
        <v>246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  <c r="AA1" s="117"/>
      <c r="AB1" s="117"/>
      <c r="AR1" s="58"/>
      <c r="AS1" s="118" t="s">
        <v>247</v>
      </c>
      <c r="AT1" s="118"/>
      <c r="AU1" s="118"/>
      <c r="AV1" s="118"/>
      <c r="AW1" s="118"/>
      <c r="AX1" s="118"/>
      <c r="AY1" s="118"/>
      <c r="AZ1" s="118"/>
      <c r="BA1" s="118"/>
      <c r="BB1" s="119" t="s">
        <v>248</v>
      </c>
      <c r="BC1" s="119"/>
    </row>
    <row r="2" spans="1:55" ht="18" customHeight="1" x14ac:dyDescent="0.35">
      <c r="A2" s="5" t="s">
        <v>163</v>
      </c>
      <c r="B2" s="120" t="s">
        <v>249</v>
      </c>
      <c r="C2" s="120"/>
      <c r="D2" s="120"/>
      <c r="F2" s="5" t="s">
        <v>165</v>
      </c>
      <c r="G2" s="59" t="s">
        <v>166</v>
      </c>
      <c r="AR2" s="58"/>
      <c r="AS2" s="60"/>
      <c r="AT2" s="121" t="s">
        <v>167</v>
      </c>
      <c r="AU2" s="121"/>
      <c r="AV2" s="121"/>
      <c r="AW2" s="61" t="s">
        <v>96</v>
      </c>
      <c r="AX2" s="122" t="s">
        <v>168</v>
      </c>
      <c r="AY2" s="122"/>
      <c r="AZ2" s="122"/>
      <c r="BA2" s="122"/>
      <c r="BB2" s="62" t="s">
        <v>169</v>
      </c>
      <c r="BC2" s="62" t="s">
        <v>170</v>
      </c>
    </row>
    <row r="3" spans="1:55" ht="21.75" customHeight="1" x14ac:dyDescent="0.35">
      <c r="AR3" s="58"/>
      <c r="AS3" s="63" t="s">
        <v>171</v>
      </c>
      <c r="AT3" s="64" t="s">
        <v>172</v>
      </c>
      <c r="AU3" s="64" t="s">
        <v>173</v>
      </c>
      <c r="AV3" s="64" t="s">
        <v>174</v>
      </c>
      <c r="AW3" s="65" t="s">
        <v>175</v>
      </c>
      <c r="AX3" s="66" t="s">
        <v>176</v>
      </c>
      <c r="AY3" s="66" t="s">
        <v>177</v>
      </c>
      <c r="AZ3" s="66" t="s">
        <v>178</v>
      </c>
      <c r="BA3" s="67" t="s">
        <v>179</v>
      </c>
      <c r="BB3" s="68" t="s">
        <v>180</v>
      </c>
      <c r="BC3" s="69">
        <v>56</v>
      </c>
    </row>
    <row r="4" spans="1:55" ht="21.75" customHeight="1" x14ac:dyDescent="0.35">
      <c r="A4" s="70"/>
      <c r="B4" s="70"/>
      <c r="C4" s="70"/>
      <c r="D4" s="114" t="s">
        <v>181</v>
      </c>
      <c r="E4" s="114"/>
      <c r="F4" s="114"/>
      <c r="G4" s="114"/>
      <c r="H4" s="114" t="s">
        <v>182</v>
      </c>
      <c r="I4" s="114"/>
      <c r="J4" s="114"/>
      <c r="K4" s="114"/>
      <c r="L4" s="114" t="s">
        <v>183</v>
      </c>
      <c r="M4" s="114"/>
      <c r="N4" s="114"/>
      <c r="O4" s="114" t="s">
        <v>184</v>
      </c>
      <c r="P4" s="114"/>
      <c r="Q4" s="114"/>
      <c r="R4" s="114" t="s">
        <v>185</v>
      </c>
      <c r="S4" s="114"/>
      <c r="T4" s="114"/>
      <c r="U4" s="114" t="s">
        <v>186</v>
      </c>
      <c r="V4" s="114"/>
      <c r="W4" s="115" t="s">
        <v>187</v>
      </c>
      <c r="X4" s="115"/>
      <c r="Y4" s="114" t="s">
        <v>188</v>
      </c>
      <c r="Z4" s="114"/>
      <c r="AA4" s="114"/>
      <c r="AB4" s="114"/>
      <c r="AC4" s="114"/>
      <c r="AD4" s="115" t="s">
        <v>189</v>
      </c>
      <c r="AE4" s="115"/>
      <c r="AF4" s="115"/>
      <c r="AG4" s="115"/>
      <c r="AH4" s="115"/>
      <c r="AI4" s="115"/>
      <c r="AJ4" s="115"/>
      <c r="AK4" s="115"/>
      <c r="AL4" s="115"/>
      <c r="AM4" s="115"/>
      <c r="AN4" s="115"/>
      <c r="AO4" s="115"/>
      <c r="AP4" s="116" t="s">
        <v>190</v>
      </c>
      <c r="AQ4" s="116"/>
      <c r="AR4" s="58"/>
      <c r="AS4" s="71" t="str">
        <f>'Captura Junio'!B6</f>
        <v>Almacen de Repuestos</v>
      </c>
      <c r="AT4" s="72">
        <f>'Captura Junio'!K6+'Captura Junio'!N6+'Captura Junio'!Q6</f>
        <v>0.24</v>
      </c>
      <c r="AU4" s="72">
        <f>'Captura Junio'!T6</f>
        <v>0</v>
      </c>
      <c r="AV4" s="72">
        <f>'Captura Junio'!V6</f>
        <v>0.25</v>
      </c>
      <c r="AW4" s="72">
        <f>'Captura Junio'!G6</f>
        <v>0.2</v>
      </c>
      <c r="AX4" s="72">
        <f>'Captura Junio'!X6</f>
        <v>0.25</v>
      </c>
      <c r="AY4" s="72">
        <f>'Captura Junio'!AC6</f>
        <v>0</v>
      </c>
      <c r="AZ4" s="73">
        <f>-'Captura Junio'!AN6</f>
        <v>0</v>
      </c>
      <c r="BA4" s="74">
        <f>'Captura Junio'!AQ6</f>
        <v>0.84000000000000008</v>
      </c>
      <c r="BB4" s="68" t="s">
        <v>191</v>
      </c>
      <c r="BC4" s="75">
        <v>210</v>
      </c>
    </row>
    <row r="5" spans="1:55" ht="13.5" customHeight="1" x14ac:dyDescent="0.35">
      <c r="A5" s="76" t="s">
        <v>93</v>
      </c>
      <c r="B5" s="76" t="s">
        <v>48</v>
      </c>
      <c r="C5" s="76" t="s">
        <v>94</v>
      </c>
      <c r="D5" s="77" t="s">
        <v>192</v>
      </c>
      <c r="E5" s="77" t="s">
        <v>193</v>
      </c>
      <c r="F5" s="77" t="s">
        <v>194</v>
      </c>
      <c r="G5" s="77" t="s">
        <v>195</v>
      </c>
      <c r="H5" s="77" t="s">
        <v>196</v>
      </c>
      <c r="I5" s="77" t="s">
        <v>197</v>
      </c>
      <c r="J5" s="77" t="s">
        <v>198</v>
      </c>
      <c r="K5" s="77" t="s">
        <v>195</v>
      </c>
      <c r="L5" s="77" t="s">
        <v>199</v>
      </c>
      <c r="M5" s="77" t="s">
        <v>198</v>
      </c>
      <c r="N5" s="77" t="s">
        <v>195</v>
      </c>
      <c r="O5" s="77" t="s">
        <v>199</v>
      </c>
      <c r="P5" s="77" t="s">
        <v>198</v>
      </c>
      <c r="Q5" s="77" t="s">
        <v>195</v>
      </c>
      <c r="R5" s="77" t="s">
        <v>199</v>
      </c>
      <c r="S5" s="77" t="s">
        <v>198</v>
      </c>
      <c r="T5" s="77" t="s">
        <v>195</v>
      </c>
      <c r="U5" s="77" t="s">
        <v>200</v>
      </c>
      <c r="V5" s="77" t="s">
        <v>195</v>
      </c>
      <c r="W5" s="78" t="s">
        <v>201</v>
      </c>
      <c r="X5" s="78" t="s">
        <v>195</v>
      </c>
      <c r="Y5" s="77" t="s">
        <v>202</v>
      </c>
      <c r="Z5" s="77" t="s">
        <v>203</v>
      </c>
      <c r="AA5" s="77" t="s">
        <v>204</v>
      </c>
      <c r="AB5" s="77" t="s">
        <v>205</v>
      </c>
      <c r="AC5" s="77" t="s">
        <v>206</v>
      </c>
      <c r="AD5" s="78" t="s">
        <v>207</v>
      </c>
      <c r="AE5" s="78" t="s">
        <v>208</v>
      </c>
      <c r="AF5" s="78" t="s">
        <v>209</v>
      </c>
      <c r="AG5" s="78" t="s">
        <v>210</v>
      </c>
      <c r="AH5" s="78" t="s">
        <v>211</v>
      </c>
      <c r="AI5" s="78" t="s">
        <v>212</v>
      </c>
      <c r="AJ5" s="78" t="s">
        <v>213</v>
      </c>
      <c r="AK5" s="78" t="s">
        <v>214</v>
      </c>
      <c r="AL5" s="78" t="s">
        <v>215</v>
      </c>
      <c r="AM5" s="78" t="s">
        <v>216</v>
      </c>
      <c r="AN5" s="78" t="s">
        <v>217</v>
      </c>
      <c r="AO5" s="78" t="s">
        <v>218</v>
      </c>
      <c r="AP5" s="76" t="s">
        <v>219</v>
      </c>
      <c r="AQ5" s="76" t="s">
        <v>220</v>
      </c>
      <c r="AR5" s="58"/>
      <c r="AS5" s="79" t="str">
        <f>'Captura Junio'!B7</f>
        <v>Alrededores</v>
      </c>
      <c r="AT5" s="80">
        <f>'Captura Junio'!K7+'Captura Junio'!N7+'Captura Junio'!Q7</f>
        <v>0.16</v>
      </c>
      <c r="AU5" s="80">
        <f>'Captura Junio'!T7</f>
        <v>0.06</v>
      </c>
      <c r="AV5" s="80">
        <f>'Captura Junio'!V7</f>
        <v>0.25</v>
      </c>
      <c r="AW5" s="80">
        <f>'Captura Junio'!G7</f>
        <v>0.17000000000000004</v>
      </c>
      <c r="AX5" s="80">
        <f>'Captura Junio'!X7</f>
        <v>0</v>
      </c>
      <c r="AY5" s="80">
        <f>'Captura Junio'!AC7</f>
        <v>0</v>
      </c>
      <c r="AZ5" s="81">
        <f>-'Captura Junio'!AN7</f>
        <v>0</v>
      </c>
      <c r="BA5" s="82">
        <f>'Captura Junio'!AQ7</f>
        <v>0.64000000000000012</v>
      </c>
      <c r="BB5" s="110" t="s">
        <v>221</v>
      </c>
      <c r="BC5" s="110"/>
    </row>
    <row r="6" spans="1:55" ht="16.5" customHeight="1" x14ac:dyDescent="0.35">
      <c r="A6" s="12">
        <v>1</v>
      </c>
      <c r="B6" s="83" t="s">
        <v>103</v>
      </c>
      <c r="C6" s="84" t="str">
        <f>VLOOKUP(B6,Parametros!$I$6:$J$20,2,FALSE())</f>
        <v>Fredy Fuentes</v>
      </c>
      <c r="D6" s="85">
        <v>1</v>
      </c>
      <c r="E6" s="85">
        <v>1</v>
      </c>
      <c r="F6" s="11">
        <f t="shared" ref="F6:F20" si="0">AVERAGE(D6,E6)</f>
        <v>1</v>
      </c>
      <c r="G6" s="86">
        <f>F6*Parametros!$E$6</f>
        <v>0.2</v>
      </c>
      <c r="H6" s="87">
        <v>10</v>
      </c>
      <c r="I6" s="87">
        <v>10</v>
      </c>
      <c r="J6" s="88" t="s">
        <v>222</v>
      </c>
      <c r="K6" s="86">
        <f>IF(J6="NO",0,IFERROR(H6/I6,0)*Parametros!$E$7)</f>
        <v>0.08</v>
      </c>
      <c r="L6" s="85">
        <v>1</v>
      </c>
      <c r="M6" s="88" t="s">
        <v>222</v>
      </c>
      <c r="N6" s="86">
        <f>IF(M6="NO",0,L6*Parametros!$E$8)</f>
        <v>0.08</v>
      </c>
      <c r="O6" s="85">
        <v>1</v>
      </c>
      <c r="P6" s="88" t="s">
        <v>222</v>
      </c>
      <c r="Q6" s="86">
        <f>IF(P6="NO",0,O6*Parametros!$E$9)</f>
        <v>0.08</v>
      </c>
      <c r="R6" s="85">
        <v>0</v>
      </c>
      <c r="S6" s="88" t="s">
        <v>223</v>
      </c>
      <c r="T6" s="86">
        <f>IF(S6="NO",0,R6*Parametros!$E$10)</f>
        <v>0</v>
      </c>
      <c r="U6" s="85">
        <v>1</v>
      </c>
      <c r="V6" s="86">
        <f>U6*Parametros!$E$11</f>
        <v>0.25</v>
      </c>
      <c r="W6" s="87">
        <v>0</v>
      </c>
      <c r="X6" s="86">
        <f>MAX(0,Parametros!$E$12-Parametros!$E$18*W6)</f>
        <v>0.25</v>
      </c>
      <c r="Y6" s="87">
        <v>4</v>
      </c>
      <c r="Z6" s="87">
        <v>4</v>
      </c>
      <c r="AA6" s="89">
        <f>IF(Y6&gt;=Parametros!$E$22,Parametros!$E$24,0)</f>
        <v>0</v>
      </c>
      <c r="AB6" s="89">
        <f>IF(Z6&gt;=Parametros!$E$23,Parametros!$E$25,0)</f>
        <v>0</v>
      </c>
      <c r="AC6" s="89">
        <f t="shared" ref="AC6:AC20" si="1">AA6+AB6</f>
        <v>0</v>
      </c>
      <c r="AD6" s="87">
        <v>0</v>
      </c>
      <c r="AE6" s="88" t="s">
        <v>222</v>
      </c>
      <c r="AF6" s="87">
        <v>0</v>
      </c>
      <c r="AG6" s="88" t="s">
        <v>222</v>
      </c>
      <c r="AH6" s="87">
        <v>0</v>
      </c>
      <c r="AI6" s="88" t="s">
        <v>222</v>
      </c>
      <c r="AJ6" s="87">
        <v>0</v>
      </c>
      <c r="AK6" s="88" t="s">
        <v>222</v>
      </c>
      <c r="AL6" s="87">
        <v>0</v>
      </c>
      <c r="AM6" s="88" t="s">
        <v>222</v>
      </c>
      <c r="AN6" s="89">
        <f>AD6*Parametros!$E$28+AF6*Parametros!$E$29+AH6*Parametros!$E$30+AJ6*Parametros!$E$31+AL6*Parametros!$E$32</f>
        <v>0</v>
      </c>
      <c r="AO6" s="12" t="str">
        <f t="shared" ref="AO6:AO20" si="2">IF(OR(AND(AD6&gt;0,AE6="NO"),AND(AF6&gt;0,AG6="NO"),AND(AH6&gt;0,AI6="NO"),AND(AJ6&gt;0,AK6="NO"),AND(AL6&gt;0,AM6="NO")),"SI","NO")</f>
        <v>NO</v>
      </c>
      <c r="AP6" s="11">
        <f t="shared" ref="AP6:AP20" si="3">G6+K6+N6+Q6+T6+V6+X6</f>
        <v>0.94000000000000006</v>
      </c>
      <c r="AQ6" s="90">
        <f>MAX(0,MIN(1,MAX(0,AP6-IF(S6="NO",Parametros!$E$17,0))+AC6-AN6-IF(AO6="SI",Parametros!$E$33,0)))</f>
        <v>0.84000000000000008</v>
      </c>
      <c r="AR6" s="58"/>
      <c r="AS6" s="71" t="str">
        <f>'Captura Junio'!B8</f>
        <v>Calidad</v>
      </c>
      <c r="AT6" s="72">
        <f>'Captura Junio'!K8+'Captura Junio'!N8+'Captura Junio'!Q8</f>
        <v>0.24</v>
      </c>
      <c r="AU6" s="72">
        <f>'Captura Junio'!T8</f>
        <v>0.06</v>
      </c>
      <c r="AV6" s="72">
        <f>'Captura Junio'!V8</f>
        <v>0.25</v>
      </c>
      <c r="AW6" s="72">
        <f>'Captura Junio'!G8</f>
        <v>0.2</v>
      </c>
      <c r="AX6" s="72">
        <f>'Captura Junio'!X8</f>
        <v>0.2</v>
      </c>
      <c r="AY6" s="72">
        <f>'Captura Junio'!AC8</f>
        <v>0.08</v>
      </c>
      <c r="AZ6" s="73">
        <f>-'Captura Junio'!AN8</f>
        <v>0</v>
      </c>
      <c r="BA6" s="74">
        <f>'Captura Junio'!AQ8</f>
        <v>1</v>
      </c>
      <c r="BB6" s="58"/>
      <c r="BC6" s="58"/>
    </row>
    <row r="7" spans="1:55" ht="16.5" customHeight="1" x14ac:dyDescent="0.35">
      <c r="A7" s="12">
        <v>2</v>
      </c>
      <c r="B7" s="83" t="s">
        <v>135</v>
      </c>
      <c r="C7" s="84" t="str">
        <f>VLOOKUP(B7,Parametros!$I$6:$J$20,2,FALSE())</f>
        <v>Carlos Chavez</v>
      </c>
      <c r="D7" s="85">
        <v>0.8</v>
      </c>
      <c r="E7" s="85">
        <v>0.9</v>
      </c>
      <c r="F7" s="11">
        <f t="shared" si="0"/>
        <v>0.85000000000000009</v>
      </c>
      <c r="G7" s="86">
        <f>F7*Parametros!$E$6</f>
        <v>0.17000000000000004</v>
      </c>
      <c r="H7" s="87">
        <v>10</v>
      </c>
      <c r="I7" s="87">
        <v>10</v>
      </c>
      <c r="J7" s="88" t="s">
        <v>222</v>
      </c>
      <c r="K7" s="86">
        <f>IF(J7="NO",0,IFERROR(H7/I7,0)*Parametros!$E$7)</f>
        <v>0.08</v>
      </c>
      <c r="L7" s="85">
        <v>0</v>
      </c>
      <c r="M7" s="88" t="s">
        <v>223</v>
      </c>
      <c r="N7" s="86">
        <f>IF(M7="NO",0,L7*Parametros!$E$8)</f>
        <v>0</v>
      </c>
      <c r="O7" s="85">
        <v>1</v>
      </c>
      <c r="P7" s="88" t="s">
        <v>222</v>
      </c>
      <c r="Q7" s="86">
        <f>IF(P7="NO",0,O7*Parametros!$E$9)</f>
        <v>0.08</v>
      </c>
      <c r="R7" s="85">
        <v>1</v>
      </c>
      <c r="S7" s="88" t="s">
        <v>222</v>
      </c>
      <c r="T7" s="86">
        <f>IF(S7="NO",0,R7*Parametros!$E$10)</f>
        <v>0.06</v>
      </c>
      <c r="U7" s="85">
        <v>1</v>
      </c>
      <c r="V7" s="86">
        <f>U7*Parametros!$E$11</f>
        <v>0.25</v>
      </c>
      <c r="W7" s="87">
        <v>5</v>
      </c>
      <c r="X7" s="86">
        <f>MAX(0,Parametros!$E$12-Parametros!$E$18*W7)</f>
        <v>0</v>
      </c>
      <c r="Y7" s="87">
        <v>0</v>
      </c>
      <c r="Z7" s="87">
        <v>9</v>
      </c>
      <c r="AA7" s="89">
        <f>IF(Y7&gt;=Parametros!$E$22,Parametros!$E$24,0)</f>
        <v>0</v>
      </c>
      <c r="AB7" s="89">
        <f>IF(Z7&gt;=Parametros!$E$23,Parametros!$E$25,0)</f>
        <v>0</v>
      </c>
      <c r="AC7" s="89">
        <f t="shared" si="1"/>
        <v>0</v>
      </c>
      <c r="AD7" s="87">
        <v>0</v>
      </c>
      <c r="AE7" s="88" t="s">
        <v>222</v>
      </c>
      <c r="AF7" s="87">
        <v>0</v>
      </c>
      <c r="AG7" s="88" t="s">
        <v>222</v>
      </c>
      <c r="AH7" s="87">
        <v>0</v>
      </c>
      <c r="AI7" s="88" t="s">
        <v>222</v>
      </c>
      <c r="AJ7" s="87">
        <v>0</v>
      </c>
      <c r="AK7" s="88" t="s">
        <v>222</v>
      </c>
      <c r="AL7" s="87">
        <v>0</v>
      </c>
      <c r="AM7" s="88" t="s">
        <v>222</v>
      </c>
      <c r="AN7" s="89">
        <f>AD7*Parametros!$E$28+AF7*Parametros!$E$29+AH7*Parametros!$E$30+AJ7*Parametros!$E$31+AL7*Parametros!$E$32</f>
        <v>0</v>
      </c>
      <c r="AO7" s="12" t="str">
        <f t="shared" si="2"/>
        <v>NO</v>
      </c>
      <c r="AP7" s="11">
        <f t="shared" si="3"/>
        <v>0.64000000000000012</v>
      </c>
      <c r="AQ7" s="90">
        <f>MAX(0,MIN(1,MAX(0,AP7-IF(S7="NO",Parametros!$E$17,0))+AC7-AN7-IF(AO7="SI",Parametros!$E$33,0)))</f>
        <v>0.64000000000000012</v>
      </c>
      <c r="AR7" s="58"/>
      <c r="AS7" s="79" t="str">
        <f>'Captura Junio'!B9</f>
        <v>Centro de Distribucion</v>
      </c>
      <c r="AT7" s="80">
        <f>'Captura Junio'!K9+'Captura Junio'!N9+'Captura Junio'!Q9</f>
        <v>0.24</v>
      </c>
      <c r="AU7" s="80">
        <f>'Captura Junio'!T9</f>
        <v>0.06</v>
      </c>
      <c r="AV7" s="80">
        <f>'Captura Junio'!V9</f>
        <v>0.25</v>
      </c>
      <c r="AW7" s="80">
        <f>'Captura Junio'!G9</f>
        <v>0.2</v>
      </c>
      <c r="AX7" s="80">
        <f>'Captura Junio'!X9</f>
        <v>0.25</v>
      </c>
      <c r="AY7" s="80">
        <f>'Captura Junio'!AC9</f>
        <v>0.04</v>
      </c>
      <c r="AZ7" s="81">
        <f>-'Captura Junio'!AN9</f>
        <v>0</v>
      </c>
      <c r="BA7" s="82">
        <f>'Captura Junio'!AQ9</f>
        <v>1</v>
      </c>
      <c r="BB7" s="58"/>
      <c r="BC7" s="58"/>
    </row>
    <row r="8" spans="1:55" ht="16.5" customHeight="1" x14ac:dyDescent="0.35">
      <c r="A8" s="12">
        <v>3</v>
      </c>
      <c r="B8" s="83" t="s">
        <v>98</v>
      </c>
      <c r="C8" s="84" t="str">
        <f>VLOOKUP(B8,Parametros!$I$6:$J$20,2,FALSE())</f>
        <v>Alejandro Martinez</v>
      </c>
      <c r="D8" s="85">
        <v>1</v>
      </c>
      <c r="E8" s="85">
        <v>1</v>
      </c>
      <c r="F8" s="11">
        <f t="shared" si="0"/>
        <v>1</v>
      </c>
      <c r="G8" s="86">
        <f>F8*Parametros!$E$6</f>
        <v>0.2</v>
      </c>
      <c r="H8" s="87">
        <v>10</v>
      </c>
      <c r="I8" s="87">
        <v>10</v>
      </c>
      <c r="J8" s="88" t="s">
        <v>222</v>
      </c>
      <c r="K8" s="86">
        <f>IF(J8="NO",0,IFERROR(H8/I8,0)*Parametros!$E$7)</f>
        <v>0.08</v>
      </c>
      <c r="L8" s="85">
        <v>1</v>
      </c>
      <c r="M8" s="88" t="s">
        <v>222</v>
      </c>
      <c r="N8" s="86">
        <f>IF(M8="NO",0,L8*Parametros!$E$8)</f>
        <v>0.08</v>
      </c>
      <c r="O8" s="85">
        <v>1</v>
      </c>
      <c r="P8" s="88" t="s">
        <v>222</v>
      </c>
      <c r="Q8" s="86">
        <f>IF(P8="NO",0,O8*Parametros!$E$9)</f>
        <v>0.08</v>
      </c>
      <c r="R8" s="85">
        <v>1</v>
      </c>
      <c r="S8" s="88" t="s">
        <v>222</v>
      </c>
      <c r="T8" s="86">
        <f>IF(S8="NO",0,R8*Parametros!$E$10)</f>
        <v>0.06</v>
      </c>
      <c r="U8" s="85">
        <v>1</v>
      </c>
      <c r="V8" s="86">
        <f>U8*Parametros!$E$11</f>
        <v>0.25</v>
      </c>
      <c r="W8" s="87">
        <v>1</v>
      </c>
      <c r="X8" s="86">
        <f>MAX(0,Parametros!$E$12-Parametros!$E$18*W8)</f>
        <v>0.2</v>
      </c>
      <c r="Y8" s="87">
        <v>11</v>
      </c>
      <c r="Z8" s="87">
        <v>35</v>
      </c>
      <c r="AA8" s="89">
        <f>IF(Y8&gt;=Parametros!$E$22,Parametros!$E$24,0)</f>
        <v>0.04</v>
      </c>
      <c r="AB8" s="89">
        <f>IF(Z8&gt;=Parametros!$E$23,Parametros!$E$25,0)</f>
        <v>0.04</v>
      </c>
      <c r="AC8" s="89">
        <f t="shared" si="1"/>
        <v>0.08</v>
      </c>
      <c r="AD8" s="87">
        <v>0</v>
      </c>
      <c r="AE8" s="88" t="s">
        <v>222</v>
      </c>
      <c r="AF8" s="87">
        <v>0</v>
      </c>
      <c r="AG8" s="88" t="s">
        <v>222</v>
      </c>
      <c r="AH8" s="87">
        <v>0</v>
      </c>
      <c r="AI8" s="88" t="s">
        <v>222</v>
      </c>
      <c r="AJ8" s="87">
        <v>0</v>
      </c>
      <c r="AK8" s="88" t="s">
        <v>222</v>
      </c>
      <c r="AL8" s="87">
        <v>0</v>
      </c>
      <c r="AM8" s="88" t="s">
        <v>222</v>
      </c>
      <c r="AN8" s="89">
        <f>AD8*Parametros!$E$28+AF8*Parametros!$E$29+AH8*Parametros!$E$30+AJ8*Parametros!$E$31+AL8*Parametros!$E$32</f>
        <v>0</v>
      </c>
      <c r="AO8" s="12" t="str">
        <f t="shared" si="2"/>
        <v>NO</v>
      </c>
      <c r="AP8" s="11">
        <f t="shared" si="3"/>
        <v>0.95</v>
      </c>
      <c r="AQ8" s="90">
        <f>MAX(0,MIN(1,MAX(0,AP8-IF(S8="NO",Parametros!$E$17,0))+AC8-AN8-IF(AO8="SI",Parametros!$E$33,0)))</f>
        <v>1</v>
      </c>
      <c r="AR8" s="58"/>
      <c r="AS8" s="71" t="str">
        <f>'Captura Junio'!B10</f>
        <v>ETEI</v>
      </c>
      <c r="AT8" s="72">
        <f>'Captura Junio'!K10+'Captura Junio'!N10+'Captura Junio'!Q10</f>
        <v>0.16</v>
      </c>
      <c r="AU8" s="72">
        <f>'Captura Junio'!T10</f>
        <v>0.06</v>
      </c>
      <c r="AV8" s="72">
        <f>'Captura Junio'!V10</f>
        <v>0.25</v>
      </c>
      <c r="AW8" s="72">
        <f>'Captura Junio'!G10</f>
        <v>0.2</v>
      </c>
      <c r="AX8" s="72">
        <f>'Captura Junio'!X10</f>
        <v>0.2</v>
      </c>
      <c r="AY8" s="72">
        <f>'Captura Junio'!AC10</f>
        <v>0</v>
      </c>
      <c r="AZ8" s="73">
        <f>-'Captura Junio'!AN10</f>
        <v>0</v>
      </c>
      <c r="BA8" s="74">
        <f>'Captura Junio'!AQ10</f>
        <v>0.87000000000000011</v>
      </c>
      <c r="BB8" s="58"/>
      <c r="BC8" s="58"/>
    </row>
    <row r="9" spans="1:55" ht="16.5" customHeight="1" x14ac:dyDescent="0.35">
      <c r="A9" s="12">
        <v>4</v>
      </c>
      <c r="B9" s="83" t="s">
        <v>128</v>
      </c>
      <c r="C9" s="84" t="str">
        <f>VLOOKUP(B9,Parametros!$I$6:$J$20,2,FALSE())</f>
        <v>Jimmy Velasquez</v>
      </c>
      <c r="D9" s="85">
        <v>1</v>
      </c>
      <c r="E9" s="85">
        <v>1</v>
      </c>
      <c r="F9" s="11">
        <f t="shared" si="0"/>
        <v>1</v>
      </c>
      <c r="G9" s="86">
        <f>F9*Parametros!$E$6</f>
        <v>0.2</v>
      </c>
      <c r="H9" s="87">
        <v>10</v>
      </c>
      <c r="I9" s="87">
        <v>10</v>
      </c>
      <c r="J9" s="88" t="s">
        <v>222</v>
      </c>
      <c r="K9" s="86">
        <f>IF(J9="NO",0,IFERROR(H9/I9,0)*Parametros!$E$7)</f>
        <v>0.08</v>
      </c>
      <c r="L9" s="85">
        <v>1</v>
      </c>
      <c r="M9" s="88" t="s">
        <v>222</v>
      </c>
      <c r="N9" s="86">
        <f>IF(M9="NO",0,L9*Parametros!$E$8)</f>
        <v>0.08</v>
      </c>
      <c r="O9" s="85">
        <v>1</v>
      </c>
      <c r="P9" s="88" t="s">
        <v>222</v>
      </c>
      <c r="Q9" s="86">
        <f>IF(P9="NO",0,O9*Parametros!$E$9)</f>
        <v>0.08</v>
      </c>
      <c r="R9" s="85">
        <v>1</v>
      </c>
      <c r="S9" s="88" t="s">
        <v>222</v>
      </c>
      <c r="T9" s="86">
        <f>IF(S9="NO",0,R9*Parametros!$E$10)</f>
        <v>0.06</v>
      </c>
      <c r="U9" s="85">
        <v>1</v>
      </c>
      <c r="V9" s="86">
        <f>U9*Parametros!$E$11</f>
        <v>0.25</v>
      </c>
      <c r="W9" s="87">
        <v>0</v>
      </c>
      <c r="X9" s="86">
        <f>MAX(0,Parametros!$E$12-Parametros!$E$18*W9)</f>
        <v>0.25</v>
      </c>
      <c r="Y9" s="87">
        <v>6</v>
      </c>
      <c r="Z9" s="87">
        <v>12</v>
      </c>
      <c r="AA9" s="89">
        <f>IF(Y9&gt;=Parametros!$E$22,Parametros!$E$24,0)</f>
        <v>0</v>
      </c>
      <c r="AB9" s="89">
        <f>IF(Z9&gt;=Parametros!$E$23,Parametros!$E$25,0)</f>
        <v>0.04</v>
      </c>
      <c r="AC9" s="89">
        <f t="shared" si="1"/>
        <v>0.04</v>
      </c>
      <c r="AD9" s="87">
        <v>0</v>
      </c>
      <c r="AE9" s="88" t="s">
        <v>222</v>
      </c>
      <c r="AF9" s="87">
        <v>0</v>
      </c>
      <c r="AG9" s="88" t="s">
        <v>222</v>
      </c>
      <c r="AH9" s="87">
        <v>0</v>
      </c>
      <c r="AI9" s="88" t="s">
        <v>222</v>
      </c>
      <c r="AJ9" s="87">
        <v>0</v>
      </c>
      <c r="AK9" s="88" t="s">
        <v>222</v>
      </c>
      <c r="AL9" s="87">
        <v>0</v>
      </c>
      <c r="AM9" s="88" t="s">
        <v>222</v>
      </c>
      <c r="AN9" s="89">
        <f>AD9*Parametros!$E$28+AF9*Parametros!$E$29+AH9*Parametros!$E$30+AJ9*Parametros!$E$31+AL9*Parametros!$E$32</f>
        <v>0</v>
      </c>
      <c r="AO9" s="12" t="str">
        <f t="shared" si="2"/>
        <v>NO</v>
      </c>
      <c r="AP9" s="11">
        <f t="shared" si="3"/>
        <v>1</v>
      </c>
      <c r="AQ9" s="90">
        <f>MAX(0,MIN(1,MAX(0,AP9-IF(S9="NO",Parametros!$E$17,0))+AC9-AN9-IF(AO9="SI",Parametros!$E$33,0)))</f>
        <v>1</v>
      </c>
      <c r="AR9" s="58"/>
      <c r="AS9" s="79" t="str">
        <f>'Captura Junio'!B11</f>
        <v>Equipos Auxiliares</v>
      </c>
      <c r="AT9" s="80">
        <f>'Captura Junio'!K11+'Captura Junio'!N11+'Captura Junio'!Q11</f>
        <v>0.24</v>
      </c>
      <c r="AU9" s="80">
        <f>'Captura Junio'!T11</f>
        <v>0.06</v>
      </c>
      <c r="AV9" s="80">
        <f>'Captura Junio'!V11</f>
        <v>0.25</v>
      </c>
      <c r="AW9" s="80">
        <f>'Captura Junio'!G11</f>
        <v>0.2</v>
      </c>
      <c r="AX9" s="80">
        <f>'Captura Junio'!X11</f>
        <v>9.9999999999999978E-2</v>
      </c>
      <c r="AY9" s="80">
        <f>'Captura Junio'!AC11</f>
        <v>0</v>
      </c>
      <c r="AZ9" s="81">
        <f>-'Captura Junio'!AN11</f>
        <v>0</v>
      </c>
      <c r="BA9" s="82">
        <f>'Captura Junio'!AQ11</f>
        <v>0.85</v>
      </c>
      <c r="BB9" s="58"/>
      <c r="BC9" s="58"/>
    </row>
    <row r="10" spans="1:55" ht="16.5" customHeight="1" x14ac:dyDescent="0.35">
      <c r="A10" s="12">
        <v>5</v>
      </c>
      <c r="B10" s="83" t="s">
        <v>125</v>
      </c>
      <c r="C10" s="84" t="str">
        <f>VLOOKUP(B10,Parametros!$I$6:$J$20,2,FALSE())</f>
        <v>Jessica Loarca</v>
      </c>
      <c r="D10" s="85">
        <v>1</v>
      </c>
      <c r="E10" s="85">
        <v>1</v>
      </c>
      <c r="F10" s="11">
        <f t="shared" si="0"/>
        <v>1</v>
      </c>
      <c r="G10" s="86">
        <f>F10*Parametros!$E$6</f>
        <v>0.2</v>
      </c>
      <c r="H10" s="87">
        <v>10</v>
      </c>
      <c r="I10" s="87">
        <v>10</v>
      </c>
      <c r="J10" s="88" t="s">
        <v>223</v>
      </c>
      <c r="K10" s="86">
        <f>IF(J10="NO",0,IFERROR(H10/I10,0)*Parametros!$E$7)</f>
        <v>0</v>
      </c>
      <c r="L10" s="85">
        <v>1</v>
      </c>
      <c r="M10" s="88" t="s">
        <v>222</v>
      </c>
      <c r="N10" s="86">
        <f>IF(M10="NO",0,L10*Parametros!$E$8)</f>
        <v>0.08</v>
      </c>
      <c r="O10" s="85">
        <v>1</v>
      </c>
      <c r="P10" s="88" t="s">
        <v>222</v>
      </c>
      <c r="Q10" s="86">
        <f>IF(P10="NO",0,O10*Parametros!$E$9)</f>
        <v>0.08</v>
      </c>
      <c r="R10" s="85">
        <v>1</v>
      </c>
      <c r="S10" s="88" t="s">
        <v>222</v>
      </c>
      <c r="T10" s="86">
        <f>IF(S10="NO",0,R10*Parametros!$E$10)</f>
        <v>0.06</v>
      </c>
      <c r="U10" s="85">
        <v>1</v>
      </c>
      <c r="V10" s="86">
        <f>U10*Parametros!$E$11</f>
        <v>0.25</v>
      </c>
      <c r="W10" s="87">
        <v>1</v>
      </c>
      <c r="X10" s="86">
        <f>MAX(0,Parametros!$E$12-Parametros!$E$18*W10)</f>
        <v>0.2</v>
      </c>
      <c r="Y10" s="87">
        <v>1</v>
      </c>
      <c r="Z10" s="87">
        <v>4</v>
      </c>
      <c r="AA10" s="89">
        <f>IF(Y10&gt;=Parametros!$E$22,Parametros!$E$24,0)</f>
        <v>0</v>
      </c>
      <c r="AB10" s="89">
        <f>IF(Z10&gt;=Parametros!$E$23,Parametros!$E$25,0)</f>
        <v>0</v>
      </c>
      <c r="AC10" s="89">
        <f t="shared" si="1"/>
        <v>0</v>
      </c>
      <c r="AD10" s="87">
        <v>0</v>
      </c>
      <c r="AE10" s="88" t="s">
        <v>222</v>
      </c>
      <c r="AF10" s="87">
        <v>0</v>
      </c>
      <c r="AG10" s="88" t="s">
        <v>222</v>
      </c>
      <c r="AH10" s="87">
        <v>0</v>
      </c>
      <c r="AI10" s="88" t="s">
        <v>222</v>
      </c>
      <c r="AJ10" s="87">
        <v>0</v>
      </c>
      <c r="AK10" s="88" t="s">
        <v>222</v>
      </c>
      <c r="AL10" s="87">
        <v>0</v>
      </c>
      <c r="AM10" s="88" t="s">
        <v>222</v>
      </c>
      <c r="AN10" s="89">
        <f>AD10*Parametros!$E$28+AF10*Parametros!$E$29+AH10*Parametros!$E$30+AJ10*Parametros!$E$31+AL10*Parametros!$E$32</f>
        <v>0</v>
      </c>
      <c r="AO10" s="12" t="str">
        <f t="shared" si="2"/>
        <v>NO</v>
      </c>
      <c r="AP10" s="11">
        <f t="shared" si="3"/>
        <v>0.87000000000000011</v>
      </c>
      <c r="AQ10" s="90">
        <f>MAX(0,MIN(1,MAX(0,AP10-IF(S10="NO",Parametros!$E$17,0))+AC10-AN10-IF(AO10="SI",Parametros!$E$33,0)))</f>
        <v>0.87000000000000011</v>
      </c>
      <c r="AR10" s="58"/>
      <c r="AS10" s="71" t="str">
        <f>'Captura Junio'!B12</f>
        <v>Jarabes</v>
      </c>
      <c r="AT10" s="72">
        <f>'Captura Junio'!K12+'Captura Junio'!N12+'Captura Junio'!Q12</f>
        <v>0.16</v>
      </c>
      <c r="AU10" s="72">
        <f>'Captura Junio'!T12</f>
        <v>0</v>
      </c>
      <c r="AV10" s="72">
        <f>'Captura Junio'!V12</f>
        <v>0.25</v>
      </c>
      <c r="AW10" s="72">
        <f>'Captura Junio'!G12</f>
        <v>0.19130434782608702</v>
      </c>
      <c r="AX10" s="72">
        <f>'Captura Junio'!X12</f>
        <v>0.2</v>
      </c>
      <c r="AY10" s="72">
        <f>'Captura Junio'!AC12</f>
        <v>0</v>
      </c>
      <c r="AZ10" s="73">
        <f>-'Captura Junio'!AN12</f>
        <v>0</v>
      </c>
      <c r="BA10" s="74">
        <f>'Captura Junio'!AQ12</f>
        <v>0.70130434782608708</v>
      </c>
      <c r="BB10" s="58"/>
      <c r="BC10" s="58"/>
    </row>
    <row r="11" spans="1:55" ht="16.5" customHeight="1" x14ac:dyDescent="0.35">
      <c r="A11" s="12">
        <v>6</v>
      </c>
      <c r="B11" s="83" t="s">
        <v>117</v>
      </c>
      <c r="C11" s="84" t="str">
        <f>VLOOKUP(B11,Parametros!$I$6:$J$20,2,FALSE())</f>
        <v>Edson Bonifacio</v>
      </c>
      <c r="D11" s="85">
        <v>1</v>
      </c>
      <c r="E11" s="85">
        <v>1</v>
      </c>
      <c r="F11" s="11">
        <f t="shared" si="0"/>
        <v>1</v>
      </c>
      <c r="G11" s="86">
        <f>F11*Parametros!$E$6</f>
        <v>0.2</v>
      </c>
      <c r="H11" s="87">
        <v>10</v>
      </c>
      <c r="I11" s="87">
        <v>10</v>
      </c>
      <c r="J11" s="88" t="s">
        <v>222</v>
      </c>
      <c r="K11" s="86">
        <f>IF(J11="NO",0,IFERROR(H11/I11,0)*Parametros!$E$7)</f>
        <v>0.08</v>
      </c>
      <c r="L11" s="85">
        <v>1</v>
      </c>
      <c r="M11" s="88" t="s">
        <v>222</v>
      </c>
      <c r="N11" s="86">
        <f>IF(M11="NO",0,L11*Parametros!$E$8)</f>
        <v>0.08</v>
      </c>
      <c r="O11" s="85">
        <v>1</v>
      </c>
      <c r="P11" s="88" t="s">
        <v>222</v>
      </c>
      <c r="Q11" s="86">
        <f>IF(P11="NO",0,O11*Parametros!$E$9)</f>
        <v>0.08</v>
      </c>
      <c r="R11" s="85">
        <v>1</v>
      </c>
      <c r="S11" s="88" t="s">
        <v>222</v>
      </c>
      <c r="T11" s="86">
        <f>IF(S11="NO",0,R11*Parametros!$E$10)</f>
        <v>0.06</v>
      </c>
      <c r="U11" s="85">
        <v>1</v>
      </c>
      <c r="V11" s="86">
        <f>U11*Parametros!$E$11</f>
        <v>0.25</v>
      </c>
      <c r="W11" s="87">
        <v>3</v>
      </c>
      <c r="X11" s="86">
        <f>MAX(0,Parametros!$E$12-Parametros!$E$18*W11)</f>
        <v>9.9999999999999978E-2</v>
      </c>
      <c r="Y11" s="87">
        <v>3</v>
      </c>
      <c r="Z11" s="87">
        <v>5</v>
      </c>
      <c r="AA11" s="89">
        <f>IF(Y11&gt;=Parametros!$E$22,Parametros!$E$24,0)</f>
        <v>0</v>
      </c>
      <c r="AB11" s="89">
        <f>IF(Z11&gt;=Parametros!$E$23,Parametros!$E$25,0)</f>
        <v>0</v>
      </c>
      <c r="AC11" s="89">
        <f t="shared" si="1"/>
        <v>0</v>
      </c>
      <c r="AD11" s="87">
        <v>0</v>
      </c>
      <c r="AE11" s="88" t="s">
        <v>222</v>
      </c>
      <c r="AF11" s="87">
        <v>0</v>
      </c>
      <c r="AG11" s="88" t="s">
        <v>222</v>
      </c>
      <c r="AH11" s="87">
        <v>0</v>
      </c>
      <c r="AI11" s="88" t="s">
        <v>222</v>
      </c>
      <c r="AJ11" s="87">
        <v>0</v>
      </c>
      <c r="AK11" s="88" t="s">
        <v>222</v>
      </c>
      <c r="AL11" s="87">
        <v>0</v>
      </c>
      <c r="AM11" s="88" t="s">
        <v>222</v>
      </c>
      <c r="AN11" s="89">
        <f>AD11*Parametros!$E$28+AF11*Parametros!$E$29+AH11*Parametros!$E$30+AJ11*Parametros!$E$31+AL11*Parametros!$E$32</f>
        <v>0</v>
      </c>
      <c r="AO11" s="12" t="str">
        <f t="shared" si="2"/>
        <v>NO</v>
      </c>
      <c r="AP11" s="11">
        <f t="shared" si="3"/>
        <v>0.85</v>
      </c>
      <c r="AQ11" s="90">
        <f>MAX(0,MIN(1,MAX(0,AP11-IF(S11="NO",Parametros!$E$17,0))+AC11-AN11-IF(AO11="SI",Parametros!$E$33,0)))</f>
        <v>0.85</v>
      </c>
      <c r="AR11" s="58"/>
      <c r="AS11" s="79" t="str">
        <f>'Captura Junio'!B13</f>
        <v>Linea 1</v>
      </c>
      <c r="AT11" s="80">
        <f>'Captura Junio'!K13+'Captura Junio'!N13+'Captura Junio'!Q13</f>
        <v>0.24</v>
      </c>
      <c r="AU11" s="80">
        <f>'Captura Junio'!T13</f>
        <v>0.06</v>
      </c>
      <c r="AV11" s="80">
        <f>'Captura Junio'!V13</f>
        <v>0.25</v>
      </c>
      <c r="AW11" s="80">
        <f>'Captura Junio'!G13</f>
        <v>0.2</v>
      </c>
      <c r="AX11" s="80">
        <f>'Captura Junio'!X13</f>
        <v>4.9999999999999989E-2</v>
      </c>
      <c r="AY11" s="80">
        <f>'Captura Junio'!AC13</f>
        <v>0.04</v>
      </c>
      <c r="AZ11" s="81">
        <f>-'Captura Junio'!AN13</f>
        <v>-0.05</v>
      </c>
      <c r="BA11" s="82">
        <f>'Captura Junio'!AQ13</f>
        <v>0.79</v>
      </c>
      <c r="BB11" s="58"/>
      <c r="BC11" s="58"/>
    </row>
    <row r="12" spans="1:55" ht="16.5" customHeight="1" x14ac:dyDescent="0.35">
      <c r="A12" s="12">
        <v>7</v>
      </c>
      <c r="B12" s="83" t="s">
        <v>130</v>
      </c>
      <c r="C12" s="84" t="str">
        <f>VLOOKUP(B12,Parametros!$I$6:$J$20,2,FALSE())</f>
        <v>Adrian Santisteban</v>
      </c>
      <c r="D12" s="85">
        <v>0.95652173913043503</v>
      </c>
      <c r="E12" s="85">
        <v>0.95652173913043503</v>
      </c>
      <c r="F12" s="11">
        <f t="shared" si="0"/>
        <v>0.95652173913043503</v>
      </c>
      <c r="G12" s="86">
        <f>F12*Parametros!$E$6</f>
        <v>0.19130434782608702</v>
      </c>
      <c r="H12" s="87">
        <v>10</v>
      </c>
      <c r="I12" s="87">
        <v>10</v>
      </c>
      <c r="J12" s="88" t="s">
        <v>223</v>
      </c>
      <c r="K12" s="86">
        <f>IF(J12="NO",0,IFERROR(H12/I12,0)*Parametros!$E$7)</f>
        <v>0</v>
      </c>
      <c r="L12" s="85">
        <v>1</v>
      </c>
      <c r="M12" s="88" t="s">
        <v>222</v>
      </c>
      <c r="N12" s="86">
        <f>IF(M12="NO",0,L12*Parametros!$E$8)</f>
        <v>0.08</v>
      </c>
      <c r="O12" s="85">
        <v>1</v>
      </c>
      <c r="P12" s="88" t="s">
        <v>222</v>
      </c>
      <c r="Q12" s="86">
        <f>IF(P12="NO",0,O12*Parametros!$E$9)</f>
        <v>0.08</v>
      </c>
      <c r="R12" s="85">
        <v>0</v>
      </c>
      <c r="S12" s="88" t="s">
        <v>223</v>
      </c>
      <c r="T12" s="86">
        <f>IF(S12="NO",0,R12*Parametros!$E$10)</f>
        <v>0</v>
      </c>
      <c r="U12" s="85">
        <v>1</v>
      </c>
      <c r="V12" s="86">
        <f>U12*Parametros!$E$11</f>
        <v>0.25</v>
      </c>
      <c r="W12" s="87">
        <v>1</v>
      </c>
      <c r="X12" s="86">
        <f>MAX(0,Parametros!$E$12-Parametros!$E$18*W12)</f>
        <v>0.2</v>
      </c>
      <c r="Y12" s="87">
        <v>4</v>
      </c>
      <c r="Z12" s="87">
        <v>4</v>
      </c>
      <c r="AA12" s="89">
        <f>IF(Y12&gt;=Parametros!$E$22,Parametros!$E$24,0)</f>
        <v>0</v>
      </c>
      <c r="AB12" s="89">
        <f>IF(Z12&gt;=Parametros!$E$23,Parametros!$E$25,0)</f>
        <v>0</v>
      </c>
      <c r="AC12" s="89">
        <f t="shared" si="1"/>
        <v>0</v>
      </c>
      <c r="AD12" s="87">
        <v>0</v>
      </c>
      <c r="AE12" s="88" t="s">
        <v>222</v>
      </c>
      <c r="AF12" s="87">
        <v>0</v>
      </c>
      <c r="AG12" s="88" t="s">
        <v>222</v>
      </c>
      <c r="AH12" s="87">
        <v>0</v>
      </c>
      <c r="AI12" s="88" t="s">
        <v>222</v>
      </c>
      <c r="AJ12" s="87">
        <v>0</v>
      </c>
      <c r="AK12" s="88" t="s">
        <v>222</v>
      </c>
      <c r="AL12" s="87">
        <v>0</v>
      </c>
      <c r="AM12" s="88" t="s">
        <v>222</v>
      </c>
      <c r="AN12" s="89">
        <f>AD12*Parametros!$E$28+AF12*Parametros!$E$29+AH12*Parametros!$E$30+AJ12*Parametros!$E$31+AL12*Parametros!$E$32</f>
        <v>0</v>
      </c>
      <c r="AO12" s="12" t="str">
        <f t="shared" si="2"/>
        <v>NO</v>
      </c>
      <c r="AP12" s="11">
        <f t="shared" si="3"/>
        <v>0.80130434782608706</v>
      </c>
      <c r="AQ12" s="90">
        <f>MAX(0,MIN(1,MAX(0,AP12-IF(S12="NO",Parametros!$E$17,0))+AC12-AN12-IF(AO12="SI",Parametros!$E$33,0)))</f>
        <v>0.70130434782608708</v>
      </c>
      <c r="AR12" s="58"/>
      <c r="AS12" s="71" t="str">
        <f>'Captura Junio'!B14</f>
        <v>Linea 2</v>
      </c>
      <c r="AT12" s="72">
        <f>'Captura Junio'!K14+'Captura Junio'!N14+'Captura Junio'!Q14</f>
        <v>0.24</v>
      </c>
      <c r="AU12" s="72">
        <f>'Captura Junio'!T14</f>
        <v>0.06</v>
      </c>
      <c r="AV12" s="72">
        <f>'Captura Junio'!V14</f>
        <v>0.25</v>
      </c>
      <c r="AW12" s="72">
        <f>'Captura Junio'!G14</f>
        <v>0.2</v>
      </c>
      <c r="AX12" s="72">
        <f>'Captura Junio'!X14</f>
        <v>0.15</v>
      </c>
      <c r="AY12" s="72">
        <f>'Captura Junio'!AC14</f>
        <v>0.04</v>
      </c>
      <c r="AZ12" s="73">
        <f>-'Captura Junio'!AN14</f>
        <v>0</v>
      </c>
      <c r="BA12" s="74">
        <f>'Captura Junio'!AQ14</f>
        <v>0.94000000000000006</v>
      </c>
      <c r="BB12" s="58"/>
      <c r="BC12" s="58"/>
    </row>
    <row r="13" spans="1:55" ht="16.5" customHeight="1" x14ac:dyDescent="0.35">
      <c r="A13" s="12">
        <v>8</v>
      </c>
      <c r="B13" s="83" t="s">
        <v>123</v>
      </c>
      <c r="C13" s="84" t="str">
        <f>VLOOKUP(B13,Parametros!$I$6:$J$20,2,FALSE())</f>
        <v>Amilcar Ralda</v>
      </c>
      <c r="D13" s="85">
        <v>1</v>
      </c>
      <c r="E13" s="85">
        <v>1</v>
      </c>
      <c r="F13" s="11">
        <f t="shared" si="0"/>
        <v>1</v>
      </c>
      <c r="G13" s="86">
        <f>F13*Parametros!$E$6</f>
        <v>0.2</v>
      </c>
      <c r="H13" s="87">
        <v>10</v>
      </c>
      <c r="I13" s="87">
        <v>10</v>
      </c>
      <c r="J13" s="88" t="s">
        <v>222</v>
      </c>
      <c r="K13" s="86">
        <f>IF(J13="NO",0,IFERROR(H13/I13,0)*Parametros!$E$7)</f>
        <v>0.08</v>
      </c>
      <c r="L13" s="85">
        <v>1</v>
      </c>
      <c r="M13" s="88" t="s">
        <v>222</v>
      </c>
      <c r="N13" s="86">
        <f>IF(M13="NO",0,L13*Parametros!$E$8)</f>
        <v>0.08</v>
      </c>
      <c r="O13" s="85">
        <v>1</v>
      </c>
      <c r="P13" s="88" t="s">
        <v>222</v>
      </c>
      <c r="Q13" s="86">
        <f>IF(P13="NO",0,O13*Parametros!$E$9)</f>
        <v>0.08</v>
      </c>
      <c r="R13" s="85">
        <v>1</v>
      </c>
      <c r="S13" s="88" t="s">
        <v>222</v>
      </c>
      <c r="T13" s="86">
        <f>IF(S13="NO",0,R13*Parametros!$E$10)</f>
        <v>0.06</v>
      </c>
      <c r="U13" s="85">
        <v>1</v>
      </c>
      <c r="V13" s="86">
        <f>U13*Parametros!$E$11</f>
        <v>0.25</v>
      </c>
      <c r="W13" s="87">
        <v>4</v>
      </c>
      <c r="X13" s="86">
        <f>MAX(0,Parametros!$E$12-Parametros!$E$18*W13)</f>
        <v>4.9999999999999989E-2</v>
      </c>
      <c r="Y13" s="87">
        <v>5</v>
      </c>
      <c r="Z13" s="87">
        <v>15</v>
      </c>
      <c r="AA13" s="89">
        <f>IF(Y13&gt;=Parametros!$E$22,Parametros!$E$24,0)</f>
        <v>0</v>
      </c>
      <c r="AB13" s="89">
        <f>IF(Z13&gt;=Parametros!$E$23,Parametros!$E$25,0)</f>
        <v>0.04</v>
      </c>
      <c r="AC13" s="89">
        <f t="shared" si="1"/>
        <v>0.04</v>
      </c>
      <c r="AD13" s="87">
        <v>1</v>
      </c>
      <c r="AE13" s="88" t="s">
        <v>222</v>
      </c>
      <c r="AF13" s="87">
        <v>0</v>
      </c>
      <c r="AG13" s="88" t="s">
        <v>222</v>
      </c>
      <c r="AH13" s="87">
        <v>0</v>
      </c>
      <c r="AI13" s="88" t="s">
        <v>222</v>
      </c>
      <c r="AJ13" s="87">
        <v>0</v>
      </c>
      <c r="AK13" s="88" t="s">
        <v>222</v>
      </c>
      <c r="AL13" s="87">
        <v>0</v>
      </c>
      <c r="AM13" s="88" t="s">
        <v>222</v>
      </c>
      <c r="AN13" s="89">
        <f>AD13*Parametros!$E$28+AF13*Parametros!$E$29+AH13*Parametros!$E$30+AJ13*Parametros!$E$31+AL13*Parametros!$E$32</f>
        <v>0.05</v>
      </c>
      <c r="AO13" s="12" t="str">
        <f t="shared" si="2"/>
        <v>NO</v>
      </c>
      <c r="AP13" s="11">
        <f t="shared" si="3"/>
        <v>0.8</v>
      </c>
      <c r="AQ13" s="90">
        <f>MAX(0,MIN(1,MAX(0,AP13-IF(S13="NO",Parametros!$E$17,0))+AC13-AN13-IF(AO13="SI",Parametros!$E$33,0)))</f>
        <v>0.79</v>
      </c>
      <c r="AR13" s="58"/>
      <c r="AS13" s="79" t="str">
        <f>'Captura Junio'!B15</f>
        <v>Linea 3</v>
      </c>
      <c r="AT13" s="80">
        <f>'Captura Junio'!K15+'Captura Junio'!N15+'Captura Junio'!Q15</f>
        <v>0.24</v>
      </c>
      <c r="AU13" s="80">
        <f>'Captura Junio'!T15</f>
        <v>0.06</v>
      </c>
      <c r="AV13" s="80">
        <f>'Captura Junio'!V15</f>
        <v>0.25</v>
      </c>
      <c r="AW13" s="80">
        <f>'Captura Junio'!G15</f>
        <v>0.19444444444444442</v>
      </c>
      <c r="AX13" s="80">
        <f>'Captura Junio'!X15</f>
        <v>0</v>
      </c>
      <c r="AY13" s="80">
        <f>'Captura Junio'!AC15</f>
        <v>0</v>
      </c>
      <c r="AZ13" s="81">
        <f>-'Captura Junio'!AN15</f>
        <v>0</v>
      </c>
      <c r="BA13" s="82">
        <f>'Captura Junio'!AQ15</f>
        <v>0.74444444444444446</v>
      </c>
      <c r="BB13" s="58"/>
      <c r="BC13" s="58"/>
    </row>
    <row r="14" spans="1:55" ht="16.5" customHeight="1" x14ac:dyDescent="0.35">
      <c r="A14" s="12">
        <v>9</v>
      </c>
      <c r="B14" s="83" t="s">
        <v>113</v>
      </c>
      <c r="C14" s="84" t="str">
        <f>VLOOKUP(B14,Parametros!$I$6:$J$20,2,FALSE())</f>
        <v>Amilcar Ralda</v>
      </c>
      <c r="D14" s="85">
        <v>1</v>
      </c>
      <c r="E14" s="85">
        <v>1</v>
      </c>
      <c r="F14" s="11">
        <f t="shared" si="0"/>
        <v>1</v>
      </c>
      <c r="G14" s="86">
        <f>F14*Parametros!$E$6</f>
        <v>0.2</v>
      </c>
      <c r="H14" s="87">
        <v>10</v>
      </c>
      <c r="I14" s="87">
        <v>10</v>
      </c>
      <c r="J14" s="88" t="s">
        <v>222</v>
      </c>
      <c r="K14" s="86">
        <f>IF(J14="NO",0,IFERROR(H14/I14,0)*Parametros!$E$7)</f>
        <v>0.08</v>
      </c>
      <c r="L14" s="85">
        <v>1</v>
      </c>
      <c r="M14" s="88" t="s">
        <v>222</v>
      </c>
      <c r="N14" s="86">
        <f>IF(M14="NO",0,L14*Parametros!$E$8)</f>
        <v>0.08</v>
      </c>
      <c r="O14" s="85">
        <v>1</v>
      </c>
      <c r="P14" s="88" t="s">
        <v>222</v>
      </c>
      <c r="Q14" s="86">
        <f>IF(P14="NO",0,O14*Parametros!$E$9)</f>
        <v>0.08</v>
      </c>
      <c r="R14" s="85">
        <v>1</v>
      </c>
      <c r="S14" s="88" t="s">
        <v>222</v>
      </c>
      <c r="T14" s="86">
        <f>IF(S14="NO",0,R14*Parametros!$E$10)</f>
        <v>0.06</v>
      </c>
      <c r="U14" s="85">
        <v>1</v>
      </c>
      <c r="V14" s="86">
        <f>U14*Parametros!$E$11</f>
        <v>0.25</v>
      </c>
      <c r="W14" s="87">
        <v>2</v>
      </c>
      <c r="X14" s="86">
        <f>MAX(0,Parametros!$E$12-Parametros!$E$18*W14)</f>
        <v>0.15</v>
      </c>
      <c r="Y14" s="87">
        <v>4</v>
      </c>
      <c r="Z14" s="87">
        <v>13</v>
      </c>
      <c r="AA14" s="89">
        <f>IF(Y14&gt;=Parametros!$E$22,Parametros!$E$24,0)</f>
        <v>0</v>
      </c>
      <c r="AB14" s="89">
        <f>IF(Z14&gt;=Parametros!$E$23,Parametros!$E$25,0)</f>
        <v>0.04</v>
      </c>
      <c r="AC14" s="89">
        <f t="shared" si="1"/>
        <v>0.04</v>
      </c>
      <c r="AD14" s="87">
        <v>0</v>
      </c>
      <c r="AE14" s="88" t="s">
        <v>222</v>
      </c>
      <c r="AF14" s="87">
        <v>0</v>
      </c>
      <c r="AG14" s="88" t="s">
        <v>222</v>
      </c>
      <c r="AH14" s="87">
        <v>0</v>
      </c>
      <c r="AI14" s="88" t="s">
        <v>222</v>
      </c>
      <c r="AJ14" s="87">
        <v>0</v>
      </c>
      <c r="AK14" s="88" t="s">
        <v>222</v>
      </c>
      <c r="AL14" s="87">
        <v>0</v>
      </c>
      <c r="AM14" s="88" t="s">
        <v>222</v>
      </c>
      <c r="AN14" s="89">
        <f>AD14*Parametros!$E$28+AF14*Parametros!$E$29+AH14*Parametros!$E$30+AJ14*Parametros!$E$31+AL14*Parametros!$E$32</f>
        <v>0</v>
      </c>
      <c r="AO14" s="12" t="str">
        <f t="shared" si="2"/>
        <v>NO</v>
      </c>
      <c r="AP14" s="11">
        <f t="shared" si="3"/>
        <v>0.9</v>
      </c>
      <c r="AQ14" s="90">
        <f>MAX(0,MIN(1,MAX(0,AP14-IF(S14="NO",Parametros!$E$17,0))+AC14-AN14-IF(AO14="SI",Parametros!$E$33,0)))</f>
        <v>0.94000000000000006</v>
      </c>
      <c r="AR14" s="58"/>
      <c r="AS14" s="71" t="str">
        <f>'Captura Junio'!B16</f>
        <v>Linea 4</v>
      </c>
      <c r="AT14" s="72">
        <f>'Captura Junio'!K16+'Captura Junio'!N16+'Captura Junio'!Q16</f>
        <v>0.24</v>
      </c>
      <c r="AU14" s="72">
        <f>'Captura Junio'!T16</f>
        <v>0.06</v>
      </c>
      <c r="AV14" s="72">
        <f>'Captura Junio'!V16</f>
        <v>0.25</v>
      </c>
      <c r="AW14" s="72">
        <f>'Captura Junio'!G16</f>
        <v>0.2</v>
      </c>
      <c r="AX14" s="72">
        <f>'Captura Junio'!X16</f>
        <v>0.25</v>
      </c>
      <c r="AY14" s="72">
        <f>'Captura Junio'!AC16</f>
        <v>0.04</v>
      </c>
      <c r="AZ14" s="73">
        <f>-'Captura Junio'!AN16</f>
        <v>0</v>
      </c>
      <c r="BA14" s="74">
        <f>'Captura Junio'!AQ16</f>
        <v>1</v>
      </c>
      <c r="BB14" s="58"/>
      <c r="BC14" s="58"/>
    </row>
    <row r="15" spans="1:55" ht="16.5" customHeight="1" x14ac:dyDescent="0.35">
      <c r="A15" s="12">
        <v>10</v>
      </c>
      <c r="B15" s="83" t="s">
        <v>133</v>
      </c>
      <c r="C15" s="84" t="str">
        <f>VLOOKUP(B15,Parametros!$I$6:$J$20,2,FALSE())</f>
        <v>Mario Ramos</v>
      </c>
      <c r="D15" s="85">
        <v>1</v>
      </c>
      <c r="E15" s="85">
        <v>0.94444444444444398</v>
      </c>
      <c r="F15" s="11">
        <f t="shared" si="0"/>
        <v>0.97222222222222199</v>
      </c>
      <c r="G15" s="86">
        <f>F15*Parametros!$E$6</f>
        <v>0.19444444444444442</v>
      </c>
      <c r="H15" s="87">
        <v>10</v>
      </c>
      <c r="I15" s="87">
        <v>10</v>
      </c>
      <c r="J15" s="88" t="s">
        <v>222</v>
      </c>
      <c r="K15" s="86">
        <f>IF(J15="NO",0,IFERROR(H15/I15,0)*Parametros!$E$7)</f>
        <v>0.08</v>
      </c>
      <c r="L15" s="85">
        <v>1</v>
      </c>
      <c r="M15" s="88" t="s">
        <v>222</v>
      </c>
      <c r="N15" s="86">
        <f>IF(M15="NO",0,L15*Parametros!$E$8)</f>
        <v>0.08</v>
      </c>
      <c r="O15" s="85">
        <v>1</v>
      </c>
      <c r="P15" s="88" t="s">
        <v>222</v>
      </c>
      <c r="Q15" s="86">
        <f>IF(P15="NO",0,O15*Parametros!$E$9)</f>
        <v>0.08</v>
      </c>
      <c r="R15" s="85">
        <v>1</v>
      </c>
      <c r="S15" s="88" t="s">
        <v>222</v>
      </c>
      <c r="T15" s="86">
        <f>IF(S15="NO",0,R15*Parametros!$E$10)</f>
        <v>0.06</v>
      </c>
      <c r="U15" s="85">
        <v>1</v>
      </c>
      <c r="V15" s="86">
        <f>U15*Parametros!$E$11</f>
        <v>0.25</v>
      </c>
      <c r="W15" s="87">
        <v>8</v>
      </c>
      <c r="X15" s="86">
        <f>MAX(0,Parametros!$E$12-Parametros!$E$18*W15)</f>
        <v>0</v>
      </c>
      <c r="Y15" s="87">
        <v>4</v>
      </c>
      <c r="Z15" s="87">
        <v>6</v>
      </c>
      <c r="AA15" s="89">
        <f>IF(Y15&gt;=Parametros!$E$22,Parametros!$E$24,0)</f>
        <v>0</v>
      </c>
      <c r="AB15" s="89">
        <f>IF(Z15&gt;=Parametros!$E$23,Parametros!$E$25,0)</f>
        <v>0</v>
      </c>
      <c r="AC15" s="89">
        <f t="shared" si="1"/>
        <v>0</v>
      </c>
      <c r="AD15" s="87">
        <v>0</v>
      </c>
      <c r="AE15" s="88" t="s">
        <v>222</v>
      </c>
      <c r="AF15" s="87">
        <v>0</v>
      </c>
      <c r="AG15" s="88" t="s">
        <v>222</v>
      </c>
      <c r="AH15" s="87">
        <v>0</v>
      </c>
      <c r="AI15" s="88" t="s">
        <v>222</v>
      </c>
      <c r="AJ15" s="87">
        <v>0</v>
      </c>
      <c r="AK15" s="88" t="s">
        <v>222</v>
      </c>
      <c r="AL15" s="87">
        <v>0</v>
      </c>
      <c r="AM15" s="88" t="s">
        <v>222</v>
      </c>
      <c r="AN15" s="89">
        <f>AD15*Parametros!$E$28+AF15*Parametros!$E$29+AH15*Parametros!$E$30+AJ15*Parametros!$E$31+AL15*Parametros!$E$32</f>
        <v>0</v>
      </c>
      <c r="AO15" s="12" t="str">
        <f t="shared" si="2"/>
        <v>NO</v>
      </c>
      <c r="AP15" s="11">
        <f t="shared" si="3"/>
        <v>0.74444444444444446</v>
      </c>
      <c r="AQ15" s="90">
        <f>MAX(0,MIN(1,MAX(0,AP15-IF(S15="NO",Parametros!$E$17,0))+AC15-AN15-IF(AO15="SI",Parametros!$E$33,0)))</f>
        <v>0.74444444444444446</v>
      </c>
      <c r="AR15" s="58"/>
      <c r="AS15" s="79" t="str">
        <f>'Captura Junio'!B17</f>
        <v>Linea 5</v>
      </c>
      <c r="AT15" s="80">
        <f>'Captura Junio'!K17+'Captura Junio'!N17+'Captura Junio'!Q17</f>
        <v>0.24</v>
      </c>
      <c r="AU15" s="80">
        <f>'Captura Junio'!T17</f>
        <v>0.06</v>
      </c>
      <c r="AV15" s="80">
        <f>'Captura Junio'!V17</f>
        <v>0.25</v>
      </c>
      <c r="AW15" s="80">
        <f>'Captura Junio'!G17</f>
        <v>0.19285714285714292</v>
      </c>
      <c r="AX15" s="80">
        <f>'Captura Junio'!X17</f>
        <v>4.9999999999999989E-2</v>
      </c>
      <c r="AY15" s="80">
        <f>'Captura Junio'!AC17</f>
        <v>0</v>
      </c>
      <c r="AZ15" s="81">
        <f>-'Captura Junio'!AN17</f>
        <v>0</v>
      </c>
      <c r="BA15" s="82">
        <f>'Captura Junio'!AQ17</f>
        <v>0.79285714285714293</v>
      </c>
      <c r="BB15" s="58"/>
      <c r="BC15" s="58"/>
    </row>
    <row r="16" spans="1:55" ht="16.5" customHeight="1" x14ac:dyDescent="0.35">
      <c r="A16" s="12">
        <v>11</v>
      </c>
      <c r="B16" s="83" t="s">
        <v>106</v>
      </c>
      <c r="C16" s="84" t="str">
        <f>VLOOKUP(B16,Parametros!$I$6:$J$20,2,FALSE())</f>
        <v>Mario Ramos</v>
      </c>
      <c r="D16" s="85">
        <v>1</v>
      </c>
      <c r="E16" s="85">
        <v>1</v>
      </c>
      <c r="F16" s="11">
        <f t="shared" si="0"/>
        <v>1</v>
      </c>
      <c r="G16" s="86">
        <f>F16*Parametros!$E$6</f>
        <v>0.2</v>
      </c>
      <c r="H16" s="87">
        <v>10</v>
      </c>
      <c r="I16" s="87">
        <v>10</v>
      </c>
      <c r="J16" s="88" t="s">
        <v>222</v>
      </c>
      <c r="K16" s="86">
        <f>IF(J16="NO",0,IFERROR(H16/I16,0)*Parametros!$E$7)</f>
        <v>0.08</v>
      </c>
      <c r="L16" s="85">
        <v>1</v>
      </c>
      <c r="M16" s="88" t="s">
        <v>222</v>
      </c>
      <c r="N16" s="86">
        <f>IF(M16="NO",0,L16*Parametros!$E$8)</f>
        <v>0.08</v>
      </c>
      <c r="O16" s="85">
        <v>1</v>
      </c>
      <c r="P16" s="88" t="s">
        <v>222</v>
      </c>
      <c r="Q16" s="86">
        <f>IF(P16="NO",0,O16*Parametros!$E$9)</f>
        <v>0.08</v>
      </c>
      <c r="R16" s="85">
        <v>1</v>
      </c>
      <c r="S16" s="88" t="s">
        <v>222</v>
      </c>
      <c r="T16" s="86">
        <f>IF(S16="NO",0,R16*Parametros!$E$10)</f>
        <v>0.06</v>
      </c>
      <c r="U16" s="85">
        <v>1</v>
      </c>
      <c r="V16" s="86">
        <f>U16*Parametros!$E$11</f>
        <v>0.25</v>
      </c>
      <c r="W16" s="87">
        <v>0</v>
      </c>
      <c r="X16" s="86">
        <f>MAX(0,Parametros!$E$12-Parametros!$E$18*W16)</f>
        <v>0.25</v>
      </c>
      <c r="Y16" s="87">
        <v>4</v>
      </c>
      <c r="Z16" s="87">
        <v>11</v>
      </c>
      <c r="AA16" s="89">
        <f>IF(Y16&gt;=Parametros!$E$22,Parametros!$E$24,0)</f>
        <v>0</v>
      </c>
      <c r="AB16" s="89">
        <f>IF(Z16&gt;=Parametros!$E$23,Parametros!$E$25,0)</f>
        <v>0.04</v>
      </c>
      <c r="AC16" s="89">
        <f t="shared" si="1"/>
        <v>0.04</v>
      </c>
      <c r="AD16" s="87">
        <v>0</v>
      </c>
      <c r="AE16" s="88" t="s">
        <v>222</v>
      </c>
      <c r="AF16" s="87">
        <v>0</v>
      </c>
      <c r="AG16" s="88" t="s">
        <v>222</v>
      </c>
      <c r="AH16" s="87">
        <v>0</v>
      </c>
      <c r="AI16" s="88" t="s">
        <v>222</v>
      </c>
      <c r="AJ16" s="87">
        <v>0</v>
      </c>
      <c r="AK16" s="88" t="s">
        <v>222</v>
      </c>
      <c r="AL16" s="87">
        <v>0</v>
      </c>
      <c r="AM16" s="88" t="s">
        <v>222</v>
      </c>
      <c r="AN16" s="89">
        <f>AD16*Parametros!$E$28+AF16*Parametros!$E$29+AH16*Parametros!$E$30+AJ16*Parametros!$E$31+AL16*Parametros!$E$32</f>
        <v>0</v>
      </c>
      <c r="AO16" s="12" t="str">
        <f t="shared" si="2"/>
        <v>NO</v>
      </c>
      <c r="AP16" s="11">
        <f t="shared" si="3"/>
        <v>1</v>
      </c>
      <c r="AQ16" s="90">
        <f>MAX(0,MIN(1,MAX(0,AP16-IF(S16="NO",Parametros!$E$17,0))+AC16-AN16-IF(AO16="SI",Parametros!$E$33,0)))</f>
        <v>1</v>
      </c>
      <c r="AR16" s="58"/>
      <c r="AS16" s="71" t="str">
        <f>'Captura Junio'!B18</f>
        <v>Mantenimiento</v>
      </c>
      <c r="AT16" s="72">
        <f>'Captura Junio'!K18+'Captura Junio'!N18+'Captura Junio'!Q18</f>
        <v>0.16</v>
      </c>
      <c r="AU16" s="72">
        <f>'Captura Junio'!T18</f>
        <v>0.06</v>
      </c>
      <c r="AV16" s="72">
        <f>'Captura Junio'!V18</f>
        <v>0.25</v>
      </c>
      <c r="AW16" s="72">
        <f>'Captura Junio'!G18</f>
        <v>0.2</v>
      </c>
      <c r="AX16" s="72">
        <f>'Captura Junio'!X18</f>
        <v>0.2</v>
      </c>
      <c r="AY16" s="72">
        <f>'Captura Junio'!AC18</f>
        <v>0.04</v>
      </c>
      <c r="AZ16" s="73">
        <f>-'Captura Junio'!AN18</f>
        <v>0</v>
      </c>
      <c r="BA16" s="74">
        <f>'Captura Junio'!AQ18</f>
        <v>0.91000000000000014</v>
      </c>
      <c r="BB16" s="58"/>
      <c r="BC16" s="58"/>
    </row>
    <row r="17" spans="1:55" ht="16.5" customHeight="1" x14ac:dyDescent="0.35">
      <c r="A17" s="12">
        <v>12</v>
      </c>
      <c r="B17" s="83" t="s">
        <v>109</v>
      </c>
      <c r="C17" s="84" t="str">
        <f>VLOOKUP(B17,Parametros!$I$6:$J$20,2,FALSE())</f>
        <v>Roy Luarca</v>
      </c>
      <c r="D17" s="85">
        <v>1</v>
      </c>
      <c r="E17" s="85">
        <v>0.92857142857142905</v>
      </c>
      <c r="F17" s="11">
        <f t="shared" si="0"/>
        <v>0.96428571428571452</v>
      </c>
      <c r="G17" s="86">
        <f>F17*Parametros!$E$6</f>
        <v>0.19285714285714292</v>
      </c>
      <c r="H17" s="87">
        <v>10</v>
      </c>
      <c r="I17" s="87">
        <v>10</v>
      </c>
      <c r="J17" s="88" t="s">
        <v>222</v>
      </c>
      <c r="K17" s="86">
        <f>IF(J17="NO",0,IFERROR(H17/I17,0)*Parametros!$E$7)</f>
        <v>0.08</v>
      </c>
      <c r="L17" s="85">
        <v>1</v>
      </c>
      <c r="M17" s="88" t="s">
        <v>222</v>
      </c>
      <c r="N17" s="86">
        <f>IF(M17="NO",0,L17*Parametros!$E$8)</f>
        <v>0.08</v>
      </c>
      <c r="O17" s="85">
        <v>1</v>
      </c>
      <c r="P17" s="88" t="s">
        <v>222</v>
      </c>
      <c r="Q17" s="86">
        <f>IF(P17="NO",0,O17*Parametros!$E$9)</f>
        <v>0.08</v>
      </c>
      <c r="R17" s="85">
        <v>1</v>
      </c>
      <c r="S17" s="88" t="s">
        <v>222</v>
      </c>
      <c r="T17" s="86">
        <f>IF(S17="NO",0,R17*Parametros!$E$10)</f>
        <v>0.06</v>
      </c>
      <c r="U17" s="85">
        <v>1</v>
      </c>
      <c r="V17" s="86">
        <f>U17*Parametros!$E$11</f>
        <v>0.25</v>
      </c>
      <c r="W17" s="87">
        <v>4</v>
      </c>
      <c r="X17" s="86">
        <f>MAX(0,Parametros!$E$12-Parametros!$E$18*W17)</f>
        <v>4.9999999999999989E-2</v>
      </c>
      <c r="Y17" s="87">
        <v>4</v>
      </c>
      <c r="Z17" s="87">
        <v>8</v>
      </c>
      <c r="AA17" s="89">
        <f>IF(Y17&gt;=Parametros!$E$22,Parametros!$E$24,0)</f>
        <v>0</v>
      </c>
      <c r="AB17" s="89">
        <f>IF(Z17&gt;=Parametros!$E$23,Parametros!$E$25,0)</f>
        <v>0</v>
      </c>
      <c r="AC17" s="89">
        <f t="shared" si="1"/>
        <v>0</v>
      </c>
      <c r="AD17" s="87">
        <v>0</v>
      </c>
      <c r="AE17" s="88" t="s">
        <v>222</v>
      </c>
      <c r="AF17" s="87">
        <v>0</v>
      </c>
      <c r="AG17" s="88" t="s">
        <v>222</v>
      </c>
      <c r="AH17" s="87">
        <v>0</v>
      </c>
      <c r="AI17" s="88" t="s">
        <v>222</v>
      </c>
      <c r="AJ17" s="87">
        <v>0</v>
      </c>
      <c r="AK17" s="88" t="s">
        <v>222</v>
      </c>
      <c r="AL17" s="87">
        <v>0</v>
      </c>
      <c r="AM17" s="88" t="s">
        <v>222</v>
      </c>
      <c r="AN17" s="89">
        <f>AD17*Parametros!$E$28+AF17*Parametros!$E$29+AH17*Parametros!$E$30+AJ17*Parametros!$E$31+AL17*Parametros!$E$32</f>
        <v>0</v>
      </c>
      <c r="AO17" s="12" t="str">
        <f t="shared" si="2"/>
        <v>NO</v>
      </c>
      <c r="AP17" s="11">
        <f t="shared" si="3"/>
        <v>0.79285714285714293</v>
      </c>
      <c r="AQ17" s="90">
        <f>MAX(0,MIN(1,MAX(0,AP17-IF(S17="NO",Parametros!$E$17,0))+AC17-AN17-IF(AO17="SI",Parametros!$E$33,0)))</f>
        <v>0.79285714285714293</v>
      </c>
      <c r="AR17" s="58"/>
      <c r="AS17" s="79" t="str">
        <f>'Captura Junio'!B19</f>
        <v>Materias Primas</v>
      </c>
      <c r="AT17" s="80">
        <f>'Captura Junio'!K19+'Captura Junio'!N19+'Captura Junio'!Q19</f>
        <v>0.24</v>
      </c>
      <c r="AU17" s="80">
        <f>'Captura Junio'!T19</f>
        <v>0</v>
      </c>
      <c r="AV17" s="80">
        <f>'Captura Junio'!V19</f>
        <v>0.25</v>
      </c>
      <c r="AW17" s="80">
        <f>'Captura Junio'!G19</f>
        <v>0.17500000000000002</v>
      </c>
      <c r="AX17" s="80">
        <f>'Captura Junio'!X19</f>
        <v>0.15</v>
      </c>
      <c r="AY17" s="80">
        <f>'Captura Junio'!AC19</f>
        <v>0</v>
      </c>
      <c r="AZ17" s="81">
        <f>-'Captura Junio'!AN19</f>
        <v>0</v>
      </c>
      <c r="BA17" s="82">
        <f>'Captura Junio'!AQ19</f>
        <v>0.71500000000000008</v>
      </c>
      <c r="BB17" s="58"/>
      <c r="BC17" s="58"/>
    </row>
    <row r="18" spans="1:55" ht="16.5" customHeight="1" x14ac:dyDescent="0.35">
      <c r="A18" s="12">
        <v>13</v>
      </c>
      <c r="B18" s="83" t="s">
        <v>140</v>
      </c>
      <c r="C18" s="84" t="str">
        <f>VLOOKUP(B18,Parametros!$I$6:$J$20,2,FALSE())</f>
        <v>Eliu Tello</v>
      </c>
      <c r="D18" s="85">
        <v>1</v>
      </c>
      <c r="E18" s="85">
        <v>1</v>
      </c>
      <c r="F18" s="11">
        <f t="shared" si="0"/>
        <v>1</v>
      </c>
      <c r="G18" s="86">
        <f>F18*Parametros!$E$6</f>
        <v>0.2</v>
      </c>
      <c r="H18" s="87">
        <v>10</v>
      </c>
      <c r="I18" s="87">
        <v>10</v>
      </c>
      <c r="J18" s="88" t="s">
        <v>223</v>
      </c>
      <c r="K18" s="86">
        <f>IF(J18="NO",0,IFERROR(H18/I18,0)*Parametros!$E$7)</f>
        <v>0</v>
      </c>
      <c r="L18" s="85">
        <v>1</v>
      </c>
      <c r="M18" s="88" t="s">
        <v>222</v>
      </c>
      <c r="N18" s="86">
        <f>IF(M18="NO",0,L18*Parametros!$E$8)</f>
        <v>0.08</v>
      </c>
      <c r="O18" s="85">
        <v>1</v>
      </c>
      <c r="P18" s="88" t="s">
        <v>222</v>
      </c>
      <c r="Q18" s="86">
        <f>IF(P18="NO",0,O18*Parametros!$E$9)</f>
        <v>0.08</v>
      </c>
      <c r="R18" s="85">
        <v>1</v>
      </c>
      <c r="S18" s="88" t="s">
        <v>222</v>
      </c>
      <c r="T18" s="86">
        <f>IF(S18="NO",0,R18*Parametros!$E$10)</f>
        <v>0.06</v>
      </c>
      <c r="U18" s="85">
        <v>1</v>
      </c>
      <c r="V18" s="86">
        <f>U18*Parametros!$E$11</f>
        <v>0.25</v>
      </c>
      <c r="W18" s="87">
        <v>1</v>
      </c>
      <c r="X18" s="86">
        <f>MAX(0,Parametros!$E$12-Parametros!$E$18*W18)</f>
        <v>0.2</v>
      </c>
      <c r="Y18" s="87">
        <v>1</v>
      </c>
      <c r="Z18" s="87">
        <v>20</v>
      </c>
      <c r="AA18" s="89">
        <f>IF(Y18&gt;=Parametros!$E$22,Parametros!$E$24,0)</f>
        <v>0</v>
      </c>
      <c r="AB18" s="89">
        <f>IF(Z18&gt;=Parametros!$E$23,Parametros!$E$25,0)</f>
        <v>0.04</v>
      </c>
      <c r="AC18" s="89">
        <f t="shared" si="1"/>
        <v>0.04</v>
      </c>
      <c r="AD18" s="87">
        <v>0</v>
      </c>
      <c r="AE18" s="88" t="s">
        <v>222</v>
      </c>
      <c r="AF18" s="87">
        <v>0</v>
      </c>
      <c r="AG18" s="88" t="s">
        <v>222</v>
      </c>
      <c r="AH18" s="87">
        <v>0</v>
      </c>
      <c r="AI18" s="88" t="s">
        <v>222</v>
      </c>
      <c r="AJ18" s="87">
        <v>0</v>
      </c>
      <c r="AK18" s="88" t="s">
        <v>222</v>
      </c>
      <c r="AL18" s="87">
        <v>0</v>
      </c>
      <c r="AM18" s="88" t="s">
        <v>222</v>
      </c>
      <c r="AN18" s="89">
        <f>AD18*Parametros!$E$28+AF18*Parametros!$E$29+AH18*Parametros!$E$30+AJ18*Parametros!$E$31+AL18*Parametros!$E$32</f>
        <v>0</v>
      </c>
      <c r="AO18" s="12" t="str">
        <f t="shared" si="2"/>
        <v>NO</v>
      </c>
      <c r="AP18" s="11">
        <f t="shared" si="3"/>
        <v>0.87000000000000011</v>
      </c>
      <c r="AQ18" s="90">
        <f>MAX(0,MIN(1,MAX(0,AP18-IF(S18="NO",Parametros!$E$17,0))+AC18-AN18-IF(AO18="SI",Parametros!$E$33,0)))</f>
        <v>0.91000000000000014</v>
      </c>
      <c r="AR18" s="58"/>
      <c r="AS18" s="71" t="str">
        <f>'Captura Junio'!B20</f>
        <v>Tratamiento de Aguas</v>
      </c>
      <c r="AT18" s="72">
        <f>'Captura Junio'!K20+'Captura Junio'!N20+'Captura Junio'!Q20</f>
        <v>0.16</v>
      </c>
      <c r="AU18" s="72">
        <f>'Captura Junio'!T20</f>
        <v>0</v>
      </c>
      <c r="AV18" s="72">
        <f>'Captura Junio'!V20</f>
        <v>0.25</v>
      </c>
      <c r="AW18" s="72">
        <f>'Captura Junio'!G20</f>
        <v>0.2</v>
      </c>
      <c r="AX18" s="72">
        <f>'Captura Junio'!X20</f>
        <v>0.2</v>
      </c>
      <c r="AY18" s="72">
        <f>'Captura Junio'!AC20</f>
        <v>0</v>
      </c>
      <c r="AZ18" s="73">
        <f>-'Captura Junio'!AN20</f>
        <v>0</v>
      </c>
      <c r="BA18" s="74">
        <f>'Captura Junio'!AQ20</f>
        <v>0.71000000000000008</v>
      </c>
      <c r="BB18" s="58"/>
      <c r="BC18" s="58"/>
    </row>
    <row r="19" spans="1:55" ht="25.5" customHeight="1" x14ac:dyDescent="0.35">
      <c r="A19" s="12">
        <v>14</v>
      </c>
      <c r="B19" s="83" t="s">
        <v>142</v>
      </c>
      <c r="C19" s="84" t="str">
        <f>VLOOKUP(B19,Parametros!$I$6:$J$20,2,FALSE())</f>
        <v>Miguel Godinez</v>
      </c>
      <c r="D19" s="85">
        <v>0.875</v>
      </c>
      <c r="E19" s="85">
        <v>0.875</v>
      </c>
      <c r="F19" s="11">
        <f t="shared" si="0"/>
        <v>0.875</v>
      </c>
      <c r="G19" s="86">
        <f>F19*Parametros!$E$6</f>
        <v>0.17500000000000002</v>
      </c>
      <c r="H19" s="87">
        <v>10</v>
      </c>
      <c r="I19" s="87">
        <v>10</v>
      </c>
      <c r="J19" s="88" t="s">
        <v>222</v>
      </c>
      <c r="K19" s="86">
        <f>IF(J19="NO",0,IFERROR(H19/I19,0)*Parametros!$E$7)</f>
        <v>0.08</v>
      </c>
      <c r="L19" s="85">
        <v>1</v>
      </c>
      <c r="M19" s="88" t="s">
        <v>222</v>
      </c>
      <c r="N19" s="86">
        <f>IF(M19="NO",0,L19*Parametros!$E$8)</f>
        <v>0.08</v>
      </c>
      <c r="O19" s="85">
        <v>1</v>
      </c>
      <c r="P19" s="88" t="s">
        <v>222</v>
      </c>
      <c r="Q19" s="86">
        <f>IF(P19="NO",0,O19*Parametros!$E$9)</f>
        <v>0.08</v>
      </c>
      <c r="R19" s="85">
        <v>0</v>
      </c>
      <c r="S19" s="88" t="s">
        <v>223</v>
      </c>
      <c r="T19" s="86">
        <f>IF(S19="NO",0,R19*Parametros!$E$10)</f>
        <v>0</v>
      </c>
      <c r="U19" s="85">
        <v>1</v>
      </c>
      <c r="V19" s="86">
        <f>U19*Parametros!$E$11</f>
        <v>0.25</v>
      </c>
      <c r="W19" s="87">
        <v>2</v>
      </c>
      <c r="X19" s="86">
        <f>MAX(0,Parametros!$E$12-Parametros!$E$18*W19)</f>
        <v>0.15</v>
      </c>
      <c r="Y19" s="87">
        <v>1</v>
      </c>
      <c r="Z19" s="87">
        <v>6</v>
      </c>
      <c r="AA19" s="89">
        <f>IF(Y19&gt;=Parametros!$E$22,Parametros!$E$24,0)</f>
        <v>0</v>
      </c>
      <c r="AB19" s="89">
        <f>IF(Z19&gt;=Parametros!$E$23,Parametros!$E$25,0)</f>
        <v>0</v>
      </c>
      <c r="AC19" s="89">
        <f t="shared" si="1"/>
        <v>0</v>
      </c>
      <c r="AD19" s="87">
        <v>0</v>
      </c>
      <c r="AE19" s="88" t="s">
        <v>222</v>
      </c>
      <c r="AF19" s="87">
        <v>0</v>
      </c>
      <c r="AG19" s="88" t="s">
        <v>222</v>
      </c>
      <c r="AH19" s="87">
        <v>0</v>
      </c>
      <c r="AI19" s="88" t="s">
        <v>222</v>
      </c>
      <c r="AJ19" s="87">
        <v>0</v>
      </c>
      <c r="AK19" s="88" t="s">
        <v>222</v>
      </c>
      <c r="AL19" s="87">
        <v>0</v>
      </c>
      <c r="AM19" s="88" t="s">
        <v>222</v>
      </c>
      <c r="AN19" s="89">
        <f>AD19*Parametros!$E$28+AF19*Parametros!$E$29+AH19*Parametros!$E$30+AJ19*Parametros!$E$31+AL19*Parametros!$E$32</f>
        <v>0</v>
      </c>
      <c r="AO19" s="12" t="str">
        <f t="shared" si="2"/>
        <v>NO</v>
      </c>
      <c r="AP19" s="11">
        <f t="shared" si="3"/>
        <v>0.81500000000000006</v>
      </c>
      <c r="AQ19" s="90">
        <f>MAX(0,MIN(1,MAX(0,AP19-IF(S19="NO",Parametros!$E$17,0))+AC19-AN19-IF(AO19="SI",Parametros!$E$33,0)))</f>
        <v>0.71500000000000008</v>
      </c>
      <c r="AR19" s="58"/>
      <c r="AS19" s="111" t="s">
        <v>250</v>
      </c>
      <c r="AT19" s="111"/>
      <c r="AU19" s="111"/>
      <c r="AV19" s="111"/>
      <c r="AW19" s="111"/>
      <c r="AX19" s="111"/>
      <c r="AY19" s="111"/>
      <c r="AZ19" s="111"/>
      <c r="BA19" s="91">
        <f>AVERAGE(BA4:BA18)</f>
        <v>0.83357372900851168</v>
      </c>
      <c r="BB19" s="58"/>
      <c r="BC19" s="58"/>
    </row>
    <row r="20" spans="1:55" ht="16.5" customHeight="1" x14ac:dyDescent="0.35">
      <c r="A20" s="12">
        <v>15</v>
      </c>
      <c r="B20" s="83" t="s">
        <v>138</v>
      </c>
      <c r="C20" s="84" t="str">
        <f>VLOOKUP(B20,Parametros!$I$6:$J$20,2,FALSE())</f>
        <v>Adrian Santisteban</v>
      </c>
      <c r="D20" s="85">
        <v>1</v>
      </c>
      <c r="E20" s="85">
        <v>1</v>
      </c>
      <c r="F20" s="11">
        <f t="shared" si="0"/>
        <v>1</v>
      </c>
      <c r="G20" s="86">
        <f>F20*Parametros!$E$6</f>
        <v>0.2</v>
      </c>
      <c r="H20" s="87">
        <v>10</v>
      </c>
      <c r="I20" s="87">
        <v>10</v>
      </c>
      <c r="J20" s="88" t="s">
        <v>223</v>
      </c>
      <c r="K20" s="86">
        <f>IF(J20="NO",0,IFERROR(H20/I20,0)*Parametros!$E$7)</f>
        <v>0</v>
      </c>
      <c r="L20" s="85">
        <v>1</v>
      </c>
      <c r="M20" s="88" t="s">
        <v>222</v>
      </c>
      <c r="N20" s="86">
        <f>IF(M20="NO",0,L20*Parametros!$E$8)</f>
        <v>0.08</v>
      </c>
      <c r="O20" s="85">
        <v>1</v>
      </c>
      <c r="P20" s="88" t="s">
        <v>222</v>
      </c>
      <c r="Q20" s="86">
        <f>IF(P20="NO",0,O20*Parametros!$E$9)</f>
        <v>0.08</v>
      </c>
      <c r="R20" s="85">
        <v>0</v>
      </c>
      <c r="S20" s="88" t="s">
        <v>223</v>
      </c>
      <c r="T20" s="86">
        <f>IF(S20="NO",0,R20*Parametros!$E$10)</f>
        <v>0</v>
      </c>
      <c r="U20" s="85">
        <v>1</v>
      </c>
      <c r="V20" s="86">
        <f>U20*Parametros!$E$11</f>
        <v>0.25</v>
      </c>
      <c r="W20" s="87">
        <v>1</v>
      </c>
      <c r="X20" s="86">
        <f>MAX(0,Parametros!$E$12-Parametros!$E$18*W20)</f>
        <v>0.2</v>
      </c>
      <c r="Y20" s="87">
        <v>4</v>
      </c>
      <c r="Z20" s="87">
        <v>5</v>
      </c>
      <c r="AA20" s="89">
        <f>IF(Y20&gt;=Parametros!$E$22,Parametros!$E$24,0)</f>
        <v>0</v>
      </c>
      <c r="AB20" s="89">
        <f>IF(Z20&gt;=Parametros!$E$23,Parametros!$E$25,0)</f>
        <v>0</v>
      </c>
      <c r="AC20" s="89">
        <f t="shared" si="1"/>
        <v>0</v>
      </c>
      <c r="AD20" s="87">
        <v>0</v>
      </c>
      <c r="AE20" s="88" t="s">
        <v>222</v>
      </c>
      <c r="AF20" s="87">
        <v>0</v>
      </c>
      <c r="AG20" s="88" t="s">
        <v>222</v>
      </c>
      <c r="AH20" s="87">
        <v>0</v>
      </c>
      <c r="AI20" s="88" t="s">
        <v>222</v>
      </c>
      <c r="AJ20" s="87">
        <v>0</v>
      </c>
      <c r="AK20" s="88" t="s">
        <v>222</v>
      </c>
      <c r="AL20" s="87">
        <v>0</v>
      </c>
      <c r="AM20" s="88" t="s">
        <v>222</v>
      </c>
      <c r="AN20" s="89">
        <f>AD20*Parametros!$E$28+AF20*Parametros!$E$29+AH20*Parametros!$E$30+AJ20*Parametros!$E$31+AL20*Parametros!$E$32</f>
        <v>0</v>
      </c>
      <c r="AO20" s="12" t="str">
        <f t="shared" si="2"/>
        <v>NO</v>
      </c>
      <c r="AP20" s="11">
        <f t="shared" si="3"/>
        <v>0.81</v>
      </c>
      <c r="AQ20" s="90">
        <f>MAX(0,MIN(1,MAX(0,AP20-IF(S20="NO",Parametros!$E$17,0))+AC20-AN20-IF(AO20="SI",Parametros!$E$33,0)))</f>
        <v>0.71000000000000008</v>
      </c>
      <c r="AR20" s="58"/>
      <c r="AS20" s="58"/>
      <c r="AT20" s="58"/>
      <c r="AU20" s="58"/>
      <c r="AV20" s="58"/>
      <c r="AW20" s="58"/>
      <c r="AX20" s="58"/>
      <c r="AY20" s="58"/>
      <c r="AZ20" s="58"/>
      <c r="BA20" s="58"/>
      <c r="BB20" s="58"/>
    </row>
    <row r="22" spans="1:55" ht="21.75" customHeight="1" x14ac:dyDescent="0.35">
      <c r="A22" s="112"/>
      <c r="B22" s="112"/>
      <c r="C22" s="112"/>
      <c r="D22" s="70"/>
      <c r="E22" s="70"/>
      <c r="F22" s="70"/>
      <c r="G22" s="70"/>
      <c r="H22" s="70"/>
      <c r="I22" s="70"/>
      <c r="J22" s="70"/>
      <c r="K22" s="70"/>
      <c r="L22" s="70"/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V22" s="95"/>
    </row>
    <row r="23" spans="1:55" ht="21.75" customHeight="1" x14ac:dyDescent="0.35">
      <c r="A23" s="113" t="s">
        <v>225</v>
      </c>
      <c r="B23" s="113"/>
      <c r="C23" s="113"/>
      <c r="D23" s="93"/>
      <c r="E23" s="93"/>
      <c r="F23" s="93"/>
      <c r="G23" s="93"/>
      <c r="H23" s="93"/>
      <c r="I23" s="93"/>
      <c r="J23" s="93"/>
      <c r="K23" s="93"/>
      <c r="L23" s="93"/>
      <c r="M23" s="93"/>
      <c r="N23" s="93"/>
      <c r="O23" s="93"/>
      <c r="P23" s="93"/>
      <c r="Q23" s="93"/>
      <c r="R23" s="93"/>
      <c r="S23" s="93"/>
      <c r="T23" s="93"/>
      <c r="U23" s="93"/>
      <c r="V23" s="93"/>
      <c r="W23" s="93"/>
      <c r="X23" s="93"/>
      <c r="Y23" s="93"/>
      <c r="Z23" s="93"/>
      <c r="AA23" s="93"/>
      <c r="AB23" s="93"/>
      <c r="AC23" s="93"/>
      <c r="AD23" s="93"/>
      <c r="AE23" s="93"/>
      <c r="AF23" s="93"/>
      <c r="AG23" s="93"/>
      <c r="AH23" s="93"/>
      <c r="AI23" s="93"/>
      <c r="AJ23" s="93"/>
      <c r="AK23" s="93"/>
      <c r="AL23" s="93"/>
      <c r="AM23" s="93"/>
      <c r="AN23" s="93"/>
      <c r="AO23" s="93"/>
      <c r="AP23" s="93"/>
      <c r="AQ23" s="94">
        <f>AVERAGE(AQ6:AQ20)</f>
        <v>0.83357372900851168</v>
      </c>
      <c r="AR23" s="58"/>
      <c r="AS23" s="58"/>
      <c r="AT23" s="58"/>
      <c r="AU23" s="58"/>
      <c r="AV23" s="58"/>
      <c r="AW23" s="58"/>
      <c r="AX23" s="58"/>
      <c r="AY23" s="58"/>
      <c r="AZ23" s="58"/>
      <c r="BA23" s="58"/>
      <c r="BB23" s="58"/>
    </row>
  </sheetData>
  <mergeCells count="20">
    <mergeCell ref="A1:AB1"/>
    <mergeCell ref="AS1:BA1"/>
    <mergeCell ref="BB1:BC1"/>
    <mergeCell ref="B2:D2"/>
    <mergeCell ref="AT2:AV2"/>
    <mergeCell ref="AX2:BA2"/>
    <mergeCell ref="BB5:BC5"/>
    <mergeCell ref="AS19:AZ19"/>
    <mergeCell ref="A22:C22"/>
    <mergeCell ref="A23:C23"/>
    <mergeCell ref="U4:V4"/>
    <mergeCell ref="W4:X4"/>
    <mergeCell ref="Y4:AC4"/>
    <mergeCell ref="AD4:AO4"/>
    <mergeCell ref="AP4:AQ4"/>
    <mergeCell ref="D4:G4"/>
    <mergeCell ref="H4:K4"/>
    <mergeCell ref="L4:N4"/>
    <mergeCell ref="O4:Q4"/>
    <mergeCell ref="R4:T4"/>
  </mergeCells>
  <conditionalFormatting sqref="AQ6:AQ20">
    <cfRule type="cellIs" dxfId="65" priority="5" operator="greaterThanOrEqual">
      <formula>0.9</formula>
    </cfRule>
    <cfRule type="cellIs" dxfId="64" priority="6" operator="between">
      <formula>0.7</formula>
      <formula>0.8999</formula>
    </cfRule>
    <cfRule type="cellIs" dxfId="63" priority="7" operator="lessThan">
      <formula>0.7</formula>
    </cfRule>
  </conditionalFormatting>
  <conditionalFormatting sqref="AV6:AV20">
    <cfRule type="cellIs" dxfId="62" priority="2" operator="greaterThanOrEqual">
      <formula>0.9</formula>
    </cfRule>
    <cfRule type="expression" dxfId="61" priority="3">
      <formula>AND(AV6&gt;=0.7,AV6&lt;0.9)</formula>
    </cfRule>
    <cfRule type="cellIs" dxfId="60" priority="4" operator="lessThan">
      <formula>0.7</formula>
    </cfRule>
  </conditionalFormatting>
  <conditionalFormatting sqref="BA4:BA18">
    <cfRule type="cellIs" dxfId="59" priority="8" operator="greaterThanOrEqual">
      <formula>0.9</formula>
    </cfRule>
    <cfRule type="cellIs" dxfId="58" priority="9" operator="between">
      <formula>0.7</formula>
      <formula>0.8999</formula>
    </cfRule>
    <cfRule type="cellIs" dxfId="57" priority="10" operator="lessThan">
      <formula>0.7</formula>
    </cfRule>
  </conditionalFormatting>
  <dataValidations count="4">
    <dataValidation type="whole" operator="greaterThanOrEqual" showErrorMessage="1" errorTitle="Valor invalido" error="Ingrese un numero entero &gt;= 0" sqref="F6:F20 K6:K20 N6:N20 V6:W20 AB6:AB20 AD6:AD20 AO6:AO20 AQ6:AQ20" xr:uid="{00000000-0002-0000-0A00-000000000000}">
      <formula1>0</formula1>
      <formula2>0</formula2>
    </dataValidation>
    <dataValidation type="decimal" showErrorMessage="1" errorTitle="Valor invalido" error="Ingrese un porcentaje entre 0% y 100%" sqref="D6:E20 L6:L20 O6:O20 R6:R20 U6:U20" xr:uid="{00000000-0002-0000-0A00-000001000000}">
      <formula1>0</formula1>
      <formula2>1</formula2>
    </dataValidation>
    <dataValidation type="whole" operator="greaterThanOrEqual" showErrorMessage="1" errorTitle="Valor inválido" error="Ingrese un número entero mayor o igual a 0" sqref="Z6:Z20" xr:uid="{00000000-0002-0000-0A00-000002000000}">
      <formula1>0</formula1>
      <formula2>0</formula2>
    </dataValidation>
    <dataValidation type="list" sqref="J6:J20 M6:M20 P6:P20 S6:T20 X6:X20 AE6:AE20 AG6:AG20 AI6:AN20 AP6:AP20 AR6:AR20" xr:uid="{00000000-0002-0000-0A00-000003000000}">
      <formula1>"SI,NO"</formula1>
      <formula2>0</formula2>
    </dataValidation>
  </dataValidations>
  <pageMargins left="0.3" right="0.3" top="0.4" bottom="0.4" header="0.511811023622047" footer="0.511811023622047"/>
  <pageSetup fitToHeight="0" orientation="landscape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ED6B23"/>
    <pageSetUpPr fitToPage="1"/>
  </sheetPr>
  <dimension ref="A1:BC23"/>
  <sheetViews>
    <sheetView showGridLines="0" zoomScale="85" zoomScaleNormal="85" workbookViewId="0">
      <pane xSplit="3" ySplit="5" topLeftCell="AS6" activePane="bottomRight" state="frozen"/>
      <selection pane="topRight" activeCell="AC1" sqref="AC1"/>
      <selection pane="bottomLeft" activeCell="A6" sqref="A6"/>
      <selection pane="bottomRight" activeCell="BC7" sqref="BC7"/>
    </sheetView>
  </sheetViews>
  <sheetFormatPr baseColWidth="10" defaultColWidth="8.6328125" defaultRowHeight="14.5" x14ac:dyDescent="0.35"/>
  <cols>
    <col min="1" max="1" width="5" customWidth="1"/>
    <col min="2" max="2" width="22" customWidth="1"/>
    <col min="3" max="3" width="16" customWidth="1"/>
    <col min="4" max="44" width="9.54296875" customWidth="1"/>
    <col min="45" max="45" width="21.08984375" customWidth="1"/>
    <col min="46" max="48" width="9.54296875" customWidth="1"/>
    <col min="49" max="50" width="11" customWidth="1"/>
    <col min="51" max="51" width="13" customWidth="1"/>
    <col min="52" max="52" width="11" customWidth="1"/>
    <col min="53" max="53" width="14" customWidth="1"/>
    <col min="54" max="54" width="18" customWidth="1"/>
    <col min="55" max="55" width="10" customWidth="1"/>
  </cols>
  <sheetData>
    <row r="1" spans="1:55" ht="19.5" customHeight="1" x14ac:dyDescent="0.35">
      <c r="A1" s="117" t="s">
        <v>251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  <c r="AA1" s="117"/>
      <c r="AB1" s="117"/>
      <c r="AR1" s="58"/>
      <c r="AS1" s="118" t="s">
        <v>252</v>
      </c>
      <c r="AT1" s="118"/>
      <c r="AU1" s="118"/>
      <c r="AV1" s="118"/>
      <c r="AW1" s="118"/>
      <c r="AX1" s="118"/>
      <c r="AY1" s="118"/>
      <c r="AZ1" s="118"/>
      <c r="BA1" s="118"/>
      <c r="BB1" s="119" t="s">
        <v>253</v>
      </c>
      <c r="BC1" s="119"/>
    </row>
    <row r="2" spans="1:55" ht="18" customHeight="1" x14ac:dyDescent="0.35">
      <c r="A2" s="5" t="s">
        <v>163</v>
      </c>
      <c r="B2" s="120" t="s">
        <v>254</v>
      </c>
      <c r="C2" s="120"/>
      <c r="D2" s="120"/>
      <c r="F2" s="5" t="s">
        <v>165</v>
      </c>
      <c r="G2" s="59" t="s">
        <v>166</v>
      </c>
      <c r="AR2" s="58"/>
      <c r="AS2" s="60"/>
      <c r="AT2" s="121" t="s">
        <v>167</v>
      </c>
      <c r="AU2" s="121"/>
      <c r="AV2" s="121"/>
      <c r="AW2" s="61" t="s">
        <v>96</v>
      </c>
      <c r="AX2" s="122" t="s">
        <v>168</v>
      </c>
      <c r="AY2" s="122"/>
      <c r="AZ2" s="122"/>
      <c r="BA2" s="122"/>
      <c r="BB2" s="62" t="s">
        <v>169</v>
      </c>
      <c r="BC2" s="62" t="s">
        <v>170</v>
      </c>
    </row>
    <row r="3" spans="1:55" ht="21.75" customHeight="1" x14ac:dyDescent="0.35">
      <c r="AR3" s="58"/>
      <c r="AS3" s="63" t="s">
        <v>171</v>
      </c>
      <c r="AT3" s="64" t="s">
        <v>172</v>
      </c>
      <c r="AU3" s="64" t="s">
        <v>173</v>
      </c>
      <c r="AV3" s="64" t="s">
        <v>174</v>
      </c>
      <c r="AW3" s="65" t="s">
        <v>175</v>
      </c>
      <c r="AX3" s="66" t="s">
        <v>176</v>
      </c>
      <c r="AY3" s="66" t="s">
        <v>177</v>
      </c>
      <c r="AZ3" s="66" t="s">
        <v>178</v>
      </c>
      <c r="BA3" s="67" t="s">
        <v>179</v>
      </c>
      <c r="BB3" s="68" t="s">
        <v>180</v>
      </c>
      <c r="BC3" s="69">
        <v>67</v>
      </c>
    </row>
    <row r="4" spans="1:55" ht="21.75" customHeight="1" x14ac:dyDescent="0.35">
      <c r="A4" s="70"/>
      <c r="B4" s="70"/>
      <c r="C4" s="70"/>
      <c r="D4" s="114" t="s">
        <v>181</v>
      </c>
      <c r="E4" s="114"/>
      <c r="F4" s="114"/>
      <c r="G4" s="114"/>
      <c r="H4" s="114" t="s">
        <v>182</v>
      </c>
      <c r="I4" s="114"/>
      <c r="J4" s="114"/>
      <c r="K4" s="114"/>
      <c r="L4" s="114" t="s">
        <v>183</v>
      </c>
      <c r="M4" s="114"/>
      <c r="N4" s="114"/>
      <c r="O4" s="114" t="s">
        <v>184</v>
      </c>
      <c r="P4" s="114"/>
      <c r="Q4" s="114"/>
      <c r="R4" s="114" t="s">
        <v>185</v>
      </c>
      <c r="S4" s="114"/>
      <c r="T4" s="114"/>
      <c r="U4" s="114" t="s">
        <v>186</v>
      </c>
      <c r="V4" s="114"/>
      <c r="W4" s="115" t="s">
        <v>187</v>
      </c>
      <c r="X4" s="115"/>
      <c r="Y4" s="114" t="s">
        <v>188</v>
      </c>
      <c r="Z4" s="114"/>
      <c r="AA4" s="114"/>
      <c r="AB4" s="114"/>
      <c r="AC4" s="114"/>
      <c r="AD4" s="115" t="s">
        <v>189</v>
      </c>
      <c r="AE4" s="115"/>
      <c r="AF4" s="115"/>
      <c r="AG4" s="115"/>
      <c r="AH4" s="115"/>
      <c r="AI4" s="115"/>
      <c r="AJ4" s="115"/>
      <c r="AK4" s="115"/>
      <c r="AL4" s="115"/>
      <c r="AM4" s="115"/>
      <c r="AN4" s="115"/>
      <c r="AO4" s="115"/>
      <c r="AP4" s="116" t="s">
        <v>190</v>
      </c>
      <c r="AQ4" s="116"/>
      <c r="AR4" s="58"/>
      <c r="AS4" s="71" t="str">
        <f>'Captura Julio'!B6</f>
        <v>Almacen de Repuestos</v>
      </c>
      <c r="AT4" s="72">
        <f>'Captura Julio'!K6+'Captura Julio'!N6+'Captura Julio'!Q6</f>
        <v>0.24</v>
      </c>
      <c r="AU4" s="72">
        <f>'Captura Julio'!T6</f>
        <v>0.06</v>
      </c>
      <c r="AV4" s="72">
        <f>'Captura Julio'!V6</f>
        <v>0.25</v>
      </c>
      <c r="AW4" s="72">
        <f>'Captura Julio'!G6</f>
        <v>0.2</v>
      </c>
      <c r="AX4" s="72">
        <f>'Captura Julio'!X6</f>
        <v>0.25</v>
      </c>
      <c r="AY4" s="72">
        <f>'Captura Julio'!AC6</f>
        <v>0</v>
      </c>
      <c r="AZ4" s="73">
        <f>-'Captura Julio'!AN6</f>
        <v>0</v>
      </c>
      <c r="BA4" s="74">
        <f>'Captura Julio'!AQ6</f>
        <v>1</v>
      </c>
      <c r="BB4" s="68" t="s">
        <v>191</v>
      </c>
      <c r="BC4" s="75">
        <v>229</v>
      </c>
    </row>
    <row r="5" spans="1:55" ht="13.5" customHeight="1" x14ac:dyDescent="0.35">
      <c r="A5" s="76" t="s">
        <v>93</v>
      </c>
      <c r="B5" s="76" t="s">
        <v>48</v>
      </c>
      <c r="C5" s="76" t="s">
        <v>94</v>
      </c>
      <c r="D5" s="77" t="s">
        <v>192</v>
      </c>
      <c r="E5" s="77" t="s">
        <v>193</v>
      </c>
      <c r="F5" s="77" t="s">
        <v>194</v>
      </c>
      <c r="G5" s="77" t="s">
        <v>195</v>
      </c>
      <c r="H5" s="77" t="s">
        <v>196</v>
      </c>
      <c r="I5" s="77" t="s">
        <v>197</v>
      </c>
      <c r="J5" s="77" t="s">
        <v>198</v>
      </c>
      <c r="K5" s="77" t="s">
        <v>195</v>
      </c>
      <c r="L5" s="77" t="s">
        <v>199</v>
      </c>
      <c r="M5" s="77" t="s">
        <v>198</v>
      </c>
      <c r="N5" s="77" t="s">
        <v>195</v>
      </c>
      <c r="O5" s="77" t="s">
        <v>199</v>
      </c>
      <c r="P5" s="77" t="s">
        <v>198</v>
      </c>
      <c r="Q5" s="77" t="s">
        <v>195</v>
      </c>
      <c r="R5" s="77" t="s">
        <v>199</v>
      </c>
      <c r="S5" s="77" t="s">
        <v>198</v>
      </c>
      <c r="T5" s="77" t="s">
        <v>195</v>
      </c>
      <c r="U5" s="77" t="s">
        <v>200</v>
      </c>
      <c r="V5" s="77" t="s">
        <v>195</v>
      </c>
      <c r="W5" s="78" t="s">
        <v>201</v>
      </c>
      <c r="X5" s="78" t="s">
        <v>195</v>
      </c>
      <c r="Y5" s="77" t="s">
        <v>202</v>
      </c>
      <c r="Z5" s="77" t="s">
        <v>203</v>
      </c>
      <c r="AA5" s="77" t="s">
        <v>204</v>
      </c>
      <c r="AB5" s="77" t="s">
        <v>205</v>
      </c>
      <c r="AC5" s="77" t="s">
        <v>206</v>
      </c>
      <c r="AD5" s="78" t="s">
        <v>207</v>
      </c>
      <c r="AE5" s="78" t="s">
        <v>208</v>
      </c>
      <c r="AF5" s="78" t="s">
        <v>209</v>
      </c>
      <c r="AG5" s="78" t="s">
        <v>210</v>
      </c>
      <c r="AH5" s="78" t="s">
        <v>211</v>
      </c>
      <c r="AI5" s="78" t="s">
        <v>212</v>
      </c>
      <c r="AJ5" s="78" t="s">
        <v>213</v>
      </c>
      <c r="AK5" s="78" t="s">
        <v>214</v>
      </c>
      <c r="AL5" s="78" t="s">
        <v>215</v>
      </c>
      <c r="AM5" s="78" t="s">
        <v>216</v>
      </c>
      <c r="AN5" s="78" t="s">
        <v>217</v>
      </c>
      <c r="AO5" s="78" t="s">
        <v>218</v>
      </c>
      <c r="AP5" s="76" t="s">
        <v>219</v>
      </c>
      <c r="AQ5" s="76" t="s">
        <v>220</v>
      </c>
      <c r="AR5" s="58"/>
      <c r="AS5" s="79" t="str">
        <f>'Captura Julio'!B7</f>
        <v>Alrededores</v>
      </c>
      <c r="AT5" s="80">
        <f>'Captura Julio'!K7+'Captura Julio'!N7+'Captura Julio'!Q7</f>
        <v>0.24</v>
      </c>
      <c r="AU5" s="80">
        <f>'Captura Julio'!T7</f>
        <v>0</v>
      </c>
      <c r="AV5" s="80">
        <f>'Captura Julio'!V7</f>
        <v>0.25</v>
      </c>
      <c r="AW5" s="80">
        <f>'Captura Julio'!G7</f>
        <v>0.2</v>
      </c>
      <c r="AX5" s="80">
        <f>'Captura Julio'!X7</f>
        <v>4.9999999999999989E-2</v>
      </c>
      <c r="AY5" s="80">
        <f>'Captura Julio'!AC7</f>
        <v>0</v>
      </c>
      <c r="AZ5" s="81">
        <f>-'Captura Julio'!AN7</f>
        <v>0</v>
      </c>
      <c r="BA5" s="82">
        <f>'Captura Julio'!AQ7</f>
        <v>0.64</v>
      </c>
      <c r="BB5" s="110" t="s">
        <v>221</v>
      </c>
      <c r="BC5" s="110"/>
    </row>
    <row r="6" spans="1:55" ht="16.5" customHeight="1" x14ac:dyDescent="0.35">
      <c r="A6" s="12">
        <v>1</v>
      </c>
      <c r="B6" s="83" t="s">
        <v>103</v>
      </c>
      <c r="C6" s="84" t="str">
        <f>VLOOKUP(B6,Parametros!$I$6:$J$20,2,FALSE())</f>
        <v>Fredy Fuentes</v>
      </c>
      <c r="D6" s="85">
        <v>1</v>
      </c>
      <c r="E6" s="85">
        <v>1</v>
      </c>
      <c r="F6" s="11">
        <f t="shared" ref="F6:F20" si="0">AVERAGE(D6,E6)</f>
        <v>1</v>
      </c>
      <c r="G6" s="86">
        <f>F6*Parametros!$E$6</f>
        <v>0.2</v>
      </c>
      <c r="H6" s="87">
        <v>10</v>
      </c>
      <c r="I6" s="87">
        <v>10</v>
      </c>
      <c r="J6" s="88" t="s">
        <v>222</v>
      </c>
      <c r="K6" s="86">
        <f>IF(J6="NO",0,IFERROR(H6/I6,0)*Parametros!$E$7)</f>
        <v>0.08</v>
      </c>
      <c r="L6" s="85">
        <v>1</v>
      </c>
      <c r="M6" s="88" t="s">
        <v>222</v>
      </c>
      <c r="N6" s="86">
        <f>IF(M6="NO",0,L6*Parametros!$E$8)</f>
        <v>0.08</v>
      </c>
      <c r="O6" s="85">
        <v>1</v>
      </c>
      <c r="P6" s="88" t="s">
        <v>222</v>
      </c>
      <c r="Q6" s="86">
        <f>IF(P6="NO",0,O6*Parametros!$E$9)</f>
        <v>0.08</v>
      </c>
      <c r="R6" s="85">
        <v>1</v>
      </c>
      <c r="S6" s="88" t="s">
        <v>222</v>
      </c>
      <c r="T6" s="86">
        <f>IF(S6="NO",0,R6*Parametros!$E$10)</f>
        <v>0.06</v>
      </c>
      <c r="U6" s="85">
        <v>1</v>
      </c>
      <c r="V6" s="86">
        <f>U6*Parametros!$E$11</f>
        <v>0.25</v>
      </c>
      <c r="W6" s="87">
        <v>0</v>
      </c>
      <c r="X6" s="86">
        <f>MAX(0,Parametros!$E$12-Parametros!$E$18*W6)</f>
        <v>0.25</v>
      </c>
      <c r="Y6" s="87">
        <v>4</v>
      </c>
      <c r="Z6" s="87">
        <v>3</v>
      </c>
      <c r="AA6" s="89">
        <f>IF(Y6&gt;=Parametros!$E$22,Parametros!$E$24,0)</f>
        <v>0</v>
      </c>
      <c r="AB6" s="89">
        <f>IF(Z6&gt;=Parametros!$E$23,Parametros!$E$25,0)</f>
        <v>0</v>
      </c>
      <c r="AC6" s="89">
        <f t="shared" ref="AC6:AC20" si="1">AA6+AB6</f>
        <v>0</v>
      </c>
      <c r="AD6" s="87">
        <v>0</v>
      </c>
      <c r="AE6" s="88" t="s">
        <v>222</v>
      </c>
      <c r="AF6" s="87">
        <v>0</v>
      </c>
      <c r="AG6" s="88" t="s">
        <v>222</v>
      </c>
      <c r="AH6" s="87">
        <v>0</v>
      </c>
      <c r="AI6" s="88" t="s">
        <v>222</v>
      </c>
      <c r="AJ6" s="87">
        <v>0</v>
      </c>
      <c r="AK6" s="88" t="s">
        <v>222</v>
      </c>
      <c r="AL6" s="87">
        <v>0</v>
      </c>
      <c r="AM6" s="88" t="s">
        <v>222</v>
      </c>
      <c r="AN6" s="89">
        <f>AD6*Parametros!$E$28+AF6*Parametros!$E$29+AH6*Parametros!$E$30+AJ6*Parametros!$E$31+AL6*Parametros!$E$32</f>
        <v>0</v>
      </c>
      <c r="AO6" s="12" t="str">
        <f t="shared" ref="AO6:AO20" si="2">IF(OR(AND(AD6&gt;0,AE6="NO"),AND(AF6&gt;0,AG6="NO"),AND(AH6&gt;0,AI6="NO"),AND(AJ6&gt;0,AK6="NO"),AND(AL6&gt;0,AM6="NO")),"SI","NO")</f>
        <v>NO</v>
      </c>
      <c r="AP6" s="11">
        <f t="shared" ref="AP6:AP20" si="3">G6+K6+N6+Q6+T6+V6+X6</f>
        <v>1</v>
      </c>
      <c r="AQ6" s="90">
        <f>MAX(0,MIN(1,MAX(0,AP6-IF(S6="NO",Parametros!$E$17,0))+AC6-AN6-IF(AO6="SI",Parametros!$E$33,0)))</f>
        <v>1</v>
      </c>
      <c r="AR6" s="58"/>
      <c r="AS6" s="71" t="str">
        <f>'Captura Julio'!B8</f>
        <v>Calidad</v>
      </c>
      <c r="AT6" s="72">
        <f>'Captura Julio'!K8+'Captura Julio'!N8+'Captura Julio'!Q8</f>
        <v>0.24</v>
      </c>
      <c r="AU6" s="72">
        <f>'Captura Julio'!T8</f>
        <v>0.06</v>
      </c>
      <c r="AV6" s="72">
        <f>'Captura Julio'!V8</f>
        <v>0.25</v>
      </c>
      <c r="AW6" s="72">
        <f>'Captura Julio'!G8</f>
        <v>0.1875</v>
      </c>
      <c r="AX6" s="72">
        <f>'Captura Julio'!X8</f>
        <v>0.25</v>
      </c>
      <c r="AY6" s="72">
        <f>'Captura Julio'!AC8</f>
        <v>0.08</v>
      </c>
      <c r="AZ6" s="73">
        <f>-'Captura Julio'!AN8</f>
        <v>0</v>
      </c>
      <c r="BA6" s="74">
        <f>'Captura Julio'!AQ8</f>
        <v>1</v>
      </c>
      <c r="BB6" s="58"/>
      <c r="BC6" s="58"/>
    </row>
    <row r="7" spans="1:55" ht="16.5" customHeight="1" x14ac:dyDescent="0.35">
      <c r="A7" s="12">
        <v>2</v>
      </c>
      <c r="B7" s="83" t="s">
        <v>135</v>
      </c>
      <c r="C7" s="84" t="str">
        <f>VLOOKUP(B7,Parametros!$I$6:$J$20,2,FALSE())</f>
        <v>Carlos Chavez</v>
      </c>
      <c r="D7" s="85">
        <v>1</v>
      </c>
      <c r="E7" s="85">
        <v>1</v>
      </c>
      <c r="F7" s="11">
        <f t="shared" si="0"/>
        <v>1</v>
      </c>
      <c r="G7" s="86">
        <f>F7*Parametros!$E$6</f>
        <v>0.2</v>
      </c>
      <c r="H7" s="87">
        <v>10</v>
      </c>
      <c r="I7" s="87">
        <v>10</v>
      </c>
      <c r="J7" s="88" t="s">
        <v>222</v>
      </c>
      <c r="K7" s="86">
        <f>IF(J7="NO",0,IFERROR(H7/I7,0)*Parametros!$E$7)</f>
        <v>0.08</v>
      </c>
      <c r="L7" s="85">
        <v>1</v>
      </c>
      <c r="M7" s="88" t="s">
        <v>222</v>
      </c>
      <c r="N7" s="86">
        <f>IF(M7="NO",0,L7*Parametros!$E$8)</f>
        <v>0.08</v>
      </c>
      <c r="O7" s="85">
        <v>1</v>
      </c>
      <c r="P7" s="88" t="s">
        <v>222</v>
      </c>
      <c r="Q7" s="86">
        <f>IF(P7="NO",0,O7*Parametros!$E$9)</f>
        <v>0.08</v>
      </c>
      <c r="R7" s="85">
        <v>0</v>
      </c>
      <c r="S7" s="88" t="s">
        <v>223</v>
      </c>
      <c r="T7" s="86">
        <f>IF(S7="NO",0,R7*Parametros!$E$10)</f>
        <v>0</v>
      </c>
      <c r="U7" s="85">
        <v>1</v>
      </c>
      <c r="V7" s="86">
        <f>U7*Parametros!$E$11</f>
        <v>0.25</v>
      </c>
      <c r="W7" s="87">
        <v>4</v>
      </c>
      <c r="X7" s="86">
        <f>MAX(0,Parametros!$E$12-Parametros!$E$18*W7)</f>
        <v>4.9999999999999989E-2</v>
      </c>
      <c r="Y7" s="87">
        <v>0</v>
      </c>
      <c r="Z7" s="87">
        <v>0</v>
      </c>
      <c r="AA7" s="89">
        <f>IF(Y7&gt;=Parametros!$E$22,Parametros!$E$24,0)</f>
        <v>0</v>
      </c>
      <c r="AB7" s="89">
        <f>IF(Z7&gt;=Parametros!$E$23,Parametros!$E$25,0)</f>
        <v>0</v>
      </c>
      <c r="AC7" s="89">
        <f t="shared" si="1"/>
        <v>0</v>
      </c>
      <c r="AD7" s="87">
        <v>0</v>
      </c>
      <c r="AE7" s="88" t="s">
        <v>222</v>
      </c>
      <c r="AF7" s="87">
        <v>0</v>
      </c>
      <c r="AG7" s="88" t="s">
        <v>222</v>
      </c>
      <c r="AH7" s="87">
        <v>0</v>
      </c>
      <c r="AI7" s="88" t="s">
        <v>222</v>
      </c>
      <c r="AJ7" s="87">
        <v>0</v>
      </c>
      <c r="AK7" s="88" t="s">
        <v>222</v>
      </c>
      <c r="AL7" s="87">
        <v>0</v>
      </c>
      <c r="AM7" s="88" t="s">
        <v>222</v>
      </c>
      <c r="AN7" s="89">
        <f>AD7*Parametros!$E$28+AF7*Parametros!$E$29+AH7*Parametros!$E$30+AJ7*Parametros!$E$31+AL7*Parametros!$E$32</f>
        <v>0</v>
      </c>
      <c r="AO7" s="12" t="str">
        <f t="shared" si="2"/>
        <v>NO</v>
      </c>
      <c r="AP7" s="11">
        <f t="shared" si="3"/>
        <v>0.74</v>
      </c>
      <c r="AQ7" s="90">
        <f>MAX(0,MIN(1,MAX(0,AP7-IF(S7="NO",Parametros!$E$17,0))+AC7-AN7-IF(AO7="SI",Parametros!$E$33,0)))</f>
        <v>0.64</v>
      </c>
      <c r="AR7" s="58"/>
      <c r="AS7" s="79" t="str">
        <f>'Captura Julio'!B9</f>
        <v>Centro de Distribucion</v>
      </c>
      <c r="AT7" s="80">
        <f>'Captura Julio'!K9+'Captura Julio'!N9+'Captura Julio'!Q9</f>
        <v>0.24</v>
      </c>
      <c r="AU7" s="80">
        <f>'Captura Julio'!T9</f>
        <v>0.06</v>
      </c>
      <c r="AV7" s="80">
        <f>'Captura Julio'!V9</f>
        <v>0.25</v>
      </c>
      <c r="AW7" s="80">
        <f>'Captura Julio'!G9</f>
        <v>0.2</v>
      </c>
      <c r="AX7" s="80">
        <f>'Captura Julio'!X9</f>
        <v>0.25</v>
      </c>
      <c r="AY7" s="80">
        <f>'Captura Julio'!AC9</f>
        <v>0.04</v>
      </c>
      <c r="AZ7" s="81">
        <f>-'Captura Julio'!AN9</f>
        <v>0</v>
      </c>
      <c r="BA7" s="82">
        <f>'Captura Julio'!AQ9</f>
        <v>1</v>
      </c>
      <c r="BB7" s="58"/>
      <c r="BC7" s="58"/>
    </row>
    <row r="8" spans="1:55" ht="16.5" customHeight="1" x14ac:dyDescent="0.35">
      <c r="A8" s="12">
        <v>3</v>
      </c>
      <c r="B8" s="83" t="s">
        <v>98</v>
      </c>
      <c r="C8" s="84" t="str">
        <f>VLOOKUP(B8,Parametros!$I$6:$J$20,2,FALSE())</f>
        <v>Alejandro Martinez</v>
      </c>
      <c r="D8" s="85">
        <v>0.875</v>
      </c>
      <c r="E8" s="85">
        <v>1</v>
      </c>
      <c r="F8" s="11">
        <f t="shared" si="0"/>
        <v>0.9375</v>
      </c>
      <c r="G8" s="86">
        <f>F8*Parametros!$E$6</f>
        <v>0.1875</v>
      </c>
      <c r="H8" s="87">
        <v>10</v>
      </c>
      <c r="I8" s="87">
        <v>10</v>
      </c>
      <c r="J8" s="88" t="s">
        <v>222</v>
      </c>
      <c r="K8" s="86">
        <f>IF(J8="NO",0,IFERROR(H8/I8,0)*Parametros!$E$7)</f>
        <v>0.08</v>
      </c>
      <c r="L8" s="85">
        <v>1</v>
      </c>
      <c r="M8" s="88" t="s">
        <v>222</v>
      </c>
      <c r="N8" s="86">
        <f>IF(M8="NO",0,L8*Parametros!$E$8)</f>
        <v>0.08</v>
      </c>
      <c r="O8" s="85">
        <v>1</v>
      </c>
      <c r="P8" s="88" t="s">
        <v>222</v>
      </c>
      <c r="Q8" s="86">
        <f>IF(P8="NO",0,O8*Parametros!$E$9)</f>
        <v>0.08</v>
      </c>
      <c r="R8" s="85">
        <v>1</v>
      </c>
      <c r="S8" s="88" t="s">
        <v>222</v>
      </c>
      <c r="T8" s="86">
        <f>IF(S8="NO",0,R8*Parametros!$E$10)</f>
        <v>0.06</v>
      </c>
      <c r="U8" s="85">
        <v>1</v>
      </c>
      <c r="V8" s="86">
        <f>U8*Parametros!$E$11</f>
        <v>0.25</v>
      </c>
      <c r="W8" s="87">
        <v>0</v>
      </c>
      <c r="X8" s="86">
        <f>MAX(0,Parametros!$E$12-Parametros!$E$18*W8)</f>
        <v>0.25</v>
      </c>
      <c r="Y8" s="87">
        <v>12</v>
      </c>
      <c r="Z8" s="87">
        <v>23</v>
      </c>
      <c r="AA8" s="89">
        <f>IF(Y8&gt;=Parametros!$E$22,Parametros!$E$24,0)</f>
        <v>0.04</v>
      </c>
      <c r="AB8" s="89">
        <f>IF(Z8&gt;=Parametros!$E$23,Parametros!$E$25,0)</f>
        <v>0.04</v>
      </c>
      <c r="AC8" s="89">
        <f t="shared" si="1"/>
        <v>0.08</v>
      </c>
      <c r="AD8" s="87">
        <v>0</v>
      </c>
      <c r="AE8" s="88" t="s">
        <v>222</v>
      </c>
      <c r="AF8" s="87">
        <v>0</v>
      </c>
      <c r="AG8" s="88" t="s">
        <v>222</v>
      </c>
      <c r="AH8" s="87">
        <v>0</v>
      </c>
      <c r="AI8" s="88" t="s">
        <v>222</v>
      </c>
      <c r="AJ8" s="87">
        <v>0</v>
      </c>
      <c r="AK8" s="88" t="s">
        <v>222</v>
      </c>
      <c r="AL8" s="87">
        <v>0</v>
      </c>
      <c r="AM8" s="88" t="s">
        <v>222</v>
      </c>
      <c r="AN8" s="89">
        <f>AD8*Parametros!$E$28+AF8*Parametros!$E$29+AH8*Parametros!$E$30+AJ8*Parametros!$E$31+AL8*Parametros!$E$32</f>
        <v>0</v>
      </c>
      <c r="AO8" s="12" t="str">
        <f t="shared" si="2"/>
        <v>NO</v>
      </c>
      <c r="AP8" s="11">
        <f t="shared" si="3"/>
        <v>0.98750000000000004</v>
      </c>
      <c r="AQ8" s="90">
        <f>MAX(0,MIN(1,MAX(0,AP8-IF(S8="NO",Parametros!$E$17,0))+AC8-AN8-IF(AO8="SI",Parametros!$E$33,0)))</f>
        <v>1</v>
      </c>
      <c r="AR8" s="58"/>
      <c r="AS8" s="71" t="str">
        <f>'Captura Julio'!B10</f>
        <v>ETEI</v>
      </c>
      <c r="AT8" s="72">
        <f>'Captura Julio'!K10+'Captura Julio'!N10+'Captura Julio'!Q10</f>
        <v>0.24</v>
      </c>
      <c r="AU8" s="72">
        <f>'Captura Julio'!T10</f>
        <v>0.06</v>
      </c>
      <c r="AV8" s="72">
        <f>'Captura Julio'!V10</f>
        <v>0.25</v>
      </c>
      <c r="AW8" s="72">
        <f>'Captura Julio'!G10</f>
        <v>0.2</v>
      </c>
      <c r="AX8" s="72">
        <f>'Captura Julio'!X10</f>
        <v>0.25</v>
      </c>
      <c r="AY8" s="72">
        <f>'Captura Julio'!AC10</f>
        <v>0</v>
      </c>
      <c r="AZ8" s="73">
        <f>-'Captura Julio'!AN10</f>
        <v>0</v>
      </c>
      <c r="BA8" s="74">
        <f>'Captura Julio'!AQ10</f>
        <v>1</v>
      </c>
      <c r="BB8" s="58"/>
      <c r="BC8" s="58"/>
    </row>
    <row r="9" spans="1:55" ht="16.5" customHeight="1" x14ac:dyDescent="0.35">
      <c r="A9" s="12">
        <v>4</v>
      </c>
      <c r="B9" s="83" t="s">
        <v>128</v>
      </c>
      <c r="C9" s="84" t="str">
        <f>VLOOKUP(B9,Parametros!$I$6:$J$20,2,FALSE())</f>
        <v>Jimmy Velasquez</v>
      </c>
      <c r="D9" s="85">
        <v>1</v>
      </c>
      <c r="E9" s="85">
        <v>1</v>
      </c>
      <c r="F9" s="11">
        <f t="shared" si="0"/>
        <v>1</v>
      </c>
      <c r="G9" s="86">
        <f>F9*Parametros!$E$6</f>
        <v>0.2</v>
      </c>
      <c r="H9" s="87">
        <v>10</v>
      </c>
      <c r="I9" s="87">
        <v>10</v>
      </c>
      <c r="J9" s="88" t="s">
        <v>222</v>
      </c>
      <c r="K9" s="86">
        <f>IF(J9="NO",0,IFERROR(H9/I9,0)*Parametros!$E$7)</f>
        <v>0.08</v>
      </c>
      <c r="L9" s="85">
        <v>1</v>
      </c>
      <c r="M9" s="88" t="s">
        <v>222</v>
      </c>
      <c r="N9" s="86">
        <f>IF(M9="NO",0,L9*Parametros!$E$8)</f>
        <v>0.08</v>
      </c>
      <c r="O9" s="85">
        <v>1</v>
      </c>
      <c r="P9" s="88" t="s">
        <v>222</v>
      </c>
      <c r="Q9" s="86">
        <f>IF(P9="NO",0,O9*Parametros!$E$9)</f>
        <v>0.08</v>
      </c>
      <c r="R9" s="85">
        <v>1</v>
      </c>
      <c r="S9" s="88" t="s">
        <v>222</v>
      </c>
      <c r="T9" s="86">
        <f>IF(S9="NO",0,R9*Parametros!$E$10)</f>
        <v>0.06</v>
      </c>
      <c r="U9" s="85">
        <v>1</v>
      </c>
      <c r="V9" s="86">
        <f>U9*Parametros!$E$11</f>
        <v>0.25</v>
      </c>
      <c r="W9" s="87">
        <v>0</v>
      </c>
      <c r="X9" s="86">
        <f>MAX(0,Parametros!$E$12-Parametros!$E$18*W9)</f>
        <v>0.25</v>
      </c>
      <c r="Y9" s="87">
        <v>3</v>
      </c>
      <c r="Z9" s="87">
        <v>12</v>
      </c>
      <c r="AA9" s="89">
        <f>IF(Y9&gt;=Parametros!$E$22,Parametros!$E$24,0)</f>
        <v>0</v>
      </c>
      <c r="AB9" s="89">
        <f>IF(Z9&gt;=Parametros!$E$23,Parametros!$E$25,0)</f>
        <v>0.04</v>
      </c>
      <c r="AC9" s="89">
        <f t="shared" si="1"/>
        <v>0.04</v>
      </c>
      <c r="AD9" s="87">
        <v>0</v>
      </c>
      <c r="AE9" s="88" t="s">
        <v>222</v>
      </c>
      <c r="AF9" s="87">
        <v>0</v>
      </c>
      <c r="AG9" s="88" t="s">
        <v>222</v>
      </c>
      <c r="AH9" s="87">
        <v>0</v>
      </c>
      <c r="AI9" s="88" t="s">
        <v>222</v>
      </c>
      <c r="AJ9" s="87">
        <v>0</v>
      </c>
      <c r="AK9" s="88" t="s">
        <v>222</v>
      </c>
      <c r="AL9" s="87">
        <v>0</v>
      </c>
      <c r="AM9" s="88" t="s">
        <v>222</v>
      </c>
      <c r="AN9" s="89">
        <f>AD9*Parametros!$E$28+AF9*Parametros!$E$29+AH9*Parametros!$E$30+AJ9*Parametros!$E$31+AL9*Parametros!$E$32</f>
        <v>0</v>
      </c>
      <c r="AO9" s="12" t="str">
        <f t="shared" si="2"/>
        <v>NO</v>
      </c>
      <c r="AP9" s="11">
        <f t="shared" si="3"/>
        <v>1</v>
      </c>
      <c r="AQ9" s="90">
        <f>MAX(0,MIN(1,MAX(0,AP9-IF(S9="NO",Parametros!$E$17,0))+AC9-AN9-IF(AO9="SI",Parametros!$E$33,0)))</f>
        <v>1</v>
      </c>
      <c r="AR9" s="58"/>
      <c r="AS9" s="79" t="str">
        <f>'Captura Julio'!B11</f>
        <v>Equipos Auxiliares</v>
      </c>
      <c r="AT9" s="80">
        <f>'Captura Julio'!K11+'Captura Julio'!N11+'Captura Julio'!Q11</f>
        <v>0.24</v>
      </c>
      <c r="AU9" s="80">
        <f>'Captura Julio'!T11</f>
        <v>0.06</v>
      </c>
      <c r="AV9" s="80">
        <f>'Captura Julio'!V11</f>
        <v>0.25</v>
      </c>
      <c r="AW9" s="80">
        <f>'Captura Julio'!G11</f>
        <v>0.2</v>
      </c>
      <c r="AX9" s="80">
        <f>'Captura Julio'!X11</f>
        <v>0.15</v>
      </c>
      <c r="AY9" s="80">
        <f>'Captura Julio'!AC11</f>
        <v>0.04</v>
      </c>
      <c r="AZ9" s="81">
        <f>-'Captura Julio'!AN11</f>
        <v>0</v>
      </c>
      <c r="BA9" s="82">
        <f>'Captura Julio'!AQ11</f>
        <v>0.94000000000000006</v>
      </c>
      <c r="BB9" s="58"/>
      <c r="BC9" s="58"/>
    </row>
    <row r="10" spans="1:55" ht="16.5" customHeight="1" x14ac:dyDescent="0.35">
      <c r="A10" s="12">
        <v>5</v>
      </c>
      <c r="B10" s="83" t="s">
        <v>125</v>
      </c>
      <c r="C10" s="84" t="str">
        <f>VLOOKUP(B10,Parametros!$I$6:$J$20,2,FALSE())</f>
        <v>Jessica Loarca</v>
      </c>
      <c r="D10" s="85">
        <v>1</v>
      </c>
      <c r="E10" s="85">
        <v>1</v>
      </c>
      <c r="F10" s="11">
        <f t="shared" si="0"/>
        <v>1</v>
      </c>
      <c r="G10" s="86">
        <f>F10*Parametros!$E$6</f>
        <v>0.2</v>
      </c>
      <c r="H10" s="87">
        <v>10</v>
      </c>
      <c r="I10" s="87">
        <v>10</v>
      </c>
      <c r="J10" s="88" t="s">
        <v>222</v>
      </c>
      <c r="K10" s="86">
        <f>IF(J10="NO",0,IFERROR(H10/I10,0)*Parametros!$E$7)</f>
        <v>0.08</v>
      </c>
      <c r="L10" s="85">
        <v>1</v>
      </c>
      <c r="M10" s="88" t="s">
        <v>222</v>
      </c>
      <c r="N10" s="86">
        <f>IF(M10="NO",0,L10*Parametros!$E$8)</f>
        <v>0.08</v>
      </c>
      <c r="O10" s="85">
        <v>1</v>
      </c>
      <c r="P10" s="88" t="s">
        <v>222</v>
      </c>
      <c r="Q10" s="86">
        <f>IF(P10="NO",0,O10*Parametros!$E$9)</f>
        <v>0.08</v>
      </c>
      <c r="R10" s="85">
        <v>1</v>
      </c>
      <c r="S10" s="88" t="s">
        <v>222</v>
      </c>
      <c r="T10" s="86">
        <f>IF(S10="NO",0,R10*Parametros!$E$10)</f>
        <v>0.06</v>
      </c>
      <c r="U10" s="85">
        <v>1</v>
      </c>
      <c r="V10" s="86">
        <f>U10*Parametros!$E$11</f>
        <v>0.25</v>
      </c>
      <c r="W10" s="87">
        <v>0</v>
      </c>
      <c r="X10" s="86">
        <f>MAX(0,Parametros!$E$12-Parametros!$E$18*W10)</f>
        <v>0.25</v>
      </c>
      <c r="Y10" s="87">
        <v>0</v>
      </c>
      <c r="Z10" s="87">
        <v>0</v>
      </c>
      <c r="AA10" s="89">
        <f>IF(Y10&gt;=Parametros!$E$22,Parametros!$E$24,0)</f>
        <v>0</v>
      </c>
      <c r="AB10" s="89">
        <f>IF(Z10&gt;=Parametros!$E$23,Parametros!$E$25,0)</f>
        <v>0</v>
      </c>
      <c r="AC10" s="89">
        <f t="shared" si="1"/>
        <v>0</v>
      </c>
      <c r="AD10" s="87">
        <v>0</v>
      </c>
      <c r="AE10" s="88" t="s">
        <v>222</v>
      </c>
      <c r="AF10" s="87">
        <v>0</v>
      </c>
      <c r="AG10" s="88" t="s">
        <v>222</v>
      </c>
      <c r="AH10" s="87">
        <v>0</v>
      </c>
      <c r="AI10" s="88" t="s">
        <v>222</v>
      </c>
      <c r="AJ10" s="87">
        <v>0</v>
      </c>
      <c r="AK10" s="88" t="s">
        <v>222</v>
      </c>
      <c r="AL10" s="87">
        <v>0</v>
      </c>
      <c r="AM10" s="88" t="s">
        <v>222</v>
      </c>
      <c r="AN10" s="89">
        <f>AD10*Parametros!$E$28+AF10*Parametros!$E$29+AH10*Parametros!$E$30+AJ10*Parametros!$E$31+AL10*Parametros!$E$32</f>
        <v>0</v>
      </c>
      <c r="AO10" s="12" t="str">
        <f t="shared" si="2"/>
        <v>NO</v>
      </c>
      <c r="AP10" s="11">
        <f t="shared" si="3"/>
        <v>1</v>
      </c>
      <c r="AQ10" s="90">
        <f>MAX(0,MIN(1,MAX(0,AP10-IF(S10="NO",Parametros!$E$17,0))+AC10-AN10-IF(AO10="SI",Parametros!$E$33,0)))</f>
        <v>1</v>
      </c>
      <c r="AR10" s="58"/>
      <c r="AS10" s="71" t="str">
        <f>'Captura Julio'!B12</f>
        <v>Jarabes</v>
      </c>
      <c r="AT10" s="72">
        <f>'Captura Julio'!K12+'Captura Julio'!N12+'Captura Julio'!Q12</f>
        <v>0.24</v>
      </c>
      <c r="AU10" s="72">
        <f>'Captura Julio'!T12</f>
        <v>0.06</v>
      </c>
      <c r="AV10" s="72">
        <f>'Captura Julio'!V12</f>
        <v>0.25</v>
      </c>
      <c r="AW10" s="72">
        <f>'Captura Julio'!G12</f>
        <v>0.2</v>
      </c>
      <c r="AX10" s="72">
        <f>'Captura Julio'!X12</f>
        <v>0.25</v>
      </c>
      <c r="AY10" s="72">
        <f>'Captura Julio'!AC12</f>
        <v>0</v>
      </c>
      <c r="AZ10" s="73">
        <f>-'Captura Julio'!AN12</f>
        <v>-0.1</v>
      </c>
      <c r="BA10" s="74">
        <f>'Captura Julio'!AQ12</f>
        <v>0.9</v>
      </c>
      <c r="BB10" s="58"/>
      <c r="BC10" s="58"/>
    </row>
    <row r="11" spans="1:55" ht="16.5" customHeight="1" x14ac:dyDescent="0.35">
      <c r="A11" s="12">
        <v>6</v>
      </c>
      <c r="B11" s="83" t="s">
        <v>117</v>
      </c>
      <c r="C11" s="84" t="str">
        <f>VLOOKUP(B11,Parametros!$I$6:$J$20,2,FALSE())</f>
        <v>Edson Bonifacio</v>
      </c>
      <c r="D11" s="85">
        <v>1</v>
      </c>
      <c r="E11" s="85">
        <v>1</v>
      </c>
      <c r="F11" s="11">
        <f t="shared" si="0"/>
        <v>1</v>
      </c>
      <c r="G11" s="86">
        <f>F11*Parametros!$E$6</f>
        <v>0.2</v>
      </c>
      <c r="H11" s="87">
        <v>10</v>
      </c>
      <c r="I11" s="87">
        <v>10</v>
      </c>
      <c r="J11" s="88" t="s">
        <v>222</v>
      </c>
      <c r="K11" s="86">
        <f>IF(J11="NO",0,IFERROR(H11/I11,0)*Parametros!$E$7)</f>
        <v>0.08</v>
      </c>
      <c r="L11" s="85">
        <v>1</v>
      </c>
      <c r="M11" s="88" t="s">
        <v>222</v>
      </c>
      <c r="N11" s="86">
        <f>IF(M11="NO",0,L11*Parametros!$E$8)</f>
        <v>0.08</v>
      </c>
      <c r="O11" s="85">
        <v>1</v>
      </c>
      <c r="P11" s="88" t="s">
        <v>222</v>
      </c>
      <c r="Q11" s="86">
        <f>IF(P11="NO",0,O11*Parametros!$E$9)</f>
        <v>0.08</v>
      </c>
      <c r="R11" s="85">
        <v>1</v>
      </c>
      <c r="S11" s="88" t="s">
        <v>222</v>
      </c>
      <c r="T11" s="86">
        <f>IF(S11="NO",0,R11*Parametros!$E$10)</f>
        <v>0.06</v>
      </c>
      <c r="U11" s="85">
        <v>1</v>
      </c>
      <c r="V11" s="86">
        <f>U11*Parametros!$E$11</f>
        <v>0.25</v>
      </c>
      <c r="W11" s="87">
        <v>2</v>
      </c>
      <c r="X11" s="86">
        <f>MAX(0,Parametros!$E$12-Parametros!$E$18*W11)</f>
        <v>0.15</v>
      </c>
      <c r="Y11" s="87">
        <v>4</v>
      </c>
      <c r="Z11" s="87">
        <v>13</v>
      </c>
      <c r="AA11" s="89">
        <f>IF(Y11&gt;=Parametros!$E$22,Parametros!$E$24,0)</f>
        <v>0</v>
      </c>
      <c r="AB11" s="89">
        <f>IF(Z11&gt;=Parametros!$E$23,Parametros!$E$25,0)</f>
        <v>0.04</v>
      </c>
      <c r="AC11" s="89">
        <f t="shared" si="1"/>
        <v>0.04</v>
      </c>
      <c r="AD11" s="87">
        <v>0</v>
      </c>
      <c r="AE11" s="88" t="s">
        <v>222</v>
      </c>
      <c r="AF11" s="87">
        <v>0</v>
      </c>
      <c r="AG11" s="88" t="s">
        <v>222</v>
      </c>
      <c r="AH11" s="87">
        <v>0</v>
      </c>
      <c r="AI11" s="88" t="s">
        <v>222</v>
      </c>
      <c r="AJ11" s="87">
        <v>0</v>
      </c>
      <c r="AK11" s="88" t="s">
        <v>222</v>
      </c>
      <c r="AL11" s="87">
        <v>0</v>
      </c>
      <c r="AM11" s="88" t="s">
        <v>222</v>
      </c>
      <c r="AN11" s="89">
        <f>AD11*Parametros!$E$28+AF11*Parametros!$E$29+AH11*Parametros!$E$30+AJ11*Parametros!$E$31+AL11*Parametros!$E$32</f>
        <v>0</v>
      </c>
      <c r="AO11" s="12" t="str">
        <f t="shared" si="2"/>
        <v>NO</v>
      </c>
      <c r="AP11" s="11">
        <f t="shared" si="3"/>
        <v>0.9</v>
      </c>
      <c r="AQ11" s="90">
        <f>MAX(0,MIN(1,MAX(0,AP11-IF(S11="NO",Parametros!$E$17,0))+AC11-AN11-IF(AO11="SI",Parametros!$E$33,0)))</f>
        <v>0.94000000000000006</v>
      </c>
      <c r="AR11" s="58"/>
      <c r="AS11" s="79" t="str">
        <f>'Captura Julio'!B13</f>
        <v>Linea 1</v>
      </c>
      <c r="AT11" s="80">
        <f>'Captura Julio'!K13+'Captura Julio'!N13+'Captura Julio'!Q13</f>
        <v>0.24</v>
      </c>
      <c r="AU11" s="80">
        <f>'Captura Julio'!T13</f>
        <v>0.06</v>
      </c>
      <c r="AV11" s="80">
        <f>'Captura Julio'!V13</f>
        <v>0.25</v>
      </c>
      <c r="AW11" s="80">
        <f>'Captura Julio'!G13</f>
        <v>0.2</v>
      </c>
      <c r="AX11" s="80">
        <f>'Captura Julio'!X13</f>
        <v>0</v>
      </c>
      <c r="AY11" s="80">
        <f>'Captura Julio'!AC13</f>
        <v>0.04</v>
      </c>
      <c r="AZ11" s="81">
        <f>-'Captura Julio'!AN13</f>
        <v>-0.15</v>
      </c>
      <c r="BA11" s="82">
        <f>'Captura Julio'!AQ13</f>
        <v>0.64</v>
      </c>
      <c r="BB11" s="58"/>
      <c r="BC11" s="58"/>
    </row>
    <row r="12" spans="1:55" ht="16.5" customHeight="1" x14ac:dyDescent="0.35">
      <c r="A12" s="12">
        <v>7</v>
      </c>
      <c r="B12" s="83" t="s">
        <v>130</v>
      </c>
      <c r="C12" s="84" t="str">
        <f>VLOOKUP(B12,Parametros!$I$6:$J$20,2,FALSE())</f>
        <v>Adrian Santisteban</v>
      </c>
      <c r="D12" s="85">
        <v>1</v>
      </c>
      <c r="E12" s="85">
        <v>1</v>
      </c>
      <c r="F12" s="11">
        <f t="shared" si="0"/>
        <v>1</v>
      </c>
      <c r="G12" s="86">
        <f>F12*Parametros!$E$6</f>
        <v>0.2</v>
      </c>
      <c r="H12" s="87">
        <v>10</v>
      </c>
      <c r="I12" s="87">
        <v>10</v>
      </c>
      <c r="J12" s="88" t="s">
        <v>222</v>
      </c>
      <c r="K12" s="86">
        <f>IF(J12="NO",0,IFERROR(H12/I12,0)*Parametros!$E$7)</f>
        <v>0.08</v>
      </c>
      <c r="L12" s="85">
        <v>1</v>
      </c>
      <c r="M12" s="88" t="s">
        <v>222</v>
      </c>
      <c r="N12" s="86">
        <f>IF(M12="NO",0,L12*Parametros!$E$8)</f>
        <v>0.08</v>
      </c>
      <c r="O12" s="85">
        <v>1</v>
      </c>
      <c r="P12" s="88" t="s">
        <v>222</v>
      </c>
      <c r="Q12" s="86">
        <f>IF(P12="NO",0,O12*Parametros!$E$9)</f>
        <v>0.08</v>
      </c>
      <c r="R12" s="85">
        <v>1</v>
      </c>
      <c r="S12" s="88" t="s">
        <v>222</v>
      </c>
      <c r="T12" s="86">
        <f>IF(S12="NO",0,R12*Parametros!$E$10)</f>
        <v>0.06</v>
      </c>
      <c r="U12" s="85">
        <v>1</v>
      </c>
      <c r="V12" s="86">
        <f>U12*Parametros!$E$11</f>
        <v>0.25</v>
      </c>
      <c r="W12" s="87">
        <v>0</v>
      </c>
      <c r="X12" s="86">
        <f>MAX(0,Parametros!$E$12-Parametros!$E$18*W12)</f>
        <v>0.25</v>
      </c>
      <c r="Y12" s="87">
        <v>7</v>
      </c>
      <c r="Z12" s="87">
        <v>7</v>
      </c>
      <c r="AA12" s="89">
        <f>IF(Y12&gt;=Parametros!$E$22,Parametros!$E$24,0)</f>
        <v>0</v>
      </c>
      <c r="AB12" s="89">
        <f>IF(Z12&gt;=Parametros!$E$23,Parametros!$E$25,0)</f>
        <v>0</v>
      </c>
      <c r="AC12" s="89">
        <f t="shared" si="1"/>
        <v>0</v>
      </c>
      <c r="AD12" s="87">
        <v>0</v>
      </c>
      <c r="AE12" s="88" t="s">
        <v>222</v>
      </c>
      <c r="AF12" s="87">
        <v>1</v>
      </c>
      <c r="AG12" s="88" t="s">
        <v>222</v>
      </c>
      <c r="AH12" s="87">
        <v>0</v>
      </c>
      <c r="AI12" s="88" t="s">
        <v>222</v>
      </c>
      <c r="AJ12" s="87">
        <v>0</v>
      </c>
      <c r="AK12" s="88" t="s">
        <v>222</v>
      </c>
      <c r="AL12" s="87">
        <v>0</v>
      </c>
      <c r="AM12" s="88" t="s">
        <v>222</v>
      </c>
      <c r="AN12" s="89">
        <f>AD12*Parametros!$E$28+AF12*Parametros!$E$29+AH12*Parametros!$E$30+AJ12*Parametros!$E$31+AL12*Parametros!$E$32</f>
        <v>0.1</v>
      </c>
      <c r="AO12" s="12" t="str">
        <f t="shared" si="2"/>
        <v>NO</v>
      </c>
      <c r="AP12" s="11">
        <f t="shared" si="3"/>
        <v>1</v>
      </c>
      <c r="AQ12" s="90">
        <f>MAX(0,MIN(1,MAX(0,AP12-IF(S12="NO",Parametros!$E$17,0))+AC12-AN12-IF(AO12="SI",Parametros!$E$33,0)))</f>
        <v>0.9</v>
      </c>
      <c r="AR12" s="58"/>
      <c r="AS12" s="71" t="str">
        <f>'Captura Julio'!B14</f>
        <v>Linea 2</v>
      </c>
      <c r="AT12" s="72">
        <f>'Captura Julio'!K14+'Captura Julio'!N14+'Captura Julio'!Q14</f>
        <v>0.24</v>
      </c>
      <c r="AU12" s="72">
        <f>'Captura Julio'!T14</f>
        <v>0.06</v>
      </c>
      <c r="AV12" s="72">
        <f>'Captura Julio'!V14</f>
        <v>0.25</v>
      </c>
      <c r="AW12" s="72">
        <f>'Captura Julio'!G14</f>
        <v>0.2</v>
      </c>
      <c r="AX12" s="72">
        <f>'Captura Julio'!X14</f>
        <v>0</v>
      </c>
      <c r="AY12" s="72">
        <f>'Captura Julio'!AC14</f>
        <v>0.04</v>
      </c>
      <c r="AZ12" s="73">
        <f>-'Captura Julio'!AN14</f>
        <v>0</v>
      </c>
      <c r="BA12" s="74">
        <f>'Captura Julio'!AQ14</f>
        <v>0.79</v>
      </c>
      <c r="BB12" s="58"/>
      <c r="BC12" s="58"/>
    </row>
    <row r="13" spans="1:55" ht="16.5" customHeight="1" x14ac:dyDescent="0.35">
      <c r="A13" s="12">
        <v>8</v>
      </c>
      <c r="B13" s="83" t="s">
        <v>123</v>
      </c>
      <c r="C13" s="84" t="str">
        <f>VLOOKUP(B13,Parametros!$I$6:$J$20,2,FALSE())</f>
        <v>Amilcar Ralda</v>
      </c>
      <c r="D13" s="85">
        <v>1</v>
      </c>
      <c r="E13" s="85">
        <v>1</v>
      </c>
      <c r="F13" s="11">
        <f t="shared" si="0"/>
        <v>1</v>
      </c>
      <c r="G13" s="86">
        <f>F13*Parametros!$E$6</f>
        <v>0.2</v>
      </c>
      <c r="H13" s="87">
        <v>10</v>
      </c>
      <c r="I13" s="87">
        <v>10</v>
      </c>
      <c r="J13" s="88" t="s">
        <v>222</v>
      </c>
      <c r="K13" s="86">
        <f>IF(J13="NO",0,IFERROR(H13/I13,0)*Parametros!$E$7)</f>
        <v>0.08</v>
      </c>
      <c r="L13" s="85">
        <v>1</v>
      </c>
      <c r="M13" s="88" t="s">
        <v>222</v>
      </c>
      <c r="N13" s="86">
        <f>IF(M13="NO",0,L13*Parametros!$E$8)</f>
        <v>0.08</v>
      </c>
      <c r="O13" s="85">
        <v>1</v>
      </c>
      <c r="P13" s="88" t="s">
        <v>222</v>
      </c>
      <c r="Q13" s="86">
        <f>IF(P13="NO",0,O13*Parametros!$E$9)</f>
        <v>0.08</v>
      </c>
      <c r="R13" s="85">
        <v>1</v>
      </c>
      <c r="S13" s="88" t="s">
        <v>222</v>
      </c>
      <c r="T13" s="86">
        <f>IF(S13="NO",0,R13*Parametros!$E$10)</f>
        <v>0.06</v>
      </c>
      <c r="U13" s="85">
        <v>1</v>
      </c>
      <c r="V13" s="86">
        <f>U13*Parametros!$E$11</f>
        <v>0.25</v>
      </c>
      <c r="W13" s="87">
        <v>8</v>
      </c>
      <c r="X13" s="86">
        <f>MAX(0,Parametros!$E$12-Parametros!$E$18*W13)</f>
        <v>0</v>
      </c>
      <c r="Y13" s="87">
        <v>5</v>
      </c>
      <c r="Z13" s="87">
        <v>18</v>
      </c>
      <c r="AA13" s="89">
        <f>IF(Y13&gt;=Parametros!$E$22,Parametros!$E$24,0)</f>
        <v>0</v>
      </c>
      <c r="AB13" s="89">
        <f>IF(Z13&gt;=Parametros!$E$23,Parametros!$E$25,0)</f>
        <v>0.04</v>
      </c>
      <c r="AC13" s="89">
        <f t="shared" si="1"/>
        <v>0.04</v>
      </c>
      <c r="AD13" s="87">
        <v>0</v>
      </c>
      <c r="AE13" s="88" t="s">
        <v>222</v>
      </c>
      <c r="AF13" s="87">
        <v>0</v>
      </c>
      <c r="AG13" s="88" t="s">
        <v>222</v>
      </c>
      <c r="AH13" s="87">
        <v>1</v>
      </c>
      <c r="AI13" s="88" t="s">
        <v>222</v>
      </c>
      <c r="AJ13" s="87">
        <v>0</v>
      </c>
      <c r="AK13" s="88" t="s">
        <v>222</v>
      </c>
      <c r="AL13" s="87">
        <v>0</v>
      </c>
      <c r="AM13" s="88" t="s">
        <v>222</v>
      </c>
      <c r="AN13" s="89">
        <f>AD13*Parametros!$E$28+AF13*Parametros!$E$29+AH13*Parametros!$E$30+AJ13*Parametros!$E$31+AL13*Parametros!$E$32</f>
        <v>0.15</v>
      </c>
      <c r="AO13" s="12" t="str">
        <f t="shared" si="2"/>
        <v>NO</v>
      </c>
      <c r="AP13" s="11">
        <f t="shared" si="3"/>
        <v>0.75</v>
      </c>
      <c r="AQ13" s="90">
        <f>MAX(0,MIN(1,MAX(0,AP13-IF(S13="NO",Parametros!$E$17,0))+AC13-AN13-IF(AO13="SI",Parametros!$E$33,0)))</f>
        <v>0.64</v>
      </c>
      <c r="AR13" s="58"/>
      <c r="AS13" s="79" t="str">
        <f>'Captura Julio'!B15</f>
        <v>Linea 3</v>
      </c>
      <c r="AT13" s="80">
        <f>'Captura Julio'!K15+'Captura Julio'!N15+'Captura Julio'!Q15</f>
        <v>0.24</v>
      </c>
      <c r="AU13" s="80">
        <f>'Captura Julio'!T15</f>
        <v>0.06</v>
      </c>
      <c r="AV13" s="80">
        <f>'Captura Julio'!V15</f>
        <v>0.25</v>
      </c>
      <c r="AW13" s="80">
        <f>'Captura Julio'!G15</f>
        <v>0.2</v>
      </c>
      <c r="AX13" s="80">
        <f>'Captura Julio'!X15</f>
        <v>0</v>
      </c>
      <c r="AY13" s="80">
        <f>'Captura Julio'!AC15</f>
        <v>0</v>
      </c>
      <c r="AZ13" s="81">
        <f>-'Captura Julio'!AN15</f>
        <v>0</v>
      </c>
      <c r="BA13" s="82">
        <f>'Captura Julio'!AQ15</f>
        <v>0.75</v>
      </c>
      <c r="BB13" s="58"/>
      <c r="BC13" s="58"/>
    </row>
    <row r="14" spans="1:55" ht="16.5" customHeight="1" x14ac:dyDescent="0.35">
      <c r="A14" s="12">
        <v>9</v>
      </c>
      <c r="B14" s="83" t="s">
        <v>113</v>
      </c>
      <c r="C14" s="84" t="str">
        <f>VLOOKUP(B14,Parametros!$I$6:$J$20,2,FALSE())</f>
        <v>Amilcar Ralda</v>
      </c>
      <c r="D14" s="85">
        <v>1</v>
      </c>
      <c r="E14" s="85">
        <v>1</v>
      </c>
      <c r="F14" s="11">
        <f t="shared" si="0"/>
        <v>1</v>
      </c>
      <c r="G14" s="86">
        <f>F14*Parametros!$E$6</f>
        <v>0.2</v>
      </c>
      <c r="H14" s="87">
        <v>10</v>
      </c>
      <c r="I14" s="87">
        <v>10</v>
      </c>
      <c r="J14" s="88" t="s">
        <v>222</v>
      </c>
      <c r="K14" s="86">
        <f>IF(J14="NO",0,IFERROR(H14/I14,0)*Parametros!$E$7)</f>
        <v>0.08</v>
      </c>
      <c r="L14" s="85">
        <v>1</v>
      </c>
      <c r="M14" s="88" t="s">
        <v>222</v>
      </c>
      <c r="N14" s="86">
        <f>IF(M14="NO",0,L14*Parametros!$E$8)</f>
        <v>0.08</v>
      </c>
      <c r="O14" s="85">
        <v>1</v>
      </c>
      <c r="P14" s="88" t="s">
        <v>222</v>
      </c>
      <c r="Q14" s="86">
        <f>IF(P14="NO",0,O14*Parametros!$E$9)</f>
        <v>0.08</v>
      </c>
      <c r="R14" s="85">
        <v>1</v>
      </c>
      <c r="S14" s="88" t="s">
        <v>222</v>
      </c>
      <c r="T14" s="86">
        <f>IF(S14="NO",0,R14*Parametros!$E$10)</f>
        <v>0.06</v>
      </c>
      <c r="U14" s="85">
        <v>1</v>
      </c>
      <c r="V14" s="86">
        <f>U14*Parametros!$E$11</f>
        <v>0.25</v>
      </c>
      <c r="W14" s="87">
        <v>5</v>
      </c>
      <c r="X14" s="86">
        <f>MAX(0,Parametros!$E$12-Parametros!$E$18*W14)</f>
        <v>0</v>
      </c>
      <c r="Y14" s="87">
        <v>5</v>
      </c>
      <c r="Z14" s="87">
        <v>18</v>
      </c>
      <c r="AA14" s="89">
        <f>IF(Y14&gt;=Parametros!$E$22,Parametros!$E$24,0)</f>
        <v>0</v>
      </c>
      <c r="AB14" s="89">
        <f>IF(Z14&gt;=Parametros!$E$23,Parametros!$E$25,0)</f>
        <v>0.04</v>
      </c>
      <c r="AC14" s="89">
        <f t="shared" si="1"/>
        <v>0.04</v>
      </c>
      <c r="AD14" s="87">
        <v>0</v>
      </c>
      <c r="AE14" s="88" t="s">
        <v>222</v>
      </c>
      <c r="AF14" s="87">
        <v>0</v>
      </c>
      <c r="AG14" s="88" t="s">
        <v>222</v>
      </c>
      <c r="AH14" s="87">
        <v>0</v>
      </c>
      <c r="AI14" s="88" t="s">
        <v>222</v>
      </c>
      <c r="AJ14" s="87">
        <v>0</v>
      </c>
      <c r="AK14" s="88" t="s">
        <v>222</v>
      </c>
      <c r="AL14" s="87">
        <v>0</v>
      </c>
      <c r="AM14" s="88" t="s">
        <v>222</v>
      </c>
      <c r="AN14" s="89">
        <f>AD14*Parametros!$E$28+AF14*Parametros!$E$29+AH14*Parametros!$E$30+AJ14*Parametros!$E$31+AL14*Parametros!$E$32</f>
        <v>0</v>
      </c>
      <c r="AO14" s="12" t="str">
        <f t="shared" si="2"/>
        <v>NO</v>
      </c>
      <c r="AP14" s="11">
        <f t="shared" si="3"/>
        <v>0.75</v>
      </c>
      <c r="AQ14" s="90">
        <f>MAX(0,MIN(1,MAX(0,AP14-IF(S14="NO",Parametros!$E$17,0))+AC14-AN14-IF(AO14="SI",Parametros!$E$33,0)))</f>
        <v>0.79</v>
      </c>
      <c r="AR14" s="58"/>
      <c r="AS14" s="71" t="str">
        <f>'Captura Julio'!B16</f>
        <v>Linea 4</v>
      </c>
      <c r="AT14" s="72">
        <f>'Captura Julio'!K16+'Captura Julio'!N16+'Captura Julio'!Q16</f>
        <v>0.24</v>
      </c>
      <c r="AU14" s="72">
        <f>'Captura Julio'!T16</f>
        <v>0.06</v>
      </c>
      <c r="AV14" s="72">
        <f>'Captura Julio'!V16</f>
        <v>0.25</v>
      </c>
      <c r="AW14" s="72">
        <f>'Captura Julio'!G16</f>
        <v>0.2</v>
      </c>
      <c r="AX14" s="72">
        <f>'Captura Julio'!X16</f>
        <v>0.25</v>
      </c>
      <c r="AY14" s="72">
        <f>'Captura Julio'!AC16</f>
        <v>0</v>
      </c>
      <c r="AZ14" s="73">
        <f>-'Captura Julio'!AN16</f>
        <v>0</v>
      </c>
      <c r="BA14" s="74">
        <f>'Captura Julio'!AQ16</f>
        <v>1</v>
      </c>
      <c r="BB14" s="58"/>
      <c r="BC14" s="58"/>
    </row>
    <row r="15" spans="1:55" ht="16.5" customHeight="1" x14ac:dyDescent="0.35">
      <c r="A15" s="12">
        <v>10</v>
      </c>
      <c r="B15" s="83" t="s">
        <v>133</v>
      </c>
      <c r="C15" s="84" t="str">
        <f>VLOOKUP(B15,Parametros!$I$6:$J$20,2,FALSE())</f>
        <v>Mario Ramos</v>
      </c>
      <c r="D15" s="85">
        <v>1</v>
      </c>
      <c r="E15" s="85">
        <v>1</v>
      </c>
      <c r="F15" s="11">
        <f t="shared" si="0"/>
        <v>1</v>
      </c>
      <c r="G15" s="86">
        <f>F15*Parametros!$E$6</f>
        <v>0.2</v>
      </c>
      <c r="H15" s="87">
        <v>10</v>
      </c>
      <c r="I15" s="87">
        <v>10</v>
      </c>
      <c r="J15" s="88" t="s">
        <v>222</v>
      </c>
      <c r="K15" s="86">
        <f>IF(J15="NO",0,IFERROR(H15/I15,0)*Parametros!$E$7)</f>
        <v>0.08</v>
      </c>
      <c r="L15" s="85">
        <v>1</v>
      </c>
      <c r="M15" s="88" t="s">
        <v>222</v>
      </c>
      <c r="N15" s="86">
        <f>IF(M15="NO",0,L15*Parametros!$E$8)</f>
        <v>0.08</v>
      </c>
      <c r="O15" s="85">
        <v>1</v>
      </c>
      <c r="P15" s="88" t="s">
        <v>222</v>
      </c>
      <c r="Q15" s="86">
        <f>IF(P15="NO",0,O15*Parametros!$E$9)</f>
        <v>0.08</v>
      </c>
      <c r="R15" s="85">
        <v>1</v>
      </c>
      <c r="S15" s="88" t="s">
        <v>222</v>
      </c>
      <c r="T15" s="86">
        <f>IF(S15="NO",0,R15*Parametros!$E$10)</f>
        <v>0.06</v>
      </c>
      <c r="U15" s="85">
        <v>1</v>
      </c>
      <c r="V15" s="86">
        <f>U15*Parametros!$E$11</f>
        <v>0.25</v>
      </c>
      <c r="W15" s="87">
        <v>10</v>
      </c>
      <c r="X15" s="86">
        <f>MAX(0,Parametros!$E$12-Parametros!$E$18*W15)</f>
        <v>0</v>
      </c>
      <c r="Y15" s="87">
        <v>4</v>
      </c>
      <c r="Z15" s="87">
        <v>5</v>
      </c>
      <c r="AA15" s="89">
        <f>IF(Y15&gt;=Parametros!$E$22,Parametros!$E$24,0)</f>
        <v>0</v>
      </c>
      <c r="AB15" s="89">
        <f>IF(Z15&gt;=Parametros!$E$23,Parametros!$E$25,0)</f>
        <v>0</v>
      </c>
      <c r="AC15" s="89">
        <f t="shared" si="1"/>
        <v>0</v>
      </c>
      <c r="AD15" s="87">
        <v>0</v>
      </c>
      <c r="AE15" s="88" t="s">
        <v>222</v>
      </c>
      <c r="AF15" s="87">
        <v>0</v>
      </c>
      <c r="AG15" s="88" t="s">
        <v>222</v>
      </c>
      <c r="AH15" s="87">
        <v>0</v>
      </c>
      <c r="AI15" s="88" t="s">
        <v>222</v>
      </c>
      <c r="AJ15" s="87">
        <v>0</v>
      </c>
      <c r="AK15" s="88" t="s">
        <v>222</v>
      </c>
      <c r="AL15" s="87">
        <v>0</v>
      </c>
      <c r="AM15" s="88" t="s">
        <v>222</v>
      </c>
      <c r="AN15" s="89">
        <f>AD15*Parametros!$E$28+AF15*Parametros!$E$29+AH15*Parametros!$E$30+AJ15*Parametros!$E$31+AL15*Parametros!$E$32</f>
        <v>0</v>
      </c>
      <c r="AO15" s="12" t="str">
        <f t="shared" si="2"/>
        <v>NO</v>
      </c>
      <c r="AP15" s="11">
        <f t="shared" si="3"/>
        <v>0.75</v>
      </c>
      <c r="AQ15" s="90">
        <f>MAX(0,MIN(1,MAX(0,AP15-IF(S15="NO",Parametros!$E$17,0))+AC15-AN15-IF(AO15="SI",Parametros!$E$33,0)))</f>
        <v>0.75</v>
      </c>
      <c r="AR15" s="58"/>
      <c r="AS15" s="79" t="str">
        <f>'Captura Julio'!B17</f>
        <v>Linea 5</v>
      </c>
      <c r="AT15" s="80">
        <f>'Captura Julio'!K17+'Captura Julio'!N17+'Captura Julio'!Q17</f>
        <v>0.24</v>
      </c>
      <c r="AU15" s="80">
        <f>'Captura Julio'!T17</f>
        <v>0.06</v>
      </c>
      <c r="AV15" s="80">
        <f>'Captura Julio'!V17</f>
        <v>0.25</v>
      </c>
      <c r="AW15" s="80">
        <f>'Captura Julio'!G17</f>
        <v>0.2</v>
      </c>
      <c r="AX15" s="80">
        <f>'Captura Julio'!X17</f>
        <v>0</v>
      </c>
      <c r="AY15" s="80">
        <f>'Captura Julio'!AC17</f>
        <v>0.08</v>
      </c>
      <c r="AZ15" s="81">
        <f>-'Captura Julio'!AN17</f>
        <v>0</v>
      </c>
      <c r="BA15" s="82">
        <f>'Captura Julio'!AQ17</f>
        <v>0.83</v>
      </c>
      <c r="BB15" s="58"/>
      <c r="BC15" s="58"/>
    </row>
    <row r="16" spans="1:55" ht="16.5" customHeight="1" x14ac:dyDescent="0.35">
      <c r="A16" s="12">
        <v>11</v>
      </c>
      <c r="B16" s="83" t="s">
        <v>106</v>
      </c>
      <c r="C16" s="84" t="str">
        <f>VLOOKUP(B16,Parametros!$I$6:$J$20,2,FALSE())</f>
        <v>Mario Ramos</v>
      </c>
      <c r="D16" s="85">
        <v>1</v>
      </c>
      <c r="E16" s="85">
        <v>1</v>
      </c>
      <c r="F16" s="11">
        <f t="shared" si="0"/>
        <v>1</v>
      </c>
      <c r="G16" s="86">
        <f>F16*Parametros!$E$6</f>
        <v>0.2</v>
      </c>
      <c r="H16" s="87">
        <v>10</v>
      </c>
      <c r="I16" s="87">
        <v>10</v>
      </c>
      <c r="J16" s="88" t="s">
        <v>222</v>
      </c>
      <c r="K16" s="86">
        <f>IF(J16="NO",0,IFERROR(H16/I16,0)*Parametros!$E$7)</f>
        <v>0.08</v>
      </c>
      <c r="L16" s="85">
        <v>1</v>
      </c>
      <c r="M16" s="88" t="s">
        <v>222</v>
      </c>
      <c r="N16" s="86">
        <f>IF(M16="NO",0,L16*Parametros!$E$8)</f>
        <v>0.08</v>
      </c>
      <c r="O16" s="85">
        <v>1</v>
      </c>
      <c r="P16" s="88" t="s">
        <v>222</v>
      </c>
      <c r="Q16" s="86">
        <f>IF(P16="NO",0,O16*Parametros!$E$9)</f>
        <v>0.08</v>
      </c>
      <c r="R16" s="85">
        <v>1</v>
      </c>
      <c r="S16" s="88" t="s">
        <v>222</v>
      </c>
      <c r="T16" s="86">
        <f>IF(S16="NO",0,R16*Parametros!$E$10)</f>
        <v>0.06</v>
      </c>
      <c r="U16" s="85">
        <v>1</v>
      </c>
      <c r="V16" s="86">
        <f>U16*Parametros!$E$11</f>
        <v>0.25</v>
      </c>
      <c r="W16" s="87">
        <v>0</v>
      </c>
      <c r="X16" s="86">
        <f>MAX(0,Parametros!$E$12-Parametros!$E$18*W16)</f>
        <v>0.25</v>
      </c>
      <c r="Y16" s="87">
        <v>0</v>
      </c>
      <c r="Z16" s="87">
        <v>9</v>
      </c>
      <c r="AA16" s="89">
        <f>IF(Y16&gt;=Parametros!$E$22,Parametros!$E$24,0)</f>
        <v>0</v>
      </c>
      <c r="AB16" s="89">
        <f>IF(Z16&gt;=Parametros!$E$23,Parametros!$E$25,0)</f>
        <v>0</v>
      </c>
      <c r="AC16" s="89">
        <f t="shared" si="1"/>
        <v>0</v>
      </c>
      <c r="AD16" s="87">
        <v>0</v>
      </c>
      <c r="AE16" s="88" t="s">
        <v>222</v>
      </c>
      <c r="AF16" s="87">
        <v>0</v>
      </c>
      <c r="AG16" s="88" t="s">
        <v>222</v>
      </c>
      <c r="AH16" s="87">
        <v>0</v>
      </c>
      <c r="AI16" s="88" t="s">
        <v>222</v>
      </c>
      <c r="AJ16" s="87">
        <v>0</v>
      </c>
      <c r="AK16" s="88" t="s">
        <v>222</v>
      </c>
      <c r="AL16" s="87">
        <v>0</v>
      </c>
      <c r="AM16" s="88" t="s">
        <v>222</v>
      </c>
      <c r="AN16" s="89">
        <f>AD16*Parametros!$E$28+AF16*Parametros!$E$29+AH16*Parametros!$E$30+AJ16*Parametros!$E$31+AL16*Parametros!$E$32</f>
        <v>0</v>
      </c>
      <c r="AO16" s="12" t="str">
        <f t="shared" si="2"/>
        <v>NO</v>
      </c>
      <c r="AP16" s="11">
        <f t="shared" si="3"/>
        <v>1</v>
      </c>
      <c r="AQ16" s="90">
        <f>MAX(0,MIN(1,MAX(0,AP16-IF(S16="NO",Parametros!$E$17,0))+AC16-AN16-IF(AO16="SI",Parametros!$E$33,0)))</f>
        <v>1</v>
      </c>
      <c r="AR16" s="58"/>
      <c r="AS16" s="71" t="str">
        <f>'Captura Julio'!B18</f>
        <v>Mantenimiento</v>
      </c>
      <c r="AT16" s="72">
        <f>'Captura Julio'!K18+'Captura Julio'!N18+'Captura Julio'!Q18</f>
        <v>0.24</v>
      </c>
      <c r="AU16" s="72">
        <f>'Captura Julio'!T18</f>
        <v>0.06</v>
      </c>
      <c r="AV16" s="72">
        <f>'Captura Julio'!V18</f>
        <v>0.25</v>
      </c>
      <c r="AW16" s="72">
        <f>'Captura Julio'!G18</f>
        <v>0.18666666666666673</v>
      </c>
      <c r="AX16" s="72">
        <f>'Captura Julio'!X18</f>
        <v>0.2</v>
      </c>
      <c r="AY16" s="72">
        <f>'Captura Julio'!AC18</f>
        <v>0.04</v>
      </c>
      <c r="AZ16" s="73">
        <f>-'Captura Julio'!AN18</f>
        <v>0</v>
      </c>
      <c r="BA16" s="74">
        <f>'Captura Julio'!AQ18</f>
        <v>0.97666666666666679</v>
      </c>
      <c r="BB16" s="58"/>
      <c r="BC16" s="58"/>
    </row>
    <row r="17" spans="1:55" ht="16.5" customHeight="1" x14ac:dyDescent="0.35">
      <c r="A17" s="12">
        <v>12</v>
      </c>
      <c r="B17" s="83" t="s">
        <v>109</v>
      </c>
      <c r="C17" s="84" t="str">
        <f>VLOOKUP(B17,Parametros!$I$6:$J$20,2,FALSE())</f>
        <v>Roy Luarca</v>
      </c>
      <c r="D17" s="85">
        <v>1</v>
      </c>
      <c r="E17" s="85">
        <v>1</v>
      </c>
      <c r="F17" s="11">
        <f t="shared" si="0"/>
        <v>1</v>
      </c>
      <c r="G17" s="86">
        <f>F17*Parametros!$E$6</f>
        <v>0.2</v>
      </c>
      <c r="H17" s="87">
        <v>10</v>
      </c>
      <c r="I17" s="87">
        <v>10</v>
      </c>
      <c r="J17" s="88" t="s">
        <v>222</v>
      </c>
      <c r="K17" s="86">
        <f>IF(J17="NO",0,IFERROR(H17/I17,0)*Parametros!$E$7)</f>
        <v>0.08</v>
      </c>
      <c r="L17" s="85">
        <v>1</v>
      </c>
      <c r="M17" s="88" t="s">
        <v>222</v>
      </c>
      <c r="N17" s="86">
        <f>IF(M17="NO",0,L17*Parametros!$E$8)</f>
        <v>0.08</v>
      </c>
      <c r="O17" s="85">
        <v>1</v>
      </c>
      <c r="P17" s="88" t="s">
        <v>222</v>
      </c>
      <c r="Q17" s="86">
        <f>IF(P17="NO",0,O17*Parametros!$E$9)</f>
        <v>0.08</v>
      </c>
      <c r="R17" s="85">
        <v>1</v>
      </c>
      <c r="S17" s="88" t="s">
        <v>222</v>
      </c>
      <c r="T17" s="86">
        <f>IF(S17="NO",0,R17*Parametros!$E$10)</f>
        <v>0.06</v>
      </c>
      <c r="U17" s="85">
        <v>1</v>
      </c>
      <c r="V17" s="86">
        <f>U17*Parametros!$E$11</f>
        <v>0.25</v>
      </c>
      <c r="W17" s="87">
        <v>5</v>
      </c>
      <c r="X17" s="86">
        <f>MAX(0,Parametros!$E$12-Parametros!$E$18*W17)</f>
        <v>0</v>
      </c>
      <c r="Y17" s="87">
        <v>9</v>
      </c>
      <c r="Z17" s="87">
        <v>12</v>
      </c>
      <c r="AA17" s="89">
        <f>IF(Y17&gt;=Parametros!$E$22,Parametros!$E$24,0)</f>
        <v>0.04</v>
      </c>
      <c r="AB17" s="89">
        <f>IF(Z17&gt;=Parametros!$E$23,Parametros!$E$25,0)</f>
        <v>0.04</v>
      </c>
      <c r="AC17" s="89">
        <f t="shared" si="1"/>
        <v>0.08</v>
      </c>
      <c r="AD17" s="87">
        <v>0</v>
      </c>
      <c r="AE17" s="88" t="s">
        <v>222</v>
      </c>
      <c r="AF17" s="87">
        <v>0</v>
      </c>
      <c r="AG17" s="88" t="s">
        <v>222</v>
      </c>
      <c r="AH17" s="87">
        <v>0</v>
      </c>
      <c r="AI17" s="88" t="s">
        <v>222</v>
      </c>
      <c r="AJ17" s="87">
        <v>0</v>
      </c>
      <c r="AK17" s="88" t="s">
        <v>222</v>
      </c>
      <c r="AL17" s="87">
        <v>0</v>
      </c>
      <c r="AM17" s="88" t="s">
        <v>222</v>
      </c>
      <c r="AN17" s="89">
        <f>AD17*Parametros!$E$28+AF17*Parametros!$E$29+AH17*Parametros!$E$30+AJ17*Parametros!$E$31+AL17*Parametros!$E$32</f>
        <v>0</v>
      </c>
      <c r="AO17" s="12" t="str">
        <f t="shared" si="2"/>
        <v>NO</v>
      </c>
      <c r="AP17" s="11">
        <f t="shared" si="3"/>
        <v>0.75</v>
      </c>
      <c r="AQ17" s="90">
        <f>MAX(0,MIN(1,MAX(0,AP17-IF(S17="NO",Parametros!$E$17,0))+AC17-AN17-IF(AO17="SI",Parametros!$E$33,0)))</f>
        <v>0.83</v>
      </c>
      <c r="AR17" s="58"/>
      <c r="AS17" s="79" t="str">
        <f>'Captura Julio'!B19</f>
        <v>Materias Primas</v>
      </c>
      <c r="AT17" s="80">
        <f>'Captura Julio'!K19+'Captura Julio'!N19+'Captura Julio'!Q19</f>
        <v>0.24</v>
      </c>
      <c r="AU17" s="80">
        <f>'Captura Julio'!T19</f>
        <v>0.06</v>
      </c>
      <c r="AV17" s="80">
        <f>'Captura Julio'!V19</f>
        <v>0.25</v>
      </c>
      <c r="AW17" s="80">
        <f>'Captura Julio'!G19</f>
        <v>0.1875</v>
      </c>
      <c r="AX17" s="80">
        <f>'Captura Julio'!X19</f>
        <v>0</v>
      </c>
      <c r="AY17" s="80">
        <f>'Captura Julio'!AC19</f>
        <v>0</v>
      </c>
      <c r="AZ17" s="81">
        <f>-'Captura Julio'!AN19</f>
        <v>0</v>
      </c>
      <c r="BA17" s="82">
        <f>'Captura Julio'!AQ19</f>
        <v>0.73750000000000004</v>
      </c>
      <c r="BB17" s="58"/>
      <c r="BC17" s="58"/>
    </row>
    <row r="18" spans="1:55" ht="16.5" customHeight="1" x14ac:dyDescent="0.35">
      <c r="A18" s="12">
        <v>13</v>
      </c>
      <c r="B18" s="83" t="s">
        <v>140</v>
      </c>
      <c r="C18" s="84" t="str">
        <f>VLOOKUP(B18,Parametros!$I$6:$J$20,2,FALSE())</f>
        <v>Eliu Tello</v>
      </c>
      <c r="D18" s="85">
        <v>0.86666666666666703</v>
      </c>
      <c r="E18" s="85">
        <v>1</v>
      </c>
      <c r="F18" s="11">
        <f t="shared" si="0"/>
        <v>0.93333333333333357</v>
      </c>
      <c r="G18" s="86">
        <f>F18*Parametros!$E$6</f>
        <v>0.18666666666666673</v>
      </c>
      <c r="H18" s="87">
        <v>10</v>
      </c>
      <c r="I18" s="87">
        <v>10</v>
      </c>
      <c r="J18" s="88" t="s">
        <v>222</v>
      </c>
      <c r="K18" s="86">
        <f>IF(J18="NO",0,IFERROR(H18/I18,0)*Parametros!$E$7)</f>
        <v>0.08</v>
      </c>
      <c r="L18" s="85">
        <v>1</v>
      </c>
      <c r="M18" s="88" t="s">
        <v>222</v>
      </c>
      <c r="N18" s="86">
        <f>IF(M18="NO",0,L18*Parametros!$E$8)</f>
        <v>0.08</v>
      </c>
      <c r="O18" s="85">
        <v>1</v>
      </c>
      <c r="P18" s="88" t="s">
        <v>222</v>
      </c>
      <c r="Q18" s="86">
        <f>IF(P18="NO",0,O18*Parametros!$E$9)</f>
        <v>0.08</v>
      </c>
      <c r="R18" s="85">
        <v>1</v>
      </c>
      <c r="S18" s="88" t="s">
        <v>222</v>
      </c>
      <c r="T18" s="86">
        <f>IF(S18="NO",0,R18*Parametros!$E$10)</f>
        <v>0.06</v>
      </c>
      <c r="U18" s="85">
        <v>1</v>
      </c>
      <c r="V18" s="86">
        <f>U18*Parametros!$E$11</f>
        <v>0.25</v>
      </c>
      <c r="W18" s="87">
        <v>1</v>
      </c>
      <c r="X18" s="86">
        <f>MAX(0,Parametros!$E$12-Parametros!$E$18*W18)</f>
        <v>0.2</v>
      </c>
      <c r="Y18" s="87">
        <v>4</v>
      </c>
      <c r="Z18" s="87">
        <v>21</v>
      </c>
      <c r="AA18" s="89">
        <f>IF(Y18&gt;=Parametros!$E$22,Parametros!$E$24,0)</f>
        <v>0</v>
      </c>
      <c r="AB18" s="89">
        <f>IF(Z18&gt;=Parametros!$E$23,Parametros!$E$25,0)</f>
        <v>0.04</v>
      </c>
      <c r="AC18" s="89">
        <f t="shared" si="1"/>
        <v>0.04</v>
      </c>
      <c r="AD18" s="87">
        <v>0</v>
      </c>
      <c r="AE18" s="88" t="s">
        <v>222</v>
      </c>
      <c r="AF18" s="87">
        <v>0</v>
      </c>
      <c r="AG18" s="88" t="s">
        <v>222</v>
      </c>
      <c r="AH18" s="87">
        <v>0</v>
      </c>
      <c r="AI18" s="88" t="s">
        <v>222</v>
      </c>
      <c r="AJ18" s="87">
        <v>0</v>
      </c>
      <c r="AK18" s="88" t="s">
        <v>222</v>
      </c>
      <c r="AL18" s="87">
        <v>0</v>
      </c>
      <c r="AM18" s="88" t="s">
        <v>222</v>
      </c>
      <c r="AN18" s="89">
        <f>AD18*Parametros!$E$28+AF18*Parametros!$E$29+AH18*Parametros!$E$30+AJ18*Parametros!$E$31+AL18*Parametros!$E$32</f>
        <v>0</v>
      </c>
      <c r="AO18" s="12" t="str">
        <f t="shared" si="2"/>
        <v>NO</v>
      </c>
      <c r="AP18" s="11">
        <f t="shared" si="3"/>
        <v>0.93666666666666676</v>
      </c>
      <c r="AQ18" s="90">
        <f>MAX(0,MIN(1,MAX(0,AP18-IF(S18="NO",Parametros!$E$17,0))+AC18-AN18-IF(AO18="SI",Parametros!$E$33,0)))</f>
        <v>0.97666666666666679</v>
      </c>
      <c r="AR18" s="58"/>
      <c r="AS18" s="71" t="str">
        <f>'Captura Julio'!B20</f>
        <v>Tratamiento de Aguas</v>
      </c>
      <c r="AT18" s="72">
        <f>'Captura Julio'!K20+'Captura Julio'!N20+'Captura Julio'!Q20</f>
        <v>0.24</v>
      </c>
      <c r="AU18" s="72">
        <f>'Captura Julio'!T20</f>
        <v>0.06</v>
      </c>
      <c r="AV18" s="72">
        <f>'Captura Julio'!V20</f>
        <v>0.25</v>
      </c>
      <c r="AW18" s="72">
        <f>'Captura Julio'!G20</f>
        <v>0.2</v>
      </c>
      <c r="AX18" s="72">
        <f>'Captura Julio'!X20</f>
        <v>0.25</v>
      </c>
      <c r="AY18" s="72">
        <f>'Captura Julio'!AC20</f>
        <v>0</v>
      </c>
      <c r="AZ18" s="73">
        <f>-'Captura Julio'!AN20</f>
        <v>0</v>
      </c>
      <c r="BA18" s="74">
        <f>'Captura Julio'!AQ20</f>
        <v>1</v>
      </c>
      <c r="BB18" s="58"/>
      <c r="BC18" s="58"/>
    </row>
    <row r="19" spans="1:55" ht="25.5" customHeight="1" x14ac:dyDescent="0.35">
      <c r="A19" s="12">
        <v>14</v>
      </c>
      <c r="B19" s="83" t="s">
        <v>142</v>
      </c>
      <c r="C19" s="84" t="str">
        <f>VLOOKUP(B19,Parametros!$I$6:$J$20,2,FALSE())</f>
        <v>Miguel Godinez</v>
      </c>
      <c r="D19" s="85">
        <v>0.875</v>
      </c>
      <c r="E19" s="85">
        <v>1</v>
      </c>
      <c r="F19" s="11">
        <f t="shared" si="0"/>
        <v>0.9375</v>
      </c>
      <c r="G19" s="86">
        <f>F19*Parametros!$E$6</f>
        <v>0.1875</v>
      </c>
      <c r="H19" s="87">
        <v>10</v>
      </c>
      <c r="I19" s="87">
        <v>10</v>
      </c>
      <c r="J19" s="88" t="s">
        <v>222</v>
      </c>
      <c r="K19" s="86">
        <f>IF(J19="NO",0,IFERROR(H19/I19,0)*Parametros!$E$7)</f>
        <v>0.08</v>
      </c>
      <c r="L19" s="85">
        <v>1</v>
      </c>
      <c r="M19" s="88" t="s">
        <v>222</v>
      </c>
      <c r="N19" s="86">
        <f>IF(M19="NO",0,L19*Parametros!$E$8)</f>
        <v>0.08</v>
      </c>
      <c r="O19" s="85">
        <v>1</v>
      </c>
      <c r="P19" s="88" t="s">
        <v>222</v>
      </c>
      <c r="Q19" s="86">
        <f>IF(P19="NO",0,O19*Parametros!$E$9)</f>
        <v>0.08</v>
      </c>
      <c r="R19" s="85">
        <v>1</v>
      </c>
      <c r="S19" s="88" t="s">
        <v>222</v>
      </c>
      <c r="T19" s="86">
        <f>IF(S19="NO",0,R19*Parametros!$E$10)</f>
        <v>0.06</v>
      </c>
      <c r="U19" s="85">
        <v>1</v>
      </c>
      <c r="V19" s="86">
        <f>U19*Parametros!$E$11</f>
        <v>0.25</v>
      </c>
      <c r="W19" s="87">
        <v>5</v>
      </c>
      <c r="X19" s="86">
        <f>MAX(0,Parametros!$E$12-Parametros!$E$18*W19)</f>
        <v>0</v>
      </c>
      <c r="Y19" s="87">
        <v>4</v>
      </c>
      <c r="Z19" s="87">
        <v>5</v>
      </c>
      <c r="AA19" s="89">
        <f>IF(Y19&gt;=Parametros!$E$22,Parametros!$E$24,0)</f>
        <v>0</v>
      </c>
      <c r="AB19" s="89">
        <f>IF(Z19&gt;=Parametros!$E$23,Parametros!$E$25,0)</f>
        <v>0</v>
      </c>
      <c r="AC19" s="89">
        <f t="shared" si="1"/>
        <v>0</v>
      </c>
      <c r="AD19" s="87">
        <v>0</v>
      </c>
      <c r="AE19" s="88" t="s">
        <v>222</v>
      </c>
      <c r="AF19" s="87">
        <v>0</v>
      </c>
      <c r="AG19" s="88" t="s">
        <v>222</v>
      </c>
      <c r="AH19" s="87">
        <v>0</v>
      </c>
      <c r="AI19" s="88" t="s">
        <v>222</v>
      </c>
      <c r="AJ19" s="87">
        <v>0</v>
      </c>
      <c r="AK19" s="88" t="s">
        <v>222</v>
      </c>
      <c r="AL19" s="87">
        <v>0</v>
      </c>
      <c r="AM19" s="88" t="s">
        <v>222</v>
      </c>
      <c r="AN19" s="89">
        <f>AD19*Parametros!$E$28+AF19*Parametros!$E$29+AH19*Parametros!$E$30+AJ19*Parametros!$E$31+AL19*Parametros!$E$32</f>
        <v>0</v>
      </c>
      <c r="AO19" s="12" t="str">
        <f t="shared" si="2"/>
        <v>NO</v>
      </c>
      <c r="AP19" s="11">
        <f t="shared" si="3"/>
        <v>0.73750000000000004</v>
      </c>
      <c r="AQ19" s="90">
        <f>MAX(0,MIN(1,MAX(0,AP19-IF(S19="NO",Parametros!$E$17,0))+AC19-AN19-IF(AO19="SI",Parametros!$E$33,0)))</f>
        <v>0.73750000000000004</v>
      </c>
      <c r="AR19" s="58"/>
      <c r="AS19" s="111" t="s">
        <v>255</v>
      </c>
      <c r="AT19" s="111"/>
      <c r="AU19" s="111"/>
      <c r="AV19" s="111"/>
      <c r="AW19" s="111"/>
      <c r="AX19" s="111"/>
      <c r="AY19" s="111"/>
      <c r="AZ19" s="111"/>
      <c r="BA19" s="91">
        <f>AVERAGE(BA4:BA18)</f>
        <v>0.88027777777777783</v>
      </c>
      <c r="BB19" s="58"/>
      <c r="BC19" s="58"/>
    </row>
    <row r="20" spans="1:55" ht="16.5" customHeight="1" x14ac:dyDescent="0.35">
      <c r="A20" s="12">
        <v>15</v>
      </c>
      <c r="B20" s="83" t="s">
        <v>138</v>
      </c>
      <c r="C20" s="84" t="str">
        <f>VLOOKUP(B20,Parametros!$I$6:$J$20,2,FALSE())</f>
        <v>Adrian Santisteban</v>
      </c>
      <c r="D20" s="85">
        <v>1</v>
      </c>
      <c r="E20" s="85">
        <v>1</v>
      </c>
      <c r="F20" s="11">
        <f t="shared" si="0"/>
        <v>1</v>
      </c>
      <c r="G20" s="86">
        <f>F20*Parametros!$E$6</f>
        <v>0.2</v>
      </c>
      <c r="H20" s="87">
        <v>10</v>
      </c>
      <c r="I20" s="87">
        <v>10</v>
      </c>
      <c r="J20" s="88" t="s">
        <v>222</v>
      </c>
      <c r="K20" s="86">
        <f>IF(J20="NO",0,IFERROR(H20/I20,0)*Parametros!$E$7)</f>
        <v>0.08</v>
      </c>
      <c r="L20" s="85">
        <v>1</v>
      </c>
      <c r="M20" s="88" t="s">
        <v>222</v>
      </c>
      <c r="N20" s="86">
        <f>IF(M20="NO",0,L20*Parametros!$E$8)</f>
        <v>0.08</v>
      </c>
      <c r="O20" s="85">
        <v>1</v>
      </c>
      <c r="P20" s="88" t="s">
        <v>222</v>
      </c>
      <c r="Q20" s="86">
        <f>IF(P20="NO",0,O20*Parametros!$E$9)</f>
        <v>0.08</v>
      </c>
      <c r="R20" s="85">
        <v>1</v>
      </c>
      <c r="S20" s="88" t="s">
        <v>222</v>
      </c>
      <c r="T20" s="86">
        <f>IF(S20="NO",0,R20*Parametros!$E$10)</f>
        <v>0.06</v>
      </c>
      <c r="U20" s="85">
        <v>1</v>
      </c>
      <c r="V20" s="86">
        <f>U20*Parametros!$E$11</f>
        <v>0.25</v>
      </c>
      <c r="W20" s="87">
        <v>0</v>
      </c>
      <c r="X20" s="86">
        <f>MAX(0,Parametros!$E$12-Parametros!$E$18*W20)</f>
        <v>0.25</v>
      </c>
      <c r="Y20" s="87">
        <v>1</v>
      </c>
      <c r="Z20" s="87">
        <v>4</v>
      </c>
      <c r="AA20" s="89">
        <f>IF(Y20&gt;=Parametros!$E$22,Parametros!$E$24,0)</f>
        <v>0</v>
      </c>
      <c r="AB20" s="89">
        <f>IF(Z20&gt;=Parametros!$E$23,Parametros!$E$25,0)</f>
        <v>0</v>
      </c>
      <c r="AC20" s="89">
        <f t="shared" si="1"/>
        <v>0</v>
      </c>
      <c r="AD20" s="87">
        <v>0</v>
      </c>
      <c r="AE20" s="88" t="s">
        <v>222</v>
      </c>
      <c r="AF20" s="87">
        <v>0</v>
      </c>
      <c r="AG20" s="88" t="s">
        <v>222</v>
      </c>
      <c r="AH20" s="87">
        <v>0</v>
      </c>
      <c r="AI20" s="88" t="s">
        <v>222</v>
      </c>
      <c r="AJ20" s="87">
        <v>0</v>
      </c>
      <c r="AK20" s="88" t="s">
        <v>222</v>
      </c>
      <c r="AL20" s="87">
        <v>0</v>
      </c>
      <c r="AM20" s="88" t="s">
        <v>222</v>
      </c>
      <c r="AN20" s="89">
        <f>AD20*Parametros!$E$28+AF20*Parametros!$E$29+AH20*Parametros!$E$30+AJ20*Parametros!$E$31+AL20*Parametros!$E$32</f>
        <v>0</v>
      </c>
      <c r="AO20" s="12" t="str">
        <f t="shared" si="2"/>
        <v>NO</v>
      </c>
      <c r="AP20" s="11">
        <f t="shared" si="3"/>
        <v>1</v>
      </c>
      <c r="AQ20" s="90">
        <f>MAX(0,MIN(1,MAX(0,AP20-IF(S20="NO",Parametros!$E$17,0))+AC20-AN20-IF(AO20="SI",Parametros!$E$33,0)))</f>
        <v>1</v>
      </c>
      <c r="AR20" s="58"/>
      <c r="AS20" s="58"/>
      <c r="AT20" s="58"/>
      <c r="AU20" s="58"/>
      <c r="AV20" s="58"/>
      <c r="AW20" s="58"/>
      <c r="AX20" s="58"/>
      <c r="AY20" s="58"/>
      <c r="AZ20" s="58"/>
      <c r="BA20" s="58"/>
      <c r="BB20" s="58"/>
    </row>
    <row r="22" spans="1:55" ht="21.75" customHeight="1" x14ac:dyDescent="0.35">
      <c r="A22" s="112"/>
      <c r="B22" s="112"/>
      <c r="C22" s="112"/>
      <c r="D22" s="70"/>
      <c r="E22" s="70"/>
      <c r="F22" s="70"/>
      <c r="G22" s="70"/>
      <c r="H22" s="70"/>
      <c r="I22" s="70"/>
      <c r="J22" s="70"/>
      <c r="K22" s="70"/>
      <c r="L22" s="70"/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V22" s="95"/>
    </row>
    <row r="23" spans="1:55" ht="21.75" customHeight="1" x14ac:dyDescent="0.35">
      <c r="A23" s="113" t="s">
        <v>225</v>
      </c>
      <c r="B23" s="113"/>
      <c r="C23" s="113"/>
      <c r="D23" s="93"/>
      <c r="E23" s="93"/>
      <c r="F23" s="93"/>
      <c r="G23" s="93"/>
      <c r="H23" s="93"/>
      <c r="I23" s="93"/>
      <c r="J23" s="93"/>
      <c r="K23" s="93"/>
      <c r="L23" s="93"/>
      <c r="M23" s="93"/>
      <c r="N23" s="93"/>
      <c r="O23" s="93"/>
      <c r="P23" s="93"/>
      <c r="Q23" s="93"/>
      <c r="R23" s="93"/>
      <c r="S23" s="93"/>
      <c r="T23" s="93"/>
      <c r="U23" s="93"/>
      <c r="V23" s="93"/>
      <c r="W23" s="93"/>
      <c r="X23" s="93"/>
      <c r="Y23" s="93"/>
      <c r="Z23" s="93"/>
      <c r="AA23" s="93"/>
      <c r="AB23" s="93"/>
      <c r="AC23" s="93"/>
      <c r="AD23" s="93"/>
      <c r="AE23" s="93"/>
      <c r="AF23" s="93"/>
      <c r="AG23" s="93"/>
      <c r="AH23" s="93"/>
      <c r="AI23" s="93"/>
      <c r="AJ23" s="93"/>
      <c r="AK23" s="93"/>
      <c r="AL23" s="93"/>
      <c r="AM23" s="93"/>
      <c r="AN23" s="93"/>
      <c r="AO23" s="93"/>
      <c r="AP23" s="93"/>
      <c r="AQ23" s="94">
        <f>AVERAGE(AQ6:AQ20)</f>
        <v>0.88027777777777783</v>
      </c>
      <c r="AR23" s="58"/>
      <c r="AS23" s="58"/>
      <c r="AT23" s="58"/>
      <c r="AU23" s="58"/>
      <c r="AV23" s="58"/>
      <c r="AW23" s="58"/>
      <c r="AX23" s="58"/>
      <c r="AY23" s="58"/>
      <c r="AZ23" s="58"/>
      <c r="BA23" s="58"/>
      <c r="BB23" s="58"/>
    </row>
  </sheetData>
  <mergeCells count="20">
    <mergeCell ref="A1:AB1"/>
    <mergeCell ref="AS1:BA1"/>
    <mergeCell ref="BB1:BC1"/>
    <mergeCell ref="B2:D2"/>
    <mergeCell ref="AT2:AV2"/>
    <mergeCell ref="AX2:BA2"/>
    <mergeCell ref="BB5:BC5"/>
    <mergeCell ref="AS19:AZ19"/>
    <mergeCell ref="A22:C22"/>
    <mergeCell ref="A23:C23"/>
    <mergeCell ref="U4:V4"/>
    <mergeCell ref="W4:X4"/>
    <mergeCell ref="Y4:AC4"/>
    <mergeCell ref="AD4:AO4"/>
    <mergeCell ref="AP4:AQ4"/>
    <mergeCell ref="D4:G4"/>
    <mergeCell ref="H4:K4"/>
    <mergeCell ref="L4:N4"/>
    <mergeCell ref="O4:Q4"/>
    <mergeCell ref="R4:T4"/>
  </mergeCells>
  <conditionalFormatting sqref="AQ6:AQ20">
    <cfRule type="cellIs" dxfId="56" priority="5" operator="greaterThanOrEqual">
      <formula>0.9</formula>
    </cfRule>
    <cfRule type="cellIs" dxfId="55" priority="6" operator="between">
      <formula>0.7</formula>
      <formula>0.8999</formula>
    </cfRule>
    <cfRule type="cellIs" dxfId="54" priority="7" operator="lessThan">
      <formula>0.7</formula>
    </cfRule>
  </conditionalFormatting>
  <conditionalFormatting sqref="AV19">
    <cfRule type="cellIs" dxfId="53" priority="2" operator="greaterThanOrEqual">
      <formula>0.9</formula>
    </cfRule>
    <cfRule type="expression" dxfId="52" priority="3">
      <formula>AND(AV19&gt;=0.7,AV19&lt;0.9)</formula>
    </cfRule>
    <cfRule type="cellIs" dxfId="51" priority="4" operator="lessThan">
      <formula>0.7</formula>
    </cfRule>
  </conditionalFormatting>
  <conditionalFormatting sqref="BA4:BA18">
    <cfRule type="cellIs" dxfId="50" priority="8" operator="greaterThanOrEqual">
      <formula>0.9</formula>
    </cfRule>
    <cfRule type="cellIs" dxfId="49" priority="9" operator="between">
      <formula>0.7</formula>
      <formula>0.8999</formula>
    </cfRule>
    <cfRule type="cellIs" dxfId="48" priority="10" operator="lessThan">
      <formula>0.7</formula>
    </cfRule>
  </conditionalFormatting>
  <dataValidations count="4">
    <dataValidation type="whole" operator="greaterThanOrEqual" showErrorMessage="1" errorTitle="Valor invalido" error="Ingrese un numero entero &gt;= 0" sqref="F6:F20 K6:K20 N6:N20 V6:W20 AB6:AB20 AD6:AD20 AO6:AO20 AQ6:AQ20" xr:uid="{00000000-0002-0000-0B00-000000000000}">
      <formula1>0</formula1>
      <formula2>0</formula2>
    </dataValidation>
    <dataValidation type="decimal" showErrorMessage="1" errorTitle="Valor invalido" error="Ingrese un porcentaje entre 0% y 100%" sqref="D6:E20 L6:L20 O6:O20 R6:R20 U6:U20" xr:uid="{00000000-0002-0000-0B00-000001000000}">
      <formula1>0</formula1>
      <formula2>1</formula2>
    </dataValidation>
    <dataValidation type="whole" operator="greaterThanOrEqual" showErrorMessage="1" errorTitle="Valor inválido" error="Ingrese un número entero mayor o igual a 0" sqref="Z6:Z20" xr:uid="{00000000-0002-0000-0B00-000002000000}">
      <formula1>0</formula1>
      <formula2>0</formula2>
    </dataValidation>
    <dataValidation type="list" sqref="J6:J20 M6:M20 P6:P20 S6:T20 X6:X20 AE6:AE20 AG6:AG20 AI6:AN20 AP6:AP20 AR6:AR20" xr:uid="{00000000-0002-0000-0B00-000003000000}">
      <formula1>"SI,NO"</formula1>
      <formula2>0</formula2>
    </dataValidation>
  </dataValidations>
  <pageMargins left="0.3" right="0.3" top="0.4" bottom="0.4" header="0.511811023622047" footer="0.511811023622047"/>
  <pageSetup fitToHeight="0" orientation="landscape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ED6B23"/>
    <pageSetUpPr fitToPage="1"/>
  </sheetPr>
  <dimension ref="A1:BC23"/>
  <sheetViews>
    <sheetView showGridLines="0" zoomScale="70" zoomScaleNormal="70" workbookViewId="0">
      <pane xSplit="3" ySplit="5" topLeftCell="Z6" activePane="bottomRight" state="frozen"/>
      <selection pane="topRight" activeCell="Y1" sqref="Y1"/>
      <selection pane="bottomLeft" activeCell="A6" sqref="A6"/>
      <selection pane="bottomRight" activeCell="AF17" sqref="AF17"/>
    </sheetView>
  </sheetViews>
  <sheetFormatPr baseColWidth="10" defaultColWidth="8.6328125" defaultRowHeight="14.5" x14ac:dyDescent="0.35"/>
  <cols>
    <col min="1" max="1" width="5" customWidth="1"/>
    <col min="2" max="2" width="22" customWidth="1"/>
    <col min="3" max="3" width="16" customWidth="1"/>
    <col min="4" max="44" width="9.54296875" customWidth="1"/>
    <col min="45" max="45" width="23.81640625" customWidth="1"/>
    <col min="46" max="46" width="18.7265625" customWidth="1"/>
    <col min="47" max="47" width="11.26953125" customWidth="1"/>
    <col min="48" max="48" width="9.54296875" customWidth="1"/>
    <col min="49" max="50" width="11" customWidth="1"/>
    <col min="51" max="51" width="13" customWidth="1"/>
    <col min="52" max="52" width="11" customWidth="1"/>
    <col min="53" max="53" width="14" customWidth="1"/>
    <col min="54" max="54" width="18" customWidth="1"/>
    <col min="55" max="55" width="10" customWidth="1"/>
  </cols>
  <sheetData>
    <row r="1" spans="1:55" ht="19.5" customHeight="1" x14ac:dyDescent="0.35">
      <c r="A1" s="117" t="s">
        <v>256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  <c r="AA1" s="117"/>
      <c r="AB1" s="117"/>
      <c r="AR1" s="58"/>
      <c r="AS1" s="118" t="s">
        <v>257</v>
      </c>
      <c r="AT1" s="118"/>
      <c r="AU1" s="118"/>
      <c r="AV1" s="118"/>
      <c r="AW1" s="118"/>
      <c r="AX1" s="118"/>
      <c r="AY1" s="118"/>
      <c r="AZ1" s="118"/>
      <c r="BA1" s="118"/>
      <c r="BB1" s="119" t="s">
        <v>258</v>
      </c>
      <c r="BC1" s="119"/>
    </row>
    <row r="2" spans="1:55" ht="18" customHeight="1" x14ac:dyDescent="0.35">
      <c r="A2" s="5" t="s">
        <v>163</v>
      </c>
      <c r="B2" s="120" t="s">
        <v>259</v>
      </c>
      <c r="C2" s="120"/>
      <c r="D2" s="120"/>
      <c r="F2" s="5" t="s">
        <v>165</v>
      </c>
      <c r="G2" s="59" t="s">
        <v>166</v>
      </c>
      <c r="AR2" s="58"/>
      <c r="AS2" s="60"/>
      <c r="AT2" s="121" t="s">
        <v>167</v>
      </c>
      <c r="AU2" s="121"/>
      <c r="AV2" s="121"/>
      <c r="AW2" s="61" t="s">
        <v>96</v>
      </c>
      <c r="AX2" s="122" t="s">
        <v>168</v>
      </c>
      <c r="AY2" s="122"/>
      <c r="AZ2" s="122"/>
      <c r="BA2" s="122"/>
      <c r="BB2" s="62" t="s">
        <v>169</v>
      </c>
      <c r="BC2" s="62" t="s">
        <v>170</v>
      </c>
    </row>
    <row r="3" spans="1:55" ht="21.75" customHeight="1" x14ac:dyDescent="0.35">
      <c r="AR3" s="58"/>
      <c r="AS3" s="63" t="s">
        <v>171</v>
      </c>
      <c r="AT3" s="64" t="s">
        <v>172</v>
      </c>
      <c r="AU3" s="64" t="s">
        <v>173</v>
      </c>
      <c r="AV3" s="64" t="s">
        <v>174</v>
      </c>
      <c r="AW3" s="65" t="s">
        <v>175</v>
      </c>
      <c r="AX3" s="66" t="s">
        <v>176</v>
      </c>
      <c r="AY3" s="66" t="s">
        <v>177</v>
      </c>
      <c r="AZ3" s="66" t="s">
        <v>178</v>
      </c>
      <c r="BA3" s="67" t="s">
        <v>179</v>
      </c>
      <c r="BB3" s="68" t="s">
        <v>180</v>
      </c>
      <c r="BC3" s="69">
        <v>52</v>
      </c>
    </row>
    <row r="4" spans="1:55" ht="21.75" customHeight="1" x14ac:dyDescent="0.35">
      <c r="A4" s="70"/>
      <c r="B4" s="70"/>
      <c r="C4" s="70"/>
      <c r="D4" s="114" t="s">
        <v>181</v>
      </c>
      <c r="E4" s="114"/>
      <c r="F4" s="114"/>
      <c r="G4" s="114"/>
      <c r="H4" s="114" t="s">
        <v>182</v>
      </c>
      <c r="I4" s="114"/>
      <c r="J4" s="114"/>
      <c r="K4" s="114"/>
      <c r="L4" s="114" t="s">
        <v>183</v>
      </c>
      <c r="M4" s="114"/>
      <c r="N4" s="114"/>
      <c r="O4" s="114" t="s">
        <v>184</v>
      </c>
      <c r="P4" s="114"/>
      <c r="Q4" s="114"/>
      <c r="R4" s="114" t="s">
        <v>185</v>
      </c>
      <c r="S4" s="114"/>
      <c r="T4" s="114"/>
      <c r="U4" s="114" t="s">
        <v>186</v>
      </c>
      <c r="V4" s="114"/>
      <c r="W4" s="115" t="s">
        <v>187</v>
      </c>
      <c r="X4" s="115"/>
      <c r="Y4" s="114" t="s">
        <v>188</v>
      </c>
      <c r="Z4" s="114"/>
      <c r="AA4" s="114"/>
      <c r="AB4" s="114"/>
      <c r="AC4" s="114"/>
      <c r="AD4" s="115" t="s">
        <v>189</v>
      </c>
      <c r="AE4" s="115"/>
      <c r="AF4" s="115"/>
      <c r="AG4" s="115"/>
      <c r="AH4" s="115"/>
      <c r="AI4" s="115"/>
      <c r="AJ4" s="115"/>
      <c r="AK4" s="115"/>
      <c r="AL4" s="115"/>
      <c r="AM4" s="115"/>
      <c r="AN4" s="115"/>
      <c r="AO4" s="115"/>
      <c r="AP4" s="116" t="s">
        <v>190</v>
      </c>
      <c r="AQ4" s="116"/>
      <c r="AR4" s="58"/>
      <c r="AS4" s="71" t="str">
        <f>'Captura Agosto'!B6</f>
        <v>Almacen de Repuestos</v>
      </c>
      <c r="AT4" s="72">
        <f>'Captura Agosto'!K6+'Captura Agosto'!N6+'Captura Agosto'!Q6</f>
        <v>0.23520000000000002</v>
      </c>
      <c r="AU4" s="72">
        <f>'Captura Agosto'!T6</f>
        <v>0.06</v>
      </c>
      <c r="AV4" s="72">
        <f>'Captura Agosto'!V6</f>
        <v>0.23474999999999999</v>
      </c>
      <c r="AW4" s="72">
        <f>'Captura Agosto'!G6</f>
        <v>0.2</v>
      </c>
      <c r="AX4" s="72">
        <f>'Captura Agosto'!X6</f>
        <v>0.2</v>
      </c>
      <c r="AY4" s="72">
        <f>'Captura Agosto'!AC6</f>
        <v>0</v>
      </c>
      <c r="AZ4" s="73">
        <f>-'Captura Agosto'!AN6</f>
        <v>0</v>
      </c>
      <c r="BA4" s="74">
        <f>'Captura Agosto'!AQ6</f>
        <v>0.92995000000000005</v>
      </c>
      <c r="BB4" s="68" t="s">
        <v>191</v>
      </c>
      <c r="BC4" s="75">
        <v>232</v>
      </c>
    </row>
    <row r="5" spans="1:55" ht="21.75" customHeight="1" x14ac:dyDescent="0.35">
      <c r="A5" s="76" t="s">
        <v>93</v>
      </c>
      <c r="B5" s="76" t="s">
        <v>48</v>
      </c>
      <c r="C5" s="76" t="s">
        <v>94</v>
      </c>
      <c r="D5" s="77" t="s">
        <v>192</v>
      </c>
      <c r="E5" s="77" t="s">
        <v>193</v>
      </c>
      <c r="F5" s="77" t="s">
        <v>194</v>
      </c>
      <c r="G5" s="77" t="s">
        <v>195</v>
      </c>
      <c r="H5" s="77" t="s">
        <v>196</v>
      </c>
      <c r="I5" s="77" t="s">
        <v>197</v>
      </c>
      <c r="J5" s="77" t="s">
        <v>198</v>
      </c>
      <c r="K5" s="77" t="s">
        <v>195</v>
      </c>
      <c r="L5" s="77" t="s">
        <v>199</v>
      </c>
      <c r="M5" s="77" t="s">
        <v>198</v>
      </c>
      <c r="N5" s="77" t="s">
        <v>195</v>
      </c>
      <c r="O5" s="77" t="s">
        <v>199</v>
      </c>
      <c r="P5" s="77" t="s">
        <v>198</v>
      </c>
      <c r="Q5" s="77" t="s">
        <v>195</v>
      </c>
      <c r="R5" s="77" t="s">
        <v>199</v>
      </c>
      <c r="S5" s="77" t="s">
        <v>198</v>
      </c>
      <c r="T5" s="77" t="s">
        <v>195</v>
      </c>
      <c r="U5" s="77" t="s">
        <v>200</v>
      </c>
      <c r="V5" s="77" t="s">
        <v>195</v>
      </c>
      <c r="W5" s="78" t="s">
        <v>201</v>
      </c>
      <c r="X5" s="78" t="s">
        <v>195</v>
      </c>
      <c r="Y5" s="77" t="s">
        <v>202</v>
      </c>
      <c r="Z5" s="77" t="s">
        <v>203</v>
      </c>
      <c r="AA5" s="77" t="s">
        <v>204</v>
      </c>
      <c r="AB5" s="77" t="s">
        <v>205</v>
      </c>
      <c r="AC5" s="77" t="s">
        <v>206</v>
      </c>
      <c r="AD5" s="78" t="s">
        <v>207</v>
      </c>
      <c r="AE5" s="78" t="s">
        <v>208</v>
      </c>
      <c r="AF5" s="78" t="s">
        <v>209</v>
      </c>
      <c r="AG5" s="78" t="s">
        <v>210</v>
      </c>
      <c r="AH5" s="78" t="s">
        <v>211</v>
      </c>
      <c r="AI5" s="78" t="s">
        <v>212</v>
      </c>
      <c r="AJ5" s="78" t="s">
        <v>213</v>
      </c>
      <c r="AK5" s="78" t="s">
        <v>214</v>
      </c>
      <c r="AL5" s="78" t="s">
        <v>215</v>
      </c>
      <c r="AM5" s="78" t="s">
        <v>216</v>
      </c>
      <c r="AN5" s="78" t="s">
        <v>217</v>
      </c>
      <c r="AO5" s="78" t="s">
        <v>218</v>
      </c>
      <c r="AP5" s="76" t="s">
        <v>219</v>
      </c>
      <c r="AQ5" s="76" t="s">
        <v>220</v>
      </c>
      <c r="AR5" s="58"/>
      <c r="AS5" s="79" t="str">
        <f>'Captura Agosto'!B7</f>
        <v>Alrededores</v>
      </c>
      <c r="AT5" s="80">
        <f>'Captura Agosto'!K7+'Captura Agosto'!N7+'Captura Agosto'!Q7</f>
        <v>0.24</v>
      </c>
      <c r="AU5" s="80">
        <f>'Captura Agosto'!T7</f>
        <v>0.06</v>
      </c>
      <c r="AV5" s="80">
        <f>'Captura Agosto'!V7</f>
        <v>0.2445</v>
      </c>
      <c r="AW5" s="80">
        <f>'Captura Agosto'!G7</f>
        <v>0.2</v>
      </c>
      <c r="AX5" s="80">
        <f>'Captura Agosto'!X7</f>
        <v>0</v>
      </c>
      <c r="AY5" s="80">
        <f>'Captura Agosto'!AC7</f>
        <v>0</v>
      </c>
      <c r="AZ5" s="81">
        <f>-'Captura Agosto'!AN7</f>
        <v>-0.1</v>
      </c>
      <c r="BA5" s="82">
        <f>'Captura Agosto'!AQ7</f>
        <v>0.64449999999999996</v>
      </c>
      <c r="BB5" s="110" t="s">
        <v>221</v>
      </c>
      <c r="BC5" s="110"/>
    </row>
    <row r="6" spans="1:55" ht="16.5" customHeight="1" x14ac:dyDescent="0.35">
      <c r="A6" s="12">
        <v>1</v>
      </c>
      <c r="B6" s="83" t="s">
        <v>103</v>
      </c>
      <c r="C6" s="84" t="str">
        <f>VLOOKUP(B6,Parametros!$I$6:$J$20,2,FALSE())</f>
        <v>Fredy Fuentes</v>
      </c>
      <c r="D6" s="85">
        <v>1</v>
      </c>
      <c r="E6" s="85">
        <v>1</v>
      </c>
      <c r="F6" s="11">
        <f t="shared" ref="F6:F20" si="0">AVERAGE(D6,E6)</f>
        <v>1</v>
      </c>
      <c r="G6" s="86">
        <f>F6*Parametros!$E$6</f>
        <v>0.2</v>
      </c>
      <c r="H6" s="87">
        <v>38</v>
      </c>
      <c r="I6" s="87">
        <v>38</v>
      </c>
      <c r="J6" s="88" t="s">
        <v>222</v>
      </c>
      <c r="K6" s="86">
        <f>IF(J6="NO",0,IFERROR(H6/I6,0)*Parametros!$E$7)</f>
        <v>0.08</v>
      </c>
      <c r="L6" s="85">
        <v>1</v>
      </c>
      <c r="M6" s="88" t="s">
        <v>222</v>
      </c>
      <c r="N6" s="86">
        <f>IF(M6="NO",0,L6*Parametros!$E$8)</f>
        <v>0.08</v>
      </c>
      <c r="O6" s="85">
        <v>0.94</v>
      </c>
      <c r="P6" s="88" t="s">
        <v>222</v>
      </c>
      <c r="Q6" s="86">
        <f>IF(P6="NO",0,O6*Parametros!$E$9)</f>
        <v>7.5200000000000003E-2</v>
      </c>
      <c r="R6" s="85">
        <v>1</v>
      </c>
      <c r="S6" s="88" t="s">
        <v>222</v>
      </c>
      <c r="T6" s="86">
        <f>IF(S6="NO",0,R6*Parametros!$E$10)</f>
        <v>0.06</v>
      </c>
      <c r="U6" s="85">
        <v>0.93899999999999995</v>
      </c>
      <c r="V6" s="86">
        <f>U6*Parametros!$E$11</f>
        <v>0.23474999999999999</v>
      </c>
      <c r="W6" s="87">
        <v>1</v>
      </c>
      <c r="X6" s="86">
        <f>MAX(0,Parametros!$E$12-Parametros!$E$18*W6)</f>
        <v>0.2</v>
      </c>
      <c r="Y6" s="87">
        <v>1</v>
      </c>
      <c r="Z6" s="87">
        <v>2</v>
      </c>
      <c r="AA6" s="89">
        <f>IF(Y6&gt;=Parametros!$E$22,Parametros!$E$24,0)</f>
        <v>0</v>
      </c>
      <c r="AB6" s="89">
        <f>IF(Z6&gt;=Parametros!$E$23,Parametros!$E$25,0)</f>
        <v>0</v>
      </c>
      <c r="AC6" s="89">
        <f t="shared" ref="AC6:AC20" si="1">AA6+AB6</f>
        <v>0</v>
      </c>
      <c r="AD6" s="87">
        <v>0</v>
      </c>
      <c r="AE6" s="88" t="s">
        <v>222</v>
      </c>
      <c r="AF6" s="87">
        <v>0</v>
      </c>
      <c r="AG6" s="88" t="s">
        <v>222</v>
      </c>
      <c r="AH6" s="87">
        <v>0</v>
      </c>
      <c r="AI6" s="88" t="s">
        <v>222</v>
      </c>
      <c r="AJ6" s="87">
        <v>0</v>
      </c>
      <c r="AK6" s="88" t="s">
        <v>222</v>
      </c>
      <c r="AL6" s="87">
        <v>0</v>
      </c>
      <c r="AM6" s="88" t="s">
        <v>222</v>
      </c>
      <c r="AN6" s="89">
        <f>AD6*Parametros!$E$28+AF6*Parametros!$E$29+AH6*Parametros!$E$30+AJ6*Parametros!$E$31+AL6*Parametros!$E$32</f>
        <v>0</v>
      </c>
      <c r="AO6" s="12" t="str">
        <f t="shared" ref="AO6:AO20" si="2">IF(OR(AND(AD6&gt;0,AE6="NO"),AND(AF6&gt;0,AG6="NO"),AND(AH6&gt;0,AI6="NO"),AND(AJ6&gt;0,AK6="NO"),AND(AL6&gt;0,AM6="NO")),"SI","NO")</f>
        <v>NO</v>
      </c>
      <c r="AP6" s="11">
        <f t="shared" ref="AP6:AP20" si="3">G6+K6+N6+Q6+T6+V6+X6</f>
        <v>0.92995000000000005</v>
      </c>
      <c r="AQ6" s="90">
        <f>MAX(0,MIN(1,MAX(0,AP6-IF(S6="NO",Parametros!$E$17,0))+AC6-AN6-IF(AO6="SI",Parametros!$E$33,0)))</f>
        <v>0.92995000000000005</v>
      </c>
      <c r="AR6" s="58"/>
      <c r="AS6" s="71" t="str">
        <f>'Captura Agosto'!B8</f>
        <v>Calidad</v>
      </c>
      <c r="AT6" s="72">
        <f>'Captura Agosto'!K8+'Captura Agosto'!N8+'Captura Agosto'!Q8</f>
        <v>0.24</v>
      </c>
      <c r="AU6" s="72">
        <f>'Captura Agosto'!T8</f>
        <v>0.06</v>
      </c>
      <c r="AV6" s="72">
        <f>'Captura Agosto'!V8</f>
        <v>0.24525</v>
      </c>
      <c r="AW6" s="72">
        <f>'Captura Agosto'!G8</f>
        <v>0.2</v>
      </c>
      <c r="AX6" s="72">
        <f>'Captura Agosto'!X8</f>
        <v>0.25</v>
      </c>
      <c r="AY6" s="72">
        <f>'Captura Agosto'!AC8</f>
        <v>0.08</v>
      </c>
      <c r="AZ6" s="73">
        <f>-'Captura Agosto'!AN8</f>
        <v>-0.1</v>
      </c>
      <c r="BA6" s="74">
        <f>'Captura Agosto'!AQ8</f>
        <v>0.97525000000000006</v>
      </c>
      <c r="BB6" s="58"/>
      <c r="BC6" s="58"/>
    </row>
    <row r="7" spans="1:55" ht="16.5" customHeight="1" x14ac:dyDescent="0.35">
      <c r="A7" s="12">
        <v>2</v>
      </c>
      <c r="B7" s="83" t="s">
        <v>135</v>
      </c>
      <c r="C7" s="84" t="str">
        <f>VLOOKUP(B7,Parametros!$I$6:$J$20,2,FALSE())</f>
        <v>Carlos Chavez</v>
      </c>
      <c r="D7" s="85">
        <v>1</v>
      </c>
      <c r="E7" s="85">
        <v>1</v>
      </c>
      <c r="F7" s="11">
        <f t="shared" si="0"/>
        <v>1</v>
      </c>
      <c r="G7" s="86">
        <f>F7*Parametros!$E$6</f>
        <v>0.2</v>
      </c>
      <c r="H7" s="87">
        <v>38</v>
      </c>
      <c r="I7" s="87">
        <v>38</v>
      </c>
      <c r="J7" s="88" t="s">
        <v>222</v>
      </c>
      <c r="K7" s="86">
        <f>IF(J7="NO",0,IFERROR(H7/I7,0)*Parametros!$E$7)</f>
        <v>0.08</v>
      </c>
      <c r="L7" s="85">
        <v>1</v>
      </c>
      <c r="M7" s="88" t="s">
        <v>222</v>
      </c>
      <c r="N7" s="86">
        <f>IF(M7="NO",0,L7*Parametros!$E$8)</f>
        <v>0.08</v>
      </c>
      <c r="O7" s="85">
        <v>1</v>
      </c>
      <c r="P7" s="88" t="s">
        <v>222</v>
      </c>
      <c r="Q7" s="86">
        <f>IF(P7="NO",0,O7*Parametros!$E$9)</f>
        <v>0.08</v>
      </c>
      <c r="R7" s="85">
        <v>1</v>
      </c>
      <c r="S7" s="88" t="s">
        <v>222</v>
      </c>
      <c r="T7" s="86">
        <f>IF(S7="NO",0,R7*Parametros!$E$10)</f>
        <v>0.06</v>
      </c>
      <c r="U7" s="85">
        <v>0.97799999999999998</v>
      </c>
      <c r="V7" s="86">
        <f>U7*Parametros!$E$11</f>
        <v>0.2445</v>
      </c>
      <c r="W7" s="87">
        <v>6</v>
      </c>
      <c r="X7" s="86">
        <f>MAX(0,Parametros!$E$12-Parametros!$E$18*W7)</f>
        <v>0</v>
      </c>
      <c r="Y7" s="87">
        <v>0</v>
      </c>
      <c r="Z7" s="87">
        <v>0</v>
      </c>
      <c r="AA7" s="89">
        <f>IF(Y7&gt;=Parametros!$E$22,Parametros!$E$24,0)</f>
        <v>0</v>
      </c>
      <c r="AB7" s="89">
        <f>IF(Z7&gt;=Parametros!$E$23,Parametros!$E$25,0)</f>
        <v>0</v>
      </c>
      <c r="AC7" s="89">
        <f t="shared" si="1"/>
        <v>0</v>
      </c>
      <c r="AD7" s="87">
        <v>0</v>
      </c>
      <c r="AE7" s="88" t="s">
        <v>222</v>
      </c>
      <c r="AF7" s="87">
        <v>1</v>
      </c>
      <c r="AG7" s="88" t="s">
        <v>222</v>
      </c>
      <c r="AH7" s="87">
        <v>0</v>
      </c>
      <c r="AI7" s="88" t="s">
        <v>222</v>
      </c>
      <c r="AJ7" s="87">
        <v>0</v>
      </c>
      <c r="AK7" s="88" t="s">
        <v>222</v>
      </c>
      <c r="AL7" s="87">
        <v>0</v>
      </c>
      <c r="AM7" s="88" t="s">
        <v>222</v>
      </c>
      <c r="AN7" s="89">
        <f>AD7*Parametros!$E$28+AF7*Parametros!$E$29+AH7*Parametros!$E$30+AJ7*Parametros!$E$31+AL7*Parametros!$E$32</f>
        <v>0.1</v>
      </c>
      <c r="AO7" s="12" t="str">
        <f t="shared" si="2"/>
        <v>NO</v>
      </c>
      <c r="AP7" s="11">
        <f t="shared" si="3"/>
        <v>0.74449999999999994</v>
      </c>
      <c r="AQ7" s="90">
        <f>MAX(0,MIN(1,MAX(0,AP7-IF(S7="NO",Parametros!$E$17,0))+AC7-AN7-IF(AO7="SI",Parametros!$E$33,0)))</f>
        <v>0.64449999999999996</v>
      </c>
      <c r="AR7" s="58"/>
      <c r="AS7" s="79" t="str">
        <f>'Captura Agosto'!B9</f>
        <v>Centro de Distribucion</v>
      </c>
      <c r="AT7" s="80">
        <f>'Captura Agosto'!K9+'Captura Agosto'!N9+'Captura Agosto'!Q9</f>
        <v>0.23520000000000002</v>
      </c>
      <c r="AU7" s="80">
        <f>'Captura Agosto'!T9</f>
        <v>0.06</v>
      </c>
      <c r="AV7" s="80">
        <f>'Captura Agosto'!V9</f>
        <v>0.23674999999999999</v>
      </c>
      <c r="AW7" s="80">
        <f>'Captura Agosto'!G9</f>
        <v>0.2</v>
      </c>
      <c r="AX7" s="80">
        <f>'Captura Agosto'!X9</f>
        <v>0.2</v>
      </c>
      <c r="AY7" s="80">
        <f>'Captura Agosto'!AC9</f>
        <v>0.04</v>
      </c>
      <c r="AZ7" s="81">
        <f>-'Captura Agosto'!AN9</f>
        <v>0</v>
      </c>
      <c r="BA7" s="82">
        <f>'Captura Agosto'!AQ9</f>
        <v>0.97195000000000009</v>
      </c>
      <c r="BB7" s="58"/>
      <c r="BC7" s="58"/>
    </row>
    <row r="8" spans="1:55" ht="16.5" customHeight="1" x14ac:dyDescent="0.35">
      <c r="A8" s="12">
        <v>3</v>
      </c>
      <c r="B8" s="83" t="s">
        <v>98</v>
      </c>
      <c r="C8" s="84" t="str">
        <f>VLOOKUP(B8,Parametros!$I$6:$J$20,2,FALSE())</f>
        <v>Alejandro Martinez</v>
      </c>
      <c r="D8" s="85">
        <v>1</v>
      </c>
      <c r="E8" s="85">
        <v>1</v>
      </c>
      <c r="F8" s="11">
        <f t="shared" si="0"/>
        <v>1</v>
      </c>
      <c r="G8" s="86">
        <f>F8*Parametros!$E$6</f>
        <v>0.2</v>
      </c>
      <c r="H8" s="87">
        <v>38</v>
      </c>
      <c r="I8" s="87">
        <v>38</v>
      </c>
      <c r="J8" s="88" t="s">
        <v>222</v>
      </c>
      <c r="K8" s="86">
        <f>IF(J8="NO",0,IFERROR(H8/I8,0)*Parametros!$E$7)</f>
        <v>0.08</v>
      </c>
      <c r="L8" s="85">
        <v>1</v>
      </c>
      <c r="M8" s="88" t="s">
        <v>222</v>
      </c>
      <c r="N8" s="86">
        <f>IF(M8="NO",0,L8*Parametros!$E$8)</f>
        <v>0.08</v>
      </c>
      <c r="O8" s="85">
        <v>1</v>
      </c>
      <c r="P8" s="88" t="s">
        <v>222</v>
      </c>
      <c r="Q8" s="86">
        <f>IF(P8="NO",0,O8*Parametros!$E$9)</f>
        <v>0.08</v>
      </c>
      <c r="R8" s="85">
        <v>1</v>
      </c>
      <c r="S8" s="88" t="s">
        <v>222</v>
      </c>
      <c r="T8" s="86">
        <f>IF(S8="NO",0,R8*Parametros!$E$10)</f>
        <v>0.06</v>
      </c>
      <c r="U8" s="85">
        <v>0.98099999999999998</v>
      </c>
      <c r="V8" s="86">
        <f>U8*Parametros!$E$11</f>
        <v>0.24525</v>
      </c>
      <c r="W8" s="87">
        <v>0</v>
      </c>
      <c r="X8" s="86">
        <f>MAX(0,Parametros!$E$12-Parametros!$E$18*W8)</f>
        <v>0.25</v>
      </c>
      <c r="Y8" s="87">
        <v>8</v>
      </c>
      <c r="Z8" s="87">
        <v>34</v>
      </c>
      <c r="AA8" s="89">
        <f>IF(Y8&gt;=Parametros!$E$22,Parametros!$E$24,0)</f>
        <v>0.04</v>
      </c>
      <c r="AB8" s="89">
        <f>IF(Z8&gt;=Parametros!$E$23,Parametros!$E$25,0)</f>
        <v>0.04</v>
      </c>
      <c r="AC8" s="89">
        <f t="shared" si="1"/>
        <v>0.08</v>
      </c>
      <c r="AD8" s="87">
        <v>0</v>
      </c>
      <c r="AE8" s="88" t="s">
        <v>222</v>
      </c>
      <c r="AF8" s="87">
        <v>1</v>
      </c>
      <c r="AG8" s="88" t="s">
        <v>222</v>
      </c>
      <c r="AH8" s="87">
        <v>0</v>
      </c>
      <c r="AI8" s="88" t="s">
        <v>222</v>
      </c>
      <c r="AJ8" s="87">
        <v>0</v>
      </c>
      <c r="AK8" s="88" t="s">
        <v>222</v>
      </c>
      <c r="AL8" s="87">
        <v>0</v>
      </c>
      <c r="AM8" s="88" t="s">
        <v>222</v>
      </c>
      <c r="AN8" s="89">
        <f>AD8*Parametros!$E$28+AF8*Parametros!$E$29+AH8*Parametros!$E$30+AJ8*Parametros!$E$31+AL8*Parametros!$E$32</f>
        <v>0.1</v>
      </c>
      <c r="AO8" s="12" t="str">
        <f t="shared" si="2"/>
        <v>NO</v>
      </c>
      <c r="AP8" s="11">
        <f t="shared" si="3"/>
        <v>0.99524999999999997</v>
      </c>
      <c r="AQ8" s="90">
        <f>MAX(0,MIN(1,MAX(0,AP8-IF(S8="NO",Parametros!$E$17,0))+AC8-AN8-IF(AO8="SI",Parametros!$E$33,0)))</f>
        <v>0.97525000000000006</v>
      </c>
      <c r="AR8" s="58"/>
      <c r="AS8" s="71" t="str">
        <f>'Captura Agosto'!B10</f>
        <v>ETEI</v>
      </c>
      <c r="AT8" s="72">
        <f>'Captura Agosto'!K10+'Captura Agosto'!N10+'Captura Agosto'!Q10</f>
        <v>0.24</v>
      </c>
      <c r="AU8" s="72">
        <f>'Captura Agosto'!T10</f>
        <v>0.06</v>
      </c>
      <c r="AV8" s="72">
        <f>'Captura Agosto'!V10</f>
        <v>0.23300000000000001</v>
      </c>
      <c r="AW8" s="72">
        <f>'Captura Agosto'!G10</f>
        <v>0.18000000000000002</v>
      </c>
      <c r="AX8" s="72">
        <f>'Captura Agosto'!X10</f>
        <v>0.25</v>
      </c>
      <c r="AY8" s="72">
        <f>'Captura Agosto'!AC10</f>
        <v>0.04</v>
      </c>
      <c r="AZ8" s="73">
        <f>-'Captura Agosto'!AN10</f>
        <v>0</v>
      </c>
      <c r="BA8" s="74">
        <f>'Captura Agosto'!AQ10</f>
        <v>1</v>
      </c>
      <c r="BB8" s="58"/>
      <c r="BC8" s="58"/>
    </row>
    <row r="9" spans="1:55" ht="16.5" customHeight="1" x14ac:dyDescent="0.35">
      <c r="A9" s="12">
        <v>4</v>
      </c>
      <c r="B9" s="83" t="s">
        <v>128</v>
      </c>
      <c r="C9" s="84" t="str">
        <f>VLOOKUP(B9,Parametros!$I$6:$J$20,2,FALSE())</f>
        <v>Jimmy Velasquez</v>
      </c>
      <c r="D9" s="85">
        <v>1</v>
      </c>
      <c r="E9" s="85">
        <v>1</v>
      </c>
      <c r="F9" s="11">
        <f t="shared" si="0"/>
        <v>1</v>
      </c>
      <c r="G9" s="86">
        <f>F9*Parametros!$E$6</f>
        <v>0.2</v>
      </c>
      <c r="H9" s="87">
        <v>38</v>
      </c>
      <c r="I9" s="87">
        <v>38</v>
      </c>
      <c r="J9" s="88" t="s">
        <v>222</v>
      </c>
      <c r="K9" s="86">
        <f>IF(J9="NO",0,IFERROR(H9/I9,0)*Parametros!$E$7)</f>
        <v>0.08</v>
      </c>
      <c r="L9" s="85">
        <v>0.94</v>
      </c>
      <c r="M9" s="88" t="s">
        <v>222</v>
      </c>
      <c r="N9" s="86">
        <f>IF(M9="NO",0,L9*Parametros!$E$8)</f>
        <v>7.5200000000000003E-2</v>
      </c>
      <c r="O9" s="85">
        <v>1</v>
      </c>
      <c r="P9" s="88" t="s">
        <v>222</v>
      </c>
      <c r="Q9" s="86">
        <f>IF(P9="NO",0,O9*Parametros!$E$9)</f>
        <v>0.08</v>
      </c>
      <c r="R9" s="85">
        <v>1</v>
      </c>
      <c r="S9" s="88" t="s">
        <v>222</v>
      </c>
      <c r="T9" s="86">
        <f>IF(S9="NO",0,R9*Parametros!$E$10)</f>
        <v>0.06</v>
      </c>
      <c r="U9" s="85">
        <v>0.94699999999999995</v>
      </c>
      <c r="V9" s="86">
        <f>U9*Parametros!$E$11</f>
        <v>0.23674999999999999</v>
      </c>
      <c r="W9" s="87">
        <v>1</v>
      </c>
      <c r="X9" s="86">
        <f>MAX(0,Parametros!$E$12-Parametros!$E$18*W9)</f>
        <v>0.2</v>
      </c>
      <c r="Y9" s="87">
        <v>7</v>
      </c>
      <c r="Z9" s="87">
        <v>19</v>
      </c>
      <c r="AA9" s="89">
        <f>IF(Y9&gt;=Parametros!$E$22,Parametros!$E$24,0)</f>
        <v>0</v>
      </c>
      <c r="AB9" s="89">
        <f>IF(Z9&gt;=Parametros!$E$23,Parametros!$E$25,0)</f>
        <v>0.04</v>
      </c>
      <c r="AC9" s="89">
        <f t="shared" si="1"/>
        <v>0.04</v>
      </c>
      <c r="AD9" s="87">
        <v>0</v>
      </c>
      <c r="AE9" s="88" t="s">
        <v>222</v>
      </c>
      <c r="AF9" s="87">
        <v>0</v>
      </c>
      <c r="AG9" s="88" t="s">
        <v>222</v>
      </c>
      <c r="AH9" s="87">
        <v>0</v>
      </c>
      <c r="AI9" s="88" t="s">
        <v>222</v>
      </c>
      <c r="AJ9" s="87">
        <v>0</v>
      </c>
      <c r="AK9" s="88" t="s">
        <v>222</v>
      </c>
      <c r="AL9" s="87">
        <v>0</v>
      </c>
      <c r="AM9" s="88" t="s">
        <v>222</v>
      </c>
      <c r="AN9" s="89">
        <f>AD9*Parametros!$E$28+AF9*Parametros!$E$29+AH9*Parametros!$E$30+AJ9*Parametros!$E$31+AL9*Parametros!$E$32</f>
        <v>0</v>
      </c>
      <c r="AO9" s="12" t="str">
        <f t="shared" si="2"/>
        <v>NO</v>
      </c>
      <c r="AP9" s="11">
        <f t="shared" si="3"/>
        <v>0.93195000000000006</v>
      </c>
      <c r="AQ9" s="90">
        <f>MAX(0,MIN(1,MAX(0,AP9-IF(S9="NO",Parametros!$E$17,0))+AC9-AN9-IF(AO9="SI",Parametros!$E$33,0)))</f>
        <v>0.97195000000000009</v>
      </c>
      <c r="AR9" s="58"/>
      <c r="AS9" s="79" t="str">
        <f>'Captura Agosto'!B11</f>
        <v>Equipos Auxiliares</v>
      </c>
      <c r="AT9" s="80">
        <f>'Captura Agosto'!K11+'Captura Agosto'!N11+'Captura Agosto'!Q11</f>
        <v>0.24</v>
      </c>
      <c r="AU9" s="80">
        <f>'Captura Agosto'!T11</f>
        <v>0.06</v>
      </c>
      <c r="AV9" s="80">
        <f>'Captura Agosto'!V11</f>
        <v>0.25</v>
      </c>
      <c r="AW9" s="80">
        <f>'Captura Agosto'!G11</f>
        <v>0.2</v>
      </c>
      <c r="AX9" s="80">
        <f>'Captura Agosto'!X11</f>
        <v>9.9999999999999978E-2</v>
      </c>
      <c r="AY9" s="80">
        <f>'Captura Agosto'!AC11</f>
        <v>0.04</v>
      </c>
      <c r="AZ9" s="81">
        <f>-'Captura Agosto'!AN11</f>
        <v>-0.1</v>
      </c>
      <c r="BA9" s="82">
        <f>'Captura Agosto'!AQ11</f>
        <v>0.79</v>
      </c>
      <c r="BB9" s="58"/>
      <c r="BC9" s="58"/>
    </row>
    <row r="10" spans="1:55" ht="16.5" customHeight="1" x14ac:dyDescent="0.35">
      <c r="A10" s="12">
        <v>5</v>
      </c>
      <c r="B10" s="83" t="s">
        <v>125</v>
      </c>
      <c r="C10" s="84" t="str">
        <f>VLOOKUP(B10,Parametros!$I$6:$J$20,2,FALSE())</f>
        <v>Jessica Loarca</v>
      </c>
      <c r="D10" s="85">
        <v>0.8</v>
      </c>
      <c r="E10" s="85">
        <v>1</v>
      </c>
      <c r="F10" s="11">
        <f t="shared" si="0"/>
        <v>0.9</v>
      </c>
      <c r="G10" s="86">
        <f>F10*Parametros!$E$6</f>
        <v>0.18000000000000002</v>
      </c>
      <c r="H10" s="87">
        <v>38</v>
      </c>
      <c r="I10" s="87">
        <v>38</v>
      </c>
      <c r="J10" s="88" t="s">
        <v>222</v>
      </c>
      <c r="K10" s="86">
        <f>IF(J10="NO",0,IFERROR(H10/I10,0)*Parametros!$E$7)</f>
        <v>0.08</v>
      </c>
      <c r="L10" s="85">
        <v>1</v>
      </c>
      <c r="M10" s="88" t="s">
        <v>222</v>
      </c>
      <c r="N10" s="86">
        <f>IF(M10="NO",0,L10*Parametros!$E$8)</f>
        <v>0.08</v>
      </c>
      <c r="O10" s="85">
        <v>1</v>
      </c>
      <c r="P10" s="88" t="s">
        <v>222</v>
      </c>
      <c r="Q10" s="86">
        <f>IF(P10="NO",0,O10*Parametros!$E$9)</f>
        <v>0.08</v>
      </c>
      <c r="R10" s="85">
        <v>1</v>
      </c>
      <c r="S10" s="88" t="s">
        <v>222</v>
      </c>
      <c r="T10" s="86">
        <f>IF(S10="NO",0,R10*Parametros!$E$10)</f>
        <v>0.06</v>
      </c>
      <c r="U10" s="85">
        <v>0.93200000000000005</v>
      </c>
      <c r="V10" s="86">
        <f>U10*Parametros!$E$11</f>
        <v>0.23300000000000001</v>
      </c>
      <c r="W10" s="87">
        <v>0</v>
      </c>
      <c r="X10" s="86">
        <f>MAX(0,Parametros!$E$12-Parametros!$E$18*W10)</f>
        <v>0.25</v>
      </c>
      <c r="Y10" s="87">
        <v>1</v>
      </c>
      <c r="Z10" s="87">
        <v>13</v>
      </c>
      <c r="AA10" s="89">
        <f>IF(Y10&gt;=Parametros!$E$22,Parametros!$E$24,0)</f>
        <v>0</v>
      </c>
      <c r="AB10" s="89">
        <f>IF(Z10&gt;=Parametros!$E$23,Parametros!$E$25,0)</f>
        <v>0.04</v>
      </c>
      <c r="AC10" s="89">
        <f t="shared" si="1"/>
        <v>0.04</v>
      </c>
      <c r="AD10" s="87">
        <v>0</v>
      </c>
      <c r="AE10" s="88" t="s">
        <v>222</v>
      </c>
      <c r="AF10" s="87">
        <v>0</v>
      </c>
      <c r="AG10" s="88" t="s">
        <v>222</v>
      </c>
      <c r="AH10" s="87">
        <v>0</v>
      </c>
      <c r="AI10" s="88" t="s">
        <v>222</v>
      </c>
      <c r="AJ10" s="87">
        <v>0</v>
      </c>
      <c r="AK10" s="88" t="s">
        <v>222</v>
      </c>
      <c r="AL10" s="87">
        <v>0</v>
      </c>
      <c r="AM10" s="88" t="s">
        <v>222</v>
      </c>
      <c r="AN10" s="89">
        <f>AD10*Parametros!$E$28+AF10*Parametros!$E$29+AH10*Parametros!$E$30+AJ10*Parametros!$E$31+AL10*Parametros!$E$32</f>
        <v>0</v>
      </c>
      <c r="AO10" s="12" t="str">
        <f t="shared" si="2"/>
        <v>NO</v>
      </c>
      <c r="AP10" s="11">
        <f t="shared" si="3"/>
        <v>0.96300000000000008</v>
      </c>
      <c r="AQ10" s="90">
        <f>MAX(0,MIN(1,MAX(0,AP10-IF(S10="NO",Parametros!$E$17,0))+AC10-AN10-IF(AO10="SI",Parametros!$E$33,0)))</f>
        <v>1</v>
      </c>
      <c r="AR10" s="58"/>
      <c r="AS10" s="71" t="str">
        <f>'Captura Agosto'!B12</f>
        <v>Jarabes</v>
      </c>
      <c r="AT10" s="72">
        <f>'Captura Agosto'!K12+'Captura Agosto'!N12+'Captura Agosto'!Q12</f>
        <v>0.24</v>
      </c>
      <c r="AU10" s="72">
        <f>'Captura Agosto'!T12</f>
        <v>0.06</v>
      </c>
      <c r="AV10" s="72">
        <f>'Captura Agosto'!V12</f>
        <v>0.23699999999999999</v>
      </c>
      <c r="AW10" s="72">
        <f>'Captura Agosto'!G12</f>
        <v>0.19</v>
      </c>
      <c r="AX10" s="72">
        <f>'Captura Agosto'!X12</f>
        <v>0.2</v>
      </c>
      <c r="AY10" s="72">
        <f>'Captura Agosto'!AC12</f>
        <v>0</v>
      </c>
      <c r="AZ10" s="73">
        <f>-'Captura Agosto'!AN12</f>
        <v>0</v>
      </c>
      <c r="BA10" s="74">
        <f>'Captura Agosto'!AQ12</f>
        <v>0.92700000000000005</v>
      </c>
      <c r="BB10" s="58"/>
      <c r="BC10" s="58"/>
    </row>
    <row r="11" spans="1:55" ht="16.5" customHeight="1" x14ac:dyDescent="0.35">
      <c r="A11" s="12">
        <v>6</v>
      </c>
      <c r="B11" s="83" t="s">
        <v>117</v>
      </c>
      <c r="C11" s="84" t="str">
        <f>VLOOKUP(B11,Parametros!$I$6:$J$20,2,FALSE())</f>
        <v>Edson Bonifacio</v>
      </c>
      <c r="D11" s="85">
        <v>1</v>
      </c>
      <c r="E11" s="85">
        <v>1</v>
      </c>
      <c r="F11" s="11">
        <f t="shared" si="0"/>
        <v>1</v>
      </c>
      <c r="G11" s="86">
        <f>F11*Parametros!$E$6</f>
        <v>0.2</v>
      </c>
      <c r="H11" s="87">
        <v>38</v>
      </c>
      <c r="I11" s="87">
        <v>38</v>
      </c>
      <c r="J11" s="88" t="s">
        <v>222</v>
      </c>
      <c r="K11" s="86">
        <f>IF(J11="NO",0,IFERROR(H11/I11,0)*Parametros!$E$7)</f>
        <v>0.08</v>
      </c>
      <c r="L11" s="85">
        <v>1</v>
      </c>
      <c r="M11" s="88" t="s">
        <v>222</v>
      </c>
      <c r="N11" s="86">
        <f>IF(M11="NO",0,L11*Parametros!$E$8)</f>
        <v>0.08</v>
      </c>
      <c r="O11" s="85">
        <v>1</v>
      </c>
      <c r="P11" s="88" t="s">
        <v>222</v>
      </c>
      <c r="Q11" s="86">
        <f>IF(P11="NO",0,O11*Parametros!$E$9)</f>
        <v>0.08</v>
      </c>
      <c r="R11" s="85">
        <v>1</v>
      </c>
      <c r="S11" s="88" t="s">
        <v>222</v>
      </c>
      <c r="T11" s="86">
        <f>IF(S11="NO",0,R11*Parametros!$E$10)</f>
        <v>0.06</v>
      </c>
      <c r="U11" s="85">
        <v>1</v>
      </c>
      <c r="V11" s="86">
        <f>U11*Parametros!$E$11</f>
        <v>0.25</v>
      </c>
      <c r="W11" s="87">
        <v>3</v>
      </c>
      <c r="X11" s="86">
        <f>MAX(0,Parametros!$E$12-Parametros!$E$18*W11)</f>
        <v>9.9999999999999978E-2</v>
      </c>
      <c r="Y11" s="87">
        <v>2</v>
      </c>
      <c r="Z11" s="87">
        <v>12</v>
      </c>
      <c r="AA11" s="89">
        <f>IF(Y11&gt;=Parametros!$E$22,Parametros!$E$24,0)</f>
        <v>0</v>
      </c>
      <c r="AB11" s="89">
        <f>IF(Z11&gt;=Parametros!$E$23,Parametros!$E$25,0)</f>
        <v>0.04</v>
      </c>
      <c r="AC11" s="89">
        <f t="shared" si="1"/>
        <v>0.04</v>
      </c>
      <c r="AD11" s="87">
        <v>0</v>
      </c>
      <c r="AE11" s="88" t="s">
        <v>222</v>
      </c>
      <c r="AF11" s="87">
        <v>1</v>
      </c>
      <c r="AG11" s="88" t="s">
        <v>222</v>
      </c>
      <c r="AH11" s="87">
        <v>0</v>
      </c>
      <c r="AI11" s="88" t="s">
        <v>222</v>
      </c>
      <c r="AJ11" s="87">
        <v>0</v>
      </c>
      <c r="AK11" s="88" t="s">
        <v>222</v>
      </c>
      <c r="AL11" s="87">
        <v>0</v>
      </c>
      <c r="AM11" s="88" t="s">
        <v>222</v>
      </c>
      <c r="AN11" s="89">
        <f>AD11*Parametros!$E$28+AF11*Parametros!$E$29+AH11*Parametros!$E$30+AJ11*Parametros!$E$31+AL11*Parametros!$E$32</f>
        <v>0.1</v>
      </c>
      <c r="AO11" s="12" t="str">
        <f t="shared" si="2"/>
        <v>NO</v>
      </c>
      <c r="AP11" s="11">
        <f t="shared" si="3"/>
        <v>0.85</v>
      </c>
      <c r="AQ11" s="90">
        <f>MAX(0,MIN(1,MAX(0,AP11-IF(S11="NO",Parametros!$E$17,0))+AC11-AN11-IF(AO11="SI",Parametros!$E$33,0)))</f>
        <v>0.79</v>
      </c>
      <c r="AR11" s="58"/>
      <c r="AS11" s="79" t="str">
        <f>'Captura Agosto'!B13</f>
        <v>Linea 1</v>
      </c>
      <c r="AT11" s="80">
        <f>'Captura Agosto'!K13+'Captura Agosto'!N13+'Captura Agosto'!Q13</f>
        <v>0.2112</v>
      </c>
      <c r="AU11" s="80">
        <f>'Captura Agosto'!T13</f>
        <v>0.06</v>
      </c>
      <c r="AV11" s="80">
        <f>'Captura Agosto'!V13</f>
        <v>0.24174999999999999</v>
      </c>
      <c r="AW11" s="80">
        <f>'Captura Agosto'!G13</f>
        <v>0.19472999999999999</v>
      </c>
      <c r="AX11" s="80">
        <f>'Captura Agosto'!X13</f>
        <v>0</v>
      </c>
      <c r="AY11" s="80">
        <f>'Captura Agosto'!AC13</f>
        <v>0.04</v>
      </c>
      <c r="AZ11" s="81">
        <f>-'Captura Agosto'!AN13</f>
        <v>0</v>
      </c>
      <c r="BA11" s="82">
        <f>'Captura Agosto'!AQ13</f>
        <v>0.74768000000000001</v>
      </c>
      <c r="BB11" s="58"/>
      <c r="BC11" s="58"/>
    </row>
    <row r="12" spans="1:55" ht="16.5" customHeight="1" x14ac:dyDescent="0.35">
      <c r="A12" s="12">
        <v>7</v>
      </c>
      <c r="B12" s="83" t="s">
        <v>130</v>
      </c>
      <c r="C12" s="84" t="str">
        <f>VLOOKUP(B12,Parametros!$I$6:$J$20,2,FALSE())</f>
        <v>Adrian Santisteban</v>
      </c>
      <c r="D12" s="85">
        <v>0.9</v>
      </c>
      <c r="E12" s="85">
        <v>1</v>
      </c>
      <c r="F12" s="11">
        <f t="shared" si="0"/>
        <v>0.95</v>
      </c>
      <c r="G12" s="86">
        <f>F12*Parametros!$E$6</f>
        <v>0.19</v>
      </c>
      <c r="H12" s="87">
        <v>38</v>
      </c>
      <c r="I12" s="87">
        <v>38</v>
      </c>
      <c r="J12" s="88" t="s">
        <v>222</v>
      </c>
      <c r="K12" s="86">
        <f>IF(J12="NO",0,IFERROR(H12/I12,0)*Parametros!$E$7)</f>
        <v>0.08</v>
      </c>
      <c r="L12" s="85">
        <v>1</v>
      </c>
      <c r="M12" s="88" t="s">
        <v>222</v>
      </c>
      <c r="N12" s="86">
        <f>IF(M12="NO",0,L12*Parametros!$E$8)</f>
        <v>0.08</v>
      </c>
      <c r="O12" s="85">
        <v>1</v>
      </c>
      <c r="P12" s="88" t="s">
        <v>222</v>
      </c>
      <c r="Q12" s="86">
        <f>IF(P12="NO",0,O12*Parametros!$E$9)</f>
        <v>0.08</v>
      </c>
      <c r="R12" s="85">
        <v>1</v>
      </c>
      <c r="S12" s="88" t="s">
        <v>222</v>
      </c>
      <c r="T12" s="86">
        <f>IF(S12="NO",0,R12*Parametros!$E$10)</f>
        <v>0.06</v>
      </c>
      <c r="U12" s="85">
        <v>0.94799999999999995</v>
      </c>
      <c r="V12" s="86">
        <f>U12*Parametros!$E$11</f>
        <v>0.23699999999999999</v>
      </c>
      <c r="W12" s="87">
        <v>1</v>
      </c>
      <c r="X12" s="86">
        <f>MAX(0,Parametros!$E$12-Parametros!$E$18*W12)</f>
        <v>0.2</v>
      </c>
      <c r="Y12" s="87">
        <v>4</v>
      </c>
      <c r="Z12" s="87">
        <v>4</v>
      </c>
      <c r="AA12" s="89">
        <f>IF(Y12&gt;=Parametros!$E$22,Parametros!$E$24,0)</f>
        <v>0</v>
      </c>
      <c r="AB12" s="89">
        <f>IF(Z12&gt;=Parametros!$E$23,Parametros!$E$25,0)</f>
        <v>0</v>
      </c>
      <c r="AC12" s="89">
        <f t="shared" si="1"/>
        <v>0</v>
      </c>
      <c r="AD12" s="87">
        <v>0</v>
      </c>
      <c r="AE12" s="88" t="s">
        <v>222</v>
      </c>
      <c r="AF12" s="87">
        <v>0</v>
      </c>
      <c r="AG12" s="88" t="s">
        <v>222</v>
      </c>
      <c r="AH12" s="87">
        <v>0</v>
      </c>
      <c r="AI12" s="88" t="s">
        <v>222</v>
      </c>
      <c r="AJ12" s="87">
        <v>0</v>
      </c>
      <c r="AK12" s="88" t="s">
        <v>222</v>
      </c>
      <c r="AL12" s="87">
        <v>0</v>
      </c>
      <c r="AM12" s="88" t="s">
        <v>222</v>
      </c>
      <c r="AN12" s="89">
        <f>AD12*Parametros!$E$28+AF12*Parametros!$E$29+AH12*Parametros!$E$30+AJ12*Parametros!$E$31+AL12*Parametros!$E$32</f>
        <v>0</v>
      </c>
      <c r="AO12" s="12" t="str">
        <f t="shared" si="2"/>
        <v>NO</v>
      </c>
      <c r="AP12" s="11">
        <f t="shared" si="3"/>
        <v>0.92700000000000005</v>
      </c>
      <c r="AQ12" s="90">
        <f>MAX(0,MIN(1,MAX(0,AP12-IF(S12="NO",Parametros!$E$17,0))+AC12-AN12-IF(AO12="SI",Parametros!$E$33,0)))</f>
        <v>0.92700000000000005</v>
      </c>
      <c r="AR12" s="58"/>
      <c r="AS12" s="71" t="str">
        <f>'Captura Agosto'!B14</f>
        <v>Linea 2</v>
      </c>
      <c r="AT12" s="72">
        <f>'Captura Agosto'!K14+'Captura Agosto'!N14+'Captura Agosto'!Q14</f>
        <v>0.2208</v>
      </c>
      <c r="AU12" s="72">
        <f>'Captura Agosto'!T14</f>
        <v>0.06</v>
      </c>
      <c r="AV12" s="72">
        <f>'Captura Agosto'!V14</f>
        <v>0.24174999999999999</v>
      </c>
      <c r="AW12" s="72">
        <f>'Captura Agosto'!G14</f>
        <v>0.18571000000000001</v>
      </c>
      <c r="AX12" s="72">
        <f>'Captura Agosto'!X14</f>
        <v>0</v>
      </c>
      <c r="AY12" s="72">
        <f>'Captura Agosto'!AC14</f>
        <v>0.04</v>
      </c>
      <c r="AZ12" s="73">
        <f>-'Captura Agosto'!AN14</f>
        <v>-0.1</v>
      </c>
      <c r="BA12" s="74">
        <f>'Captura Agosto'!AQ14</f>
        <v>0.64826000000000006</v>
      </c>
      <c r="BB12" s="58"/>
      <c r="BC12" s="58"/>
    </row>
    <row r="13" spans="1:55" ht="16.5" customHeight="1" x14ac:dyDescent="0.35">
      <c r="A13" s="12">
        <v>8</v>
      </c>
      <c r="B13" s="83" t="s">
        <v>123</v>
      </c>
      <c r="C13" s="84" t="str">
        <f>VLOOKUP(B13,Parametros!$I$6:$J$20,2,FALSE())</f>
        <v>Amilcar Ralda</v>
      </c>
      <c r="D13" s="85">
        <v>0.97</v>
      </c>
      <c r="E13" s="85">
        <v>0.97729999999999995</v>
      </c>
      <c r="F13" s="11">
        <f t="shared" si="0"/>
        <v>0.9736499999999999</v>
      </c>
      <c r="G13" s="86">
        <f>F13*Parametros!$E$6</f>
        <v>0.19472999999999999</v>
      </c>
      <c r="H13" s="87">
        <v>38</v>
      </c>
      <c r="I13" s="87">
        <v>38</v>
      </c>
      <c r="J13" s="88" t="s">
        <v>222</v>
      </c>
      <c r="K13" s="86">
        <f>IF(J13="NO",0,IFERROR(H13/I13,0)*Parametros!$E$7)</f>
        <v>0.08</v>
      </c>
      <c r="L13" s="85">
        <v>0.84</v>
      </c>
      <c r="M13" s="88" t="s">
        <v>222</v>
      </c>
      <c r="N13" s="86">
        <f>IF(M13="NO",0,L13*Parametros!$E$8)</f>
        <v>6.7199999999999996E-2</v>
      </c>
      <c r="O13" s="85">
        <v>0.8</v>
      </c>
      <c r="P13" s="88" t="s">
        <v>222</v>
      </c>
      <c r="Q13" s="86">
        <f>IF(P13="NO",0,O13*Parametros!$E$9)</f>
        <v>6.4000000000000001E-2</v>
      </c>
      <c r="R13" s="85">
        <v>1</v>
      </c>
      <c r="S13" s="88" t="s">
        <v>222</v>
      </c>
      <c r="T13" s="86">
        <f>IF(S13="NO",0,R13*Parametros!$E$10)</f>
        <v>0.06</v>
      </c>
      <c r="U13" s="85">
        <v>0.96699999999999997</v>
      </c>
      <c r="V13" s="86">
        <f>U13*Parametros!$E$11</f>
        <v>0.24174999999999999</v>
      </c>
      <c r="W13" s="87">
        <v>8</v>
      </c>
      <c r="X13" s="86">
        <f>MAX(0,Parametros!$E$12-Parametros!$E$18*W13)</f>
        <v>0</v>
      </c>
      <c r="Y13" s="87">
        <v>4</v>
      </c>
      <c r="Z13" s="87">
        <v>16</v>
      </c>
      <c r="AA13" s="89">
        <f>IF(Y13&gt;=Parametros!$E$22,Parametros!$E$24,0)</f>
        <v>0</v>
      </c>
      <c r="AB13" s="89">
        <f>IF(Z13&gt;=Parametros!$E$23,Parametros!$E$25,0)</f>
        <v>0.04</v>
      </c>
      <c r="AC13" s="89">
        <f t="shared" si="1"/>
        <v>0.04</v>
      </c>
      <c r="AD13" s="87">
        <v>0</v>
      </c>
      <c r="AE13" s="88" t="s">
        <v>222</v>
      </c>
      <c r="AF13" s="87">
        <v>0</v>
      </c>
      <c r="AG13" s="88" t="s">
        <v>222</v>
      </c>
      <c r="AH13" s="87">
        <v>0</v>
      </c>
      <c r="AI13" s="88" t="s">
        <v>222</v>
      </c>
      <c r="AJ13" s="87">
        <v>0</v>
      </c>
      <c r="AK13" s="88" t="s">
        <v>222</v>
      </c>
      <c r="AL13" s="87">
        <v>0</v>
      </c>
      <c r="AM13" s="88" t="s">
        <v>222</v>
      </c>
      <c r="AN13" s="89">
        <f>AD13*Parametros!$E$28+AF13*Parametros!$E$29+AH13*Parametros!$E$30+AJ13*Parametros!$E$31+AL13*Parametros!$E$32</f>
        <v>0</v>
      </c>
      <c r="AO13" s="12" t="str">
        <f t="shared" si="2"/>
        <v>NO</v>
      </c>
      <c r="AP13" s="11">
        <f t="shared" si="3"/>
        <v>0.70767999999999998</v>
      </c>
      <c r="AQ13" s="90">
        <f>MAX(0,MIN(1,MAX(0,AP13-IF(S13="NO",Parametros!$E$17,0))+AC13-AN13-IF(AO13="SI",Parametros!$E$33,0)))</f>
        <v>0.74768000000000001</v>
      </c>
      <c r="AR13" s="58"/>
      <c r="AS13" s="79" t="str">
        <f>'Captura Agosto'!B15</f>
        <v>Linea 3</v>
      </c>
      <c r="AT13" s="80">
        <f>'Captura Agosto'!K15+'Captura Agosto'!N15+'Captura Agosto'!Q15</f>
        <v>0.24</v>
      </c>
      <c r="AU13" s="80">
        <f>'Captura Agosto'!T15</f>
        <v>0.06</v>
      </c>
      <c r="AV13" s="80">
        <f>'Captura Agosto'!V15</f>
        <v>0.24174999999999999</v>
      </c>
      <c r="AW13" s="80">
        <f>'Captura Agosto'!G15</f>
        <v>0.15200000000000002</v>
      </c>
      <c r="AX13" s="80">
        <f>'Captura Agosto'!X15</f>
        <v>0</v>
      </c>
      <c r="AY13" s="80">
        <f>'Captura Agosto'!AC15</f>
        <v>0</v>
      </c>
      <c r="AZ13" s="81">
        <f>-'Captura Agosto'!AN15</f>
        <v>0</v>
      </c>
      <c r="BA13" s="82">
        <f>'Captura Agosto'!AQ15</f>
        <v>0.69375000000000009</v>
      </c>
      <c r="BB13" s="58"/>
      <c r="BC13" s="58"/>
    </row>
    <row r="14" spans="1:55" ht="16.5" customHeight="1" x14ac:dyDescent="0.35">
      <c r="A14" s="12">
        <v>9</v>
      </c>
      <c r="B14" s="83" t="s">
        <v>113</v>
      </c>
      <c r="C14" s="84" t="str">
        <f>VLOOKUP(B14,Parametros!$I$6:$J$20,2,FALSE())</f>
        <v>Amilcar Ralda</v>
      </c>
      <c r="D14" s="85">
        <v>1</v>
      </c>
      <c r="E14" s="85">
        <v>0.85709999999999997</v>
      </c>
      <c r="F14" s="11">
        <f t="shared" si="0"/>
        <v>0.92854999999999999</v>
      </c>
      <c r="G14" s="86">
        <f>F14*Parametros!$E$6</f>
        <v>0.18571000000000001</v>
      </c>
      <c r="H14" s="87">
        <v>38</v>
      </c>
      <c r="I14" s="87">
        <v>38</v>
      </c>
      <c r="J14" s="88" t="s">
        <v>222</v>
      </c>
      <c r="K14" s="86">
        <f>IF(J14="NO",0,IFERROR(H14/I14,0)*Parametros!$E$7)</f>
        <v>0.08</v>
      </c>
      <c r="L14" s="85">
        <v>0.88</v>
      </c>
      <c r="M14" s="88" t="s">
        <v>222</v>
      </c>
      <c r="N14" s="86">
        <f>IF(M14="NO",0,L14*Parametros!$E$8)</f>
        <v>7.0400000000000004E-2</v>
      </c>
      <c r="O14" s="85">
        <v>0.88</v>
      </c>
      <c r="P14" s="88" t="s">
        <v>222</v>
      </c>
      <c r="Q14" s="86">
        <f>IF(P14="NO",0,O14*Parametros!$E$9)</f>
        <v>7.0400000000000004E-2</v>
      </c>
      <c r="R14" s="85">
        <v>1</v>
      </c>
      <c r="S14" s="88" t="s">
        <v>222</v>
      </c>
      <c r="T14" s="86">
        <f>IF(S14="NO",0,R14*Parametros!$E$10)</f>
        <v>0.06</v>
      </c>
      <c r="U14" s="85">
        <v>0.96699999999999997</v>
      </c>
      <c r="V14" s="86">
        <f>U14*Parametros!$E$11</f>
        <v>0.24174999999999999</v>
      </c>
      <c r="W14" s="87">
        <v>5</v>
      </c>
      <c r="X14" s="86">
        <f>MAX(0,Parametros!$E$12-Parametros!$E$18*W14)</f>
        <v>0</v>
      </c>
      <c r="Y14" s="87">
        <v>4</v>
      </c>
      <c r="Z14" s="87">
        <v>19</v>
      </c>
      <c r="AA14" s="89">
        <f>IF(Y14&gt;=Parametros!$E$22,Parametros!$E$24,0)</f>
        <v>0</v>
      </c>
      <c r="AB14" s="89">
        <f>IF(Z14&gt;=Parametros!$E$23,Parametros!$E$25,0)</f>
        <v>0.04</v>
      </c>
      <c r="AC14" s="89">
        <f t="shared" si="1"/>
        <v>0.04</v>
      </c>
      <c r="AD14" s="87">
        <v>0</v>
      </c>
      <c r="AE14" s="88" t="s">
        <v>222</v>
      </c>
      <c r="AF14" s="87">
        <v>1</v>
      </c>
      <c r="AG14" s="88" t="s">
        <v>222</v>
      </c>
      <c r="AH14" s="87">
        <v>0</v>
      </c>
      <c r="AI14" s="88" t="s">
        <v>222</v>
      </c>
      <c r="AJ14" s="87">
        <v>0</v>
      </c>
      <c r="AK14" s="88" t="s">
        <v>222</v>
      </c>
      <c r="AL14" s="87">
        <v>0</v>
      </c>
      <c r="AM14" s="88" t="s">
        <v>222</v>
      </c>
      <c r="AN14" s="89">
        <f>AD14*Parametros!$E$28+AF14*Parametros!$E$29+AH14*Parametros!$E$30+AJ14*Parametros!$E$31+AL14*Parametros!$E$32</f>
        <v>0.1</v>
      </c>
      <c r="AO14" s="12" t="str">
        <f t="shared" si="2"/>
        <v>NO</v>
      </c>
      <c r="AP14" s="11">
        <f t="shared" si="3"/>
        <v>0.70826</v>
      </c>
      <c r="AQ14" s="90">
        <f>MAX(0,MIN(1,MAX(0,AP14-IF(S14="NO",Parametros!$E$17,0))+AC14-AN14-IF(AO14="SI",Parametros!$E$33,0)))</f>
        <v>0.64826000000000006</v>
      </c>
      <c r="AR14" s="58"/>
      <c r="AS14" s="71" t="str">
        <f>'Captura Agosto'!B16</f>
        <v>Linea 4</v>
      </c>
      <c r="AT14" s="72">
        <f>'Captura Agosto'!K16+'Captura Agosto'!N16+'Captura Agosto'!Q16</f>
        <v>0.23519999999999996</v>
      </c>
      <c r="AU14" s="72">
        <f>'Captura Agosto'!T16</f>
        <v>0.06</v>
      </c>
      <c r="AV14" s="72">
        <f>'Captura Agosto'!V16</f>
        <v>0.24174999999999999</v>
      </c>
      <c r="AW14" s="72">
        <f>'Captura Agosto'!G16</f>
        <v>0.2</v>
      </c>
      <c r="AX14" s="72">
        <f>'Captura Agosto'!X16</f>
        <v>0.25</v>
      </c>
      <c r="AY14" s="72">
        <f>'Captura Agosto'!AC16</f>
        <v>0.04</v>
      </c>
      <c r="AZ14" s="73">
        <f>-'Captura Agosto'!AN16</f>
        <v>0</v>
      </c>
      <c r="BA14" s="74">
        <f>'Captura Agosto'!AQ16</f>
        <v>1</v>
      </c>
      <c r="BB14" s="58"/>
      <c r="BC14" s="58"/>
    </row>
    <row r="15" spans="1:55" ht="16.5" customHeight="1" x14ac:dyDescent="0.35">
      <c r="A15" s="12">
        <v>10</v>
      </c>
      <c r="B15" s="83" t="s">
        <v>133</v>
      </c>
      <c r="C15" s="84" t="str">
        <f>VLOOKUP(B15,Parametros!$I$6:$J$20,2,FALSE())</f>
        <v>Mario Ramos</v>
      </c>
      <c r="D15" s="85">
        <v>0.52</v>
      </c>
      <c r="E15" s="85">
        <v>1</v>
      </c>
      <c r="F15" s="11">
        <f t="shared" si="0"/>
        <v>0.76</v>
      </c>
      <c r="G15" s="86">
        <f>F15*Parametros!$E$6</f>
        <v>0.15200000000000002</v>
      </c>
      <c r="H15" s="87">
        <v>38</v>
      </c>
      <c r="I15" s="87">
        <v>38</v>
      </c>
      <c r="J15" s="88" t="s">
        <v>222</v>
      </c>
      <c r="K15" s="86">
        <f>IF(J15="NO",0,IFERROR(H15/I15,0)*Parametros!$E$7)</f>
        <v>0.08</v>
      </c>
      <c r="L15" s="85">
        <v>1</v>
      </c>
      <c r="M15" s="88" t="s">
        <v>222</v>
      </c>
      <c r="N15" s="86">
        <f>IF(M15="NO",0,L15*Parametros!$E$8)</f>
        <v>0.08</v>
      </c>
      <c r="O15" s="85">
        <v>1</v>
      </c>
      <c r="P15" s="88" t="s">
        <v>222</v>
      </c>
      <c r="Q15" s="86">
        <f>IF(P15="NO",0,O15*Parametros!$E$9)</f>
        <v>0.08</v>
      </c>
      <c r="R15" s="85">
        <v>1</v>
      </c>
      <c r="S15" s="88" t="s">
        <v>222</v>
      </c>
      <c r="T15" s="86">
        <f>IF(S15="NO",0,R15*Parametros!$E$10)</f>
        <v>0.06</v>
      </c>
      <c r="U15" s="85">
        <v>0.96699999999999997</v>
      </c>
      <c r="V15" s="86">
        <f>U15*Parametros!$E$11</f>
        <v>0.24174999999999999</v>
      </c>
      <c r="W15" s="87">
        <v>10</v>
      </c>
      <c r="X15" s="86">
        <f>MAX(0,Parametros!$E$12-Parametros!$E$18*W15)</f>
        <v>0</v>
      </c>
      <c r="Y15" s="87">
        <v>3</v>
      </c>
      <c r="Z15" s="87">
        <v>3</v>
      </c>
      <c r="AA15" s="89">
        <f>IF(Y15&gt;=Parametros!$E$22,Parametros!$E$24,0)</f>
        <v>0</v>
      </c>
      <c r="AB15" s="89">
        <f>IF(Z15&gt;=Parametros!$E$23,Parametros!$E$25,0)</f>
        <v>0</v>
      </c>
      <c r="AC15" s="89">
        <f t="shared" si="1"/>
        <v>0</v>
      </c>
      <c r="AD15" s="87">
        <v>0</v>
      </c>
      <c r="AE15" s="88" t="s">
        <v>222</v>
      </c>
      <c r="AF15" s="87">
        <v>0</v>
      </c>
      <c r="AG15" s="88" t="s">
        <v>222</v>
      </c>
      <c r="AH15" s="87">
        <v>0</v>
      </c>
      <c r="AI15" s="88" t="s">
        <v>222</v>
      </c>
      <c r="AJ15" s="87">
        <v>0</v>
      </c>
      <c r="AK15" s="88" t="s">
        <v>222</v>
      </c>
      <c r="AL15" s="87">
        <v>0</v>
      </c>
      <c r="AM15" s="88" t="s">
        <v>222</v>
      </c>
      <c r="AN15" s="89">
        <f>AD15*Parametros!$E$28+AF15*Parametros!$E$29+AH15*Parametros!$E$30+AJ15*Parametros!$E$31+AL15*Parametros!$E$32</f>
        <v>0</v>
      </c>
      <c r="AO15" s="12" t="str">
        <f t="shared" si="2"/>
        <v>NO</v>
      </c>
      <c r="AP15" s="11">
        <f t="shared" si="3"/>
        <v>0.69375000000000009</v>
      </c>
      <c r="AQ15" s="90">
        <f>MAX(0,MIN(1,MAX(0,AP15-IF(S15="NO",Parametros!$E$17,0))+AC15-AN15-IF(AO15="SI",Parametros!$E$33,0)))</f>
        <v>0.69375000000000009</v>
      </c>
      <c r="AR15" s="58"/>
      <c r="AS15" s="79" t="str">
        <f>'Captura Agosto'!B17</f>
        <v>Linea 5</v>
      </c>
      <c r="AT15" s="80">
        <f>'Captura Agosto'!K17+'Captura Agosto'!N17+'Captura Agosto'!Q17</f>
        <v>0.21920000000000001</v>
      </c>
      <c r="AU15" s="80">
        <f>'Captura Agosto'!T17</f>
        <v>0.06</v>
      </c>
      <c r="AV15" s="80">
        <f>'Captura Agosto'!V17</f>
        <v>0.24174999999999999</v>
      </c>
      <c r="AW15" s="80">
        <f>'Captura Agosto'!G17</f>
        <v>0.192</v>
      </c>
      <c r="AX15" s="80">
        <f>'Captura Agosto'!X17</f>
        <v>4.9999999999999989E-2</v>
      </c>
      <c r="AY15" s="80">
        <f>'Captura Agosto'!AC17</f>
        <v>0.04</v>
      </c>
      <c r="AZ15" s="81">
        <f>-'Captura Agosto'!AN17</f>
        <v>-0.1</v>
      </c>
      <c r="BA15" s="82">
        <f>'Captura Agosto'!AQ17</f>
        <v>0.70295000000000007</v>
      </c>
      <c r="BB15" s="58"/>
      <c r="BC15" s="58"/>
    </row>
    <row r="16" spans="1:55" ht="16.5" customHeight="1" x14ac:dyDescent="0.35">
      <c r="A16" s="12">
        <v>11</v>
      </c>
      <c r="B16" s="83" t="s">
        <v>106</v>
      </c>
      <c r="C16" s="84" t="str">
        <f>VLOOKUP(B16,Parametros!$I$6:$J$20,2,FALSE())</f>
        <v>Mario Ramos</v>
      </c>
      <c r="D16" s="85">
        <v>1</v>
      </c>
      <c r="E16" s="85">
        <v>1</v>
      </c>
      <c r="F16" s="11">
        <f t="shared" si="0"/>
        <v>1</v>
      </c>
      <c r="G16" s="86">
        <f>F16*Parametros!$E$6</f>
        <v>0.2</v>
      </c>
      <c r="H16" s="87">
        <v>38</v>
      </c>
      <c r="I16" s="87">
        <v>38</v>
      </c>
      <c r="J16" s="88" t="s">
        <v>222</v>
      </c>
      <c r="K16" s="86">
        <f>IF(J16="NO",0,IFERROR(H16/I16,0)*Parametros!$E$7)</f>
        <v>0.08</v>
      </c>
      <c r="L16" s="85">
        <v>0.98</v>
      </c>
      <c r="M16" s="88" t="s">
        <v>222</v>
      </c>
      <c r="N16" s="86">
        <f>IF(M16="NO",0,L16*Parametros!$E$8)</f>
        <v>7.8399999999999997E-2</v>
      </c>
      <c r="O16" s="85">
        <v>0.96</v>
      </c>
      <c r="P16" s="88" t="s">
        <v>222</v>
      </c>
      <c r="Q16" s="86">
        <f>IF(P16="NO",0,O16*Parametros!$E$9)</f>
        <v>7.6799999999999993E-2</v>
      </c>
      <c r="R16" s="85">
        <v>1</v>
      </c>
      <c r="S16" s="88" t="s">
        <v>222</v>
      </c>
      <c r="T16" s="86">
        <f>IF(S16="NO",0,R16*Parametros!$E$10)</f>
        <v>0.06</v>
      </c>
      <c r="U16" s="85">
        <v>0.96699999999999997</v>
      </c>
      <c r="V16" s="86">
        <f>U16*Parametros!$E$11</f>
        <v>0.24174999999999999</v>
      </c>
      <c r="W16" s="87">
        <v>0</v>
      </c>
      <c r="X16" s="86">
        <f>MAX(0,Parametros!$E$12-Parametros!$E$18*W16)</f>
        <v>0.25</v>
      </c>
      <c r="Y16" s="87">
        <v>7</v>
      </c>
      <c r="Z16" s="87">
        <v>10</v>
      </c>
      <c r="AA16" s="89">
        <f>IF(Y16&gt;=Parametros!$E$22,Parametros!$E$24,0)</f>
        <v>0</v>
      </c>
      <c r="AB16" s="89">
        <f>IF(Z16&gt;=Parametros!$E$23,Parametros!$E$25,0)</f>
        <v>0.04</v>
      </c>
      <c r="AC16" s="89">
        <f t="shared" si="1"/>
        <v>0.04</v>
      </c>
      <c r="AD16" s="87">
        <v>0</v>
      </c>
      <c r="AE16" s="88" t="s">
        <v>222</v>
      </c>
      <c r="AF16" s="87">
        <v>0</v>
      </c>
      <c r="AG16" s="88" t="s">
        <v>222</v>
      </c>
      <c r="AH16" s="87">
        <v>0</v>
      </c>
      <c r="AI16" s="88" t="s">
        <v>222</v>
      </c>
      <c r="AJ16" s="87">
        <v>0</v>
      </c>
      <c r="AK16" s="88" t="s">
        <v>222</v>
      </c>
      <c r="AL16" s="87">
        <v>0</v>
      </c>
      <c r="AM16" s="88" t="s">
        <v>222</v>
      </c>
      <c r="AN16" s="89">
        <f>AD16*Parametros!$E$28+AF16*Parametros!$E$29+AH16*Parametros!$E$30+AJ16*Parametros!$E$31+AL16*Parametros!$E$32</f>
        <v>0</v>
      </c>
      <c r="AO16" s="12" t="str">
        <f t="shared" si="2"/>
        <v>NO</v>
      </c>
      <c r="AP16" s="11">
        <f t="shared" si="3"/>
        <v>0.98694999999999999</v>
      </c>
      <c r="AQ16" s="90">
        <f>MAX(0,MIN(1,MAX(0,AP16-IF(S16="NO",Parametros!$E$17,0))+AC16-AN16-IF(AO16="SI",Parametros!$E$33,0)))</f>
        <v>1</v>
      </c>
      <c r="AR16" s="58"/>
      <c r="AS16" s="71" t="str">
        <f>'Captura Agosto'!B18</f>
        <v>Mantenimiento</v>
      </c>
      <c r="AT16" s="72">
        <f>'Captura Agosto'!K18+'Captura Agosto'!N18+'Captura Agosto'!Q18</f>
        <v>0.22560000000000002</v>
      </c>
      <c r="AU16" s="72">
        <f>'Captura Agosto'!T18</f>
        <v>0.06</v>
      </c>
      <c r="AV16" s="72">
        <f>'Captura Agosto'!V18</f>
        <v>0.23250000000000001</v>
      </c>
      <c r="AW16" s="72">
        <f>'Captura Agosto'!G18</f>
        <v>0.18700000000000003</v>
      </c>
      <c r="AX16" s="72">
        <f>'Captura Agosto'!X18</f>
        <v>0.25</v>
      </c>
      <c r="AY16" s="72">
        <f>'Captura Agosto'!AC18</f>
        <v>0.04</v>
      </c>
      <c r="AZ16" s="73">
        <f>-'Captura Agosto'!AN18</f>
        <v>0</v>
      </c>
      <c r="BA16" s="74">
        <f>'Captura Agosto'!AQ18</f>
        <v>0.9951000000000001</v>
      </c>
      <c r="BB16" s="58"/>
      <c r="BC16" s="58"/>
    </row>
    <row r="17" spans="1:55" ht="16.5" customHeight="1" x14ac:dyDescent="0.35">
      <c r="A17" s="12">
        <v>12</v>
      </c>
      <c r="B17" s="83" t="s">
        <v>109</v>
      </c>
      <c r="C17" s="84" t="str">
        <f>VLOOKUP(B17,Parametros!$I$6:$J$20,2,FALSE())</f>
        <v>Roy Luarca</v>
      </c>
      <c r="D17" s="85">
        <v>0.92</v>
      </c>
      <c r="E17" s="85">
        <v>1</v>
      </c>
      <c r="F17" s="11">
        <f t="shared" si="0"/>
        <v>0.96</v>
      </c>
      <c r="G17" s="86">
        <f>F17*Parametros!$E$6</f>
        <v>0.192</v>
      </c>
      <c r="H17" s="87">
        <v>38</v>
      </c>
      <c r="I17" s="87">
        <v>38</v>
      </c>
      <c r="J17" s="88" t="s">
        <v>222</v>
      </c>
      <c r="K17" s="86">
        <f>IF(J17="NO",0,IFERROR(H17/I17,0)*Parametros!$E$7)</f>
        <v>0.08</v>
      </c>
      <c r="L17" s="85">
        <v>0.87</v>
      </c>
      <c r="M17" s="88" t="s">
        <v>222</v>
      </c>
      <c r="N17" s="86">
        <f>IF(M17="NO",0,L17*Parametros!$E$8)</f>
        <v>6.9599999999999995E-2</v>
      </c>
      <c r="O17" s="85">
        <v>0.87</v>
      </c>
      <c r="P17" s="88" t="s">
        <v>222</v>
      </c>
      <c r="Q17" s="86">
        <f>IF(P17="NO",0,O17*Parametros!$E$9)</f>
        <v>6.9599999999999995E-2</v>
      </c>
      <c r="R17" s="85">
        <v>1</v>
      </c>
      <c r="S17" s="88" t="s">
        <v>222</v>
      </c>
      <c r="T17" s="86">
        <f>IF(S17="NO",0,R17*Parametros!$E$10)</f>
        <v>0.06</v>
      </c>
      <c r="U17" s="85">
        <v>0.96699999999999997</v>
      </c>
      <c r="V17" s="86">
        <f>U17*Parametros!$E$11</f>
        <v>0.24174999999999999</v>
      </c>
      <c r="W17" s="87">
        <v>4</v>
      </c>
      <c r="X17" s="86">
        <f>MAX(0,Parametros!$E$12-Parametros!$E$18*W17)</f>
        <v>4.9999999999999989E-2</v>
      </c>
      <c r="Y17" s="87">
        <v>1</v>
      </c>
      <c r="Z17" s="87">
        <v>14</v>
      </c>
      <c r="AA17" s="89">
        <f>IF(Y17&gt;=Parametros!$E$22,Parametros!$E$24,0)</f>
        <v>0</v>
      </c>
      <c r="AB17" s="89">
        <f>IF(Z17&gt;=Parametros!$E$23,Parametros!$E$25,0)</f>
        <v>0.04</v>
      </c>
      <c r="AC17" s="89">
        <f t="shared" si="1"/>
        <v>0.04</v>
      </c>
      <c r="AD17" s="87">
        <v>0</v>
      </c>
      <c r="AE17" s="88" t="s">
        <v>222</v>
      </c>
      <c r="AF17" s="87">
        <v>1</v>
      </c>
      <c r="AG17" s="88" t="s">
        <v>222</v>
      </c>
      <c r="AH17" s="87">
        <v>0</v>
      </c>
      <c r="AI17" s="88" t="s">
        <v>222</v>
      </c>
      <c r="AJ17" s="87">
        <v>0</v>
      </c>
      <c r="AK17" s="88" t="s">
        <v>222</v>
      </c>
      <c r="AL17" s="87">
        <v>0</v>
      </c>
      <c r="AM17" s="88" t="s">
        <v>222</v>
      </c>
      <c r="AN17" s="89">
        <f>AD17*Parametros!$E$28+AF17*Parametros!$E$29+AH17*Parametros!$E$30+AJ17*Parametros!$E$31+AL17*Parametros!$E$32</f>
        <v>0.1</v>
      </c>
      <c r="AO17" s="12" t="str">
        <f t="shared" si="2"/>
        <v>NO</v>
      </c>
      <c r="AP17" s="11">
        <f t="shared" si="3"/>
        <v>0.76295000000000002</v>
      </c>
      <c r="AQ17" s="90">
        <f>MAX(0,MIN(1,MAX(0,AP17-IF(S17="NO",Parametros!$E$17,0))+AC17-AN17-IF(AO17="SI",Parametros!$E$33,0)))</f>
        <v>0.70295000000000007</v>
      </c>
      <c r="AR17" s="58"/>
      <c r="AS17" s="79" t="str">
        <f>'Captura Agosto'!B19</f>
        <v>Materias Primas</v>
      </c>
      <c r="AT17" s="80">
        <f>'Captura Agosto'!K19+'Captura Agosto'!N19+'Captura Agosto'!Q19</f>
        <v>0.24</v>
      </c>
      <c r="AU17" s="80">
        <f>'Captura Agosto'!T19</f>
        <v>0.06</v>
      </c>
      <c r="AV17" s="80">
        <f>'Captura Agosto'!V19</f>
        <v>0.23125000000000001</v>
      </c>
      <c r="AW17" s="80">
        <f>'Captura Agosto'!G19</f>
        <v>0.2</v>
      </c>
      <c r="AX17" s="80">
        <f>'Captura Agosto'!X19</f>
        <v>0.2</v>
      </c>
      <c r="AY17" s="80">
        <f>'Captura Agosto'!AC19</f>
        <v>0.04</v>
      </c>
      <c r="AZ17" s="81">
        <f>-'Captura Agosto'!AN19</f>
        <v>0</v>
      </c>
      <c r="BA17" s="82">
        <f>'Captura Agosto'!AQ19</f>
        <v>0.97124999999999995</v>
      </c>
      <c r="BB17" s="58"/>
      <c r="BC17" s="58"/>
    </row>
    <row r="18" spans="1:55" ht="16.5" customHeight="1" x14ac:dyDescent="0.35">
      <c r="A18" s="12">
        <v>13</v>
      </c>
      <c r="B18" s="83" t="s">
        <v>140</v>
      </c>
      <c r="C18" s="84" t="str">
        <f>VLOOKUP(B18,Parametros!$I$6:$J$20,2,FALSE())</f>
        <v>Eliu Tello</v>
      </c>
      <c r="D18" s="85">
        <v>0.87</v>
      </c>
      <c r="E18" s="85">
        <v>1</v>
      </c>
      <c r="F18" s="11">
        <f t="shared" si="0"/>
        <v>0.93500000000000005</v>
      </c>
      <c r="G18" s="86">
        <f>F18*Parametros!$E$6</f>
        <v>0.18700000000000003</v>
      </c>
      <c r="H18" s="87">
        <v>38</v>
      </c>
      <c r="I18" s="87">
        <v>38</v>
      </c>
      <c r="J18" s="88" t="s">
        <v>222</v>
      </c>
      <c r="K18" s="86">
        <f>IF(J18="NO",0,IFERROR(H18/I18,0)*Parametros!$E$7)</f>
        <v>0.08</v>
      </c>
      <c r="L18" s="85">
        <v>0.88</v>
      </c>
      <c r="M18" s="88" t="s">
        <v>222</v>
      </c>
      <c r="N18" s="86">
        <f>IF(M18="NO",0,L18*Parametros!$E$8)</f>
        <v>7.0400000000000004E-2</v>
      </c>
      <c r="O18" s="85">
        <v>0.94</v>
      </c>
      <c r="P18" s="88" t="s">
        <v>222</v>
      </c>
      <c r="Q18" s="86">
        <f>IF(P18="NO",0,O18*Parametros!$E$9)</f>
        <v>7.5200000000000003E-2</v>
      </c>
      <c r="R18" s="85">
        <v>1</v>
      </c>
      <c r="S18" s="88" t="s">
        <v>222</v>
      </c>
      <c r="T18" s="86">
        <f>IF(S18="NO",0,R18*Parametros!$E$10)</f>
        <v>0.06</v>
      </c>
      <c r="U18" s="85">
        <v>0.93</v>
      </c>
      <c r="V18" s="86">
        <f>U18*Parametros!$E$11</f>
        <v>0.23250000000000001</v>
      </c>
      <c r="W18" s="87">
        <v>0</v>
      </c>
      <c r="X18" s="86">
        <f>MAX(0,Parametros!$E$12-Parametros!$E$18*W18)</f>
        <v>0.25</v>
      </c>
      <c r="Y18" s="87">
        <v>2</v>
      </c>
      <c r="Z18" s="87">
        <v>23</v>
      </c>
      <c r="AA18" s="89">
        <f>IF(Y18&gt;=Parametros!$E$22,Parametros!$E$24,0)</f>
        <v>0</v>
      </c>
      <c r="AB18" s="89">
        <f>IF(Z18&gt;=Parametros!$E$23,Parametros!$E$25,0)</f>
        <v>0.04</v>
      </c>
      <c r="AC18" s="89">
        <f t="shared" si="1"/>
        <v>0.04</v>
      </c>
      <c r="AD18" s="87">
        <v>0</v>
      </c>
      <c r="AE18" s="88" t="s">
        <v>222</v>
      </c>
      <c r="AF18" s="87">
        <v>0</v>
      </c>
      <c r="AG18" s="88" t="s">
        <v>222</v>
      </c>
      <c r="AH18" s="87">
        <v>0</v>
      </c>
      <c r="AI18" s="88" t="s">
        <v>222</v>
      </c>
      <c r="AJ18" s="87">
        <v>0</v>
      </c>
      <c r="AK18" s="88" t="s">
        <v>222</v>
      </c>
      <c r="AL18" s="87">
        <v>0</v>
      </c>
      <c r="AM18" s="88" t="s">
        <v>222</v>
      </c>
      <c r="AN18" s="89">
        <f>AD18*Parametros!$E$28+AF18*Parametros!$E$29+AH18*Parametros!$E$30+AJ18*Parametros!$E$31+AL18*Parametros!$E$32</f>
        <v>0</v>
      </c>
      <c r="AO18" s="12" t="str">
        <f t="shared" si="2"/>
        <v>NO</v>
      </c>
      <c r="AP18" s="11">
        <f t="shared" si="3"/>
        <v>0.95510000000000006</v>
      </c>
      <c r="AQ18" s="90">
        <f>MAX(0,MIN(1,MAX(0,AP18-IF(S18="NO",Parametros!$E$17,0))+AC18-AN18-IF(AO18="SI",Parametros!$E$33,0)))</f>
        <v>0.9951000000000001</v>
      </c>
      <c r="AR18" s="58"/>
      <c r="AS18" s="71" t="str">
        <f>'Captura Agosto'!B20</f>
        <v>Tratamiento de Aguas</v>
      </c>
      <c r="AT18" s="72">
        <f>'Captura Agosto'!K20+'Captura Agosto'!N20+'Captura Agosto'!Q20</f>
        <v>0.24</v>
      </c>
      <c r="AU18" s="72">
        <f>'Captura Agosto'!T20</f>
        <v>0.06</v>
      </c>
      <c r="AV18" s="72">
        <f>'Captura Agosto'!V20</f>
        <v>0.23699999999999999</v>
      </c>
      <c r="AW18" s="72">
        <f>'Captura Agosto'!G20</f>
        <v>0.2</v>
      </c>
      <c r="AX18" s="72">
        <f>'Captura Agosto'!X20</f>
        <v>0.2</v>
      </c>
      <c r="AY18" s="72">
        <f>'Captura Agosto'!AC20</f>
        <v>0</v>
      </c>
      <c r="AZ18" s="73">
        <f>-'Captura Agosto'!AN20</f>
        <v>0</v>
      </c>
      <c r="BA18" s="74">
        <f>'Captura Agosto'!AQ20</f>
        <v>0.93700000000000006</v>
      </c>
      <c r="BB18" s="58"/>
      <c r="BC18" s="58"/>
    </row>
    <row r="19" spans="1:55" ht="25.5" customHeight="1" x14ac:dyDescent="0.35">
      <c r="A19" s="12">
        <v>14</v>
      </c>
      <c r="B19" s="83" t="s">
        <v>142</v>
      </c>
      <c r="C19" s="84" t="str">
        <f>VLOOKUP(B19,Parametros!$I$6:$J$20,2,FALSE())</f>
        <v>Miguel Godinez</v>
      </c>
      <c r="D19" s="85">
        <v>1</v>
      </c>
      <c r="E19" s="85">
        <v>1</v>
      </c>
      <c r="F19" s="11">
        <f t="shared" si="0"/>
        <v>1</v>
      </c>
      <c r="G19" s="86">
        <f>F19*Parametros!$E$6</f>
        <v>0.2</v>
      </c>
      <c r="H19" s="87">
        <v>38</v>
      </c>
      <c r="I19" s="87">
        <v>38</v>
      </c>
      <c r="J19" s="88" t="s">
        <v>222</v>
      </c>
      <c r="K19" s="86">
        <f>IF(J19="NO",0,IFERROR(H19/I19,0)*Parametros!$E$7)</f>
        <v>0.08</v>
      </c>
      <c r="L19" s="85">
        <v>1</v>
      </c>
      <c r="M19" s="88" t="s">
        <v>222</v>
      </c>
      <c r="N19" s="86">
        <f>IF(M19="NO",0,L19*Parametros!$E$8)</f>
        <v>0.08</v>
      </c>
      <c r="O19" s="85">
        <v>1</v>
      </c>
      <c r="P19" s="88" t="s">
        <v>222</v>
      </c>
      <c r="Q19" s="86">
        <f>IF(P19="NO",0,O19*Parametros!$E$9)</f>
        <v>0.08</v>
      </c>
      <c r="R19" s="85">
        <v>1</v>
      </c>
      <c r="S19" s="88" t="s">
        <v>222</v>
      </c>
      <c r="T19" s="86">
        <f>IF(S19="NO",0,R19*Parametros!$E$10)</f>
        <v>0.06</v>
      </c>
      <c r="U19" s="85">
        <v>0.92500000000000004</v>
      </c>
      <c r="V19" s="86">
        <f>U19*Parametros!$E$11</f>
        <v>0.23125000000000001</v>
      </c>
      <c r="W19" s="87">
        <v>1</v>
      </c>
      <c r="X19" s="86">
        <f>MAX(0,Parametros!$E$12-Parametros!$E$18*W19)</f>
        <v>0.2</v>
      </c>
      <c r="Y19" s="87">
        <v>3</v>
      </c>
      <c r="Z19" s="87">
        <v>10</v>
      </c>
      <c r="AA19" s="89">
        <f>IF(Y19&gt;=Parametros!$E$22,Parametros!$E$24,0)</f>
        <v>0</v>
      </c>
      <c r="AB19" s="89">
        <f>IF(Z19&gt;=Parametros!$E$23,Parametros!$E$25,0)</f>
        <v>0.04</v>
      </c>
      <c r="AC19" s="89">
        <f>AA19+AB19</f>
        <v>0.04</v>
      </c>
      <c r="AD19" s="87">
        <v>0</v>
      </c>
      <c r="AE19" s="88" t="s">
        <v>222</v>
      </c>
      <c r="AF19" s="87">
        <v>0</v>
      </c>
      <c r="AG19" s="88" t="s">
        <v>222</v>
      </c>
      <c r="AH19" s="87">
        <v>0</v>
      </c>
      <c r="AI19" s="88" t="s">
        <v>222</v>
      </c>
      <c r="AJ19" s="87">
        <v>0</v>
      </c>
      <c r="AK19" s="88" t="s">
        <v>222</v>
      </c>
      <c r="AL19" s="87">
        <v>0</v>
      </c>
      <c r="AM19" s="88" t="s">
        <v>222</v>
      </c>
      <c r="AN19" s="89">
        <f>AD19*Parametros!$E$28+AF19*Parametros!$E$29+AH19*Parametros!$E$30+AJ19*Parametros!$E$31+AL19*Parametros!$E$32</f>
        <v>0</v>
      </c>
      <c r="AO19" s="12" t="str">
        <f t="shared" si="2"/>
        <v>NO</v>
      </c>
      <c r="AP19" s="11">
        <f t="shared" si="3"/>
        <v>0.93124999999999991</v>
      </c>
      <c r="AQ19" s="90">
        <f>MAX(0,MIN(1,MAX(0,AP19-IF(S19="NO",Parametros!$E$17,0))+AC19-AN19-IF(AO19="SI",Parametros!$E$33,0)))</f>
        <v>0.97124999999999995</v>
      </c>
      <c r="AR19" s="58"/>
      <c r="AS19" s="111" t="s">
        <v>260</v>
      </c>
      <c r="AT19" s="111"/>
      <c r="AU19" s="111"/>
      <c r="AV19" s="111"/>
      <c r="AW19" s="111"/>
      <c r="AX19" s="111"/>
      <c r="AY19" s="111"/>
      <c r="AZ19" s="111"/>
      <c r="BA19" s="91">
        <f>AVERAGE(BA4:BA18)</f>
        <v>0.86230933333333326</v>
      </c>
      <c r="BB19" s="58"/>
      <c r="BC19" s="58"/>
    </row>
    <row r="20" spans="1:55" ht="16.5" customHeight="1" x14ac:dyDescent="0.35">
      <c r="A20" s="12">
        <v>15</v>
      </c>
      <c r="B20" s="83" t="s">
        <v>138</v>
      </c>
      <c r="C20" s="84" t="str">
        <f>VLOOKUP(B20,Parametros!$I$6:$J$20,2,FALSE())</f>
        <v>Adrian Santisteban</v>
      </c>
      <c r="D20" s="85">
        <v>1</v>
      </c>
      <c r="E20" s="85">
        <v>1</v>
      </c>
      <c r="F20" s="11">
        <f t="shared" si="0"/>
        <v>1</v>
      </c>
      <c r="G20" s="86">
        <f>F20*Parametros!$E$6</f>
        <v>0.2</v>
      </c>
      <c r="H20" s="87">
        <v>38</v>
      </c>
      <c r="I20" s="87">
        <v>38</v>
      </c>
      <c r="J20" s="88" t="s">
        <v>222</v>
      </c>
      <c r="K20" s="86">
        <f>IF(J20="NO",0,IFERROR(H20/I20,0)*Parametros!$E$7)</f>
        <v>0.08</v>
      </c>
      <c r="L20" s="85">
        <v>1</v>
      </c>
      <c r="M20" s="88" t="s">
        <v>222</v>
      </c>
      <c r="N20" s="86">
        <f>IF(M20="NO",0,L20*Parametros!$E$8)</f>
        <v>0.08</v>
      </c>
      <c r="O20" s="85">
        <v>1</v>
      </c>
      <c r="P20" s="88" t="s">
        <v>222</v>
      </c>
      <c r="Q20" s="86">
        <f>IF(P20="NO",0,O20*Parametros!$E$9)</f>
        <v>0.08</v>
      </c>
      <c r="R20" s="85">
        <v>1</v>
      </c>
      <c r="S20" s="88" t="s">
        <v>222</v>
      </c>
      <c r="T20" s="86">
        <f>IF(S20="NO",0,R20*Parametros!$E$10)</f>
        <v>0.06</v>
      </c>
      <c r="U20" s="85">
        <v>0.94799999999999995</v>
      </c>
      <c r="V20" s="86">
        <f>U20*Parametros!$E$11</f>
        <v>0.23699999999999999</v>
      </c>
      <c r="W20" s="87">
        <v>1</v>
      </c>
      <c r="X20" s="86">
        <f>MAX(0,Parametros!$E$12-Parametros!$E$18*W20)</f>
        <v>0.2</v>
      </c>
      <c r="Y20" s="87">
        <v>4</v>
      </c>
      <c r="Z20" s="87">
        <v>5</v>
      </c>
      <c r="AA20" s="89">
        <f>IF(Y20&gt;=Parametros!$E$22,Parametros!$E$24,0)</f>
        <v>0</v>
      </c>
      <c r="AB20" s="89">
        <f>IF(Z20&gt;=Parametros!$E$23,Parametros!$E$25,0)</f>
        <v>0</v>
      </c>
      <c r="AC20" s="89">
        <f t="shared" si="1"/>
        <v>0</v>
      </c>
      <c r="AD20" s="87">
        <v>0</v>
      </c>
      <c r="AE20" s="88" t="s">
        <v>222</v>
      </c>
      <c r="AF20" s="87">
        <v>0</v>
      </c>
      <c r="AG20" s="88" t="s">
        <v>222</v>
      </c>
      <c r="AH20" s="87">
        <v>0</v>
      </c>
      <c r="AI20" s="88" t="s">
        <v>222</v>
      </c>
      <c r="AJ20" s="87">
        <v>0</v>
      </c>
      <c r="AK20" s="88" t="s">
        <v>222</v>
      </c>
      <c r="AL20" s="87">
        <v>0</v>
      </c>
      <c r="AM20" s="88" t="s">
        <v>222</v>
      </c>
      <c r="AN20" s="89">
        <f>AD20*Parametros!$E$28+AF20*Parametros!$E$29+AH20*Parametros!$E$30+AJ20*Parametros!$E$31+AL20*Parametros!$E$32</f>
        <v>0</v>
      </c>
      <c r="AO20" s="12" t="str">
        <f t="shared" si="2"/>
        <v>NO</v>
      </c>
      <c r="AP20" s="11">
        <f t="shared" si="3"/>
        <v>0.93700000000000006</v>
      </c>
      <c r="AQ20" s="90">
        <f>MAX(0,MIN(1,MAX(0,AP20-IF(S20="NO",Parametros!$E$17,0))+AC20-AN20-IF(AO20="SI",Parametros!$E$33,0)))</f>
        <v>0.93700000000000006</v>
      </c>
      <c r="AR20" s="58"/>
      <c r="AS20" s="58"/>
      <c r="AT20" s="58"/>
      <c r="AU20" s="58"/>
      <c r="AV20" s="58"/>
      <c r="AW20" s="58"/>
      <c r="AX20" s="58"/>
      <c r="AY20" s="58"/>
      <c r="AZ20" s="58"/>
      <c r="BA20" s="58"/>
      <c r="BB20" s="58"/>
    </row>
    <row r="22" spans="1:55" ht="21.75" customHeight="1" x14ac:dyDescent="0.35">
      <c r="A22" s="112"/>
      <c r="B22" s="112"/>
      <c r="C22" s="112"/>
      <c r="D22" s="70"/>
      <c r="E22" s="70"/>
      <c r="F22" s="70"/>
      <c r="G22" s="70"/>
      <c r="H22" s="70"/>
      <c r="I22" s="70"/>
      <c r="J22" s="70"/>
      <c r="K22" s="70"/>
      <c r="L22" s="70"/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V22" s="92"/>
    </row>
    <row r="23" spans="1:55" ht="21.75" customHeight="1" x14ac:dyDescent="0.35">
      <c r="A23" s="113" t="s">
        <v>225</v>
      </c>
      <c r="B23" s="113"/>
      <c r="C23" s="113"/>
      <c r="D23" s="93"/>
      <c r="E23" s="93"/>
      <c r="F23" s="93"/>
      <c r="G23" s="93"/>
      <c r="H23" s="93"/>
      <c r="I23" s="93"/>
      <c r="J23" s="93"/>
      <c r="K23" s="93"/>
      <c r="L23" s="93"/>
      <c r="M23" s="93"/>
      <c r="N23" s="93"/>
      <c r="O23" s="93"/>
      <c r="P23" s="93"/>
      <c r="Q23" s="93"/>
      <c r="R23" s="93"/>
      <c r="S23" s="93"/>
      <c r="T23" s="93"/>
      <c r="U23" s="93"/>
      <c r="V23" s="93"/>
      <c r="W23" s="93"/>
      <c r="X23" s="93"/>
      <c r="Y23" s="93"/>
      <c r="Z23" s="93"/>
      <c r="AA23" s="93"/>
      <c r="AB23" s="93"/>
      <c r="AC23" s="93"/>
      <c r="AD23" s="93"/>
      <c r="AE23" s="93"/>
      <c r="AF23" s="93"/>
      <c r="AG23" s="93"/>
      <c r="AH23" s="93"/>
      <c r="AI23" s="93"/>
      <c r="AJ23" s="93"/>
      <c r="AK23" s="93"/>
      <c r="AL23" s="93"/>
      <c r="AM23" s="93"/>
      <c r="AN23" s="93"/>
      <c r="AO23" s="93"/>
      <c r="AP23" s="93"/>
      <c r="AQ23" s="96">
        <f>AVERAGE(AQ6:AQ20)</f>
        <v>0.86230933333333326</v>
      </c>
      <c r="AR23" s="58"/>
      <c r="AS23" s="58"/>
      <c r="AT23" s="58"/>
      <c r="AU23" s="58"/>
      <c r="AV23" s="58"/>
      <c r="AW23" s="58"/>
      <c r="AX23" s="58"/>
      <c r="AY23" s="58"/>
      <c r="AZ23" s="58"/>
      <c r="BA23" s="58"/>
      <c r="BB23" s="58"/>
    </row>
  </sheetData>
  <mergeCells count="20">
    <mergeCell ref="A1:AB1"/>
    <mergeCell ref="AS1:BA1"/>
    <mergeCell ref="BB1:BC1"/>
    <mergeCell ref="B2:D2"/>
    <mergeCell ref="AT2:AV2"/>
    <mergeCell ref="AX2:BA2"/>
    <mergeCell ref="BB5:BC5"/>
    <mergeCell ref="AS19:AZ19"/>
    <mergeCell ref="A22:C22"/>
    <mergeCell ref="A23:C23"/>
    <mergeCell ref="U4:V4"/>
    <mergeCell ref="W4:X4"/>
    <mergeCell ref="Y4:AC4"/>
    <mergeCell ref="AD4:AO4"/>
    <mergeCell ref="AP4:AQ4"/>
    <mergeCell ref="D4:G4"/>
    <mergeCell ref="H4:K4"/>
    <mergeCell ref="L4:N4"/>
    <mergeCell ref="O4:Q4"/>
    <mergeCell ref="R4:T4"/>
  </mergeCells>
  <conditionalFormatting sqref="AQ6:AQ20">
    <cfRule type="cellIs" dxfId="47" priority="5" operator="greaterThanOrEqual">
      <formula>0.9</formula>
    </cfRule>
    <cfRule type="cellIs" dxfId="46" priority="6" operator="between">
      <formula>0.7</formula>
      <formula>0.8999</formula>
    </cfRule>
    <cfRule type="cellIs" dxfId="45" priority="7" operator="lessThan">
      <formula>0.7</formula>
    </cfRule>
  </conditionalFormatting>
  <conditionalFormatting sqref="AV19:AV20">
    <cfRule type="cellIs" dxfId="44" priority="2" operator="greaterThanOrEqual">
      <formula>0.9</formula>
    </cfRule>
    <cfRule type="expression" dxfId="43" priority="3">
      <formula>AND(AV19&gt;=0.7,AV19&lt;0.9)</formula>
    </cfRule>
    <cfRule type="cellIs" dxfId="42" priority="4" operator="lessThan">
      <formula>0.7</formula>
    </cfRule>
  </conditionalFormatting>
  <conditionalFormatting sqref="BA4:BA18">
    <cfRule type="cellIs" dxfId="41" priority="8" operator="greaterThanOrEqual">
      <formula>0.9</formula>
    </cfRule>
    <cfRule type="cellIs" dxfId="40" priority="9" operator="between">
      <formula>0.7</formula>
      <formula>0.8999</formula>
    </cfRule>
    <cfRule type="cellIs" dxfId="39" priority="10" operator="lessThan">
      <formula>0.7</formula>
    </cfRule>
  </conditionalFormatting>
  <dataValidations count="4">
    <dataValidation type="whole" operator="greaterThanOrEqual" showErrorMessage="1" errorTitle="Valor invalido" error="Ingrese un numero entero &gt;= 0" sqref="F6:F20 K6:K20 N6:N20 V6:W20 AB6:AB20 AD6:AD20 AO6:AO20 AQ6:AQ20" xr:uid="{00000000-0002-0000-0C00-000000000000}">
      <formula1>0</formula1>
      <formula2>0</formula2>
    </dataValidation>
    <dataValidation type="decimal" showErrorMessage="1" errorTitle="Valor invalido" error="Ingrese un porcentaje entre 0% y 100%" sqref="U6:U20 L6:L20 O6:O20 R6:R20 D6:E20" xr:uid="{00000000-0002-0000-0C00-000001000000}">
      <formula1>0</formula1>
      <formula2>1</formula2>
    </dataValidation>
    <dataValidation type="whole" operator="greaterThanOrEqual" showErrorMessage="1" errorTitle="Valor inválido" error="Ingrese un número entero mayor o igual a 0" sqref="Z6:Z20" xr:uid="{00000000-0002-0000-0C00-000002000000}">
      <formula1>0</formula1>
      <formula2>0</formula2>
    </dataValidation>
    <dataValidation type="list" sqref="J6:J20 M6:M20 P6:P20 S6:T20 X6:X20 AE6:AE20 AG6:AG20 AI6:AN20 AP6:AP20 AR6:AR20" xr:uid="{00000000-0002-0000-0C00-000003000000}">
      <formula1>"SI,NO"</formula1>
      <formula2>0</formula2>
    </dataValidation>
  </dataValidations>
  <pageMargins left="0.3" right="0.3" top="0.4" bottom="0.4" header="0.511811023622047" footer="0.511811023622047"/>
  <pageSetup fitToHeight="0" orientation="landscape" horizontalDpi="300" verticalDpi="300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ED6B23"/>
    <pageSetUpPr fitToPage="1"/>
  </sheetPr>
  <dimension ref="A1:BC23"/>
  <sheetViews>
    <sheetView showGridLines="0" tabSelected="1" zoomScale="76" zoomScaleNormal="85" workbookViewId="0">
      <pane xSplit="3" ySplit="5" topLeftCell="AQ6" activePane="bottomRight" state="frozen"/>
      <selection pane="topRight" activeCell="D1" sqref="D1"/>
      <selection pane="bottomLeft" activeCell="A6" sqref="A6"/>
      <selection pane="bottomRight" activeCell="BA4" sqref="BA4:BA18"/>
    </sheetView>
  </sheetViews>
  <sheetFormatPr baseColWidth="10" defaultColWidth="8.6328125" defaultRowHeight="14.5" x14ac:dyDescent="0.35"/>
  <cols>
    <col min="1" max="1" width="5" customWidth="1"/>
    <col min="2" max="2" width="22" customWidth="1"/>
    <col min="3" max="3" width="16" customWidth="1"/>
    <col min="4" max="44" width="9.54296875" customWidth="1"/>
    <col min="45" max="45" width="19" customWidth="1"/>
    <col min="46" max="48" width="9.54296875" customWidth="1"/>
    <col min="49" max="49" width="14.1796875" customWidth="1"/>
    <col min="50" max="50" width="11" customWidth="1"/>
    <col min="51" max="51" width="13" customWidth="1"/>
    <col min="52" max="52" width="11" customWidth="1"/>
    <col min="53" max="53" width="14" customWidth="1"/>
    <col min="54" max="54" width="18" customWidth="1"/>
    <col min="55" max="55" width="10" customWidth="1"/>
  </cols>
  <sheetData>
    <row r="1" spans="1:55" ht="19.5" customHeight="1" x14ac:dyDescent="0.35">
      <c r="A1" s="117" t="s">
        <v>261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  <c r="AA1" s="117"/>
      <c r="AB1" s="117"/>
      <c r="AR1" s="58"/>
      <c r="AS1" s="118" t="s">
        <v>262</v>
      </c>
      <c r="AT1" s="118"/>
      <c r="AU1" s="118"/>
      <c r="AV1" s="118"/>
      <c r="AW1" s="118"/>
      <c r="AX1" s="118"/>
      <c r="AY1" s="118"/>
      <c r="AZ1" s="118"/>
      <c r="BA1" s="118"/>
      <c r="BB1" s="119" t="s">
        <v>263</v>
      </c>
      <c r="BC1" s="119"/>
    </row>
    <row r="2" spans="1:55" ht="31.5" customHeight="1" x14ac:dyDescent="0.35">
      <c r="A2" s="5" t="s">
        <v>163</v>
      </c>
      <c r="B2" s="120" t="s">
        <v>264</v>
      </c>
      <c r="C2" s="120"/>
      <c r="D2" s="120"/>
      <c r="F2" s="5" t="s">
        <v>165</v>
      </c>
      <c r="G2" s="123" t="s">
        <v>166</v>
      </c>
      <c r="H2" s="123"/>
      <c r="I2" s="123"/>
      <c r="J2" s="123"/>
      <c r="K2" s="123"/>
      <c r="L2" s="123"/>
      <c r="M2" s="123"/>
      <c r="AR2" s="58"/>
      <c r="AS2" s="60"/>
      <c r="AT2" s="121" t="s">
        <v>167</v>
      </c>
      <c r="AU2" s="121"/>
      <c r="AV2" s="121"/>
      <c r="AW2" s="61" t="s">
        <v>96</v>
      </c>
      <c r="AX2" s="122" t="s">
        <v>168</v>
      </c>
      <c r="AY2" s="122"/>
      <c r="AZ2" s="122"/>
      <c r="BA2" s="122"/>
      <c r="BB2" s="62" t="s">
        <v>169</v>
      </c>
      <c r="BC2" s="62" t="s">
        <v>170</v>
      </c>
    </row>
    <row r="3" spans="1:55" ht="21.5" customHeight="1" x14ac:dyDescent="0.35">
      <c r="AR3" s="58"/>
      <c r="AS3" s="63" t="s">
        <v>171</v>
      </c>
      <c r="AT3" s="64" t="s">
        <v>172</v>
      </c>
      <c r="AU3" s="64" t="s">
        <v>173</v>
      </c>
      <c r="AV3" s="64" t="s">
        <v>174</v>
      </c>
      <c r="AW3" s="65" t="s">
        <v>175</v>
      </c>
      <c r="AX3" s="66" t="s">
        <v>176</v>
      </c>
      <c r="AY3" s="66" t="s">
        <v>177</v>
      </c>
      <c r="AZ3" s="66" t="s">
        <v>178</v>
      </c>
      <c r="BA3" s="67" t="s">
        <v>179</v>
      </c>
      <c r="BB3" s="68" t="s">
        <v>180</v>
      </c>
      <c r="BC3" s="69">
        <v>50</v>
      </c>
    </row>
    <row r="4" spans="1:55" ht="28.5" customHeight="1" x14ac:dyDescent="0.35">
      <c r="A4" s="70"/>
      <c r="B4" s="70"/>
      <c r="C4" s="70"/>
      <c r="D4" s="114" t="s">
        <v>181</v>
      </c>
      <c r="E4" s="114"/>
      <c r="F4" s="114"/>
      <c r="G4" s="114"/>
      <c r="H4" s="114" t="s">
        <v>182</v>
      </c>
      <c r="I4" s="114"/>
      <c r="J4" s="114"/>
      <c r="K4" s="114"/>
      <c r="L4" s="114" t="s">
        <v>183</v>
      </c>
      <c r="M4" s="114"/>
      <c r="N4" s="114"/>
      <c r="O4" s="114" t="s">
        <v>184</v>
      </c>
      <c r="P4" s="114"/>
      <c r="Q4" s="114"/>
      <c r="R4" s="114" t="s">
        <v>185</v>
      </c>
      <c r="S4" s="114"/>
      <c r="T4" s="114"/>
      <c r="U4" s="114" t="s">
        <v>186</v>
      </c>
      <c r="V4" s="114"/>
      <c r="W4" s="115" t="s">
        <v>187</v>
      </c>
      <c r="X4" s="115"/>
      <c r="Y4" s="114" t="s">
        <v>188</v>
      </c>
      <c r="Z4" s="114"/>
      <c r="AA4" s="114"/>
      <c r="AB4" s="114"/>
      <c r="AC4" s="114"/>
      <c r="AD4" s="115" t="s">
        <v>189</v>
      </c>
      <c r="AE4" s="115"/>
      <c r="AF4" s="115"/>
      <c r="AG4" s="115"/>
      <c r="AH4" s="115"/>
      <c r="AI4" s="115"/>
      <c r="AJ4" s="115"/>
      <c r="AK4" s="115"/>
      <c r="AL4" s="115"/>
      <c r="AM4" s="115"/>
      <c r="AN4" s="115"/>
      <c r="AO4" s="115"/>
      <c r="AP4" s="116" t="s">
        <v>190</v>
      </c>
      <c r="AQ4" s="116"/>
      <c r="AR4" s="58"/>
      <c r="AS4" s="107" t="str">
        <f>'Captura Septiembre'!B6</f>
        <v>Almacen de Repuestos</v>
      </c>
      <c r="AT4" s="72">
        <f>'Captura Septiembre'!K6+'Captura Septiembre'!N6+'Captura Septiembre'!Q6</f>
        <v>0.24</v>
      </c>
      <c r="AU4" s="72">
        <f>'Captura Septiembre'!T6</f>
        <v>0</v>
      </c>
      <c r="AV4" s="72">
        <f>'Captura Septiembre'!V6</f>
        <v>0.23474999999999999</v>
      </c>
      <c r="AW4" s="72">
        <f>'Captura Septiembre'!G6</f>
        <v>0.18000000000000002</v>
      </c>
      <c r="AX4" s="72">
        <f>'Captura Septiembre'!X6</f>
        <v>0.2</v>
      </c>
      <c r="AY4" s="72">
        <f>'Captura Septiembre'!AC6</f>
        <v>0.04</v>
      </c>
      <c r="AZ4" s="73">
        <f>-'Captura Septiembre'!AN6</f>
        <v>0</v>
      </c>
      <c r="BA4" s="74">
        <f>'Captura Septiembre'!AQ6</f>
        <v>0.89475000000000016</v>
      </c>
      <c r="BB4" s="68" t="s">
        <v>191</v>
      </c>
      <c r="BC4" s="75">
        <v>247</v>
      </c>
    </row>
    <row r="5" spans="1:55" ht="37.5" customHeight="1" x14ac:dyDescent="0.35">
      <c r="A5" s="76" t="s">
        <v>93</v>
      </c>
      <c r="B5" s="76" t="s">
        <v>48</v>
      </c>
      <c r="C5" s="76" t="s">
        <v>94</v>
      </c>
      <c r="D5" s="77" t="s">
        <v>192</v>
      </c>
      <c r="E5" s="77" t="s">
        <v>193</v>
      </c>
      <c r="F5" s="77" t="s">
        <v>194</v>
      </c>
      <c r="G5" s="77" t="s">
        <v>195</v>
      </c>
      <c r="H5" s="77" t="s">
        <v>196</v>
      </c>
      <c r="I5" s="77" t="s">
        <v>197</v>
      </c>
      <c r="J5" s="77" t="s">
        <v>198</v>
      </c>
      <c r="K5" s="77" t="s">
        <v>195</v>
      </c>
      <c r="L5" s="77" t="s">
        <v>199</v>
      </c>
      <c r="M5" s="77" t="s">
        <v>198</v>
      </c>
      <c r="N5" s="77" t="s">
        <v>195</v>
      </c>
      <c r="O5" s="77" t="s">
        <v>199</v>
      </c>
      <c r="P5" s="77" t="s">
        <v>198</v>
      </c>
      <c r="Q5" s="77" t="s">
        <v>195</v>
      </c>
      <c r="R5" s="77" t="s">
        <v>199</v>
      </c>
      <c r="S5" s="77" t="s">
        <v>198</v>
      </c>
      <c r="T5" s="77" t="s">
        <v>195</v>
      </c>
      <c r="U5" s="77" t="s">
        <v>200</v>
      </c>
      <c r="V5" s="77" t="s">
        <v>195</v>
      </c>
      <c r="W5" s="78" t="s">
        <v>201</v>
      </c>
      <c r="X5" s="78" t="s">
        <v>195</v>
      </c>
      <c r="Y5" s="77" t="s">
        <v>202</v>
      </c>
      <c r="Z5" s="77" t="s">
        <v>203</v>
      </c>
      <c r="AA5" s="77" t="s">
        <v>204</v>
      </c>
      <c r="AB5" s="77" t="s">
        <v>205</v>
      </c>
      <c r="AC5" s="77" t="s">
        <v>206</v>
      </c>
      <c r="AD5" s="78" t="s">
        <v>207</v>
      </c>
      <c r="AE5" s="78" t="s">
        <v>208</v>
      </c>
      <c r="AF5" s="78" t="s">
        <v>209</v>
      </c>
      <c r="AG5" s="78" t="s">
        <v>210</v>
      </c>
      <c r="AH5" s="78" t="s">
        <v>211</v>
      </c>
      <c r="AI5" s="78" t="s">
        <v>212</v>
      </c>
      <c r="AJ5" s="78" t="s">
        <v>213</v>
      </c>
      <c r="AK5" s="78" t="s">
        <v>214</v>
      </c>
      <c r="AL5" s="78" t="s">
        <v>215</v>
      </c>
      <c r="AM5" s="78" t="s">
        <v>216</v>
      </c>
      <c r="AN5" s="78" t="s">
        <v>217</v>
      </c>
      <c r="AO5" s="78" t="s">
        <v>218</v>
      </c>
      <c r="AP5" s="76" t="s">
        <v>219</v>
      </c>
      <c r="AQ5" s="76" t="s">
        <v>220</v>
      </c>
      <c r="AR5" s="58"/>
      <c r="AS5" s="79" t="str">
        <f>'Captura Septiembre'!B7</f>
        <v>Alrededores</v>
      </c>
      <c r="AT5" s="80">
        <f>'Captura Septiembre'!K7+'Captura Septiembre'!N7+'Captura Septiembre'!Q7</f>
        <v>0.24</v>
      </c>
      <c r="AU5" s="80">
        <f>'Captura Septiembre'!T7</f>
        <v>0</v>
      </c>
      <c r="AV5" s="80">
        <f>'Captura Septiembre'!V7</f>
        <v>0.2445</v>
      </c>
      <c r="AW5" s="80">
        <f>'Captura Septiembre'!G7</f>
        <v>6.6000000000000003E-2</v>
      </c>
      <c r="AX5" s="80">
        <f>'Captura Septiembre'!X7</f>
        <v>0</v>
      </c>
      <c r="AY5" s="80">
        <f>'Captura Septiembre'!AC7</f>
        <v>0</v>
      </c>
      <c r="AZ5" s="81">
        <f>-'Captura Septiembre'!AN7</f>
        <v>0</v>
      </c>
      <c r="BA5" s="82">
        <f>'Captura Septiembre'!AQ7</f>
        <v>0.55049999999999999</v>
      </c>
      <c r="BB5" s="110" t="s">
        <v>221</v>
      </c>
      <c r="BC5" s="110"/>
    </row>
    <row r="6" spans="1:55" ht="16.5" customHeight="1" x14ac:dyDescent="0.35">
      <c r="A6" s="12">
        <v>1</v>
      </c>
      <c r="B6" s="83" t="s">
        <v>103</v>
      </c>
      <c r="C6" s="84" t="str">
        <f>VLOOKUP(B6,Parametros!$I$6:$J$20,2,FALSE())</f>
        <v>Fredy Fuentes</v>
      </c>
      <c r="D6" s="85">
        <v>1</v>
      </c>
      <c r="E6" s="85">
        <v>0.8</v>
      </c>
      <c r="F6" s="11">
        <f t="shared" ref="F6:F20" si="0">AVERAGE(D6,E6)</f>
        <v>0.9</v>
      </c>
      <c r="G6" s="86">
        <f>F6*Parametros!$E$6</f>
        <v>0.18000000000000002</v>
      </c>
      <c r="H6" s="87">
        <v>38</v>
      </c>
      <c r="I6" s="87">
        <v>38</v>
      </c>
      <c r="J6" s="88" t="s">
        <v>222</v>
      </c>
      <c r="K6" s="86">
        <f>IF(J6="NO",0,IFERROR(H6/I6,0)*Parametros!$E$7)</f>
        <v>0.08</v>
      </c>
      <c r="L6" s="85">
        <v>1</v>
      </c>
      <c r="M6" s="88" t="s">
        <v>222</v>
      </c>
      <c r="N6" s="86">
        <f>IF(M6="NO",0,L6*Parametros!$E$8)</f>
        <v>0.08</v>
      </c>
      <c r="O6" s="85">
        <v>1</v>
      </c>
      <c r="P6" s="88" t="s">
        <v>222</v>
      </c>
      <c r="Q6" s="86">
        <f>IF(P6="NO",0,O6*Parametros!$E$9)</f>
        <v>0.08</v>
      </c>
      <c r="R6" s="85">
        <v>0</v>
      </c>
      <c r="S6" s="88" t="s">
        <v>222</v>
      </c>
      <c r="T6" s="86">
        <f>IF(S6="NO",0,R6*Parametros!$E$10)</f>
        <v>0</v>
      </c>
      <c r="U6" s="85">
        <v>0.93899999999999995</v>
      </c>
      <c r="V6" s="86">
        <f>U6*Parametros!$E$11</f>
        <v>0.23474999999999999</v>
      </c>
      <c r="W6" s="87">
        <v>1</v>
      </c>
      <c r="X6" s="86">
        <f>MAX(0,Parametros!$E$12-Parametros!$E$18*W6)</f>
        <v>0.2</v>
      </c>
      <c r="Y6" s="87">
        <v>0</v>
      </c>
      <c r="Z6" s="87">
        <v>10</v>
      </c>
      <c r="AA6" s="89">
        <f>IF(Y6&gt;=Parametros!$E$22,Parametros!$E$24,0)</f>
        <v>0</v>
      </c>
      <c r="AB6" s="89">
        <f>IF(Z6&gt;=Parametros!$E$23,Parametros!$E$25,0)</f>
        <v>0.04</v>
      </c>
      <c r="AC6" s="89">
        <f t="shared" ref="AC6:AC20" si="1">AA6+AB6</f>
        <v>0.04</v>
      </c>
      <c r="AD6" s="87">
        <v>0</v>
      </c>
      <c r="AE6" s="88" t="s">
        <v>222</v>
      </c>
      <c r="AF6" s="87">
        <v>0</v>
      </c>
      <c r="AG6" s="88" t="s">
        <v>222</v>
      </c>
      <c r="AH6" s="87">
        <v>0</v>
      </c>
      <c r="AI6" s="88" t="s">
        <v>222</v>
      </c>
      <c r="AJ6" s="87">
        <v>0</v>
      </c>
      <c r="AK6" s="88" t="s">
        <v>222</v>
      </c>
      <c r="AL6" s="87">
        <v>0</v>
      </c>
      <c r="AM6" s="88" t="s">
        <v>222</v>
      </c>
      <c r="AN6" s="89">
        <f>AD6*Parametros!$E$28+AF6*Parametros!$E$29+AH6*Parametros!$E$30+AJ6*Parametros!$E$31+AL6*Parametros!$E$32</f>
        <v>0</v>
      </c>
      <c r="AO6" s="12" t="str">
        <f t="shared" ref="AO6:AO20" si="2">IF(OR(AND(AD6&gt;0,AE6="NO"),AND(AF6&gt;0,AG6="NO"),AND(AH6&gt;0,AI6="NO"),AND(AJ6&gt;0,AK6="NO"),AND(AL6&gt;0,AM6="NO")),"SI","NO")</f>
        <v>NO</v>
      </c>
      <c r="AP6" s="86">
        <f t="shared" ref="AP6:AP20" si="3">G6+K6+N6+Q6+T6+V6+X6</f>
        <v>0.85475000000000012</v>
      </c>
      <c r="AQ6" s="109">
        <f>MAX(0,MIN(1,MAX(0,AP6-IF(S6="NO",Parametros!$E$17,0))+AC6-AN6-IF(AO6="SI",Parametros!$E$33,0)))</f>
        <v>0.89475000000000016</v>
      </c>
      <c r="AR6" s="58"/>
      <c r="AS6" s="71" t="str">
        <f>'Captura Septiembre'!B8</f>
        <v>Calidad</v>
      </c>
      <c r="AT6" s="72">
        <f>'Captura Septiembre'!K8+'Captura Septiembre'!N8+'Captura Septiembre'!Q8</f>
        <v>0.24</v>
      </c>
      <c r="AU6" s="72">
        <f>'Captura Septiembre'!T8</f>
        <v>0</v>
      </c>
      <c r="AV6" s="72">
        <f>'Captura Septiembre'!V8</f>
        <v>0.245</v>
      </c>
      <c r="AW6" s="72">
        <f>'Captura Septiembre'!G8</f>
        <v>0.19375000000000001</v>
      </c>
      <c r="AX6" s="72">
        <f>'Captura Septiembre'!X8</f>
        <v>0.25</v>
      </c>
      <c r="AY6" s="72">
        <f>'Captura Septiembre'!AC8</f>
        <v>0.08</v>
      </c>
      <c r="AZ6" s="73">
        <f>-'Captura Septiembre'!AN8</f>
        <v>0</v>
      </c>
      <c r="BA6" s="74">
        <f>'Captura Septiembre'!AQ8</f>
        <v>1</v>
      </c>
      <c r="BB6" s="58"/>
      <c r="BC6" s="58"/>
    </row>
    <row r="7" spans="1:55" ht="26" customHeight="1" x14ac:dyDescent="0.35">
      <c r="A7" s="12">
        <v>2</v>
      </c>
      <c r="B7" s="83" t="s">
        <v>135</v>
      </c>
      <c r="C7" s="84" t="str">
        <f>VLOOKUP(B7,Parametros!$I$6:$J$20,2,FALSE())</f>
        <v>Carlos Chavez</v>
      </c>
      <c r="D7" s="85">
        <v>0.66</v>
      </c>
      <c r="E7" s="85">
        <v>0</v>
      </c>
      <c r="F7" s="11">
        <f t="shared" si="0"/>
        <v>0.33</v>
      </c>
      <c r="G7" s="86">
        <f>F7*Parametros!$E$6</f>
        <v>6.6000000000000003E-2</v>
      </c>
      <c r="H7" s="87">
        <v>38</v>
      </c>
      <c r="I7" s="87">
        <v>38</v>
      </c>
      <c r="J7" s="88" t="s">
        <v>222</v>
      </c>
      <c r="K7" s="86">
        <f>IF(J7="NO",0,IFERROR(H7/I7,0)*Parametros!$E$7)</f>
        <v>0.08</v>
      </c>
      <c r="L7" s="85">
        <v>1</v>
      </c>
      <c r="M7" s="88" t="s">
        <v>222</v>
      </c>
      <c r="N7" s="86">
        <f>IF(M7="NO",0,L7*Parametros!$E$8)</f>
        <v>0.08</v>
      </c>
      <c r="O7" s="85">
        <v>1</v>
      </c>
      <c r="P7" s="88" t="s">
        <v>222</v>
      </c>
      <c r="Q7" s="86">
        <f>IF(P7="NO",0,O7*Parametros!$E$9)</f>
        <v>0.08</v>
      </c>
      <c r="R7" s="85">
        <v>0</v>
      </c>
      <c r="S7" s="88" t="s">
        <v>222</v>
      </c>
      <c r="T7" s="86">
        <f>IF(S7="NO",0,R7*Parametros!$E$10)</f>
        <v>0</v>
      </c>
      <c r="U7" s="85">
        <v>0.97799999999999998</v>
      </c>
      <c r="V7" s="86">
        <f>U7*Parametros!$E$11</f>
        <v>0.2445</v>
      </c>
      <c r="W7" s="87">
        <v>10</v>
      </c>
      <c r="X7" s="86">
        <f>MAX(0,Parametros!$E$12-Parametros!$E$18*W7)</f>
        <v>0</v>
      </c>
      <c r="Y7" s="87">
        <v>0</v>
      </c>
      <c r="Z7" s="87">
        <v>0</v>
      </c>
      <c r="AA7" s="89">
        <f>IF(Y7&gt;=Parametros!$E$22,Parametros!$E$24,0)</f>
        <v>0</v>
      </c>
      <c r="AB7" s="89">
        <f>IF(Z7&gt;=Parametros!$E$23,Parametros!$E$25,0)</f>
        <v>0</v>
      </c>
      <c r="AC7" s="89">
        <f t="shared" si="1"/>
        <v>0</v>
      </c>
      <c r="AD7" s="87">
        <v>0</v>
      </c>
      <c r="AE7" s="88" t="s">
        <v>222</v>
      </c>
      <c r="AF7" s="87">
        <v>0</v>
      </c>
      <c r="AG7" s="88" t="s">
        <v>222</v>
      </c>
      <c r="AH7" s="87">
        <v>0</v>
      </c>
      <c r="AI7" s="88" t="s">
        <v>222</v>
      </c>
      <c r="AJ7" s="87">
        <v>0</v>
      </c>
      <c r="AK7" s="88" t="s">
        <v>222</v>
      </c>
      <c r="AL7" s="87">
        <v>0</v>
      </c>
      <c r="AM7" s="88" t="s">
        <v>222</v>
      </c>
      <c r="AN7" s="89">
        <f>AD7*Parametros!$E$28+AF7*Parametros!$E$29+AH7*Parametros!$E$30+AJ7*Parametros!$E$31+AL7*Parametros!$E$32</f>
        <v>0</v>
      </c>
      <c r="AO7" s="12" t="str">
        <f t="shared" si="2"/>
        <v>NO</v>
      </c>
      <c r="AP7" s="86">
        <f t="shared" si="3"/>
        <v>0.55049999999999999</v>
      </c>
      <c r="AQ7" s="109">
        <f>MAX(0,MIN(1,MAX(0,AP7-IF(S7="NO",Parametros!$E$17,0))+AC7-AN7-IF(AO7="SI",Parametros!$E$33,0)))</f>
        <v>0.55049999999999999</v>
      </c>
      <c r="AR7" s="58"/>
      <c r="AS7" s="108" t="str">
        <f>'Captura Septiembre'!B9</f>
        <v>Centro de Distribucion</v>
      </c>
      <c r="AT7" s="80">
        <f>'Captura Septiembre'!K9+'Captura Septiembre'!N9+'Captura Septiembre'!Q9</f>
        <v>0.24</v>
      </c>
      <c r="AU7" s="80">
        <f>'Captura Septiembre'!T9</f>
        <v>0</v>
      </c>
      <c r="AV7" s="80">
        <f>'Captura Septiembre'!V9</f>
        <v>0.23674999999999999</v>
      </c>
      <c r="AW7" s="80">
        <f>'Captura Septiembre'!G9</f>
        <v>0.2</v>
      </c>
      <c r="AX7" s="80">
        <f>'Captura Septiembre'!X9</f>
        <v>0.15</v>
      </c>
      <c r="AY7" s="80">
        <f>'Captura Septiembre'!AC9</f>
        <v>0.04</v>
      </c>
      <c r="AZ7" s="81">
        <f>-'Captura Septiembre'!AN9</f>
        <v>0</v>
      </c>
      <c r="BA7" s="82">
        <f>'Captura Septiembre'!AQ9</f>
        <v>0.86675000000000013</v>
      </c>
      <c r="BB7" s="58"/>
      <c r="BC7" s="58"/>
    </row>
    <row r="8" spans="1:55" ht="16.5" customHeight="1" x14ac:dyDescent="0.35">
      <c r="A8" s="12">
        <v>3</v>
      </c>
      <c r="B8" s="83" t="s">
        <v>98</v>
      </c>
      <c r="C8" s="84" t="str">
        <f>VLOOKUP(B8,Parametros!$I$6:$J$20,2,FALSE())</f>
        <v>Alejandro Martinez</v>
      </c>
      <c r="D8" s="85">
        <v>1</v>
      </c>
      <c r="E8" s="85">
        <v>0.9375</v>
      </c>
      <c r="F8" s="11">
        <f t="shared" si="0"/>
        <v>0.96875</v>
      </c>
      <c r="G8" s="86">
        <f>F8*Parametros!$E$6</f>
        <v>0.19375000000000001</v>
      </c>
      <c r="H8" s="87">
        <v>38</v>
      </c>
      <c r="I8" s="87">
        <v>38</v>
      </c>
      <c r="J8" s="88" t="s">
        <v>222</v>
      </c>
      <c r="K8" s="86">
        <f>IF(J8="NO",0,IFERROR(H8/I8,0)*Parametros!$E$7)</f>
        <v>0.08</v>
      </c>
      <c r="L8" s="85">
        <v>1</v>
      </c>
      <c r="M8" s="88" t="s">
        <v>222</v>
      </c>
      <c r="N8" s="86">
        <f>IF(M8="NO",0,L8*Parametros!$E$8)</f>
        <v>0.08</v>
      </c>
      <c r="O8" s="85">
        <v>1</v>
      </c>
      <c r="P8" s="88" t="s">
        <v>222</v>
      </c>
      <c r="Q8" s="86">
        <f>IF(P8="NO",0,O8*Parametros!$E$9)</f>
        <v>0.08</v>
      </c>
      <c r="R8" s="85">
        <v>0</v>
      </c>
      <c r="S8" s="88" t="s">
        <v>222</v>
      </c>
      <c r="T8" s="86">
        <f>IF(S8="NO",0,R8*Parametros!$E$10)</f>
        <v>0</v>
      </c>
      <c r="U8" s="85">
        <v>0.98</v>
      </c>
      <c r="V8" s="86">
        <f>U8*Parametros!$E$11</f>
        <v>0.245</v>
      </c>
      <c r="W8" s="87">
        <v>0</v>
      </c>
      <c r="X8" s="86">
        <f>MAX(0,Parametros!$E$12-Parametros!$E$18*W8)</f>
        <v>0.25</v>
      </c>
      <c r="Y8" s="87">
        <v>8</v>
      </c>
      <c r="Z8" s="87">
        <v>19</v>
      </c>
      <c r="AA8" s="89">
        <f>IF(Y8&gt;=Parametros!$E$22,Parametros!$E$24,0)</f>
        <v>0.04</v>
      </c>
      <c r="AB8" s="89">
        <f>IF(Z8&gt;=Parametros!$E$23,Parametros!$E$25,0)</f>
        <v>0.04</v>
      </c>
      <c r="AC8" s="89">
        <f t="shared" si="1"/>
        <v>0.08</v>
      </c>
      <c r="AD8" s="87">
        <v>0</v>
      </c>
      <c r="AE8" s="88" t="s">
        <v>222</v>
      </c>
      <c r="AF8" s="87">
        <v>0</v>
      </c>
      <c r="AG8" s="88" t="s">
        <v>222</v>
      </c>
      <c r="AH8" s="87">
        <v>0</v>
      </c>
      <c r="AI8" s="88" t="s">
        <v>222</v>
      </c>
      <c r="AJ8" s="87">
        <v>0</v>
      </c>
      <c r="AK8" s="88" t="s">
        <v>222</v>
      </c>
      <c r="AL8" s="87">
        <v>0</v>
      </c>
      <c r="AM8" s="88" t="s">
        <v>222</v>
      </c>
      <c r="AN8" s="89">
        <f>AD8*Parametros!$E$28+AF8*Parametros!$E$29+AH8*Parametros!$E$30+AJ8*Parametros!$E$31+AL8*Parametros!$E$32</f>
        <v>0</v>
      </c>
      <c r="AO8" s="12" t="str">
        <f t="shared" si="2"/>
        <v>NO</v>
      </c>
      <c r="AP8" s="86">
        <f t="shared" si="3"/>
        <v>0.92874999999999996</v>
      </c>
      <c r="AQ8" s="109">
        <f>MAX(0,MIN(1,MAX(0,AP8-IF(S8="NO",Parametros!$E$17,0))+AC8-AN8-IF(AO8="SI",Parametros!$E$33,0)))</f>
        <v>1</v>
      </c>
      <c r="AR8" s="58"/>
      <c r="AS8" s="71" t="str">
        <f>'Captura Septiembre'!B10</f>
        <v>ETEI</v>
      </c>
      <c r="AT8" s="72">
        <f>'Captura Septiembre'!K10+'Captura Septiembre'!N10+'Captura Septiembre'!Q10</f>
        <v>0.24</v>
      </c>
      <c r="AU8" s="72">
        <f>'Captura Septiembre'!T10</f>
        <v>0.06</v>
      </c>
      <c r="AV8" s="72">
        <f>'Captura Septiembre'!V10</f>
        <v>0.23300000000000001</v>
      </c>
      <c r="AW8" s="72">
        <f>'Captura Septiembre'!G10</f>
        <v>0.2</v>
      </c>
      <c r="AX8" s="72">
        <f>'Captura Septiembre'!X10</f>
        <v>0.2</v>
      </c>
      <c r="AY8" s="72">
        <f>'Captura Septiembre'!AC10</f>
        <v>0.04</v>
      </c>
      <c r="AZ8" s="73">
        <f>-'Captura Septiembre'!AN10</f>
        <v>0</v>
      </c>
      <c r="BA8" s="74">
        <f>'Captura Septiembre'!AQ10</f>
        <v>0.97300000000000009</v>
      </c>
      <c r="BB8" s="58"/>
      <c r="BC8" s="58"/>
    </row>
    <row r="9" spans="1:55" ht="16.5" customHeight="1" x14ac:dyDescent="0.35">
      <c r="A9" s="12">
        <v>4</v>
      </c>
      <c r="B9" s="83" t="s">
        <v>128</v>
      </c>
      <c r="C9" s="84" t="str">
        <f>VLOOKUP(B9,Parametros!$I$6:$J$20,2,FALSE())</f>
        <v>Jimmy Velasquez</v>
      </c>
      <c r="D9" s="85">
        <v>1</v>
      </c>
      <c r="E9" s="85">
        <v>1</v>
      </c>
      <c r="F9" s="11">
        <f t="shared" si="0"/>
        <v>1</v>
      </c>
      <c r="G9" s="86">
        <f>F9*Parametros!$E$6</f>
        <v>0.2</v>
      </c>
      <c r="H9" s="87">
        <v>38</v>
      </c>
      <c r="I9" s="87">
        <v>38</v>
      </c>
      <c r="J9" s="88" t="s">
        <v>222</v>
      </c>
      <c r="K9" s="86">
        <f>IF(J9="NO",0,IFERROR(H9/I9,0)*Parametros!$E$7)</f>
        <v>0.08</v>
      </c>
      <c r="L9" s="85">
        <v>1</v>
      </c>
      <c r="M9" s="88" t="s">
        <v>222</v>
      </c>
      <c r="N9" s="86">
        <f>IF(M9="NO",0,L9*Parametros!$E$8)</f>
        <v>0.08</v>
      </c>
      <c r="O9" s="85">
        <v>1</v>
      </c>
      <c r="P9" s="88" t="s">
        <v>222</v>
      </c>
      <c r="Q9" s="86">
        <f>IF(P9="NO",0,O9*Parametros!$E$9)</f>
        <v>0.08</v>
      </c>
      <c r="R9" s="85">
        <v>0</v>
      </c>
      <c r="S9" s="88" t="s">
        <v>222</v>
      </c>
      <c r="T9" s="86">
        <f>IF(S9="NO",0,R9*Parametros!$E$10)</f>
        <v>0</v>
      </c>
      <c r="U9" s="85">
        <v>0.94699999999999995</v>
      </c>
      <c r="V9" s="86">
        <f>U9*Parametros!$E$11</f>
        <v>0.23674999999999999</v>
      </c>
      <c r="W9" s="87">
        <v>2</v>
      </c>
      <c r="X9" s="86">
        <f>MAX(0,Parametros!$E$12-Parametros!$E$18*W9)</f>
        <v>0.15</v>
      </c>
      <c r="Y9" s="87">
        <v>7</v>
      </c>
      <c r="Z9" s="87">
        <v>29</v>
      </c>
      <c r="AA9" s="89">
        <f>IF(Y9&gt;=Parametros!$E$22,Parametros!$E$24,0)</f>
        <v>0</v>
      </c>
      <c r="AB9" s="89">
        <f>IF(Z9&gt;=Parametros!$E$23,Parametros!$E$25,0)</f>
        <v>0.04</v>
      </c>
      <c r="AC9" s="89">
        <f t="shared" si="1"/>
        <v>0.04</v>
      </c>
      <c r="AD9" s="87">
        <v>0</v>
      </c>
      <c r="AE9" s="88" t="s">
        <v>222</v>
      </c>
      <c r="AF9" s="87">
        <v>0</v>
      </c>
      <c r="AG9" s="88" t="s">
        <v>222</v>
      </c>
      <c r="AH9" s="87">
        <v>0</v>
      </c>
      <c r="AI9" s="88" t="s">
        <v>222</v>
      </c>
      <c r="AJ9" s="87">
        <v>0</v>
      </c>
      <c r="AK9" s="88" t="s">
        <v>222</v>
      </c>
      <c r="AL9" s="87">
        <v>0</v>
      </c>
      <c r="AM9" s="88" t="s">
        <v>222</v>
      </c>
      <c r="AN9" s="89">
        <f>AD9*Parametros!$E$28+AF9*Parametros!$E$29+AH9*Parametros!$E$30+AJ9*Parametros!$E$31+AL9*Parametros!$E$32</f>
        <v>0</v>
      </c>
      <c r="AO9" s="12" t="str">
        <f t="shared" si="2"/>
        <v>NO</v>
      </c>
      <c r="AP9" s="86">
        <f t="shared" si="3"/>
        <v>0.8267500000000001</v>
      </c>
      <c r="AQ9" s="109">
        <f>MAX(0,MIN(1,MAX(0,AP9-IF(S9="NO",Parametros!$E$17,0))+AC9-AN9-IF(AO9="SI",Parametros!$E$33,0)))</f>
        <v>0.86675000000000013</v>
      </c>
      <c r="AR9" s="58"/>
      <c r="AS9" s="79" t="str">
        <f>'Captura Septiembre'!B11</f>
        <v>Equipos Auxiliares</v>
      </c>
      <c r="AT9" s="80">
        <f>'Captura Septiembre'!K11+'Captura Septiembre'!N11+'Captura Septiembre'!Q11</f>
        <v>0.23520000000000002</v>
      </c>
      <c r="AU9" s="80">
        <f>'Captura Septiembre'!T11</f>
        <v>0.06</v>
      </c>
      <c r="AV9" s="80">
        <f>'Captura Septiembre'!V11</f>
        <v>0.23250000000000001</v>
      </c>
      <c r="AW9" s="80">
        <f>'Captura Septiembre'!G11</f>
        <v>0.2</v>
      </c>
      <c r="AX9" s="80">
        <f>'Captura Septiembre'!X11</f>
        <v>0.15</v>
      </c>
      <c r="AY9" s="80">
        <f>'Captura Septiembre'!AC11</f>
        <v>0.04</v>
      </c>
      <c r="AZ9" s="81">
        <f>-'Captura Septiembre'!AN11</f>
        <v>-0.1</v>
      </c>
      <c r="BA9" s="82">
        <f>'Captura Septiembre'!AQ11</f>
        <v>0.81770000000000009</v>
      </c>
      <c r="BB9" s="58"/>
      <c r="BC9" s="58"/>
    </row>
    <row r="10" spans="1:55" ht="16.5" customHeight="1" x14ac:dyDescent="0.35">
      <c r="A10" s="12">
        <v>5</v>
      </c>
      <c r="B10" s="83" t="s">
        <v>125</v>
      </c>
      <c r="C10" s="84" t="str">
        <f>VLOOKUP(B10,Parametros!$I$6:$J$20,2,FALSE())</f>
        <v>Jessica Loarca</v>
      </c>
      <c r="D10" s="85">
        <v>1</v>
      </c>
      <c r="E10" s="85">
        <v>1</v>
      </c>
      <c r="F10" s="11">
        <f t="shared" si="0"/>
        <v>1</v>
      </c>
      <c r="G10" s="86">
        <f>F10*Parametros!$E$6</f>
        <v>0.2</v>
      </c>
      <c r="H10" s="87">
        <v>38</v>
      </c>
      <c r="I10" s="87">
        <v>38</v>
      </c>
      <c r="J10" s="88" t="s">
        <v>222</v>
      </c>
      <c r="K10" s="86">
        <f>IF(J10="NO",0,IFERROR(H10/I10,0)*Parametros!$E$7)</f>
        <v>0.08</v>
      </c>
      <c r="L10" s="85">
        <v>1</v>
      </c>
      <c r="M10" s="88" t="s">
        <v>222</v>
      </c>
      <c r="N10" s="86">
        <f>IF(M10="NO",0,L10*Parametros!$E$8)</f>
        <v>0.08</v>
      </c>
      <c r="O10" s="85">
        <v>1</v>
      </c>
      <c r="P10" s="88" t="s">
        <v>222</v>
      </c>
      <c r="Q10" s="86">
        <f>IF(P10="NO",0,O10*Parametros!$E$9)</f>
        <v>0.08</v>
      </c>
      <c r="R10" s="85">
        <v>1</v>
      </c>
      <c r="S10" s="88" t="s">
        <v>222</v>
      </c>
      <c r="T10" s="86">
        <f>IF(S10="NO",0,R10*Parametros!$E$10)</f>
        <v>0.06</v>
      </c>
      <c r="U10" s="85">
        <v>0.93200000000000005</v>
      </c>
      <c r="V10" s="86">
        <f>U10*Parametros!$E$11</f>
        <v>0.23300000000000001</v>
      </c>
      <c r="W10" s="87">
        <v>1</v>
      </c>
      <c r="X10" s="86">
        <f>MAX(0,Parametros!$E$12-Parametros!$E$18*W10)</f>
        <v>0.2</v>
      </c>
      <c r="Y10" s="87">
        <v>0</v>
      </c>
      <c r="Z10" s="87">
        <v>17</v>
      </c>
      <c r="AA10" s="89">
        <f>IF(Y10&gt;=Parametros!$E$22,Parametros!$E$24,0)</f>
        <v>0</v>
      </c>
      <c r="AB10" s="89">
        <f>IF(Z10&gt;=Parametros!$E$23,Parametros!$E$25,0)</f>
        <v>0.04</v>
      </c>
      <c r="AC10" s="89">
        <f t="shared" si="1"/>
        <v>0.04</v>
      </c>
      <c r="AD10" s="87">
        <v>0</v>
      </c>
      <c r="AE10" s="88" t="s">
        <v>222</v>
      </c>
      <c r="AF10" s="87">
        <v>0</v>
      </c>
      <c r="AG10" s="88" t="s">
        <v>222</v>
      </c>
      <c r="AH10" s="87">
        <v>0</v>
      </c>
      <c r="AI10" s="88" t="s">
        <v>222</v>
      </c>
      <c r="AJ10" s="87">
        <v>0</v>
      </c>
      <c r="AK10" s="88" t="s">
        <v>222</v>
      </c>
      <c r="AL10" s="87">
        <v>0</v>
      </c>
      <c r="AM10" s="88" t="s">
        <v>222</v>
      </c>
      <c r="AN10" s="89">
        <f>AD10*Parametros!$E$28+AF10*Parametros!$E$29+AH10*Parametros!$E$30+AJ10*Parametros!$E$31+AL10*Parametros!$E$32</f>
        <v>0</v>
      </c>
      <c r="AO10" s="12" t="str">
        <f t="shared" si="2"/>
        <v>NO</v>
      </c>
      <c r="AP10" s="86">
        <f t="shared" si="3"/>
        <v>0.93300000000000005</v>
      </c>
      <c r="AQ10" s="109">
        <f>MAX(0,MIN(1,MAX(0,AP10-IF(S10="NO",Parametros!$E$17,0))+AC10-AN10-IF(AO10="SI",Parametros!$E$33,0)))</f>
        <v>0.97300000000000009</v>
      </c>
      <c r="AR10" s="58"/>
      <c r="AS10" s="71" t="str">
        <f>'Captura Septiembre'!B12</f>
        <v>Jarabes</v>
      </c>
      <c r="AT10" s="72">
        <f>'Captura Septiembre'!K12+'Captura Septiembre'!N12+'Captura Septiembre'!Q12</f>
        <v>0.23199999999999998</v>
      </c>
      <c r="AU10" s="72">
        <f>'Captura Septiembre'!T12</f>
        <v>0.06</v>
      </c>
      <c r="AV10" s="72">
        <f>'Captura Septiembre'!V12</f>
        <v>0.23699999999999999</v>
      </c>
      <c r="AW10" s="72">
        <f>'Captura Septiembre'!G12</f>
        <v>0.2</v>
      </c>
      <c r="AX10" s="72">
        <f>'Captura Septiembre'!X12</f>
        <v>0.25</v>
      </c>
      <c r="AY10" s="72">
        <f>'Captura Septiembre'!AC12</f>
        <v>0.08</v>
      </c>
      <c r="AZ10" s="73">
        <f>-'Captura Septiembre'!AN12</f>
        <v>0</v>
      </c>
      <c r="BA10" s="74">
        <f>'Captura Septiembre'!AQ12</f>
        <v>1</v>
      </c>
      <c r="BB10" s="58"/>
      <c r="BC10" s="58"/>
    </row>
    <row r="11" spans="1:55" ht="16.5" customHeight="1" x14ac:dyDescent="0.35">
      <c r="A11" s="12">
        <v>6</v>
      </c>
      <c r="B11" s="83" t="s">
        <v>117</v>
      </c>
      <c r="C11" s="84" t="str">
        <f>VLOOKUP(B11,Parametros!$I$6:$J$20,2,FALSE())</f>
        <v>Edson Bonifacio</v>
      </c>
      <c r="D11" s="85">
        <v>1</v>
      </c>
      <c r="E11" s="85">
        <v>1</v>
      </c>
      <c r="F11" s="11">
        <f t="shared" si="0"/>
        <v>1</v>
      </c>
      <c r="G11" s="86">
        <f>F11*Parametros!$E$6</f>
        <v>0.2</v>
      </c>
      <c r="H11" s="87">
        <v>38</v>
      </c>
      <c r="I11" s="87">
        <v>38</v>
      </c>
      <c r="J11" s="88" t="s">
        <v>222</v>
      </c>
      <c r="K11" s="86">
        <f>IF(J11="NO",0,IFERROR(H11/I11,0)*Parametros!$E$7)</f>
        <v>0.08</v>
      </c>
      <c r="L11" s="85">
        <v>0.94</v>
      </c>
      <c r="M11" s="88" t="s">
        <v>222</v>
      </c>
      <c r="N11" s="86">
        <f>IF(M11="NO",0,L11*Parametros!$E$8)</f>
        <v>7.5200000000000003E-2</v>
      </c>
      <c r="O11" s="85">
        <v>1</v>
      </c>
      <c r="P11" s="88" t="s">
        <v>222</v>
      </c>
      <c r="Q11" s="86">
        <f>IF(P11="NO",0,O11*Parametros!$E$9)</f>
        <v>0.08</v>
      </c>
      <c r="R11" s="85">
        <v>1</v>
      </c>
      <c r="S11" s="88" t="s">
        <v>222</v>
      </c>
      <c r="T11" s="86">
        <f>IF(S11="NO",0,R11*Parametros!$E$10)</f>
        <v>0.06</v>
      </c>
      <c r="U11" s="85">
        <v>0.93</v>
      </c>
      <c r="V11" s="86">
        <f>U11*Parametros!$E$11</f>
        <v>0.23250000000000001</v>
      </c>
      <c r="W11" s="87">
        <v>2</v>
      </c>
      <c r="X11" s="86">
        <f>MAX(0,Parametros!$E$12-Parametros!$E$18*W11)</f>
        <v>0.15</v>
      </c>
      <c r="Y11" s="87">
        <v>0</v>
      </c>
      <c r="Z11" s="87">
        <v>15</v>
      </c>
      <c r="AA11" s="89">
        <f>IF(Y11&gt;=Parametros!$E$22,Parametros!$E$24,0)</f>
        <v>0</v>
      </c>
      <c r="AB11" s="89">
        <f>IF(Z11&gt;=Parametros!$E$23,Parametros!$E$25,0)</f>
        <v>0.04</v>
      </c>
      <c r="AC11" s="89">
        <f t="shared" si="1"/>
        <v>0.04</v>
      </c>
      <c r="AD11" s="87">
        <v>0</v>
      </c>
      <c r="AE11" s="88" t="s">
        <v>222</v>
      </c>
      <c r="AF11" s="87">
        <v>1</v>
      </c>
      <c r="AG11" s="88" t="s">
        <v>222</v>
      </c>
      <c r="AH11" s="87">
        <v>0</v>
      </c>
      <c r="AI11" s="88" t="s">
        <v>222</v>
      </c>
      <c r="AJ11" s="87">
        <v>0</v>
      </c>
      <c r="AK11" s="88" t="s">
        <v>222</v>
      </c>
      <c r="AL11" s="87">
        <v>0</v>
      </c>
      <c r="AM11" s="88" t="s">
        <v>222</v>
      </c>
      <c r="AN11" s="89">
        <f>AD11*Parametros!$E$28+AF11*Parametros!$E$29+AH11*Parametros!$E$30+AJ11*Parametros!$E$31+AL11*Parametros!$E$32</f>
        <v>0.1</v>
      </c>
      <c r="AO11" s="12" t="str">
        <f t="shared" si="2"/>
        <v>NO</v>
      </c>
      <c r="AP11" s="86">
        <f t="shared" si="3"/>
        <v>0.87770000000000004</v>
      </c>
      <c r="AQ11" s="109">
        <f>MAX(0,MIN(1,MAX(0,AP11-IF(S11="NO",Parametros!$E$17,0))+AC11-AN11-IF(AO11="SI",Parametros!$E$33,0)))</f>
        <v>0.81770000000000009</v>
      </c>
      <c r="AR11" s="58"/>
      <c r="AS11" s="79" t="str">
        <f>'Captura Septiembre'!B13</f>
        <v>Linea 1</v>
      </c>
      <c r="AT11" s="80">
        <f>'Captura Septiembre'!K13+'Captura Septiembre'!N13+'Captura Septiembre'!Q13</f>
        <v>0.23039999999999999</v>
      </c>
      <c r="AU11" s="80">
        <f>'Captura Septiembre'!T13</f>
        <v>0</v>
      </c>
      <c r="AV11" s="80">
        <f>'Captura Septiembre'!V13</f>
        <v>0.24174999999999999</v>
      </c>
      <c r="AW11" s="80">
        <f>'Captura Septiembre'!G13</f>
        <v>0.18409</v>
      </c>
      <c r="AX11" s="80">
        <f>'Captura Septiembre'!X13</f>
        <v>0</v>
      </c>
      <c r="AY11" s="80">
        <f>'Captura Septiembre'!AC13</f>
        <v>0.04</v>
      </c>
      <c r="AZ11" s="81">
        <f>-'Captura Septiembre'!AN13</f>
        <v>0</v>
      </c>
      <c r="BA11" s="82">
        <f>'Captura Septiembre'!AQ13</f>
        <v>0.69623999999999997</v>
      </c>
      <c r="BB11" s="58"/>
      <c r="BC11" s="58"/>
    </row>
    <row r="12" spans="1:55" ht="16.5" customHeight="1" x14ac:dyDescent="0.35">
      <c r="A12" s="12">
        <v>7</v>
      </c>
      <c r="B12" s="83" t="s">
        <v>130</v>
      </c>
      <c r="C12" s="84" t="str">
        <f>VLOOKUP(B12,Parametros!$I$6:$J$20,2,FALSE())</f>
        <v>Adrian Santisteban</v>
      </c>
      <c r="D12" s="85">
        <v>1</v>
      </c>
      <c r="E12" s="85">
        <v>1</v>
      </c>
      <c r="F12" s="11">
        <f t="shared" si="0"/>
        <v>1</v>
      </c>
      <c r="G12" s="86">
        <f>F12*Parametros!$E$6</f>
        <v>0.2</v>
      </c>
      <c r="H12" s="87">
        <v>38</v>
      </c>
      <c r="I12" s="87">
        <v>38</v>
      </c>
      <c r="J12" s="88" t="s">
        <v>222</v>
      </c>
      <c r="K12" s="86">
        <f>IF(J12="NO",0,IFERROR(H12/I12,0)*Parametros!$E$7)</f>
        <v>0.08</v>
      </c>
      <c r="L12" s="85">
        <v>0.95</v>
      </c>
      <c r="M12" s="88" t="s">
        <v>222</v>
      </c>
      <c r="N12" s="86">
        <f>IF(M12="NO",0,L12*Parametros!$E$8)</f>
        <v>7.5999999999999998E-2</v>
      </c>
      <c r="O12" s="85">
        <v>0.95</v>
      </c>
      <c r="P12" s="88" t="s">
        <v>222</v>
      </c>
      <c r="Q12" s="86">
        <f>IF(P12="NO",0,O12*Parametros!$E$9)</f>
        <v>7.5999999999999998E-2</v>
      </c>
      <c r="R12" s="85">
        <v>1</v>
      </c>
      <c r="S12" s="88" t="s">
        <v>222</v>
      </c>
      <c r="T12" s="86">
        <f>IF(S12="NO",0,R12*Parametros!$E$10)</f>
        <v>0.06</v>
      </c>
      <c r="U12" s="85">
        <v>0.94799999999999995</v>
      </c>
      <c r="V12" s="86">
        <f>U12*Parametros!$E$11</f>
        <v>0.23699999999999999</v>
      </c>
      <c r="W12" s="87">
        <v>0</v>
      </c>
      <c r="X12" s="86">
        <f>MAX(0,Parametros!$E$12-Parametros!$E$18*W12)</f>
        <v>0.25</v>
      </c>
      <c r="Y12" s="87">
        <v>9</v>
      </c>
      <c r="Z12" s="87">
        <v>12</v>
      </c>
      <c r="AA12" s="89">
        <f>IF(Y12&gt;=Parametros!$E$22,Parametros!$E$24,0)</f>
        <v>0.04</v>
      </c>
      <c r="AB12" s="89">
        <f>IF(Z12&gt;=Parametros!$E$23,Parametros!$E$25,0)</f>
        <v>0.04</v>
      </c>
      <c r="AC12" s="89">
        <f t="shared" si="1"/>
        <v>0.08</v>
      </c>
      <c r="AD12" s="87">
        <v>0</v>
      </c>
      <c r="AE12" s="88" t="s">
        <v>222</v>
      </c>
      <c r="AF12" s="87">
        <v>0</v>
      </c>
      <c r="AG12" s="88" t="s">
        <v>222</v>
      </c>
      <c r="AH12" s="87">
        <v>0</v>
      </c>
      <c r="AI12" s="88" t="s">
        <v>222</v>
      </c>
      <c r="AJ12" s="87">
        <v>0</v>
      </c>
      <c r="AK12" s="88" t="s">
        <v>222</v>
      </c>
      <c r="AL12" s="87">
        <v>0</v>
      </c>
      <c r="AM12" s="88" t="s">
        <v>222</v>
      </c>
      <c r="AN12" s="89">
        <f>AD12*Parametros!$E$28+AF12*Parametros!$E$29+AH12*Parametros!$E$30+AJ12*Parametros!$E$31+AL12*Parametros!$E$32</f>
        <v>0</v>
      </c>
      <c r="AO12" s="12" t="str">
        <f t="shared" si="2"/>
        <v>NO</v>
      </c>
      <c r="AP12" s="86">
        <f t="shared" si="3"/>
        <v>0.97900000000000009</v>
      </c>
      <c r="AQ12" s="109">
        <f>MAX(0,MIN(1,MAX(0,AP12-IF(S12="NO",Parametros!$E$17,0))+AC12-AN12-IF(AO12="SI",Parametros!$E$33,0)))</f>
        <v>1</v>
      </c>
      <c r="AR12" s="58"/>
      <c r="AS12" s="71" t="str">
        <f>'Captura Septiembre'!B14</f>
        <v>Linea 2</v>
      </c>
      <c r="AT12" s="72">
        <f>'Captura Septiembre'!K14+'Captura Septiembre'!N14+'Captura Septiembre'!Q14</f>
        <v>0.23039999999999999</v>
      </c>
      <c r="AU12" s="72">
        <f>'Captura Septiembre'!T14</f>
        <v>0</v>
      </c>
      <c r="AV12" s="72">
        <f>'Captura Septiembre'!V14</f>
        <v>0.24174999999999999</v>
      </c>
      <c r="AW12" s="72">
        <f>'Captura Septiembre'!G14</f>
        <v>0.19286</v>
      </c>
      <c r="AX12" s="72">
        <f>'Captura Septiembre'!X14</f>
        <v>9.9999999999999978E-2</v>
      </c>
      <c r="AY12" s="72">
        <f>'Captura Septiembre'!AC14</f>
        <v>0</v>
      </c>
      <c r="AZ12" s="73">
        <f>-'Captura Septiembre'!AN14</f>
        <v>0</v>
      </c>
      <c r="BA12" s="74">
        <f>'Captura Septiembre'!AQ14</f>
        <v>0.76500999999999997</v>
      </c>
      <c r="BB12" s="58"/>
      <c r="BC12" s="58"/>
    </row>
    <row r="13" spans="1:55" ht="16.5" customHeight="1" x14ac:dyDescent="0.35">
      <c r="A13" s="12">
        <v>8</v>
      </c>
      <c r="B13" s="83" t="s">
        <v>123</v>
      </c>
      <c r="C13" s="84" t="str">
        <f>VLOOKUP(B13,Parametros!$I$6:$J$20,2,FALSE())</f>
        <v>Amilcar Ralda</v>
      </c>
      <c r="D13" s="85">
        <v>1</v>
      </c>
      <c r="E13" s="85">
        <v>0.84089999999999998</v>
      </c>
      <c r="F13" s="11">
        <f t="shared" si="0"/>
        <v>0.92044999999999999</v>
      </c>
      <c r="G13" s="86">
        <f>F13*Parametros!$E$6</f>
        <v>0.18409</v>
      </c>
      <c r="H13" s="87">
        <v>38</v>
      </c>
      <c r="I13" s="87">
        <v>38</v>
      </c>
      <c r="J13" s="88" t="s">
        <v>222</v>
      </c>
      <c r="K13" s="86">
        <f>IF(J13="NO",0,IFERROR(H13/I13,0)*Parametros!$E$7)</f>
        <v>0.08</v>
      </c>
      <c r="L13" s="85">
        <v>0.96</v>
      </c>
      <c r="M13" s="88" t="s">
        <v>222</v>
      </c>
      <c r="N13" s="86">
        <f>IF(M13="NO",0,L13*Parametros!$E$8)</f>
        <v>7.6799999999999993E-2</v>
      </c>
      <c r="O13" s="85">
        <v>0.92</v>
      </c>
      <c r="P13" s="88" t="s">
        <v>222</v>
      </c>
      <c r="Q13" s="86">
        <f>IF(P13="NO",0,O13*Parametros!$E$9)</f>
        <v>7.3599999999999999E-2</v>
      </c>
      <c r="R13" s="85">
        <v>0</v>
      </c>
      <c r="S13" s="88" t="s">
        <v>222</v>
      </c>
      <c r="T13" s="86">
        <f>IF(S13="NO",0,R13*Parametros!$E$10)</f>
        <v>0</v>
      </c>
      <c r="U13" s="85">
        <v>0.96699999999999997</v>
      </c>
      <c r="V13" s="86">
        <f>U13*Parametros!$E$11</f>
        <v>0.24174999999999999</v>
      </c>
      <c r="W13" s="87">
        <v>13</v>
      </c>
      <c r="X13" s="86">
        <f>MAX(0,Parametros!$E$12-Parametros!$E$18*W13)</f>
        <v>0</v>
      </c>
      <c r="Y13" s="87">
        <v>4</v>
      </c>
      <c r="Z13" s="87">
        <v>15</v>
      </c>
      <c r="AA13" s="89">
        <f>IF(Y13&gt;=Parametros!$E$22,Parametros!$E$24,0)</f>
        <v>0</v>
      </c>
      <c r="AB13" s="89">
        <f>IF(Z13&gt;=Parametros!$E$23,Parametros!$E$25,0)</f>
        <v>0.04</v>
      </c>
      <c r="AC13" s="89">
        <f t="shared" si="1"/>
        <v>0.04</v>
      </c>
      <c r="AD13" s="87">
        <v>0</v>
      </c>
      <c r="AE13" s="88" t="s">
        <v>222</v>
      </c>
      <c r="AF13" s="87">
        <v>0</v>
      </c>
      <c r="AG13" s="88" t="s">
        <v>222</v>
      </c>
      <c r="AH13" s="87">
        <v>0</v>
      </c>
      <c r="AI13" s="88" t="s">
        <v>222</v>
      </c>
      <c r="AJ13" s="87">
        <v>0</v>
      </c>
      <c r="AK13" s="88" t="s">
        <v>222</v>
      </c>
      <c r="AL13" s="87">
        <v>0</v>
      </c>
      <c r="AM13" s="88" t="s">
        <v>222</v>
      </c>
      <c r="AN13" s="89">
        <f>AD13*Parametros!$E$28+AF13*Parametros!$E$29+AH13*Parametros!$E$30+AJ13*Parametros!$E$31+AL13*Parametros!$E$32</f>
        <v>0</v>
      </c>
      <c r="AO13" s="12" t="str">
        <f t="shared" si="2"/>
        <v>NO</v>
      </c>
      <c r="AP13" s="86">
        <f t="shared" si="3"/>
        <v>0.65623999999999993</v>
      </c>
      <c r="AQ13" s="109">
        <f>MAX(0,MIN(1,MAX(0,AP13-IF(S13="NO",Parametros!$E$17,0))+AC13-AN13-IF(AO13="SI",Parametros!$E$33,0)))</f>
        <v>0.69623999999999997</v>
      </c>
      <c r="AR13" s="58"/>
      <c r="AS13" s="79" t="str">
        <f>'Captura Septiembre'!B15</f>
        <v>Linea 3</v>
      </c>
      <c r="AT13" s="80">
        <f>'Captura Septiembre'!K15+'Captura Septiembre'!N15+'Captura Septiembre'!Q15</f>
        <v>0.23680000000000001</v>
      </c>
      <c r="AU13" s="80">
        <f>'Captura Septiembre'!T15</f>
        <v>0.06</v>
      </c>
      <c r="AV13" s="80">
        <f>'Captura Septiembre'!V15</f>
        <v>0.24174999999999999</v>
      </c>
      <c r="AW13" s="80">
        <f>'Captura Septiembre'!G15</f>
        <v>0.2</v>
      </c>
      <c r="AX13" s="80">
        <f>'Captura Septiembre'!X15</f>
        <v>0</v>
      </c>
      <c r="AY13" s="80">
        <f>'Captura Septiembre'!AC15</f>
        <v>0.04</v>
      </c>
      <c r="AZ13" s="81">
        <f>-'Captura Septiembre'!AN15</f>
        <v>0</v>
      </c>
      <c r="BA13" s="82">
        <f>'Captura Septiembre'!AQ15</f>
        <v>0.77855000000000008</v>
      </c>
      <c r="BB13" s="58"/>
      <c r="BC13" s="58"/>
    </row>
    <row r="14" spans="1:55" ht="16.5" customHeight="1" x14ac:dyDescent="0.35">
      <c r="A14" s="12">
        <v>9</v>
      </c>
      <c r="B14" s="83" t="s">
        <v>113</v>
      </c>
      <c r="C14" s="84" t="str">
        <f>VLOOKUP(B14,Parametros!$I$6:$J$20,2,FALSE())</f>
        <v>Amilcar Ralda</v>
      </c>
      <c r="D14" s="85">
        <v>1</v>
      </c>
      <c r="E14" s="85">
        <v>0.92859999999999998</v>
      </c>
      <c r="F14" s="11">
        <f t="shared" si="0"/>
        <v>0.96429999999999993</v>
      </c>
      <c r="G14" s="86">
        <f>F14*Parametros!$E$6</f>
        <v>0.19286</v>
      </c>
      <c r="H14" s="87">
        <v>38</v>
      </c>
      <c r="I14" s="87">
        <v>38</v>
      </c>
      <c r="J14" s="88" t="s">
        <v>222</v>
      </c>
      <c r="K14" s="86">
        <f>IF(J14="NO",0,IFERROR(H14/I14,0)*Parametros!$E$7)</f>
        <v>0.08</v>
      </c>
      <c r="L14" s="85">
        <v>0.96</v>
      </c>
      <c r="M14" s="88" t="s">
        <v>222</v>
      </c>
      <c r="N14" s="86">
        <f>IF(M14="NO",0,L14*Parametros!$E$8)</f>
        <v>7.6799999999999993E-2</v>
      </c>
      <c r="O14" s="85">
        <v>0.92</v>
      </c>
      <c r="P14" s="88" t="s">
        <v>222</v>
      </c>
      <c r="Q14" s="86">
        <f>IF(P14="NO",0,O14*Parametros!$E$9)</f>
        <v>7.3599999999999999E-2</v>
      </c>
      <c r="R14" s="85">
        <v>0</v>
      </c>
      <c r="S14" s="88" t="s">
        <v>222</v>
      </c>
      <c r="T14" s="86">
        <f>IF(S14="NO",0,R14*Parametros!$E$10)</f>
        <v>0</v>
      </c>
      <c r="U14" s="85">
        <v>0.96699999999999997</v>
      </c>
      <c r="V14" s="86">
        <f>U14*Parametros!$E$11</f>
        <v>0.24174999999999999</v>
      </c>
      <c r="W14" s="87">
        <v>3</v>
      </c>
      <c r="X14" s="86">
        <f>MAX(0,Parametros!$E$12-Parametros!$E$18*W14)</f>
        <v>9.9999999999999978E-2</v>
      </c>
      <c r="Y14" s="87">
        <v>4</v>
      </c>
      <c r="Z14" s="87">
        <v>9</v>
      </c>
      <c r="AA14" s="89">
        <f>IF(Y14&gt;=Parametros!$E$22,Parametros!$E$24,0)</f>
        <v>0</v>
      </c>
      <c r="AB14" s="89">
        <f>IF(Z14&gt;=Parametros!$E$23,Parametros!$E$25,0)</f>
        <v>0</v>
      </c>
      <c r="AC14" s="89">
        <f t="shared" si="1"/>
        <v>0</v>
      </c>
      <c r="AD14" s="87">
        <v>0</v>
      </c>
      <c r="AE14" s="88" t="s">
        <v>222</v>
      </c>
      <c r="AF14" s="87">
        <v>0</v>
      </c>
      <c r="AG14" s="88" t="s">
        <v>222</v>
      </c>
      <c r="AH14" s="87">
        <v>0</v>
      </c>
      <c r="AI14" s="88" t="s">
        <v>222</v>
      </c>
      <c r="AJ14" s="87">
        <v>0</v>
      </c>
      <c r="AK14" s="88" t="s">
        <v>222</v>
      </c>
      <c r="AL14" s="87">
        <v>0</v>
      </c>
      <c r="AM14" s="88" t="s">
        <v>222</v>
      </c>
      <c r="AN14" s="89">
        <f>AD14*Parametros!$E$28+AF14*Parametros!$E$29+AH14*Parametros!$E$30+AJ14*Parametros!$E$31+AL14*Parametros!$E$32</f>
        <v>0</v>
      </c>
      <c r="AO14" s="12" t="str">
        <f t="shared" si="2"/>
        <v>NO</v>
      </c>
      <c r="AP14" s="86">
        <f t="shared" si="3"/>
        <v>0.76500999999999997</v>
      </c>
      <c r="AQ14" s="109">
        <f>MAX(0,MIN(1,MAX(0,AP14-IF(S14="NO",Parametros!$E$17,0))+AC14-AN14-IF(AO14="SI",Parametros!$E$33,0)))</f>
        <v>0.76500999999999997</v>
      </c>
      <c r="AR14" s="58"/>
      <c r="AS14" s="71" t="str">
        <f>'Captura Septiembre'!B16</f>
        <v>Linea 4</v>
      </c>
      <c r="AT14" s="72">
        <f>'Captura Septiembre'!K16+'Captura Septiembre'!N16+'Captura Septiembre'!Q16</f>
        <v>0.23359999999999997</v>
      </c>
      <c r="AU14" s="72">
        <f>'Captura Septiembre'!T16</f>
        <v>0.06</v>
      </c>
      <c r="AV14" s="72">
        <f>'Captura Septiembre'!V16</f>
        <v>0.24174999999999999</v>
      </c>
      <c r="AW14" s="72">
        <f>'Captura Septiembre'!G16</f>
        <v>0.19300000000000003</v>
      </c>
      <c r="AX14" s="72">
        <f>'Captura Septiembre'!X16</f>
        <v>0.15</v>
      </c>
      <c r="AY14" s="72">
        <f>'Captura Septiembre'!AC16</f>
        <v>0.04</v>
      </c>
      <c r="AZ14" s="73">
        <f>-'Captura Septiembre'!AN16</f>
        <v>0</v>
      </c>
      <c r="BA14" s="74">
        <f>'Captura Septiembre'!AQ16</f>
        <v>0.91835</v>
      </c>
      <c r="BB14" s="58"/>
      <c r="BC14" s="58"/>
    </row>
    <row r="15" spans="1:55" ht="16.5" customHeight="1" x14ac:dyDescent="0.35">
      <c r="A15" s="12">
        <v>10</v>
      </c>
      <c r="B15" s="83" t="s">
        <v>133</v>
      </c>
      <c r="C15" s="84" t="str">
        <f>VLOOKUP(B15,Parametros!$I$6:$J$20,2,FALSE())</f>
        <v>Mario Ramos</v>
      </c>
      <c r="D15" s="85">
        <v>1</v>
      </c>
      <c r="E15" s="85">
        <v>1</v>
      </c>
      <c r="F15" s="11">
        <f t="shared" si="0"/>
        <v>1</v>
      </c>
      <c r="G15" s="86">
        <f>F15*Parametros!$E$6</f>
        <v>0.2</v>
      </c>
      <c r="H15" s="87">
        <v>38</v>
      </c>
      <c r="I15" s="87">
        <v>38</v>
      </c>
      <c r="J15" s="88" t="s">
        <v>222</v>
      </c>
      <c r="K15" s="86">
        <f>IF(J15="NO",0,IFERROR(H15/I15,0)*Parametros!$E$7)</f>
        <v>0.08</v>
      </c>
      <c r="L15" s="85">
        <v>1</v>
      </c>
      <c r="M15" s="88" t="s">
        <v>222</v>
      </c>
      <c r="N15" s="86">
        <f>IF(M15="NO",0,L15*Parametros!$E$8)</f>
        <v>0.08</v>
      </c>
      <c r="O15" s="85">
        <v>0.96</v>
      </c>
      <c r="P15" s="88" t="s">
        <v>222</v>
      </c>
      <c r="Q15" s="86">
        <f>IF(P15="NO",0,O15*Parametros!$E$9)</f>
        <v>7.6799999999999993E-2</v>
      </c>
      <c r="R15" s="85">
        <v>1</v>
      </c>
      <c r="S15" s="88" t="s">
        <v>222</v>
      </c>
      <c r="T15" s="86">
        <f>IF(S15="NO",0,R15*Parametros!$E$10)</f>
        <v>0.06</v>
      </c>
      <c r="U15" s="85">
        <v>0.96699999999999997</v>
      </c>
      <c r="V15" s="86">
        <f>U15*Parametros!$E$11</f>
        <v>0.24174999999999999</v>
      </c>
      <c r="W15" s="87">
        <v>11</v>
      </c>
      <c r="X15" s="86">
        <f>MAX(0,Parametros!$E$12-Parametros!$E$18*W15)</f>
        <v>0</v>
      </c>
      <c r="Y15" s="87">
        <v>0</v>
      </c>
      <c r="Z15" s="87">
        <v>11</v>
      </c>
      <c r="AA15" s="89">
        <f>IF(Y15&gt;=Parametros!$E$22,Parametros!$E$24,0)</f>
        <v>0</v>
      </c>
      <c r="AB15" s="89">
        <f>IF(Z15&gt;=Parametros!$E$23,Parametros!$E$25,0)</f>
        <v>0.04</v>
      </c>
      <c r="AC15" s="89">
        <f t="shared" si="1"/>
        <v>0.04</v>
      </c>
      <c r="AD15" s="87">
        <v>0</v>
      </c>
      <c r="AE15" s="88" t="s">
        <v>222</v>
      </c>
      <c r="AF15" s="87">
        <v>0</v>
      </c>
      <c r="AG15" s="88" t="s">
        <v>222</v>
      </c>
      <c r="AH15" s="87">
        <v>0</v>
      </c>
      <c r="AI15" s="88" t="s">
        <v>222</v>
      </c>
      <c r="AJ15" s="87">
        <v>0</v>
      </c>
      <c r="AK15" s="88" t="s">
        <v>222</v>
      </c>
      <c r="AL15" s="87">
        <v>0</v>
      </c>
      <c r="AM15" s="88" t="s">
        <v>222</v>
      </c>
      <c r="AN15" s="89">
        <f>AD15*Parametros!$E$28+AF15*Parametros!$E$29+AH15*Parametros!$E$30+AJ15*Parametros!$E$31+AL15*Parametros!$E$32</f>
        <v>0</v>
      </c>
      <c r="AO15" s="12" t="str">
        <f t="shared" si="2"/>
        <v>NO</v>
      </c>
      <c r="AP15" s="86">
        <f t="shared" si="3"/>
        <v>0.73855000000000004</v>
      </c>
      <c r="AQ15" s="109">
        <f>MAX(0,MIN(1,MAX(0,AP15-IF(S15="NO",Parametros!$E$17,0))+AC15-AN15-IF(AO15="SI",Parametros!$E$33,0)))</f>
        <v>0.77855000000000008</v>
      </c>
      <c r="AR15" s="58"/>
      <c r="AS15" s="79" t="str">
        <f>'Captura Septiembre'!B17</f>
        <v>Linea 5</v>
      </c>
      <c r="AT15" s="80">
        <f>'Captura Septiembre'!K17+'Captura Septiembre'!N17+'Captura Septiembre'!Q17</f>
        <v>0.22639999999999999</v>
      </c>
      <c r="AU15" s="80">
        <f>'Captura Septiembre'!T17</f>
        <v>0</v>
      </c>
      <c r="AV15" s="80">
        <f>'Captura Septiembre'!V17</f>
        <v>0.24174999999999999</v>
      </c>
      <c r="AW15" s="80">
        <f>'Captura Septiembre'!G17</f>
        <v>0.2</v>
      </c>
      <c r="AX15" s="80">
        <f>'Captura Septiembre'!X17</f>
        <v>9.9999999999999978E-2</v>
      </c>
      <c r="AY15" s="80">
        <f>'Captura Septiembre'!AC17</f>
        <v>0</v>
      </c>
      <c r="AZ15" s="81">
        <f>-'Captura Septiembre'!AN17</f>
        <v>-0.15</v>
      </c>
      <c r="BA15" s="82">
        <f>'Captura Septiembre'!AQ17</f>
        <v>0.61814999999999998</v>
      </c>
      <c r="BB15" s="58"/>
      <c r="BC15" s="58"/>
    </row>
    <row r="16" spans="1:55" ht="16.5" customHeight="1" x14ac:dyDescent="0.35">
      <c r="A16" s="12">
        <v>11</v>
      </c>
      <c r="B16" s="83" t="s">
        <v>106</v>
      </c>
      <c r="C16" s="84" t="str">
        <f>VLOOKUP(B16,Parametros!$I$6:$J$20,2,FALSE())</f>
        <v>Mario Ramos</v>
      </c>
      <c r="D16" s="85">
        <v>0.93</v>
      </c>
      <c r="E16" s="85">
        <v>1</v>
      </c>
      <c r="F16" s="11">
        <f t="shared" si="0"/>
        <v>0.96500000000000008</v>
      </c>
      <c r="G16" s="86">
        <f>F16*Parametros!$E$6</f>
        <v>0.19300000000000003</v>
      </c>
      <c r="H16" s="87">
        <v>38</v>
      </c>
      <c r="I16" s="87">
        <v>38</v>
      </c>
      <c r="J16" s="88" t="s">
        <v>222</v>
      </c>
      <c r="K16" s="86">
        <f>IF(J16="NO",0,IFERROR(H16/I16,0)*Parametros!$E$7)</f>
        <v>0.08</v>
      </c>
      <c r="L16" s="85">
        <v>0.96</v>
      </c>
      <c r="M16" s="88" t="s">
        <v>222</v>
      </c>
      <c r="N16" s="86">
        <f>IF(M16="NO",0,L16*Parametros!$E$8)</f>
        <v>7.6799999999999993E-2</v>
      </c>
      <c r="O16" s="85">
        <v>0.96</v>
      </c>
      <c r="P16" s="88" t="s">
        <v>222</v>
      </c>
      <c r="Q16" s="86">
        <f>IF(P16="NO",0,O16*Parametros!$E$9)</f>
        <v>7.6799999999999993E-2</v>
      </c>
      <c r="R16" s="85">
        <v>1</v>
      </c>
      <c r="S16" s="88" t="s">
        <v>222</v>
      </c>
      <c r="T16" s="86">
        <f>IF(S16="NO",0,R16*Parametros!$E$10)</f>
        <v>0.06</v>
      </c>
      <c r="U16" s="85">
        <v>0.96699999999999997</v>
      </c>
      <c r="V16" s="86">
        <f>U16*Parametros!$E$11</f>
        <v>0.24174999999999999</v>
      </c>
      <c r="W16" s="87">
        <v>2</v>
      </c>
      <c r="X16" s="86">
        <f>MAX(0,Parametros!$E$12-Parametros!$E$18*W16)</f>
        <v>0.15</v>
      </c>
      <c r="Y16" s="87">
        <v>2</v>
      </c>
      <c r="Z16" s="87">
        <v>10</v>
      </c>
      <c r="AA16" s="89">
        <f>IF(Y16&gt;=Parametros!$E$22,Parametros!$E$24,0)</f>
        <v>0</v>
      </c>
      <c r="AB16" s="89">
        <f>IF(Z16&gt;=Parametros!$E$23,Parametros!$E$25,0)</f>
        <v>0.04</v>
      </c>
      <c r="AC16" s="89">
        <f t="shared" si="1"/>
        <v>0.04</v>
      </c>
      <c r="AD16" s="87">
        <v>0</v>
      </c>
      <c r="AE16" s="88" t="s">
        <v>222</v>
      </c>
      <c r="AF16" s="87">
        <v>0</v>
      </c>
      <c r="AG16" s="88" t="s">
        <v>222</v>
      </c>
      <c r="AH16" s="87">
        <v>0</v>
      </c>
      <c r="AI16" s="88" t="s">
        <v>222</v>
      </c>
      <c r="AJ16" s="87">
        <v>0</v>
      </c>
      <c r="AK16" s="88" t="s">
        <v>222</v>
      </c>
      <c r="AL16" s="87">
        <v>0</v>
      </c>
      <c r="AM16" s="88" t="s">
        <v>222</v>
      </c>
      <c r="AN16" s="89">
        <f>AD16*Parametros!$E$28+AF16*Parametros!$E$29+AH16*Parametros!$E$30+AJ16*Parametros!$E$31+AL16*Parametros!$E$32</f>
        <v>0</v>
      </c>
      <c r="AO16" s="12" t="str">
        <f t="shared" si="2"/>
        <v>NO</v>
      </c>
      <c r="AP16" s="86">
        <f t="shared" si="3"/>
        <v>0.87834999999999996</v>
      </c>
      <c r="AQ16" s="109">
        <f>MAX(0,MIN(1,MAX(0,AP16-IF(S16="NO",Parametros!$E$17,0))+AC16-AN16-IF(AO16="SI",Parametros!$E$33,0)))</f>
        <v>0.91835</v>
      </c>
      <c r="AR16" s="58"/>
      <c r="AS16" s="71" t="str">
        <f>'Captura Septiembre'!B18</f>
        <v>Mantenimiento</v>
      </c>
      <c r="AT16" s="72">
        <f>'Captura Septiembre'!K18+'Captura Septiembre'!N18+'Captura Septiembre'!Q18</f>
        <v>0.23039999999999999</v>
      </c>
      <c r="AU16" s="72">
        <f>'Captura Septiembre'!T18</f>
        <v>0</v>
      </c>
      <c r="AV16" s="72">
        <f>'Captura Septiembre'!V18</f>
        <v>0.23250000000000001</v>
      </c>
      <c r="AW16" s="72">
        <f>'Captura Septiembre'!G18</f>
        <v>0.2</v>
      </c>
      <c r="AX16" s="72">
        <f>'Captura Septiembre'!X18</f>
        <v>0.25</v>
      </c>
      <c r="AY16" s="72">
        <f>'Captura Septiembre'!AC18</f>
        <v>0</v>
      </c>
      <c r="AZ16" s="73">
        <f>-'Captura Septiembre'!AN18</f>
        <v>0</v>
      </c>
      <c r="BA16" s="74">
        <f>'Captura Septiembre'!AQ18</f>
        <v>0.91290000000000004</v>
      </c>
      <c r="BB16" s="58"/>
      <c r="BC16" s="58"/>
    </row>
    <row r="17" spans="1:55" ht="16.5" customHeight="1" x14ac:dyDescent="0.35">
      <c r="A17" s="12">
        <v>12</v>
      </c>
      <c r="B17" s="83" t="s">
        <v>109</v>
      </c>
      <c r="C17" s="84" t="str">
        <f>VLOOKUP(B17,Parametros!$I$6:$J$20,2,FALSE())</f>
        <v>Roy Luarca</v>
      </c>
      <c r="D17" s="85">
        <v>1</v>
      </c>
      <c r="E17" s="85">
        <v>1</v>
      </c>
      <c r="F17" s="11">
        <f t="shared" si="0"/>
        <v>1</v>
      </c>
      <c r="G17" s="86">
        <f>F17*Parametros!$E$6</f>
        <v>0.2</v>
      </c>
      <c r="H17" s="87">
        <v>38</v>
      </c>
      <c r="I17" s="87">
        <v>38</v>
      </c>
      <c r="J17" s="88" t="s">
        <v>222</v>
      </c>
      <c r="K17" s="86">
        <f>IF(J17="NO",0,IFERROR(H17/I17,0)*Parametros!$E$7)</f>
        <v>0.08</v>
      </c>
      <c r="L17" s="85">
        <v>0.87</v>
      </c>
      <c r="M17" s="88" t="s">
        <v>222</v>
      </c>
      <c r="N17" s="86">
        <f>IF(M17="NO",0,L17*Parametros!$E$8)</f>
        <v>6.9599999999999995E-2</v>
      </c>
      <c r="O17" s="85">
        <v>0.96</v>
      </c>
      <c r="P17" s="88" t="s">
        <v>222</v>
      </c>
      <c r="Q17" s="86">
        <f>IF(P17="NO",0,O17*Parametros!$E$9)</f>
        <v>7.6799999999999993E-2</v>
      </c>
      <c r="R17" s="85">
        <v>0</v>
      </c>
      <c r="S17" s="88" t="s">
        <v>222</v>
      </c>
      <c r="T17" s="86">
        <f>IF(S17="NO",0,R17*Parametros!$E$10)</f>
        <v>0</v>
      </c>
      <c r="U17" s="85">
        <v>0.96699999999999997</v>
      </c>
      <c r="V17" s="86">
        <f>U17*Parametros!$E$11</f>
        <v>0.24174999999999999</v>
      </c>
      <c r="W17" s="87">
        <v>3</v>
      </c>
      <c r="X17" s="86">
        <f>MAX(0,Parametros!$E$12-Parametros!$E$18*W17)</f>
        <v>9.9999999999999978E-2</v>
      </c>
      <c r="Y17" s="87">
        <v>0</v>
      </c>
      <c r="Z17" s="87">
        <v>9</v>
      </c>
      <c r="AA17" s="89">
        <f>IF(Y17&gt;=Parametros!$E$22,Parametros!$E$24,0)</f>
        <v>0</v>
      </c>
      <c r="AB17" s="89">
        <f>IF(Z17&gt;=Parametros!$E$23,Parametros!$E$25,0)</f>
        <v>0</v>
      </c>
      <c r="AC17" s="89">
        <f t="shared" si="1"/>
        <v>0</v>
      </c>
      <c r="AD17" s="87">
        <v>0</v>
      </c>
      <c r="AE17" s="88" t="s">
        <v>222</v>
      </c>
      <c r="AF17" s="87">
        <v>0</v>
      </c>
      <c r="AG17" s="88" t="s">
        <v>222</v>
      </c>
      <c r="AH17" s="87">
        <v>1</v>
      </c>
      <c r="AI17" s="88" t="s">
        <v>222</v>
      </c>
      <c r="AJ17" s="87">
        <v>0</v>
      </c>
      <c r="AK17" s="88" t="s">
        <v>222</v>
      </c>
      <c r="AL17" s="87">
        <v>0</v>
      </c>
      <c r="AM17" s="88" t="s">
        <v>222</v>
      </c>
      <c r="AN17" s="89">
        <f>AD17*Parametros!$E$28+AF17*Parametros!$E$29+AH17*Parametros!$E$30+AJ17*Parametros!$E$31+AL17*Parametros!$E$32</f>
        <v>0.15</v>
      </c>
      <c r="AO17" s="12" t="str">
        <f t="shared" si="2"/>
        <v>NO</v>
      </c>
      <c r="AP17" s="86">
        <f t="shared" si="3"/>
        <v>0.76815</v>
      </c>
      <c r="AQ17" s="109">
        <f>MAX(0,MIN(1,MAX(0,AP17-IF(S17="NO",Parametros!$E$17,0))+AC17-AN17-IF(AO17="SI",Parametros!$E$33,0)))</f>
        <v>0.61814999999999998</v>
      </c>
      <c r="AR17" s="58"/>
      <c r="AS17" s="79" t="str">
        <f>'Captura Septiembre'!B19</f>
        <v>Materias Primas</v>
      </c>
      <c r="AT17" s="80">
        <f>'Captura Septiembre'!K19+'Captura Septiembre'!N19+'Captura Septiembre'!Q19</f>
        <v>0.24</v>
      </c>
      <c r="AU17" s="80">
        <f>'Captura Septiembre'!T19</f>
        <v>0</v>
      </c>
      <c r="AV17" s="80">
        <f>'Captura Septiembre'!V19</f>
        <v>0.23125000000000001</v>
      </c>
      <c r="AW17" s="80">
        <f>'Captura Septiembre'!G19</f>
        <v>0.2</v>
      </c>
      <c r="AX17" s="80">
        <f>'Captura Septiembre'!X19</f>
        <v>0.15</v>
      </c>
      <c r="AY17" s="80">
        <f>'Captura Septiembre'!AC19</f>
        <v>0.04</v>
      </c>
      <c r="AZ17" s="81">
        <f>-'Captura Septiembre'!AN19</f>
        <v>0</v>
      </c>
      <c r="BA17" s="82">
        <f>'Captura Septiembre'!AQ19</f>
        <v>0.86125000000000018</v>
      </c>
      <c r="BB17" s="58"/>
      <c r="BC17" s="58"/>
    </row>
    <row r="18" spans="1:55" ht="16.5" customHeight="1" x14ac:dyDescent="0.35">
      <c r="A18" s="12">
        <v>13</v>
      </c>
      <c r="B18" s="83" t="s">
        <v>140</v>
      </c>
      <c r="C18" s="84" t="str">
        <f>VLOOKUP(B18,Parametros!$I$6:$J$20,2,FALSE())</f>
        <v>Eliu Tello</v>
      </c>
      <c r="D18" s="85">
        <v>1</v>
      </c>
      <c r="E18" s="85">
        <v>1</v>
      </c>
      <c r="F18" s="11">
        <f t="shared" si="0"/>
        <v>1</v>
      </c>
      <c r="G18" s="86">
        <f>F18*Parametros!$E$6</f>
        <v>0.2</v>
      </c>
      <c r="H18" s="87">
        <v>38</v>
      </c>
      <c r="I18" s="87">
        <v>38</v>
      </c>
      <c r="J18" s="88" t="s">
        <v>222</v>
      </c>
      <c r="K18" s="86">
        <f>IF(J18="NO",0,IFERROR(H18/I18,0)*Parametros!$E$7)</f>
        <v>0.08</v>
      </c>
      <c r="L18" s="85">
        <v>0.94</v>
      </c>
      <c r="M18" s="88" t="s">
        <v>222</v>
      </c>
      <c r="N18" s="86">
        <f>IF(M18="NO",0,L18*Parametros!$E$8)</f>
        <v>7.5200000000000003E-2</v>
      </c>
      <c r="O18" s="85">
        <v>0.94</v>
      </c>
      <c r="P18" s="88" t="s">
        <v>222</v>
      </c>
      <c r="Q18" s="86">
        <f>IF(P18="NO",0,O18*Parametros!$E$9)</f>
        <v>7.5200000000000003E-2</v>
      </c>
      <c r="R18" s="85">
        <v>0</v>
      </c>
      <c r="S18" s="88" t="s">
        <v>222</v>
      </c>
      <c r="T18" s="86">
        <f>IF(S18="NO",0,R18*Parametros!$E$10)</f>
        <v>0</v>
      </c>
      <c r="U18" s="85">
        <v>0.93</v>
      </c>
      <c r="V18" s="86">
        <f>U18*Parametros!$E$11</f>
        <v>0.23250000000000001</v>
      </c>
      <c r="W18" s="87">
        <v>0</v>
      </c>
      <c r="X18" s="86">
        <f>MAX(0,Parametros!$E$12-Parametros!$E$18*W18)</f>
        <v>0.25</v>
      </c>
      <c r="Y18" s="87">
        <v>2</v>
      </c>
      <c r="Z18" s="87">
        <v>8</v>
      </c>
      <c r="AA18" s="89">
        <f>IF(Y18&gt;=Parametros!$E$22,Parametros!$E$24,0)</f>
        <v>0</v>
      </c>
      <c r="AB18" s="89">
        <f>IF(Z18&gt;=Parametros!$E$23,Parametros!$E$25,0)</f>
        <v>0</v>
      </c>
      <c r="AC18" s="89">
        <f t="shared" si="1"/>
        <v>0</v>
      </c>
      <c r="AD18" s="87">
        <v>0</v>
      </c>
      <c r="AE18" s="88" t="s">
        <v>222</v>
      </c>
      <c r="AF18" s="87">
        <v>0</v>
      </c>
      <c r="AG18" s="88" t="s">
        <v>222</v>
      </c>
      <c r="AH18" s="87">
        <v>0</v>
      </c>
      <c r="AI18" s="88" t="s">
        <v>222</v>
      </c>
      <c r="AJ18" s="87">
        <v>0</v>
      </c>
      <c r="AK18" s="88" t="s">
        <v>222</v>
      </c>
      <c r="AL18" s="87">
        <v>0</v>
      </c>
      <c r="AM18" s="88" t="s">
        <v>222</v>
      </c>
      <c r="AN18" s="89">
        <f>AD18*Parametros!$E$28+AF18*Parametros!$E$29+AH18*Parametros!$E$30+AJ18*Parametros!$E$31+AL18*Parametros!$E$32</f>
        <v>0</v>
      </c>
      <c r="AO18" s="12" t="str">
        <f t="shared" si="2"/>
        <v>NO</v>
      </c>
      <c r="AP18" s="86">
        <f t="shared" si="3"/>
        <v>0.91290000000000004</v>
      </c>
      <c r="AQ18" s="109">
        <f>MAX(0,MIN(1,MAX(0,AP18-IF(S18="NO",Parametros!$E$17,0))+AC18-AN18-IF(AO18="SI",Parametros!$E$33,0)))</f>
        <v>0.91290000000000004</v>
      </c>
      <c r="AR18" s="58"/>
      <c r="AS18" s="71" t="str">
        <f>'Captura Septiembre'!B20</f>
        <v>Tratamiento de Aguas</v>
      </c>
      <c r="AT18" s="72">
        <f>'Captura Septiembre'!K20+'Captura Septiembre'!N20+'Captura Septiembre'!Q20</f>
        <v>0.23359999999999997</v>
      </c>
      <c r="AU18" s="72">
        <f>'Captura Septiembre'!T20</f>
        <v>0.06</v>
      </c>
      <c r="AV18" s="72">
        <f>'Captura Septiembre'!V20</f>
        <v>0.23699999999999999</v>
      </c>
      <c r="AW18" s="72">
        <f>'Captura Septiembre'!G20</f>
        <v>0.2</v>
      </c>
      <c r="AX18" s="72">
        <f>'Captura Septiembre'!X20</f>
        <v>0.2</v>
      </c>
      <c r="AY18" s="72">
        <f>'Captura Septiembre'!AC20</f>
        <v>0</v>
      </c>
      <c r="AZ18" s="73">
        <f>-'Captura Septiembre'!AN20</f>
        <v>0</v>
      </c>
      <c r="BA18" s="74">
        <f>'Captura Septiembre'!AQ20</f>
        <v>0.93059999999999987</v>
      </c>
      <c r="BB18" s="58"/>
      <c r="BC18" s="58"/>
    </row>
    <row r="19" spans="1:55" ht="25.5" customHeight="1" x14ac:dyDescent="0.35">
      <c r="A19" s="12">
        <v>14</v>
      </c>
      <c r="B19" s="83" t="s">
        <v>142</v>
      </c>
      <c r="C19" s="84" t="str">
        <f>VLOOKUP(B19,Parametros!$I$6:$J$20,2,FALSE())</f>
        <v>Miguel Godinez</v>
      </c>
      <c r="D19" s="85">
        <v>1</v>
      </c>
      <c r="E19" s="85">
        <v>1</v>
      </c>
      <c r="F19" s="11">
        <f t="shared" si="0"/>
        <v>1</v>
      </c>
      <c r="G19" s="86">
        <f>F19*Parametros!$E$6</f>
        <v>0.2</v>
      </c>
      <c r="H19" s="87">
        <v>38</v>
      </c>
      <c r="I19" s="87">
        <v>38</v>
      </c>
      <c r="J19" s="88" t="s">
        <v>222</v>
      </c>
      <c r="K19" s="86">
        <f>IF(J19="NO",0,IFERROR(H19/I19,0)*Parametros!$E$7)</f>
        <v>0.08</v>
      </c>
      <c r="L19" s="85">
        <v>1</v>
      </c>
      <c r="M19" s="88" t="s">
        <v>222</v>
      </c>
      <c r="N19" s="86">
        <f>IF(M19="NO",0,L19*Parametros!$E$8)</f>
        <v>0.08</v>
      </c>
      <c r="O19" s="85">
        <v>1</v>
      </c>
      <c r="P19" s="88" t="s">
        <v>222</v>
      </c>
      <c r="Q19" s="86">
        <f>IF(P19="NO",0,O19*Parametros!$E$9)</f>
        <v>0.08</v>
      </c>
      <c r="R19" s="85">
        <v>0</v>
      </c>
      <c r="S19" s="88" t="s">
        <v>222</v>
      </c>
      <c r="T19" s="86">
        <f>IF(S19="NO",0,R19*Parametros!$E$10)</f>
        <v>0</v>
      </c>
      <c r="U19" s="85">
        <v>0.92500000000000004</v>
      </c>
      <c r="V19" s="86">
        <f>U19*Parametros!$E$11</f>
        <v>0.23125000000000001</v>
      </c>
      <c r="W19" s="87">
        <v>2</v>
      </c>
      <c r="X19" s="86">
        <f>MAX(0,Parametros!$E$12-Parametros!$E$18*W19)</f>
        <v>0.15</v>
      </c>
      <c r="Y19" s="87">
        <v>5</v>
      </c>
      <c r="Z19" s="87">
        <v>16</v>
      </c>
      <c r="AA19" s="89">
        <f>IF(Y19&gt;=Parametros!$E$22,Parametros!$E$24,0)</f>
        <v>0</v>
      </c>
      <c r="AB19" s="89">
        <f>IF(Z19&gt;=Parametros!$E$23,Parametros!$E$25,0)</f>
        <v>0.04</v>
      </c>
      <c r="AC19" s="89">
        <f t="shared" si="1"/>
        <v>0.04</v>
      </c>
      <c r="AD19" s="87">
        <v>0</v>
      </c>
      <c r="AE19" s="88" t="s">
        <v>222</v>
      </c>
      <c r="AF19" s="87">
        <v>0</v>
      </c>
      <c r="AG19" s="88" t="s">
        <v>222</v>
      </c>
      <c r="AH19" s="87">
        <v>0</v>
      </c>
      <c r="AI19" s="88" t="s">
        <v>222</v>
      </c>
      <c r="AJ19" s="87">
        <v>0</v>
      </c>
      <c r="AK19" s="88" t="s">
        <v>222</v>
      </c>
      <c r="AL19" s="87">
        <v>0</v>
      </c>
      <c r="AM19" s="88" t="s">
        <v>222</v>
      </c>
      <c r="AN19" s="89">
        <f>AD19*Parametros!$E$28+AF19*Parametros!$E$29+AH19*Parametros!$E$30+AJ19*Parametros!$E$31+AL19*Parametros!$E$32</f>
        <v>0</v>
      </c>
      <c r="AO19" s="12" t="str">
        <f t="shared" si="2"/>
        <v>NO</v>
      </c>
      <c r="AP19" s="86">
        <f t="shared" si="3"/>
        <v>0.82125000000000015</v>
      </c>
      <c r="AQ19" s="109">
        <f>MAX(0,MIN(1,MAX(0,AP19-IF(S19="NO",Parametros!$E$17,0))+AC19-AN19-IF(AO19="SI",Parametros!$E$33,0)))</f>
        <v>0.86125000000000018</v>
      </c>
      <c r="AR19" s="58"/>
      <c r="AS19" s="111" t="s">
        <v>265</v>
      </c>
      <c r="AT19" s="111"/>
      <c r="AU19" s="111"/>
      <c r="AV19" s="111"/>
      <c r="AW19" s="111"/>
      <c r="AX19" s="111"/>
      <c r="AY19" s="111"/>
      <c r="AZ19" s="111"/>
      <c r="BA19" s="91">
        <f>AVERAGE(BA4:BA18)</f>
        <v>0.83891666666666675</v>
      </c>
      <c r="BB19" s="58"/>
      <c r="BC19" s="58"/>
    </row>
    <row r="20" spans="1:55" ht="16.5" customHeight="1" x14ac:dyDescent="0.35">
      <c r="A20" s="12">
        <v>15</v>
      </c>
      <c r="B20" s="83" t="s">
        <v>138</v>
      </c>
      <c r="C20" s="84" t="str">
        <f>VLOOKUP(B20,Parametros!$I$6:$J$20,2,FALSE())</f>
        <v>Adrian Santisteban</v>
      </c>
      <c r="D20" s="85">
        <v>1</v>
      </c>
      <c r="E20" s="85">
        <v>1</v>
      </c>
      <c r="F20" s="11">
        <f t="shared" si="0"/>
        <v>1</v>
      </c>
      <c r="G20" s="86">
        <f>F20*Parametros!$E$6</f>
        <v>0.2</v>
      </c>
      <c r="H20" s="87">
        <v>38</v>
      </c>
      <c r="I20" s="87">
        <v>38</v>
      </c>
      <c r="J20" s="88" t="s">
        <v>222</v>
      </c>
      <c r="K20" s="86">
        <f>IF(J20="NO",0,IFERROR(H20/I20,0)*Parametros!$E$7)</f>
        <v>0.08</v>
      </c>
      <c r="L20" s="85">
        <v>0.96</v>
      </c>
      <c r="M20" s="88" t="s">
        <v>222</v>
      </c>
      <c r="N20" s="86">
        <f>IF(M20="NO",0,L20*Parametros!$E$8)</f>
        <v>7.6799999999999993E-2</v>
      </c>
      <c r="O20" s="85">
        <v>0.96</v>
      </c>
      <c r="P20" s="88" t="s">
        <v>222</v>
      </c>
      <c r="Q20" s="86">
        <f>IF(P20="NO",0,O20*Parametros!$E$9)</f>
        <v>7.6799999999999993E-2</v>
      </c>
      <c r="R20" s="85">
        <v>1</v>
      </c>
      <c r="S20" s="88" t="s">
        <v>222</v>
      </c>
      <c r="T20" s="86">
        <f>IF(S20="NO",0,R20*Parametros!$E$10)</f>
        <v>0.06</v>
      </c>
      <c r="U20" s="85">
        <v>0.94799999999999995</v>
      </c>
      <c r="V20" s="86">
        <f>U20*Parametros!$E$11</f>
        <v>0.23699999999999999</v>
      </c>
      <c r="W20" s="87">
        <v>1</v>
      </c>
      <c r="X20" s="86">
        <f>MAX(0,Parametros!$E$12-Parametros!$E$18*W20)</f>
        <v>0.2</v>
      </c>
      <c r="Y20" s="87">
        <v>5</v>
      </c>
      <c r="Z20" s="87">
        <v>5</v>
      </c>
      <c r="AA20" s="89">
        <f>IF(Y20&gt;=Parametros!$E$22,Parametros!$E$24,0)</f>
        <v>0</v>
      </c>
      <c r="AB20" s="89">
        <f>IF(Z20&gt;=Parametros!$E$23,Parametros!$E$25,0)</f>
        <v>0</v>
      </c>
      <c r="AC20" s="89">
        <f t="shared" si="1"/>
        <v>0</v>
      </c>
      <c r="AD20" s="87">
        <v>0</v>
      </c>
      <c r="AE20" s="88" t="s">
        <v>222</v>
      </c>
      <c r="AF20" s="87">
        <v>0</v>
      </c>
      <c r="AG20" s="88" t="s">
        <v>222</v>
      </c>
      <c r="AH20" s="87">
        <v>0</v>
      </c>
      <c r="AI20" s="88" t="s">
        <v>222</v>
      </c>
      <c r="AJ20" s="87">
        <v>0</v>
      </c>
      <c r="AK20" s="88" t="s">
        <v>222</v>
      </c>
      <c r="AL20" s="87">
        <v>0</v>
      </c>
      <c r="AM20" s="88" t="s">
        <v>222</v>
      </c>
      <c r="AN20" s="89">
        <f>AD20*Parametros!$E$28+AF20*Parametros!$E$29+AH20*Parametros!$E$30+AJ20*Parametros!$E$31+AL20*Parametros!$E$32</f>
        <v>0</v>
      </c>
      <c r="AO20" s="12" t="str">
        <f t="shared" si="2"/>
        <v>NO</v>
      </c>
      <c r="AP20" s="86">
        <f t="shared" si="3"/>
        <v>0.93059999999999987</v>
      </c>
      <c r="AQ20" s="109">
        <f>MAX(0,MIN(1,MAX(0,AP20-IF(S20="NO",Parametros!$E$17,0))+AC20-AN20-IF(AO20="SI",Parametros!$E$33,0)))</f>
        <v>0.93059999999999987</v>
      </c>
      <c r="AR20" s="58"/>
      <c r="AS20" s="58"/>
      <c r="AT20" s="58"/>
      <c r="AU20" s="58"/>
      <c r="AV20" s="58"/>
      <c r="AW20" s="58"/>
      <c r="AX20" s="58"/>
      <c r="AY20" s="58"/>
      <c r="AZ20" s="58"/>
      <c r="BA20" s="58"/>
      <c r="BB20" s="58"/>
    </row>
    <row r="22" spans="1:55" ht="21.75" customHeight="1" x14ac:dyDescent="0.35">
      <c r="A22" s="112"/>
      <c r="B22" s="112"/>
      <c r="C22" s="112"/>
      <c r="D22" s="70"/>
      <c r="E22" s="70"/>
      <c r="F22" s="70"/>
      <c r="G22" s="70"/>
      <c r="H22" s="70"/>
      <c r="I22" s="70"/>
      <c r="J22" s="70"/>
      <c r="K22" s="70"/>
      <c r="L22" s="70"/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V22" s="92"/>
    </row>
    <row r="23" spans="1:55" ht="21.75" customHeight="1" x14ac:dyDescent="0.35">
      <c r="A23" s="113" t="s">
        <v>225</v>
      </c>
      <c r="B23" s="113"/>
      <c r="C23" s="113"/>
      <c r="D23" s="93"/>
      <c r="E23" s="93"/>
      <c r="F23" s="93"/>
      <c r="G23" s="93"/>
      <c r="H23" s="93"/>
      <c r="I23" s="93"/>
      <c r="J23" s="93"/>
      <c r="K23" s="93"/>
      <c r="L23" s="93"/>
      <c r="M23" s="93"/>
      <c r="N23" s="93"/>
      <c r="O23" s="93"/>
      <c r="P23" s="93"/>
      <c r="Q23" s="93"/>
      <c r="R23" s="93"/>
      <c r="S23" s="93"/>
      <c r="T23" s="93"/>
      <c r="U23" s="93"/>
      <c r="V23" s="93"/>
      <c r="W23" s="93"/>
      <c r="X23" s="93"/>
      <c r="Y23" s="93"/>
      <c r="Z23" s="93"/>
      <c r="AA23" s="93"/>
      <c r="AB23" s="93"/>
      <c r="AC23" s="93"/>
      <c r="AD23" s="93"/>
      <c r="AE23" s="93"/>
      <c r="AF23" s="93"/>
      <c r="AG23" s="93"/>
      <c r="AH23" s="93"/>
      <c r="AI23" s="93"/>
      <c r="AJ23" s="93"/>
      <c r="AK23" s="93"/>
      <c r="AL23" s="93"/>
      <c r="AM23" s="93"/>
      <c r="AN23" s="93"/>
      <c r="AO23" s="93"/>
      <c r="AP23" s="93"/>
      <c r="AQ23" s="94">
        <f>AVERAGE(AQ6:AQ20)</f>
        <v>0.83891666666666675</v>
      </c>
      <c r="AR23" s="58"/>
      <c r="AS23" s="58"/>
      <c r="AT23" s="58"/>
      <c r="AU23" s="58"/>
      <c r="AV23" s="58"/>
      <c r="AW23" s="58"/>
      <c r="AX23" s="58"/>
      <c r="AY23" s="58"/>
      <c r="AZ23" s="58"/>
      <c r="BA23" s="58"/>
      <c r="BB23" s="58"/>
    </row>
  </sheetData>
  <mergeCells count="21">
    <mergeCell ref="A1:AB1"/>
    <mergeCell ref="AS1:BA1"/>
    <mergeCell ref="BB1:BC1"/>
    <mergeCell ref="B2:D2"/>
    <mergeCell ref="AT2:AV2"/>
    <mergeCell ref="AX2:BA2"/>
    <mergeCell ref="G2:M2"/>
    <mergeCell ref="BB5:BC5"/>
    <mergeCell ref="AS19:AZ19"/>
    <mergeCell ref="A22:C22"/>
    <mergeCell ref="A23:C23"/>
    <mergeCell ref="U4:V4"/>
    <mergeCell ref="W4:X4"/>
    <mergeCell ref="Y4:AC4"/>
    <mergeCell ref="AD4:AO4"/>
    <mergeCell ref="AP4:AQ4"/>
    <mergeCell ref="D4:G4"/>
    <mergeCell ref="H4:K4"/>
    <mergeCell ref="L4:N4"/>
    <mergeCell ref="O4:Q4"/>
    <mergeCell ref="R4:T4"/>
  </mergeCells>
  <conditionalFormatting sqref="AQ6:AQ20">
    <cfRule type="cellIs" dxfId="38" priority="5" operator="greaterThanOrEqual">
      <formula>0.9</formula>
    </cfRule>
    <cfRule type="cellIs" dxfId="37" priority="6" operator="between">
      <formula>0.7</formula>
      <formula>0.8999</formula>
    </cfRule>
    <cfRule type="cellIs" dxfId="36" priority="7" operator="lessThan">
      <formula>0.7</formula>
    </cfRule>
  </conditionalFormatting>
  <conditionalFormatting sqref="AV19:AV20">
    <cfRule type="cellIs" dxfId="35" priority="2" operator="greaterThanOrEqual">
      <formula>0.9</formula>
    </cfRule>
    <cfRule type="expression" dxfId="34" priority="3">
      <formula>AND(AV19&gt;=0.7,AV19&lt;0.9)</formula>
    </cfRule>
    <cfRule type="cellIs" dxfId="33" priority="4" operator="lessThan">
      <formula>0.7</formula>
    </cfRule>
  </conditionalFormatting>
  <conditionalFormatting sqref="BA4:BA18">
    <cfRule type="cellIs" dxfId="32" priority="8" operator="greaterThanOrEqual">
      <formula>0.9</formula>
    </cfRule>
    <cfRule type="cellIs" dxfId="31" priority="9" operator="between">
      <formula>0.7</formula>
      <formula>0.8999</formula>
    </cfRule>
    <cfRule type="cellIs" dxfId="30" priority="10" operator="lessThan">
      <formula>0.7</formula>
    </cfRule>
  </conditionalFormatting>
  <dataValidations count="4">
    <dataValidation type="whole" operator="greaterThanOrEqual" showErrorMessage="1" errorTitle="Valor invalido" error="Ingrese un numero entero &gt;= 0" sqref="F6:F20 K6:K20 N6:N20 V6:W20 AB6:AB20 AD6:AD20 AO6:AO20 AQ6:AQ20" xr:uid="{00000000-0002-0000-0D00-000000000000}">
      <formula1>0</formula1>
      <formula2>0</formula2>
    </dataValidation>
    <dataValidation type="decimal" showErrorMessage="1" errorTitle="Valor invalido" error="Ingrese un porcentaje entre 0% y 100%" sqref="D6:E20 L6:L20 O6:O20 R6:R20 U6:U20" xr:uid="{00000000-0002-0000-0D00-000001000000}">
      <formula1>0</formula1>
      <formula2>1</formula2>
    </dataValidation>
    <dataValidation type="whole" operator="greaterThanOrEqual" showErrorMessage="1" errorTitle="Valor inválido" error="Ingrese un número entero mayor o igual a 0" sqref="Z6:Z20" xr:uid="{00000000-0002-0000-0D00-000002000000}">
      <formula1>0</formula1>
      <formula2>0</formula2>
    </dataValidation>
    <dataValidation type="list" sqref="J6:J20 M6:M20 P6:P20 S6:T20 X6:X20 AE6:AE20 AG6:AG20 AI6:AN20 AP6:AP20 AR6:AR20" xr:uid="{00000000-0002-0000-0D00-000003000000}">
      <formula1>"SI,NO"</formula1>
      <formula2>0</formula2>
    </dataValidation>
  </dataValidations>
  <pageMargins left="0.3" right="0.3" top="0.4" bottom="0.4" header="0.511811023622047" footer="0.511811023622047"/>
  <pageSetup fitToHeight="0" orientation="landscape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ED6B23"/>
    <pageSetUpPr fitToPage="1"/>
  </sheetPr>
  <dimension ref="A1:BC23"/>
  <sheetViews>
    <sheetView showGridLines="0" zoomScale="85" zoomScaleNormal="85" workbookViewId="0">
      <pane xSplit="3" ySplit="5" topLeftCell="D6" activePane="bottomRight" state="frozen"/>
      <selection pane="topRight" activeCell="D1" sqref="D1"/>
      <selection pane="bottomLeft" activeCell="A6" sqref="A6"/>
      <selection pane="bottomRight"/>
    </sheetView>
  </sheetViews>
  <sheetFormatPr baseColWidth="10" defaultColWidth="8.6328125" defaultRowHeight="14.5" x14ac:dyDescent="0.35"/>
  <cols>
    <col min="1" max="1" width="5" customWidth="1"/>
    <col min="2" max="2" width="22" customWidth="1"/>
    <col min="3" max="3" width="16" customWidth="1"/>
    <col min="4" max="48" width="9.54296875" customWidth="1"/>
    <col min="49" max="50" width="11" customWidth="1"/>
    <col min="51" max="51" width="13" customWidth="1"/>
    <col min="52" max="52" width="11" customWidth="1"/>
    <col min="53" max="53" width="14" customWidth="1"/>
    <col min="54" max="54" width="18" customWidth="1"/>
    <col min="55" max="55" width="10" customWidth="1"/>
  </cols>
  <sheetData>
    <row r="1" spans="1:55" ht="19.5" customHeight="1" x14ac:dyDescent="0.35">
      <c r="A1" s="117" t="s">
        <v>266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  <c r="AA1" s="117"/>
      <c r="AB1" s="117"/>
      <c r="AR1" s="58"/>
      <c r="AS1" s="118" t="s">
        <v>267</v>
      </c>
      <c r="AT1" s="118"/>
      <c r="AU1" s="118"/>
      <c r="AV1" s="118"/>
      <c r="AW1" s="118"/>
      <c r="AX1" s="118"/>
      <c r="AY1" s="118"/>
      <c r="AZ1" s="118"/>
      <c r="BA1" s="118"/>
      <c r="BB1" s="119" t="s">
        <v>268</v>
      </c>
      <c r="BC1" s="119"/>
    </row>
    <row r="2" spans="1:55" ht="18" customHeight="1" x14ac:dyDescent="0.35">
      <c r="A2" s="5" t="s">
        <v>163</v>
      </c>
      <c r="B2" s="120" t="s">
        <v>269</v>
      </c>
      <c r="C2" s="120"/>
      <c r="D2" s="120"/>
      <c r="F2" s="5" t="s">
        <v>165</v>
      </c>
      <c r="G2" s="59" t="s">
        <v>166</v>
      </c>
      <c r="AR2" s="58"/>
      <c r="AS2" s="60"/>
      <c r="AT2" s="121" t="s">
        <v>167</v>
      </c>
      <c r="AU2" s="121"/>
      <c r="AV2" s="121"/>
      <c r="AW2" s="61" t="s">
        <v>96</v>
      </c>
      <c r="AX2" s="122" t="s">
        <v>168</v>
      </c>
      <c r="AY2" s="122"/>
      <c r="AZ2" s="122"/>
      <c r="BA2" s="122"/>
      <c r="BB2" s="62" t="s">
        <v>169</v>
      </c>
      <c r="BC2" s="62" t="s">
        <v>170</v>
      </c>
    </row>
    <row r="3" spans="1:55" ht="21.75" customHeight="1" x14ac:dyDescent="0.35">
      <c r="AR3" s="58"/>
      <c r="AS3" s="63" t="s">
        <v>171</v>
      </c>
      <c r="AT3" s="64" t="s">
        <v>172</v>
      </c>
      <c r="AU3" s="64" t="s">
        <v>173</v>
      </c>
      <c r="AV3" s="64" t="s">
        <v>174</v>
      </c>
      <c r="AW3" s="65" t="s">
        <v>175</v>
      </c>
      <c r="AX3" s="66" t="s">
        <v>176</v>
      </c>
      <c r="AY3" s="66" t="s">
        <v>177</v>
      </c>
      <c r="AZ3" s="66" t="s">
        <v>178</v>
      </c>
      <c r="BA3" s="67" t="s">
        <v>179</v>
      </c>
      <c r="BB3" s="68" t="s">
        <v>180</v>
      </c>
      <c r="BC3" s="69">
        <v>0</v>
      </c>
    </row>
    <row r="4" spans="1:55" ht="21.75" customHeight="1" x14ac:dyDescent="0.35">
      <c r="A4" s="70"/>
      <c r="B4" s="70"/>
      <c r="C4" s="70"/>
      <c r="D4" s="114" t="s">
        <v>181</v>
      </c>
      <c r="E4" s="114"/>
      <c r="F4" s="114"/>
      <c r="G4" s="114"/>
      <c r="H4" s="114" t="s">
        <v>182</v>
      </c>
      <c r="I4" s="114"/>
      <c r="J4" s="114"/>
      <c r="K4" s="114"/>
      <c r="L4" s="114" t="s">
        <v>183</v>
      </c>
      <c r="M4" s="114"/>
      <c r="N4" s="114"/>
      <c r="O4" s="114" t="s">
        <v>184</v>
      </c>
      <c r="P4" s="114"/>
      <c r="Q4" s="114"/>
      <c r="R4" s="114" t="s">
        <v>185</v>
      </c>
      <c r="S4" s="114"/>
      <c r="T4" s="114"/>
      <c r="U4" s="114" t="s">
        <v>186</v>
      </c>
      <c r="V4" s="114"/>
      <c r="W4" s="115" t="s">
        <v>187</v>
      </c>
      <c r="X4" s="115"/>
      <c r="Y4" s="114" t="s">
        <v>188</v>
      </c>
      <c r="Z4" s="114"/>
      <c r="AA4" s="114"/>
      <c r="AB4" s="114"/>
      <c r="AC4" s="114"/>
      <c r="AD4" s="115" t="s">
        <v>189</v>
      </c>
      <c r="AE4" s="115"/>
      <c r="AF4" s="115"/>
      <c r="AG4" s="115"/>
      <c r="AH4" s="115"/>
      <c r="AI4" s="115"/>
      <c r="AJ4" s="115"/>
      <c r="AK4" s="115"/>
      <c r="AL4" s="115"/>
      <c r="AM4" s="115"/>
      <c r="AN4" s="115"/>
      <c r="AO4" s="115"/>
      <c r="AP4" s="116" t="s">
        <v>190</v>
      </c>
      <c r="AQ4" s="116"/>
      <c r="AR4" s="58"/>
      <c r="AS4" s="71" t="str">
        <f>'Captura Octubre'!B6</f>
        <v>Almacen de Repuestos</v>
      </c>
      <c r="AT4" s="72">
        <f>'Captura Octubre'!K6+'Captura Octubre'!N6+'Captura Octubre'!Q6</f>
        <v>0</v>
      </c>
      <c r="AU4" s="72">
        <f>'Captura Octubre'!T6</f>
        <v>0</v>
      </c>
      <c r="AV4" s="72">
        <f>'Captura Octubre'!V6</f>
        <v>0</v>
      </c>
      <c r="AW4" s="72">
        <f>'Captura Octubre'!G6</f>
        <v>0</v>
      </c>
      <c r="AX4" s="72">
        <f>'Captura Octubre'!X6</f>
        <v>0.25</v>
      </c>
      <c r="AY4" s="72">
        <f>'Captura Octubre'!AC6</f>
        <v>0</v>
      </c>
      <c r="AZ4" s="73">
        <f>-'Captura Octubre'!AN6</f>
        <v>0</v>
      </c>
      <c r="BA4" s="74">
        <f>'Captura Octubre'!AQ6</f>
        <v>0.25</v>
      </c>
      <c r="BB4" s="68" t="s">
        <v>191</v>
      </c>
      <c r="BC4" s="75">
        <v>0</v>
      </c>
    </row>
    <row r="5" spans="1:55" ht="13.5" customHeight="1" x14ac:dyDescent="0.35">
      <c r="A5" s="76" t="s">
        <v>93</v>
      </c>
      <c r="B5" s="76" t="s">
        <v>48</v>
      </c>
      <c r="C5" s="76" t="s">
        <v>94</v>
      </c>
      <c r="D5" s="77" t="s">
        <v>192</v>
      </c>
      <c r="E5" s="77" t="s">
        <v>193</v>
      </c>
      <c r="F5" s="77" t="s">
        <v>194</v>
      </c>
      <c r="G5" s="77" t="s">
        <v>195</v>
      </c>
      <c r="H5" s="77" t="s">
        <v>196</v>
      </c>
      <c r="I5" s="77" t="s">
        <v>197</v>
      </c>
      <c r="J5" s="77" t="s">
        <v>198</v>
      </c>
      <c r="K5" s="77" t="s">
        <v>195</v>
      </c>
      <c r="L5" s="77" t="s">
        <v>199</v>
      </c>
      <c r="M5" s="77" t="s">
        <v>198</v>
      </c>
      <c r="N5" s="77" t="s">
        <v>195</v>
      </c>
      <c r="O5" s="77" t="s">
        <v>199</v>
      </c>
      <c r="P5" s="77" t="s">
        <v>198</v>
      </c>
      <c r="Q5" s="77" t="s">
        <v>195</v>
      </c>
      <c r="R5" s="77" t="s">
        <v>199</v>
      </c>
      <c r="S5" s="77" t="s">
        <v>198</v>
      </c>
      <c r="T5" s="77" t="s">
        <v>195</v>
      </c>
      <c r="U5" s="77" t="s">
        <v>200</v>
      </c>
      <c r="V5" s="77" t="s">
        <v>195</v>
      </c>
      <c r="W5" s="78" t="s">
        <v>201</v>
      </c>
      <c r="X5" s="78" t="s">
        <v>195</v>
      </c>
      <c r="Y5" s="77" t="s">
        <v>202</v>
      </c>
      <c r="Z5" s="77" t="s">
        <v>203</v>
      </c>
      <c r="AA5" s="77" t="s">
        <v>204</v>
      </c>
      <c r="AB5" s="77" t="s">
        <v>205</v>
      </c>
      <c r="AC5" s="77" t="s">
        <v>206</v>
      </c>
      <c r="AD5" s="78" t="s">
        <v>207</v>
      </c>
      <c r="AE5" s="78" t="s">
        <v>208</v>
      </c>
      <c r="AF5" s="78" t="s">
        <v>209</v>
      </c>
      <c r="AG5" s="78" t="s">
        <v>210</v>
      </c>
      <c r="AH5" s="78" t="s">
        <v>211</v>
      </c>
      <c r="AI5" s="78" t="s">
        <v>212</v>
      </c>
      <c r="AJ5" s="78" t="s">
        <v>213</v>
      </c>
      <c r="AK5" s="78" t="s">
        <v>214</v>
      </c>
      <c r="AL5" s="78" t="s">
        <v>215</v>
      </c>
      <c r="AM5" s="78" t="s">
        <v>216</v>
      </c>
      <c r="AN5" s="78" t="s">
        <v>217</v>
      </c>
      <c r="AO5" s="78" t="s">
        <v>218</v>
      </c>
      <c r="AP5" s="76" t="s">
        <v>219</v>
      </c>
      <c r="AQ5" s="76" t="s">
        <v>220</v>
      </c>
      <c r="AR5" s="58"/>
      <c r="AS5" s="79" t="str">
        <f>'Captura Octubre'!B7</f>
        <v>Alrededores</v>
      </c>
      <c r="AT5" s="80">
        <f>'Captura Octubre'!K7+'Captura Octubre'!N7+'Captura Octubre'!Q7</f>
        <v>0</v>
      </c>
      <c r="AU5" s="80">
        <f>'Captura Octubre'!T7</f>
        <v>0</v>
      </c>
      <c r="AV5" s="80">
        <f>'Captura Octubre'!V7</f>
        <v>0</v>
      </c>
      <c r="AW5" s="80">
        <f>'Captura Octubre'!G7</f>
        <v>0</v>
      </c>
      <c r="AX5" s="80">
        <f>'Captura Octubre'!X7</f>
        <v>0.25</v>
      </c>
      <c r="AY5" s="80">
        <f>'Captura Octubre'!AC7</f>
        <v>0</v>
      </c>
      <c r="AZ5" s="81">
        <f>-'Captura Octubre'!AN7</f>
        <v>0</v>
      </c>
      <c r="BA5" s="82">
        <f>'Captura Octubre'!AQ7</f>
        <v>0.25</v>
      </c>
      <c r="BB5" s="110" t="s">
        <v>221</v>
      </c>
      <c r="BC5" s="110"/>
    </row>
    <row r="6" spans="1:55" ht="16.5" customHeight="1" x14ac:dyDescent="0.35">
      <c r="A6" s="12">
        <v>1</v>
      </c>
      <c r="B6" s="83" t="s">
        <v>103</v>
      </c>
      <c r="C6" s="84" t="str">
        <f>VLOOKUP(B6,Parametros!$I$6:$J$20,2,FALSE())</f>
        <v>Fredy Fuentes</v>
      </c>
      <c r="D6" s="85">
        <v>0</v>
      </c>
      <c r="E6" s="85">
        <v>0</v>
      </c>
      <c r="F6" s="11">
        <f t="shared" ref="F6:F20" si="0">AVERAGE(D6,E6)</f>
        <v>0</v>
      </c>
      <c r="G6" s="86">
        <f>F6*Parametros!$E$6</f>
        <v>0</v>
      </c>
      <c r="H6" s="87">
        <v>0</v>
      </c>
      <c r="I6" s="87">
        <v>0</v>
      </c>
      <c r="J6" s="88" t="s">
        <v>222</v>
      </c>
      <c r="K6" s="86">
        <f>IF(J6="NO",0,IFERROR(H6/I6,0)*Parametros!$E$7)</f>
        <v>0</v>
      </c>
      <c r="L6" s="85">
        <v>0</v>
      </c>
      <c r="M6" s="88" t="s">
        <v>222</v>
      </c>
      <c r="N6" s="86">
        <f>IF(M6="NO",0,L6*Parametros!$E$8)</f>
        <v>0</v>
      </c>
      <c r="O6" s="85">
        <v>0</v>
      </c>
      <c r="P6" s="88" t="s">
        <v>222</v>
      </c>
      <c r="Q6" s="86">
        <f>IF(P6="NO",0,O6*Parametros!$E$9)</f>
        <v>0</v>
      </c>
      <c r="R6" s="85">
        <v>0</v>
      </c>
      <c r="S6" s="88" t="s">
        <v>222</v>
      </c>
      <c r="T6" s="86">
        <f>IF(S6="NO",0,R6*Parametros!$E$10)</f>
        <v>0</v>
      </c>
      <c r="U6" s="85">
        <v>0</v>
      </c>
      <c r="V6" s="86">
        <f>U6*Parametros!$E$11</f>
        <v>0</v>
      </c>
      <c r="W6" s="87">
        <v>0</v>
      </c>
      <c r="X6" s="86">
        <f>MAX(0,Parametros!$E$12-Parametros!$E$18*W6)</f>
        <v>0.25</v>
      </c>
      <c r="Y6" s="87">
        <v>0</v>
      </c>
      <c r="Z6" s="87">
        <v>0</v>
      </c>
      <c r="AA6" s="89">
        <f>IF(Y6&gt;=Parametros!$E$22,Parametros!$E$24,0)</f>
        <v>0</v>
      </c>
      <c r="AB6" s="89">
        <f>IF(Z6&gt;=Parametros!$E$23,Parametros!$E$25,0)</f>
        <v>0</v>
      </c>
      <c r="AC6" s="89">
        <f t="shared" ref="AC6:AC20" si="1">AA6+AB6</f>
        <v>0</v>
      </c>
      <c r="AD6" s="87">
        <v>0</v>
      </c>
      <c r="AE6" s="88" t="s">
        <v>222</v>
      </c>
      <c r="AF6" s="87">
        <v>0</v>
      </c>
      <c r="AG6" s="88" t="s">
        <v>222</v>
      </c>
      <c r="AH6" s="87">
        <v>0</v>
      </c>
      <c r="AI6" s="88" t="s">
        <v>222</v>
      </c>
      <c r="AJ6" s="87">
        <v>0</v>
      </c>
      <c r="AK6" s="88" t="s">
        <v>222</v>
      </c>
      <c r="AL6" s="87">
        <v>0</v>
      </c>
      <c r="AM6" s="88" t="s">
        <v>222</v>
      </c>
      <c r="AN6" s="89">
        <f>AD6*Parametros!$E$28+AF6*Parametros!$E$29+AH6*Parametros!$E$30+AJ6*Parametros!$E$31+AL6*Parametros!$E$32</f>
        <v>0</v>
      </c>
      <c r="AO6" s="12" t="str">
        <f t="shared" ref="AO6:AO20" si="2">IF(OR(AND(AD6&gt;0,AE6="NO"),AND(AF6&gt;0,AG6="NO"),AND(AH6&gt;0,AI6="NO"),AND(AJ6&gt;0,AK6="NO"),AND(AL6&gt;0,AM6="NO")),"SI","NO")</f>
        <v>NO</v>
      </c>
      <c r="AP6" s="11">
        <f t="shared" ref="AP6:AP20" si="3">G6+K6+N6+Q6+T6+V6+X6</f>
        <v>0.25</v>
      </c>
      <c r="AQ6" s="90">
        <f>MAX(0,MIN(1,MAX(0,AP6-IF(S6="NO",Parametros!$E$17,0))+AC6-AN6-IF(AO6="SI",Parametros!$E$33,0)))</f>
        <v>0.25</v>
      </c>
      <c r="AR6" s="58"/>
      <c r="AS6" s="71" t="str">
        <f>'Captura Octubre'!B8</f>
        <v>Calidad</v>
      </c>
      <c r="AT6" s="72">
        <f>'Captura Octubre'!K8+'Captura Octubre'!N8+'Captura Octubre'!Q8</f>
        <v>0</v>
      </c>
      <c r="AU6" s="72">
        <f>'Captura Octubre'!T8</f>
        <v>0</v>
      </c>
      <c r="AV6" s="72">
        <f>'Captura Octubre'!V8</f>
        <v>0</v>
      </c>
      <c r="AW6" s="72">
        <f>'Captura Octubre'!G8</f>
        <v>0</v>
      </c>
      <c r="AX6" s="72">
        <f>'Captura Octubre'!X8</f>
        <v>0.25</v>
      </c>
      <c r="AY6" s="72">
        <f>'Captura Octubre'!AC8</f>
        <v>0</v>
      </c>
      <c r="AZ6" s="73">
        <f>-'Captura Octubre'!AN8</f>
        <v>0</v>
      </c>
      <c r="BA6" s="74">
        <f>'Captura Octubre'!AQ8</f>
        <v>0.25</v>
      </c>
      <c r="BB6" s="58"/>
      <c r="BC6" s="58"/>
    </row>
    <row r="7" spans="1:55" ht="16.5" customHeight="1" x14ac:dyDescent="0.35">
      <c r="A7" s="12">
        <v>2</v>
      </c>
      <c r="B7" s="83" t="s">
        <v>135</v>
      </c>
      <c r="C7" s="84" t="str">
        <f>VLOOKUP(B7,Parametros!$I$6:$J$20,2,FALSE())</f>
        <v>Carlos Chavez</v>
      </c>
      <c r="D7" s="85">
        <v>0</v>
      </c>
      <c r="E7" s="85">
        <v>0</v>
      </c>
      <c r="F7" s="11">
        <f t="shared" si="0"/>
        <v>0</v>
      </c>
      <c r="G7" s="86">
        <f>F7*Parametros!$E$6</f>
        <v>0</v>
      </c>
      <c r="H7" s="87">
        <v>0</v>
      </c>
      <c r="I7" s="87">
        <v>0</v>
      </c>
      <c r="J7" s="88" t="s">
        <v>222</v>
      </c>
      <c r="K7" s="86">
        <f>IF(J7="NO",0,IFERROR(H7/I7,0)*Parametros!$E$7)</f>
        <v>0</v>
      </c>
      <c r="L7" s="85">
        <v>0</v>
      </c>
      <c r="M7" s="88" t="s">
        <v>222</v>
      </c>
      <c r="N7" s="86">
        <f>IF(M7="NO",0,L7*Parametros!$E$8)</f>
        <v>0</v>
      </c>
      <c r="O7" s="85">
        <v>0</v>
      </c>
      <c r="P7" s="88" t="s">
        <v>222</v>
      </c>
      <c r="Q7" s="86">
        <f>IF(P7="NO",0,O7*Parametros!$E$9)</f>
        <v>0</v>
      </c>
      <c r="R7" s="85">
        <v>0</v>
      </c>
      <c r="S7" s="88" t="s">
        <v>222</v>
      </c>
      <c r="T7" s="86">
        <f>IF(S7="NO",0,R7*Parametros!$E$10)</f>
        <v>0</v>
      </c>
      <c r="U7" s="85">
        <v>0</v>
      </c>
      <c r="V7" s="86">
        <f>U7*Parametros!$E$11</f>
        <v>0</v>
      </c>
      <c r="W7" s="87">
        <v>0</v>
      </c>
      <c r="X7" s="86">
        <f>MAX(0,Parametros!$E$12-Parametros!$E$18*W7)</f>
        <v>0.25</v>
      </c>
      <c r="Y7" s="87">
        <v>0</v>
      </c>
      <c r="Z7" s="87">
        <v>0</v>
      </c>
      <c r="AA7" s="89">
        <f>IF(Y7&gt;=Parametros!$E$22,Parametros!$E$24,0)</f>
        <v>0</v>
      </c>
      <c r="AB7" s="89">
        <f>IF(Z7&gt;=Parametros!$E$23,Parametros!$E$25,0)</f>
        <v>0</v>
      </c>
      <c r="AC7" s="89">
        <f t="shared" si="1"/>
        <v>0</v>
      </c>
      <c r="AD7" s="87">
        <v>0</v>
      </c>
      <c r="AE7" s="88" t="s">
        <v>222</v>
      </c>
      <c r="AF7" s="87">
        <v>0</v>
      </c>
      <c r="AG7" s="88" t="s">
        <v>222</v>
      </c>
      <c r="AH7" s="87">
        <v>0</v>
      </c>
      <c r="AI7" s="88" t="s">
        <v>222</v>
      </c>
      <c r="AJ7" s="87">
        <v>0</v>
      </c>
      <c r="AK7" s="88" t="s">
        <v>222</v>
      </c>
      <c r="AL7" s="87">
        <v>0</v>
      </c>
      <c r="AM7" s="88" t="s">
        <v>222</v>
      </c>
      <c r="AN7" s="89">
        <f>AD7*Parametros!$E$28+AF7*Parametros!$E$29+AH7*Parametros!$E$30+AJ7*Parametros!$E$31+AL7*Parametros!$E$32</f>
        <v>0</v>
      </c>
      <c r="AO7" s="12" t="str">
        <f t="shared" si="2"/>
        <v>NO</v>
      </c>
      <c r="AP7" s="11">
        <f t="shared" si="3"/>
        <v>0.25</v>
      </c>
      <c r="AQ7" s="90">
        <f>MAX(0,MIN(1,MAX(0,AP7-IF(S7="NO",Parametros!$E$17,0))+AC7-AN7-IF(AO7="SI",Parametros!$E$33,0)))</f>
        <v>0.25</v>
      </c>
      <c r="AR7" s="58"/>
      <c r="AS7" s="79" t="str">
        <f>'Captura Octubre'!B9</f>
        <v>Centro de Distribucion</v>
      </c>
      <c r="AT7" s="80">
        <f>'Captura Octubre'!K9+'Captura Octubre'!N9+'Captura Octubre'!Q9</f>
        <v>0</v>
      </c>
      <c r="AU7" s="80">
        <f>'Captura Octubre'!T9</f>
        <v>0</v>
      </c>
      <c r="AV7" s="80">
        <f>'Captura Octubre'!V9</f>
        <v>0</v>
      </c>
      <c r="AW7" s="80">
        <f>'Captura Octubre'!G9</f>
        <v>0</v>
      </c>
      <c r="AX7" s="80">
        <f>'Captura Octubre'!X9</f>
        <v>0.25</v>
      </c>
      <c r="AY7" s="80">
        <f>'Captura Octubre'!AC9</f>
        <v>0</v>
      </c>
      <c r="AZ7" s="81">
        <f>-'Captura Octubre'!AN9</f>
        <v>0</v>
      </c>
      <c r="BA7" s="82">
        <f>'Captura Octubre'!AQ9</f>
        <v>0.25</v>
      </c>
      <c r="BB7" s="58"/>
      <c r="BC7" s="58"/>
    </row>
    <row r="8" spans="1:55" ht="16.5" customHeight="1" x14ac:dyDescent="0.35">
      <c r="A8" s="12">
        <v>3</v>
      </c>
      <c r="B8" s="83" t="s">
        <v>98</v>
      </c>
      <c r="C8" s="84" t="str">
        <f>VLOOKUP(B8,Parametros!$I$6:$J$20,2,FALSE())</f>
        <v>Alejandro Martinez</v>
      </c>
      <c r="D8" s="85">
        <v>0</v>
      </c>
      <c r="E8" s="85">
        <v>0</v>
      </c>
      <c r="F8" s="11">
        <f t="shared" si="0"/>
        <v>0</v>
      </c>
      <c r="G8" s="86">
        <f>F8*Parametros!$E$6</f>
        <v>0</v>
      </c>
      <c r="H8" s="87">
        <v>0</v>
      </c>
      <c r="I8" s="87">
        <v>0</v>
      </c>
      <c r="J8" s="88" t="s">
        <v>222</v>
      </c>
      <c r="K8" s="86">
        <f>IF(J8="NO",0,IFERROR(H8/I8,0)*Parametros!$E$7)</f>
        <v>0</v>
      </c>
      <c r="L8" s="85">
        <v>0</v>
      </c>
      <c r="M8" s="88" t="s">
        <v>222</v>
      </c>
      <c r="N8" s="86">
        <f>IF(M8="NO",0,L8*Parametros!$E$8)</f>
        <v>0</v>
      </c>
      <c r="O8" s="85">
        <v>0</v>
      </c>
      <c r="P8" s="88" t="s">
        <v>222</v>
      </c>
      <c r="Q8" s="86">
        <f>IF(P8="NO",0,O8*Parametros!$E$9)</f>
        <v>0</v>
      </c>
      <c r="R8" s="85">
        <v>0</v>
      </c>
      <c r="S8" s="88" t="s">
        <v>222</v>
      </c>
      <c r="T8" s="86">
        <f>IF(S8="NO",0,R8*Parametros!$E$10)</f>
        <v>0</v>
      </c>
      <c r="U8" s="85">
        <v>0</v>
      </c>
      <c r="V8" s="86">
        <f>U8*Parametros!$E$11</f>
        <v>0</v>
      </c>
      <c r="W8" s="87">
        <v>0</v>
      </c>
      <c r="X8" s="86">
        <f>MAX(0,Parametros!$E$12-Parametros!$E$18*W8)</f>
        <v>0.25</v>
      </c>
      <c r="Y8" s="87">
        <v>0</v>
      </c>
      <c r="Z8" s="87">
        <v>0</v>
      </c>
      <c r="AA8" s="89">
        <f>IF(Y8&gt;=Parametros!$E$22,Parametros!$E$24,0)</f>
        <v>0</v>
      </c>
      <c r="AB8" s="89">
        <f>IF(Z8&gt;=Parametros!$E$23,Parametros!$E$25,0)</f>
        <v>0</v>
      </c>
      <c r="AC8" s="89">
        <f t="shared" si="1"/>
        <v>0</v>
      </c>
      <c r="AD8" s="87">
        <v>0</v>
      </c>
      <c r="AE8" s="88" t="s">
        <v>222</v>
      </c>
      <c r="AF8" s="87">
        <v>0</v>
      </c>
      <c r="AG8" s="88" t="s">
        <v>222</v>
      </c>
      <c r="AH8" s="87">
        <v>0</v>
      </c>
      <c r="AI8" s="88" t="s">
        <v>222</v>
      </c>
      <c r="AJ8" s="87">
        <v>0</v>
      </c>
      <c r="AK8" s="88" t="s">
        <v>222</v>
      </c>
      <c r="AL8" s="87">
        <v>0</v>
      </c>
      <c r="AM8" s="88" t="s">
        <v>222</v>
      </c>
      <c r="AN8" s="89">
        <f>AD8*Parametros!$E$28+AF8*Parametros!$E$29+AH8*Parametros!$E$30+AJ8*Parametros!$E$31+AL8*Parametros!$E$32</f>
        <v>0</v>
      </c>
      <c r="AO8" s="12" t="str">
        <f t="shared" si="2"/>
        <v>NO</v>
      </c>
      <c r="AP8" s="11">
        <f t="shared" si="3"/>
        <v>0.25</v>
      </c>
      <c r="AQ8" s="90">
        <f>MAX(0,MIN(1,MAX(0,AP8-IF(S8="NO",Parametros!$E$17,0))+AC8-AN8-IF(AO8="SI",Parametros!$E$33,0)))</f>
        <v>0.25</v>
      </c>
      <c r="AR8" s="58"/>
      <c r="AS8" s="71" t="str">
        <f>'Captura Octubre'!B10</f>
        <v>ETEI</v>
      </c>
      <c r="AT8" s="72">
        <f>'Captura Octubre'!K10+'Captura Octubre'!N10+'Captura Octubre'!Q10</f>
        <v>0</v>
      </c>
      <c r="AU8" s="72">
        <f>'Captura Octubre'!T10</f>
        <v>0</v>
      </c>
      <c r="AV8" s="72">
        <f>'Captura Octubre'!V10</f>
        <v>0</v>
      </c>
      <c r="AW8" s="72">
        <f>'Captura Octubre'!G10</f>
        <v>0</v>
      </c>
      <c r="AX8" s="72">
        <f>'Captura Octubre'!X10</f>
        <v>0.25</v>
      </c>
      <c r="AY8" s="72">
        <f>'Captura Octubre'!AC10</f>
        <v>0</v>
      </c>
      <c r="AZ8" s="73">
        <f>-'Captura Octubre'!AN10</f>
        <v>0</v>
      </c>
      <c r="BA8" s="74">
        <f>'Captura Octubre'!AQ10</f>
        <v>0.25</v>
      </c>
      <c r="BB8" s="58"/>
      <c r="BC8" s="58"/>
    </row>
    <row r="9" spans="1:55" ht="16.5" customHeight="1" x14ac:dyDescent="0.35">
      <c r="A9" s="12">
        <v>4</v>
      </c>
      <c r="B9" s="83" t="s">
        <v>128</v>
      </c>
      <c r="C9" s="84" t="str">
        <f>VLOOKUP(B9,Parametros!$I$6:$J$20,2,FALSE())</f>
        <v>Jimmy Velasquez</v>
      </c>
      <c r="D9" s="85">
        <v>0</v>
      </c>
      <c r="E9" s="85">
        <v>0</v>
      </c>
      <c r="F9" s="11">
        <f t="shared" si="0"/>
        <v>0</v>
      </c>
      <c r="G9" s="86">
        <f>F9*Parametros!$E$6</f>
        <v>0</v>
      </c>
      <c r="H9" s="87">
        <v>0</v>
      </c>
      <c r="I9" s="87">
        <v>0</v>
      </c>
      <c r="J9" s="88" t="s">
        <v>222</v>
      </c>
      <c r="K9" s="86">
        <f>IF(J9="NO",0,IFERROR(H9/I9,0)*Parametros!$E$7)</f>
        <v>0</v>
      </c>
      <c r="L9" s="85">
        <v>0</v>
      </c>
      <c r="M9" s="88" t="s">
        <v>222</v>
      </c>
      <c r="N9" s="86">
        <f>IF(M9="NO",0,L9*Parametros!$E$8)</f>
        <v>0</v>
      </c>
      <c r="O9" s="85">
        <v>0</v>
      </c>
      <c r="P9" s="88" t="s">
        <v>222</v>
      </c>
      <c r="Q9" s="86">
        <f>IF(P9="NO",0,O9*Parametros!$E$9)</f>
        <v>0</v>
      </c>
      <c r="R9" s="85">
        <v>0</v>
      </c>
      <c r="S9" s="88" t="s">
        <v>222</v>
      </c>
      <c r="T9" s="86">
        <f>IF(S9="NO",0,R9*Parametros!$E$10)</f>
        <v>0</v>
      </c>
      <c r="U9" s="85">
        <v>0</v>
      </c>
      <c r="V9" s="86">
        <f>U9*Parametros!$E$11</f>
        <v>0</v>
      </c>
      <c r="W9" s="87">
        <v>0</v>
      </c>
      <c r="X9" s="86">
        <f>MAX(0,Parametros!$E$12-Parametros!$E$18*W9)</f>
        <v>0.25</v>
      </c>
      <c r="Y9" s="87">
        <v>0</v>
      </c>
      <c r="Z9" s="87">
        <v>0</v>
      </c>
      <c r="AA9" s="89">
        <f>IF(Y9&gt;=Parametros!$E$22,Parametros!$E$24,0)</f>
        <v>0</v>
      </c>
      <c r="AB9" s="89">
        <f>IF(Z9&gt;=Parametros!$E$23,Parametros!$E$25,0)</f>
        <v>0</v>
      </c>
      <c r="AC9" s="89">
        <f t="shared" si="1"/>
        <v>0</v>
      </c>
      <c r="AD9" s="87">
        <v>0</v>
      </c>
      <c r="AE9" s="88" t="s">
        <v>222</v>
      </c>
      <c r="AF9" s="87">
        <v>0</v>
      </c>
      <c r="AG9" s="88" t="s">
        <v>222</v>
      </c>
      <c r="AH9" s="87">
        <v>0</v>
      </c>
      <c r="AI9" s="88" t="s">
        <v>222</v>
      </c>
      <c r="AJ9" s="87">
        <v>0</v>
      </c>
      <c r="AK9" s="88" t="s">
        <v>222</v>
      </c>
      <c r="AL9" s="87">
        <v>0</v>
      </c>
      <c r="AM9" s="88" t="s">
        <v>222</v>
      </c>
      <c r="AN9" s="89">
        <f>AD9*Parametros!$E$28+AF9*Parametros!$E$29+AH9*Parametros!$E$30+AJ9*Parametros!$E$31+AL9*Parametros!$E$32</f>
        <v>0</v>
      </c>
      <c r="AO9" s="12" t="str">
        <f t="shared" si="2"/>
        <v>NO</v>
      </c>
      <c r="AP9" s="11">
        <f t="shared" si="3"/>
        <v>0.25</v>
      </c>
      <c r="AQ9" s="90">
        <f>MAX(0,MIN(1,MAX(0,AP9-IF(S9="NO",Parametros!$E$17,0))+AC9-AN9-IF(AO9="SI",Parametros!$E$33,0)))</f>
        <v>0.25</v>
      </c>
      <c r="AR9" s="58"/>
      <c r="AS9" s="79" t="str">
        <f>'Captura Octubre'!B11</f>
        <v>Equipos Auxiliares</v>
      </c>
      <c r="AT9" s="80">
        <f>'Captura Octubre'!K11+'Captura Octubre'!N11+'Captura Octubre'!Q11</f>
        <v>0</v>
      </c>
      <c r="AU9" s="80">
        <f>'Captura Octubre'!T11</f>
        <v>0</v>
      </c>
      <c r="AV9" s="80">
        <f>'Captura Octubre'!V11</f>
        <v>0</v>
      </c>
      <c r="AW9" s="80">
        <f>'Captura Octubre'!G11</f>
        <v>0</v>
      </c>
      <c r="AX9" s="80">
        <f>'Captura Octubre'!X11</f>
        <v>0.25</v>
      </c>
      <c r="AY9" s="80">
        <f>'Captura Octubre'!AC11</f>
        <v>0</v>
      </c>
      <c r="AZ9" s="81">
        <f>-'Captura Octubre'!AN11</f>
        <v>0</v>
      </c>
      <c r="BA9" s="82">
        <f>'Captura Octubre'!AQ11</f>
        <v>0.25</v>
      </c>
      <c r="BB9" s="58"/>
      <c r="BC9" s="58"/>
    </row>
    <row r="10" spans="1:55" ht="16.5" customHeight="1" x14ac:dyDescent="0.35">
      <c r="A10" s="12">
        <v>5</v>
      </c>
      <c r="B10" s="83" t="s">
        <v>125</v>
      </c>
      <c r="C10" s="84" t="str">
        <f>VLOOKUP(B10,Parametros!$I$6:$J$20,2,FALSE())</f>
        <v>Jessica Loarca</v>
      </c>
      <c r="D10" s="85">
        <v>0</v>
      </c>
      <c r="E10" s="85">
        <v>0</v>
      </c>
      <c r="F10" s="11">
        <f t="shared" si="0"/>
        <v>0</v>
      </c>
      <c r="G10" s="86">
        <f>F10*Parametros!$E$6</f>
        <v>0</v>
      </c>
      <c r="H10" s="87">
        <v>0</v>
      </c>
      <c r="I10" s="87">
        <v>0</v>
      </c>
      <c r="J10" s="88" t="s">
        <v>222</v>
      </c>
      <c r="K10" s="86">
        <f>IF(J10="NO",0,IFERROR(H10/I10,0)*Parametros!$E$7)</f>
        <v>0</v>
      </c>
      <c r="L10" s="85">
        <v>0</v>
      </c>
      <c r="M10" s="88" t="s">
        <v>222</v>
      </c>
      <c r="N10" s="86">
        <f>IF(M10="NO",0,L10*Parametros!$E$8)</f>
        <v>0</v>
      </c>
      <c r="O10" s="85">
        <v>0</v>
      </c>
      <c r="P10" s="88" t="s">
        <v>222</v>
      </c>
      <c r="Q10" s="86">
        <f>IF(P10="NO",0,O10*Parametros!$E$9)</f>
        <v>0</v>
      </c>
      <c r="R10" s="85">
        <v>0</v>
      </c>
      <c r="S10" s="88" t="s">
        <v>222</v>
      </c>
      <c r="T10" s="86">
        <f>IF(S10="NO",0,R10*Parametros!$E$10)</f>
        <v>0</v>
      </c>
      <c r="U10" s="85">
        <v>0</v>
      </c>
      <c r="V10" s="86">
        <f>U10*Parametros!$E$11</f>
        <v>0</v>
      </c>
      <c r="W10" s="87">
        <v>0</v>
      </c>
      <c r="X10" s="86">
        <f>MAX(0,Parametros!$E$12-Parametros!$E$18*W10)</f>
        <v>0.25</v>
      </c>
      <c r="Y10" s="87">
        <v>0</v>
      </c>
      <c r="Z10" s="87">
        <v>0</v>
      </c>
      <c r="AA10" s="89">
        <f>IF(Y10&gt;=Parametros!$E$22,Parametros!$E$24,0)</f>
        <v>0</v>
      </c>
      <c r="AB10" s="89">
        <f>IF(Z10&gt;=Parametros!$E$23,Parametros!$E$25,0)</f>
        <v>0</v>
      </c>
      <c r="AC10" s="89">
        <f t="shared" si="1"/>
        <v>0</v>
      </c>
      <c r="AD10" s="87">
        <v>0</v>
      </c>
      <c r="AE10" s="88" t="s">
        <v>222</v>
      </c>
      <c r="AF10" s="87">
        <v>0</v>
      </c>
      <c r="AG10" s="88" t="s">
        <v>222</v>
      </c>
      <c r="AH10" s="87">
        <v>0</v>
      </c>
      <c r="AI10" s="88" t="s">
        <v>222</v>
      </c>
      <c r="AJ10" s="87">
        <v>0</v>
      </c>
      <c r="AK10" s="88" t="s">
        <v>222</v>
      </c>
      <c r="AL10" s="87">
        <v>0</v>
      </c>
      <c r="AM10" s="88" t="s">
        <v>222</v>
      </c>
      <c r="AN10" s="89">
        <f>AD10*Parametros!$E$28+AF10*Parametros!$E$29+AH10*Parametros!$E$30+AJ10*Parametros!$E$31+AL10*Parametros!$E$32</f>
        <v>0</v>
      </c>
      <c r="AO10" s="12" t="str">
        <f t="shared" si="2"/>
        <v>NO</v>
      </c>
      <c r="AP10" s="11">
        <f t="shared" si="3"/>
        <v>0.25</v>
      </c>
      <c r="AQ10" s="90">
        <f>MAX(0,MIN(1,MAX(0,AP10-IF(S10="NO",Parametros!$E$17,0))+AC10-AN10-IF(AO10="SI",Parametros!$E$33,0)))</f>
        <v>0.25</v>
      </c>
      <c r="AR10" s="58"/>
      <c r="AS10" s="71" t="str">
        <f>'Captura Octubre'!B12</f>
        <v>Jarabes</v>
      </c>
      <c r="AT10" s="72">
        <f>'Captura Octubre'!K12+'Captura Octubre'!N12+'Captura Octubre'!Q12</f>
        <v>0</v>
      </c>
      <c r="AU10" s="72">
        <f>'Captura Octubre'!T12</f>
        <v>0</v>
      </c>
      <c r="AV10" s="72">
        <f>'Captura Octubre'!V12</f>
        <v>0</v>
      </c>
      <c r="AW10" s="72">
        <f>'Captura Octubre'!G12</f>
        <v>0</v>
      </c>
      <c r="AX10" s="72">
        <f>'Captura Octubre'!X12</f>
        <v>0.25</v>
      </c>
      <c r="AY10" s="72">
        <f>'Captura Octubre'!AC12</f>
        <v>0</v>
      </c>
      <c r="AZ10" s="73">
        <f>-'Captura Octubre'!AN12</f>
        <v>0</v>
      </c>
      <c r="BA10" s="74">
        <f>'Captura Octubre'!AQ12</f>
        <v>0.25</v>
      </c>
      <c r="BB10" s="58"/>
      <c r="BC10" s="58"/>
    </row>
    <row r="11" spans="1:55" ht="16.5" customHeight="1" x14ac:dyDescent="0.35">
      <c r="A11" s="12">
        <v>6</v>
      </c>
      <c r="B11" s="83" t="s">
        <v>117</v>
      </c>
      <c r="C11" s="84" t="str">
        <f>VLOOKUP(B11,Parametros!$I$6:$J$20,2,FALSE())</f>
        <v>Edson Bonifacio</v>
      </c>
      <c r="D11" s="85">
        <v>0</v>
      </c>
      <c r="E11" s="85">
        <v>0</v>
      </c>
      <c r="F11" s="11">
        <f t="shared" si="0"/>
        <v>0</v>
      </c>
      <c r="G11" s="86">
        <f>F11*Parametros!$E$6</f>
        <v>0</v>
      </c>
      <c r="H11" s="87">
        <v>0</v>
      </c>
      <c r="I11" s="87">
        <v>0</v>
      </c>
      <c r="J11" s="88" t="s">
        <v>222</v>
      </c>
      <c r="K11" s="86">
        <f>IF(J11="NO",0,IFERROR(H11/I11,0)*Parametros!$E$7)</f>
        <v>0</v>
      </c>
      <c r="L11" s="85">
        <v>0</v>
      </c>
      <c r="M11" s="88" t="s">
        <v>222</v>
      </c>
      <c r="N11" s="86">
        <f>IF(M11="NO",0,L11*Parametros!$E$8)</f>
        <v>0</v>
      </c>
      <c r="O11" s="85">
        <v>0</v>
      </c>
      <c r="P11" s="88" t="s">
        <v>222</v>
      </c>
      <c r="Q11" s="86">
        <f>IF(P11="NO",0,O11*Parametros!$E$9)</f>
        <v>0</v>
      </c>
      <c r="R11" s="85">
        <v>0</v>
      </c>
      <c r="S11" s="88" t="s">
        <v>222</v>
      </c>
      <c r="T11" s="86">
        <f>IF(S11="NO",0,R11*Parametros!$E$10)</f>
        <v>0</v>
      </c>
      <c r="U11" s="85">
        <v>0</v>
      </c>
      <c r="V11" s="86">
        <f>U11*Parametros!$E$11</f>
        <v>0</v>
      </c>
      <c r="W11" s="87">
        <v>0</v>
      </c>
      <c r="X11" s="86">
        <f>MAX(0,Parametros!$E$12-Parametros!$E$18*W11)</f>
        <v>0.25</v>
      </c>
      <c r="Y11" s="87">
        <v>0</v>
      </c>
      <c r="Z11" s="87">
        <v>0</v>
      </c>
      <c r="AA11" s="89">
        <f>IF(Y11&gt;=Parametros!$E$22,Parametros!$E$24,0)</f>
        <v>0</v>
      </c>
      <c r="AB11" s="89">
        <f>IF(Z11&gt;=Parametros!$E$23,Parametros!$E$25,0)</f>
        <v>0</v>
      </c>
      <c r="AC11" s="89">
        <f t="shared" si="1"/>
        <v>0</v>
      </c>
      <c r="AD11" s="87">
        <v>0</v>
      </c>
      <c r="AE11" s="88" t="s">
        <v>222</v>
      </c>
      <c r="AF11" s="87">
        <v>0</v>
      </c>
      <c r="AG11" s="88" t="s">
        <v>222</v>
      </c>
      <c r="AH11" s="87">
        <v>0</v>
      </c>
      <c r="AI11" s="88" t="s">
        <v>222</v>
      </c>
      <c r="AJ11" s="87">
        <v>0</v>
      </c>
      <c r="AK11" s="88" t="s">
        <v>222</v>
      </c>
      <c r="AL11" s="87">
        <v>0</v>
      </c>
      <c r="AM11" s="88" t="s">
        <v>222</v>
      </c>
      <c r="AN11" s="89">
        <f>AD11*Parametros!$E$28+AF11*Parametros!$E$29+AH11*Parametros!$E$30+AJ11*Parametros!$E$31+AL11*Parametros!$E$32</f>
        <v>0</v>
      </c>
      <c r="AO11" s="12" t="str">
        <f t="shared" si="2"/>
        <v>NO</v>
      </c>
      <c r="AP11" s="11">
        <f t="shared" si="3"/>
        <v>0.25</v>
      </c>
      <c r="AQ11" s="90">
        <f>MAX(0,MIN(1,MAX(0,AP11-IF(S11="NO",Parametros!$E$17,0))+AC11-AN11-IF(AO11="SI",Parametros!$E$33,0)))</f>
        <v>0.25</v>
      </c>
      <c r="AR11" s="58"/>
      <c r="AS11" s="79" t="str">
        <f>'Captura Octubre'!B13</f>
        <v>Linea 1</v>
      </c>
      <c r="AT11" s="80">
        <f>'Captura Octubre'!K13+'Captura Octubre'!N13+'Captura Octubre'!Q13</f>
        <v>0</v>
      </c>
      <c r="AU11" s="80">
        <f>'Captura Octubre'!T13</f>
        <v>0</v>
      </c>
      <c r="AV11" s="80">
        <f>'Captura Octubre'!V13</f>
        <v>0</v>
      </c>
      <c r="AW11" s="80">
        <f>'Captura Octubre'!G13</f>
        <v>0</v>
      </c>
      <c r="AX11" s="80">
        <f>'Captura Octubre'!X13</f>
        <v>0.25</v>
      </c>
      <c r="AY11" s="80">
        <f>'Captura Octubre'!AC13</f>
        <v>0</v>
      </c>
      <c r="AZ11" s="81">
        <f>-'Captura Octubre'!AN13</f>
        <v>0</v>
      </c>
      <c r="BA11" s="82">
        <f>'Captura Octubre'!AQ13</f>
        <v>0.25</v>
      </c>
      <c r="BB11" s="58"/>
      <c r="BC11" s="58"/>
    </row>
    <row r="12" spans="1:55" ht="16.5" customHeight="1" x14ac:dyDescent="0.35">
      <c r="A12" s="12">
        <v>7</v>
      </c>
      <c r="B12" s="83" t="s">
        <v>130</v>
      </c>
      <c r="C12" s="84" t="str">
        <f>VLOOKUP(B12,Parametros!$I$6:$J$20,2,FALSE())</f>
        <v>Adrian Santisteban</v>
      </c>
      <c r="D12" s="85">
        <v>0</v>
      </c>
      <c r="E12" s="85">
        <v>0</v>
      </c>
      <c r="F12" s="11">
        <f t="shared" si="0"/>
        <v>0</v>
      </c>
      <c r="G12" s="86">
        <f>F12*Parametros!$E$6</f>
        <v>0</v>
      </c>
      <c r="H12" s="87">
        <v>0</v>
      </c>
      <c r="I12" s="87">
        <v>0</v>
      </c>
      <c r="J12" s="88" t="s">
        <v>222</v>
      </c>
      <c r="K12" s="86">
        <f>IF(J12="NO",0,IFERROR(H12/I12,0)*Parametros!$E$7)</f>
        <v>0</v>
      </c>
      <c r="L12" s="85">
        <v>0</v>
      </c>
      <c r="M12" s="88" t="s">
        <v>222</v>
      </c>
      <c r="N12" s="86">
        <f>IF(M12="NO",0,L12*Parametros!$E$8)</f>
        <v>0</v>
      </c>
      <c r="O12" s="85">
        <v>0</v>
      </c>
      <c r="P12" s="88" t="s">
        <v>222</v>
      </c>
      <c r="Q12" s="86">
        <f>IF(P12="NO",0,O12*Parametros!$E$9)</f>
        <v>0</v>
      </c>
      <c r="R12" s="85">
        <v>0</v>
      </c>
      <c r="S12" s="88" t="s">
        <v>222</v>
      </c>
      <c r="T12" s="86">
        <f>IF(S12="NO",0,R12*Parametros!$E$10)</f>
        <v>0</v>
      </c>
      <c r="U12" s="85">
        <v>0</v>
      </c>
      <c r="V12" s="86">
        <f>U12*Parametros!$E$11</f>
        <v>0</v>
      </c>
      <c r="W12" s="87">
        <v>0</v>
      </c>
      <c r="X12" s="86">
        <f>MAX(0,Parametros!$E$12-Parametros!$E$18*W12)</f>
        <v>0.25</v>
      </c>
      <c r="Y12" s="87">
        <v>0</v>
      </c>
      <c r="Z12" s="87">
        <v>0</v>
      </c>
      <c r="AA12" s="89">
        <f>IF(Y12&gt;=Parametros!$E$22,Parametros!$E$24,0)</f>
        <v>0</v>
      </c>
      <c r="AB12" s="89">
        <f>IF(Z12&gt;=Parametros!$E$23,Parametros!$E$25,0)</f>
        <v>0</v>
      </c>
      <c r="AC12" s="89">
        <f t="shared" si="1"/>
        <v>0</v>
      </c>
      <c r="AD12" s="87">
        <v>0</v>
      </c>
      <c r="AE12" s="88" t="s">
        <v>222</v>
      </c>
      <c r="AF12" s="87">
        <v>0</v>
      </c>
      <c r="AG12" s="88" t="s">
        <v>222</v>
      </c>
      <c r="AH12" s="87">
        <v>0</v>
      </c>
      <c r="AI12" s="88" t="s">
        <v>222</v>
      </c>
      <c r="AJ12" s="87">
        <v>0</v>
      </c>
      <c r="AK12" s="88" t="s">
        <v>222</v>
      </c>
      <c r="AL12" s="87">
        <v>0</v>
      </c>
      <c r="AM12" s="88" t="s">
        <v>222</v>
      </c>
      <c r="AN12" s="89">
        <f>AD12*Parametros!$E$28+AF12*Parametros!$E$29+AH12*Parametros!$E$30+AJ12*Parametros!$E$31+AL12*Parametros!$E$32</f>
        <v>0</v>
      </c>
      <c r="AO12" s="12" t="str">
        <f t="shared" si="2"/>
        <v>NO</v>
      </c>
      <c r="AP12" s="11">
        <f t="shared" si="3"/>
        <v>0.25</v>
      </c>
      <c r="AQ12" s="90">
        <f>MAX(0,MIN(1,MAX(0,AP12-IF(S12="NO",Parametros!$E$17,0))+AC12-AN12-IF(AO12="SI",Parametros!$E$33,0)))</f>
        <v>0.25</v>
      </c>
      <c r="AR12" s="58"/>
      <c r="AS12" s="71" t="str">
        <f>'Captura Octubre'!B14</f>
        <v>Linea 2</v>
      </c>
      <c r="AT12" s="72">
        <f>'Captura Octubre'!K14+'Captura Octubre'!N14+'Captura Octubre'!Q14</f>
        <v>0</v>
      </c>
      <c r="AU12" s="72">
        <f>'Captura Octubre'!T14</f>
        <v>0</v>
      </c>
      <c r="AV12" s="72">
        <f>'Captura Octubre'!V14</f>
        <v>0</v>
      </c>
      <c r="AW12" s="72">
        <f>'Captura Octubre'!G14</f>
        <v>0</v>
      </c>
      <c r="AX12" s="72">
        <f>'Captura Octubre'!X14</f>
        <v>0.25</v>
      </c>
      <c r="AY12" s="72">
        <f>'Captura Octubre'!AC14</f>
        <v>0</v>
      </c>
      <c r="AZ12" s="73">
        <f>-'Captura Octubre'!AN14</f>
        <v>0</v>
      </c>
      <c r="BA12" s="74">
        <f>'Captura Octubre'!AQ14</f>
        <v>0.25</v>
      </c>
      <c r="BB12" s="58"/>
      <c r="BC12" s="58"/>
    </row>
    <row r="13" spans="1:55" ht="16.5" customHeight="1" x14ac:dyDescent="0.35">
      <c r="A13" s="12">
        <v>8</v>
      </c>
      <c r="B13" s="83" t="s">
        <v>123</v>
      </c>
      <c r="C13" s="84" t="str">
        <f>VLOOKUP(B13,Parametros!$I$6:$J$20,2,FALSE())</f>
        <v>Amilcar Ralda</v>
      </c>
      <c r="D13" s="85">
        <v>0</v>
      </c>
      <c r="E13" s="85">
        <v>0</v>
      </c>
      <c r="F13" s="11">
        <f t="shared" si="0"/>
        <v>0</v>
      </c>
      <c r="G13" s="86">
        <f>F13*Parametros!$E$6</f>
        <v>0</v>
      </c>
      <c r="H13" s="87">
        <v>0</v>
      </c>
      <c r="I13" s="87">
        <v>0</v>
      </c>
      <c r="J13" s="88" t="s">
        <v>222</v>
      </c>
      <c r="K13" s="86">
        <f>IF(J13="NO",0,IFERROR(H13/I13,0)*Parametros!$E$7)</f>
        <v>0</v>
      </c>
      <c r="L13" s="85">
        <v>0</v>
      </c>
      <c r="M13" s="88" t="s">
        <v>222</v>
      </c>
      <c r="N13" s="86">
        <f>IF(M13="NO",0,L13*Parametros!$E$8)</f>
        <v>0</v>
      </c>
      <c r="O13" s="85">
        <v>0</v>
      </c>
      <c r="P13" s="88" t="s">
        <v>222</v>
      </c>
      <c r="Q13" s="86">
        <f>IF(P13="NO",0,O13*Parametros!$E$9)</f>
        <v>0</v>
      </c>
      <c r="R13" s="85">
        <v>0</v>
      </c>
      <c r="S13" s="88" t="s">
        <v>222</v>
      </c>
      <c r="T13" s="86">
        <f>IF(S13="NO",0,R13*Parametros!$E$10)</f>
        <v>0</v>
      </c>
      <c r="U13" s="85">
        <v>0</v>
      </c>
      <c r="V13" s="86">
        <f>U13*Parametros!$E$11</f>
        <v>0</v>
      </c>
      <c r="W13" s="87">
        <v>0</v>
      </c>
      <c r="X13" s="86">
        <f>MAX(0,Parametros!$E$12-Parametros!$E$18*W13)</f>
        <v>0.25</v>
      </c>
      <c r="Y13" s="87">
        <v>0</v>
      </c>
      <c r="Z13" s="87">
        <v>0</v>
      </c>
      <c r="AA13" s="89">
        <f>IF(Y13&gt;=Parametros!$E$22,Parametros!$E$24,0)</f>
        <v>0</v>
      </c>
      <c r="AB13" s="89">
        <f>IF(Z13&gt;=Parametros!$E$23,Parametros!$E$25,0)</f>
        <v>0</v>
      </c>
      <c r="AC13" s="89">
        <f t="shared" si="1"/>
        <v>0</v>
      </c>
      <c r="AD13" s="87">
        <v>0</v>
      </c>
      <c r="AE13" s="88" t="s">
        <v>222</v>
      </c>
      <c r="AF13" s="87">
        <v>0</v>
      </c>
      <c r="AG13" s="88" t="s">
        <v>222</v>
      </c>
      <c r="AH13" s="87">
        <v>0</v>
      </c>
      <c r="AI13" s="88" t="s">
        <v>222</v>
      </c>
      <c r="AJ13" s="87">
        <v>0</v>
      </c>
      <c r="AK13" s="88" t="s">
        <v>222</v>
      </c>
      <c r="AL13" s="87">
        <v>0</v>
      </c>
      <c r="AM13" s="88" t="s">
        <v>222</v>
      </c>
      <c r="AN13" s="89">
        <f>AD13*Parametros!$E$28+AF13*Parametros!$E$29+AH13*Parametros!$E$30+AJ13*Parametros!$E$31+AL13*Parametros!$E$32</f>
        <v>0</v>
      </c>
      <c r="AO13" s="12" t="str">
        <f t="shared" si="2"/>
        <v>NO</v>
      </c>
      <c r="AP13" s="11">
        <f t="shared" si="3"/>
        <v>0.25</v>
      </c>
      <c r="AQ13" s="90">
        <f>MAX(0,MIN(1,MAX(0,AP13-IF(S13="NO",Parametros!$E$17,0))+AC13-AN13-IF(AO13="SI",Parametros!$E$33,0)))</f>
        <v>0.25</v>
      </c>
      <c r="AR13" s="58"/>
      <c r="AS13" s="79" t="str">
        <f>'Captura Octubre'!B15</f>
        <v>Linea 3</v>
      </c>
      <c r="AT13" s="80">
        <f>'Captura Octubre'!K15+'Captura Octubre'!N15+'Captura Octubre'!Q15</f>
        <v>0</v>
      </c>
      <c r="AU13" s="80">
        <f>'Captura Octubre'!T15</f>
        <v>0</v>
      </c>
      <c r="AV13" s="80">
        <f>'Captura Octubre'!V15</f>
        <v>0</v>
      </c>
      <c r="AW13" s="80">
        <f>'Captura Octubre'!G15</f>
        <v>0</v>
      </c>
      <c r="AX13" s="80">
        <f>'Captura Octubre'!X15</f>
        <v>0.25</v>
      </c>
      <c r="AY13" s="80">
        <f>'Captura Octubre'!AC15</f>
        <v>0</v>
      </c>
      <c r="AZ13" s="81">
        <f>-'Captura Octubre'!AN15</f>
        <v>0</v>
      </c>
      <c r="BA13" s="82">
        <f>'Captura Octubre'!AQ15</f>
        <v>0.25</v>
      </c>
      <c r="BB13" s="58"/>
      <c r="BC13" s="58"/>
    </row>
    <row r="14" spans="1:55" ht="16.5" customHeight="1" x14ac:dyDescent="0.35">
      <c r="A14" s="12">
        <v>9</v>
      </c>
      <c r="B14" s="83" t="s">
        <v>113</v>
      </c>
      <c r="C14" s="84" t="str">
        <f>VLOOKUP(B14,Parametros!$I$6:$J$20,2,FALSE())</f>
        <v>Amilcar Ralda</v>
      </c>
      <c r="D14" s="85">
        <v>0</v>
      </c>
      <c r="E14" s="85">
        <v>0</v>
      </c>
      <c r="F14" s="11">
        <f t="shared" si="0"/>
        <v>0</v>
      </c>
      <c r="G14" s="86">
        <f>F14*Parametros!$E$6</f>
        <v>0</v>
      </c>
      <c r="H14" s="87">
        <v>0</v>
      </c>
      <c r="I14" s="87">
        <v>0</v>
      </c>
      <c r="J14" s="88" t="s">
        <v>222</v>
      </c>
      <c r="K14" s="86">
        <f>IF(J14="NO",0,IFERROR(H14/I14,0)*Parametros!$E$7)</f>
        <v>0</v>
      </c>
      <c r="L14" s="85">
        <v>0</v>
      </c>
      <c r="M14" s="88" t="s">
        <v>222</v>
      </c>
      <c r="N14" s="86">
        <f>IF(M14="NO",0,L14*Parametros!$E$8)</f>
        <v>0</v>
      </c>
      <c r="O14" s="85">
        <v>0</v>
      </c>
      <c r="P14" s="88" t="s">
        <v>222</v>
      </c>
      <c r="Q14" s="86">
        <f>IF(P14="NO",0,O14*Parametros!$E$9)</f>
        <v>0</v>
      </c>
      <c r="R14" s="85">
        <v>0</v>
      </c>
      <c r="S14" s="88" t="s">
        <v>222</v>
      </c>
      <c r="T14" s="86">
        <f>IF(S14="NO",0,R14*Parametros!$E$10)</f>
        <v>0</v>
      </c>
      <c r="U14" s="85">
        <v>0</v>
      </c>
      <c r="V14" s="86">
        <f>U14*Parametros!$E$11</f>
        <v>0</v>
      </c>
      <c r="W14" s="87">
        <v>0</v>
      </c>
      <c r="X14" s="86">
        <f>MAX(0,Parametros!$E$12-Parametros!$E$18*W14)</f>
        <v>0.25</v>
      </c>
      <c r="Y14" s="87">
        <v>0</v>
      </c>
      <c r="Z14" s="87">
        <v>0</v>
      </c>
      <c r="AA14" s="89">
        <f>IF(Y14&gt;=Parametros!$E$22,Parametros!$E$24,0)</f>
        <v>0</v>
      </c>
      <c r="AB14" s="89">
        <f>IF(Z14&gt;=Parametros!$E$23,Parametros!$E$25,0)</f>
        <v>0</v>
      </c>
      <c r="AC14" s="89">
        <f t="shared" si="1"/>
        <v>0</v>
      </c>
      <c r="AD14" s="87">
        <v>0</v>
      </c>
      <c r="AE14" s="88" t="s">
        <v>222</v>
      </c>
      <c r="AF14" s="87">
        <v>0</v>
      </c>
      <c r="AG14" s="88" t="s">
        <v>222</v>
      </c>
      <c r="AH14" s="87">
        <v>0</v>
      </c>
      <c r="AI14" s="88" t="s">
        <v>222</v>
      </c>
      <c r="AJ14" s="87">
        <v>0</v>
      </c>
      <c r="AK14" s="88" t="s">
        <v>222</v>
      </c>
      <c r="AL14" s="87">
        <v>0</v>
      </c>
      <c r="AM14" s="88" t="s">
        <v>222</v>
      </c>
      <c r="AN14" s="89">
        <f>AD14*Parametros!$E$28+AF14*Parametros!$E$29+AH14*Parametros!$E$30+AJ14*Parametros!$E$31+AL14*Parametros!$E$32</f>
        <v>0</v>
      </c>
      <c r="AO14" s="12" t="str">
        <f t="shared" si="2"/>
        <v>NO</v>
      </c>
      <c r="AP14" s="11">
        <f t="shared" si="3"/>
        <v>0.25</v>
      </c>
      <c r="AQ14" s="90">
        <f>MAX(0,MIN(1,MAX(0,AP14-IF(S14="NO",Parametros!$E$17,0))+AC14-AN14-IF(AO14="SI",Parametros!$E$33,0)))</f>
        <v>0.25</v>
      </c>
      <c r="AR14" s="58"/>
      <c r="AS14" s="71" t="str">
        <f>'Captura Octubre'!B16</f>
        <v>Linea 4</v>
      </c>
      <c r="AT14" s="72">
        <f>'Captura Octubre'!K16+'Captura Octubre'!N16+'Captura Octubre'!Q16</f>
        <v>0</v>
      </c>
      <c r="AU14" s="72">
        <f>'Captura Octubre'!T16</f>
        <v>0</v>
      </c>
      <c r="AV14" s="72">
        <f>'Captura Octubre'!V16</f>
        <v>0</v>
      </c>
      <c r="AW14" s="72">
        <f>'Captura Octubre'!G16</f>
        <v>0</v>
      </c>
      <c r="AX14" s="72">
        <f>'Captura Octubre'!X16</f>
        <v>0.25</v>
      </c>
      <c r="AY14" s="72">
        <f>'Captura Octubre'!AC16</f>
        <v>0</v>
      </c>
      <c r="AZ14" s="73">
        <f>-'Captura Octubre'!AN16</f>
        <v>0</v>
      </c>
      <c r="BA14" s="74">
        <f>'Captura Octubre'!AQ16</f>
        <v>0.25</v>
      </c>
      <c r="BB14" s="58"/>
      <c r="BC14" s="58"/>
    </row>
    <row r="15" spans="1:55" ht="16.5" customHeight="1" x14ac:dyDescent="0.35">
      <c r="A15" s="12">
        <v>10</v>
      </c>
      <c r="B15" s="83" t="s">
        <v>133</v>
      </c>
      <c r="C15" s="84" t="str">
        <f>VLOOKUP(B15,Parametros!$I$6:$J$20,2,FALSE())</f>
        <v>Mario Ramos</v>
      </c>
      <c r="D15" s="85">
        <v>0</v>
      </c>
      <c r="E15" s="85">
        <v>0</v>
      </c>
      <c r="F15" s="11">
        <f t="shared" si="0"/>
        <v>0</v>
      </c>
      <c r="G15" s="86">
        <f>F15*Parametros!$E$6</f>
        <v>0</v>
      </c>
      <c r="H15" s="87">
        <v>0</v>
      </c>
      <c r="I15" s="87">
        <v>0</v>
      </c>
      <c r="J15" s="88" t="s">
        <v>222</v>
      </c>
      <c r="K15" s="86">
        <f>IF(J15="NO",0,IFERROR(H15/I15,0)*Parametros!$E$7)</f>
        <v>0</v>
      </c>
      <c r="L15" s="85">
        <v>0</v>
      </c>
      <c r="M15" s="88" t="s">
        <v>222</v>
      </c>
      <c r="N15" s="86">
        <f>IF(M15="NO",0,L15*Parametros!$E$8)</f>
        <v>0</v>
      </c>
      <c r="O15" s="85">
        <v>0</v>
      </c>
      <c r="P15" s="88" t="s">
        <v>222</v>
      </c>
      <c r="Q15" s="86">
        <f>IF(P15="NO",0,O15*Parametros!$E$9)</f>
        <v>0</v>
      </c>
      <c r="R15" s="85">
        <v>0</v>
      </c>
      <c r="S15" s="88" t="s">
        <v>222</v>
      </c>
      <c r="T15" s="86">
        <f>IF(S15="NO",0,R15*Parametros!$E$10)</f>
        <v>0</v>
      </c>
      <c r="U15" s="85">
        <v>0</v>
      </c>
      <c r="V15" s="86">
        <f>U15*Parametros!$E$11</f>
        <v>0</v>
      </c>
      <c r="W15" s="87">
        <v>0</v>
      </c>
      <c r="X15" s="86">
        <f>MAX(0,Parametros!$E$12-Parametros!$E$18*W15)</f>
        <v>0.25</v>
      </c>
      <c r="Y15" s="87">
        <v>0</v>
      </c>
      <c r="Z15" s="87">
        <v>0</v>
      </c>
      <c r="AA15" s="89">
        <f>IF(Y15&gt;=Parametros!$E$22,Parametros!$E$24,0)</f>
        <v>0</v>
      </c>
      <c r="AB15" s="89">
        <f>IF(Z15&gt;=Parametros!$E$23,Parametros!$E$25,0)</f>
        <v>0</v>
      </c>
      <c r="AC15" s="89">
        <f t="shared" si="1"/>
        <v>0</v>
      </c>
      <c r="AD15" s="87">
        <v>0</v>
      </c>
      <c r="AE15" s="88" t="s">
        <v>222</v>
      </c>
      <c r="AF15" s="87">
        <v>0</v>
      </c>
      <c r="AG15" s="88" t="s">
        <v>222</v>
      </c>
      <c r="AH15" s="87">
        <v>0</v>
      </c>
      <c r="AI15" s="88" t="s">
        <v>222</v>
      </c>
      <c r="AJ15" s="87">
        <v>0</v>
      </c>
      <c r="AK15" s="88" t="s">
        <v>222</v>
      </c>
      <c r="AL15" s="87">
        <v>0</v>
      </c>
      <c r="AM15" s="88" t="s">
        <v>222</v>
      </c>
      <c r="AN15" s="89">
        <f>AD15*Parametros!$E$28+AF15*Parametros!$E$29+AH15*Parametros!$E$30+AJ15*Parametros!$E$31+AL15*Parametros!$E$32</f>
        <v>0</v>
      </c>
      <c r="AO15" s="12" t="str">
        <f t="shared" si="2"/>
        <v>NO</v>
      </c>
      <c r="AP15" s="11">
        <f t="shared" si="3"/>
        <v>0.25</v>
      </c>
      <c r="AQ15" s="90">
        <f>MAX(0,MIN(1,MAX(0,AP15-IF(S15="NO",Parametros!$E$17,0))+AC15-AN15-IF(AO15="SI",Parametros!$E$33,0)))</f>
        <v>0.25</v>
      </c>
      <c r="AR15" s="58"/>
      <c r="AS15" s="79" t="str">
        <f>'Captura Octubre'!B17</f>
        <v>Linea 5</v>
      </c>
      <c r="AT15" s="80">
        <f>'Captura Octubre'!K17+'Captura Octubre'!N17+'Captura Octubre'!Q17</f>
        <v>0</v>
      </c>
      <c r="AU15" s="80">
        <f>'Captura Octubre'!T17</f>
        <v>0</v>
      </c>
      <c r="AV15" s="80">
        <f>'Captura Octubre'!V17</f>
        <v>0</v>
      </c>
      <c r="AW15" s="80">
        <f>'Captura Octubre'!G17</f>
        <v>0</v>
      </c>
      <c r="AX15" s="80">
        <f>'Captura Octubre'!X17</f>
        <v>0.25</v>
      </c>
      <c r="AY15" s="80">
        <f>'Captura Octubre'!AC17</f>
        <v>0</v>
      </c>
      <c r="AZ15" s="81">
        <f>-'Captura Octubre'!AN17</f>
        <v>0</v>
      </c>
      <c r="BA15" s="82">
        <f>'Captura Octubre'!AQ17</f>
        <v>0.25</v>
      </c>
      <c r="BB15" s="58"/>
      <c r="BC15" s="58"/>
    </row>
    <row r="16" spans="1:55" ht="16.5" customHeight="1" x14ac:dyDescent="0.35">
      <c r="A16" s="12">
        <v>11</v>
      </c>
      <c r="B16" s="83" t="s">
        <v>106</v>
      </c>
      <c r="C16" s="84" t="str">
        <f>VLOOKUP(B16,Parametros!$I$6:$J$20,2,FALSE())</f>
        <v>Mario Ramos</v>
      </c>
      <c r="D16" s="85">
        <v>0</v>
      </c>
      <c r="E16" s="85">
        <v>0</v>
      </c>
      <c r="F16" s="11">
        <f t="shared" si="0"/>
        <v>0</v>
      </c>
      <c r="G16" s="86">
        <f>F16*Parametros!$E$6</f>
        <v>0</v>
      </c>
      <c r="H16" s="87">
        <v>0</v>
      </c>
      <c r="I16" s="87">
        <v>0</v>
      </c>
      <c r="J16" s="88" t="s">
        <v>222</v>
      </c>
      <c r="K16" s="86">
        <f>IF(J16="NO",0,IFERROR(H16/I16,0)*Parametros!$E$7)</f>
        <v>0</v>
      </c>
      <c r="L16" s="85">
        <v>0</v>
      </c>
      <c r="M16" s="88" t="s">
        <v>222</v>
      </c>
      <c r="N16" s="86">
        <f>IF(M16="NO",0,L16*Parametros!$E$8)</f>
        <v>0</v>
      </c>
      <c r="O16" s="85">
        <v>0</v>
      </c>
      <c r="P16" s="88" t="s">
        <v>222</v>
      </c>
      <c r="Q16" s="86">
        <f>IF(P16="NO",0,O16*Parametros!$E$9)</f>
        <v>0</v>
      </c>
      <c r="R16" s="85">
        <v>0</v>
      </c>
      <c r="S16" s="88" t="s">
        <v>222</v>
      </c>
      <c r="T16" s="86">
        <f>IF(S16="NO",0,R16*Parametros!$E$10)</f>
        <v>0</v>
      </c>
      <c r="U16" s="85">
        <v>0</v>
      </c>
      <c r="V16" s="86">
        <f>U16*Parametros!$E$11</f>
        <v>0</v>
      </c>
      <c r="W16" s="87">
        <v>0</v>
      </c>
      <c r="X16" s="86">
        <f>MAX(0,Parametros!$E$12-Parametros!$E$18*W16)</f>
        <v>0.25</v>
      </c>
      <c r="Y16" s="87">
        <v>0</v>
      </c>
      <c r="Z16" s="87">
        <v>0</v>
      </c>
      <c r="AA16" s="89">
        <f>IF(Y16&gt;=Parametros!$E$22,Parametros!$E$24,0)</f>
        <v>0</v>
      </c>
      <c r="AB16" s="89">
        <f>IF(Z16&gt;=Parametros!$E$23,Parametros!$E$25,0)</f>
        <v>0</v>
      </c>
      <c r="AC16" s="89">
        <f t="shared" si="1"/>
        <v>0</v>
      </c>
      <c r="AD16" s="87">
        <v>0</v>
      </c>
      <c r="AE16" s="88" t="s">
        <v>222</v>
      </c>
      <c r="AF16" s="87">
        <v>0</v>
      </c>
      <c r="AG16" s="88" t="s">
        <v>222</v>
      </c>
      <c r="AH16" s="87">
        <v>0</v>
      </c>
      <c r="AI16" s="88" t="s">
        <v>222</v>
      </c>
      <c r="AJ16" s="87">
        <v>0</v>
      </c>
      <c r="AK16" s="88" t="s">
        <v>222</v>
      </c>
      <c r="AL16" s="87">
        <v>0</v>
      </c>
      <c r="AM16" s="88" t="s">
        <v>222</v>
      </c>
      <c r="AN16" s="89">
        <f>AD16*Parametros!$E$28+AF16*Parametros!$E$29+AH16*Parametros!$E$30+AJ16*Parametros!$E$31+AL16*Parametros!$E$32</f>
        <v>0</v>
      </c>
      <c r="AO16" s="12" t="str">
        <f t="shared" si="2"/>
        <v>NO</v>
      </c>
      <c r="AP16" s="11">
        <f t="shared" si="3"/>
        <v>0.25</v>
      </c>
      <c r="AQ16" s="90">
        <f>MAX(0,MIN(1,MAX(0,AP16-IF(S16="NO",Parametros!$E$17,0))+AC16-AN16-IF(AO16="SI",Parametros!$E$33,0)))</f>
        <v>0.25</v>
      </c>
      <c r="AR16" s="58"/>
      <c r="AS16" s="71" t="str">
        <f>'Captura Octubre'!B18</f>
        <v>Mantenimiento</v>
      </c>
      <c r="AT16" s="72">
        <f>'Captura Octubre'!K18+'Captura Octubre'!N18+'Captura Octubre'!Q18</f>
        <v>0</v>
      </c>
      <c r="AU16" s="72">
        <f>'Captura Octubre'!T18</f>
        <v>0</v>
      </c>
      <c r="AV16" s="72">
        <f>'Captura Octubre'!V18</f>
        <v>0</v>
      </c>
      <c r="AW16" s="72">
        <f>'Captura Octubre'!G18</f>
        <v>0</v>
      </c>
      <c r="AX16" s="72">
        <f>'Captura Octubre'!X18</f>
        <v>0.25</v>
      </c>
      <c r="AY16" s="72">
        <f>'Captura Octubre'!AC18</f>
        <v>0</v>
      </c>
      <c r="AZ16" s="73">
        <f>-'Captura Octubre'!AN18</f>
        <v>0</v>
      </c>
      <c r="BA16" s="74">
        <f>'Captura Octubre'!AQ18</f>
        <v>0.25</v>
      </c>
      <c r="BB16" s="58"/>
      <c r="BC16" s="58"/>
    </row>
    <row r="17" spans="1:55" ht="16.5" customHeight="1" x14ac:dyDescent="0.35">
      <c r="A17" s="12">
        <v>12</v>
      </c>
      <c r="B17" s="83" t="s">
        <v>109</v>
      </c>
      <c r="C17" s="84" t="str">
        <f>VLOOKUP(B17,Parametros!$I$6:$J$20,2,FALSE())</f>
        <v>Roy Luarca</v>
      </c>
      <c r="D17" s="85">
        <v>0</v>
      </c>
      <c r="E17" s="85">
        <v>0</v>
      </c>
      <c r="F17" s="11">
        <f t="shared" si="0"/>
        <v>0</v>
      </c>
      <c r="G17" s="86">
        <f>F17*Parametros!$E$6</f>
        <v>0</v>
      </c>
      <c r="H17" s="87">
        <v>0</v>
      </c>
      <c r="I17" s="87">
        <v>0</v>
      </c>
      <c r="J17" s="88" t="s">
        <v>222</v>
      </c>
      <c r="K17" s="86">
        <f>IF(J17="NO",0,IFERROR(H17/I17,0)*Parametros!$E$7)</f>
        <v>0</v>
      </c>
      <c r="L17" s="85">
        <v>0</v>
      </c>
      <c r="M17" s="88" t="s">
        <v>222</v>
      </c>
      <c r="N17" s="86">
        <f>IF(M17="NO",0,L17*Parametros!$E$8)</f>
        <v>0</v>
      </c>
      <c r="O17" s="85">
        <v>0</v>
      </c>
      <c r="P17" s="88" t="s">
        <v>222</v>
      </c>
      <c r="Q17" s="86">
        <f>IF(P17="NO",0,O17*Parametros!$E$9)</f>
        <v>0</v>
      </c>
      <c r="R17" s="85">
        <v>0</v>
      </c>
      <c r="S17" s="88" t="s">
        <v>222</v>
      </c>
      <c r="T17" s="86">
        <f>IF(S17="NO",0,R17*Parametros!$E$10)</f>
        <v>0</v>
      </c>
      <c r="U17" s="85">
        <v>0</v>
      </c>
      <c r="V17" s="86">
        <f>U17*Parametros!$E$11</f>
        <v>0</v>
      </c>
      <c r="W17" s="87">
        <v>0</v>
      </c>
      <c r="X17" s="86">
        <f>MAX(0,Parametros!$E$12-Parametros!$E$18*W17)</f>
        <v>0.25</v>
      </c>
      <c r="Y17" s="87">
        <v>0</v>
      </c>
      <c r="Z17" s="87">
        <v>0</v>
      </c>
      <c r="AA17" s="89">
        <f>IF(Y17&gt;=Parametros!$E$22,Parametros!$E$24,0)</f>
        <v>0</v>
      </c>
      <c r="AB17" s="89">
        <f>IF(Z17&gt;=Parametros!$E$23,Parametros!$E$25,0)</f>
        <v>0</v>
      </c>
      <c r="AC17" s="89">
        <f t="shared" si="1"/>
        <v>0</v>
      </c>
      <c r="AD17" s="87">
        <v>0</v>
      </c>
      <c r="AE17" s="88" t="s">
        <v>222</v>
      </c>
      <c r="AF17" s="87">
        <v>0</v>
      </c>
      <c r="AG17" s="88" t="s">
        <v>222</v>
      </c>
      <c r="AH17" s="87">
        <v>0</v>
      </c>
      <c r="AI17" s="88" t="s">
        <v>222</v>
      </c>
      <c r="AJ17" s="87">
        <v>0</v>
      </c>
      <c r="AK17" s="88" t="s">
        <v>222</v>
      </c>
      <c r="AL17" s="87">
        <v>0</v>
      </c>
      <c r="AM17" s="88" t="s">
        <v>222</v>
      </c>
      <c r="AN17" s="89">
        <f>AD17*Parametros!$E$28+AF17*Parametros!$E$29+AH17*Parametros!$E$30+AJ17*Parametros!$E$31+AL17*Parametros!$E$32</f>
        <v>0</v>
      </c>
      <c r="AO17" s="12" t="str">
        <f t="shared" si="2"/>
        <v>NO</v>
      </c>
      <c r="AP17" s="11">
        <f t="shared" si="3"/>
        <v>0.25</v>
      </c>
      <c r="AQ17" s="90">
        <f>MAX(0,MIN(1,MAX(0,AP17-IF(S17="NO",Parametros!$E$17,0))+AC17-AN17-IF(AO17="SI",Parametros!$E$33,0)))</f>
        <v>0.25</v>
      </c>
      <c r="AR17" s="58"/>
      <c r="AS17" s="79" t="str">
        <f>'Captura Octubre'!B19</f>
        <v>Materias Primas</v>
      </c>
      <c r="AT17" s="80">
        <f>'Captura Octubre'!K19+'Captura Octubre'!N19+'Captura Octubre'!Q19</f>
        <v>0</v>
      </c>
      <c r="AU17" s="80">
        <f>'Captura Octubre'!T19</f>
        <v>0</v>
      </c>
      <c r="AV17" s="80">
        <f>'Captura Octubre'!V19</f>
        <v>0</v>
      </c>
      <c r="AW17" s="80">
        <f>'Captura Octubre'!G19</f>
        <v>0</v>
      </c>
      <c r="AX17" s="80">
        <f>'Captura Octubre'!X19</f>
        <v>0.25</v>
      </c>
      <c r="AY17" s="80">
        <f>'Captura Octubre'!AC19</f>
        <v>0</v>
      </c>
      <c r="AZ17" s="81">
        <f>-'Captura Octubre'!AN19</f>
        <v>0</v>
      </c>
      <c r="BA17" s="82">
        <f>'Captura Octubre'!AQ19</f>
        <v>0.25</v>
      </c>
      <c r="BB17" s="58"/>
      <c r="BC17" s="58"/>
    </row>
    <row r="18" spans="1:55" ht="16.5" customHeight="1" x14ac:dyDescent="0.35">
      <c r="A18" s="12">
        <v>13</v>
      </c>
      <c r="B18" s="83" t="s">
        <v>140</v>
      </c>
      <c r="C18" s="84" t="str">
        <f>VLOOKUP(B18,Parametros!$I$6:$J$20,2,FALSE())</f>
        <v>Eliu Tello</v>
      </c>
      <c r="D18" s="85">
        <v>0</v>
      </c>
      <c r="E18" s="85">
        <v>0</v>
      </c>
      <c r="F18" s="11">
        <f t="shared" si="0"/>
        <v>0</v>
      </c>
      <c r="G18" s="86">
        <f>F18*Parametros!$E$6</f>
        <v>0</v>
      </c>
      <c r="H18" s="87">
        <v>0</v>
      </c>
      <c r="I18" s="87">
        <v>0</v>
      </c>
      <c r="J18" s="88" t="s">
        <v>222</v>
      </c>
      <c r="K18" s="86">
        <f>IF(J18="NO",0,IFERROR(H18/I18,0)*Parametros!$E$7)</f>
        <v>0</v>
      </c>
      <c r="L18" s="85">
        <v>0</v>
      </c>
      <c r="M18" s="88" t="s">
        <v>222</v>
      </c>
      <c r="N18" s="86">
        <f>IF(M18="NO",0,L18*Parametros!$E$8)</f>
        <v>0</v>
      </c>
      <c r="O18" s="85">
        <v>0</v>
      </c>
      <c r="P18" s="88" t="s">
        <v>222</v>
      </c>
      <c r="Q18" s="86">
        <f>IF(P18="NO",0,O18*Parametros!$E$9)</f>
        <v>0</v>
      </c>
      <c r="R18" s="85">
        <v>0</v>
      </c>
      <c r="S18" s="88" t="s">
        <v>222</v>
      </c>
      <c r="T18" s="86">
        <f>IF(S18="NO",0,R18*Parametros!$E$10)</f>
        <v>0</v>
      </c>
      <c r="U18" s="85">
        <v>0</v>
      </c>
      <c r="V18" s="86">
        <f>U18*Parametros!$E$11</f>
        <v>0</v>
      </c>
      <c r="W18" s="87">
        <v>0</v>
      </c>
      <c r="X18" s="86">
        <f>MAX(0,Parametros!$E$12-Parametros!$E$18*W18)</f>
        <v>0.25</v>
      </c>
      <c r="Y18" s="87">
        <v>0</v>
      </c>
      <c r="Z18" s="87">
        <v>0</v>
      </c>
      <c r="AA18" s="89">
        <f>IF(Y18&gt;=Parametros!$E$22,Parametros!$E$24,0)</f>
        <v>0</v>
      </c>
      <c r="AB18" s="89">
        <f>IF(Z18&gt;=Parametros!$E$23,Parametros!$E$25,0)</f>
        <v>0</v>
      </c>
      <c r="AC18" s="89">
        <f t="shared" si="1"/>
        <v>0</v>
      </c>
      <c r="AD18" s="87">
        <v>0</v>
      </c>
      <c r="AE18" s="88" t="s">
        <v>222</v>
      </c>
      <c r="AF18" s="87">
        <v>0</v>
      </c>
      <c r="AG18" s="88" t="s">
        <v>222</v>
      </c>
      <c r="AH18" s="87">
        <v>0</v>
      </c>
      <c r="AI18" s="88" t="s">
        <v>222</v>
      </c>
      <c r="AJ18" s="87">
        <v>0</v>
      </c>
      <c r="AK18" s="88" t="s">
        <v>222</v>
      </c>
      <c r="AL18" s="87">
        <v>0</v>
      </c>
      <c r="AM18" s="88" t="s">
        <v>222</v>
      </c>
      <c r="AN18" s="89">
        <f>AD18*Parametros!$E$28+AF18*Parametros!$E$29+AH18*Parametros!$E$30+AJ18*Parametros!$E$31+AL18*Parametros!$E$32</f>
        <v>0</v>
      </c>
      <c r="AO18" s="12" t="str">
        <f t="shared" si="2"/>
        <v>NO</v>
      </c>
      <c r="AP18" s="11">
        <f t="shared" si="3"/>
        <v>0.25</v>
      </c>
      <c r="AQ18" s="90">
        <f>MAX(0,MIN(1,MAX(0,AP18-IF(S18="NO",Parametros!$E$17,0))+AC18-AN18-IF(AO18="SI",Parametros!$E$33,0)))</f>
        <v>0.25</v>
      </c>
      <c r="AR18" s="58"/>
      <c r="AS18" s="71" t="str">
        <f>'Captura Octubre'!B20</f>
        <v>Tratamiento de Aguas</v>
      </c>
      <c r="AT18" s="72">
        <f>'Captura Octubre'!K20+'Captura Octubre'!N20+'Captura Octubre'!Q20</f>
        <v>0</v>
      </c>
      <c r="AU18" s="72">
        <f>'Captura Octubre'!T20</f>
        <v>0</v>
      </c>
      <c r="AV18" s="72">
        <f>'Captura Octubre'!V20</f>
        <v>0</v>
      </c>
      <c r="AW18" s="72">
        <f>'Captura Octubre'!G20</f>
        <v>0</v>
      </c>
      <c r="AX18" s="72">
        <f>'Captura Octubre'!X20</f>
        <v>0.25</v>
      </c>
      <c r="AY18" s="72">
        <f>'Captura Octubre'!AC20</f>
        <v>0</v>
      </c>
      <c r="AZ18" s="73">
        <f>-'Captura Octubre'!AN20</f>
        <v>0</v>
      </c>
      <c r="BA18" s="74">
        <f>'Captura Octubre'!AQ20</f>
        <v>0.25</v>
      </c>
      <c r="BB18" s="58"/>
      <c r="BC18" s="58"/>
    </row>
    <row r="19" spans="1:55" ht="25.5" customHeight="1" x14ac:dyDescent="0.35">
      <c r="A19" s="12">
        <v>14</v>
      </c>
      <c r="B19" s="83" t="s">
        <v>142</v>
      </c>
      <c r="C19" s="84" t="str">
        <f>VLOOKUP(B19,Parametros!$I$6:$J$20,2,FALSE())</f>
        <v>Miguel Godinez</v>
      </c>
      <c r="D19" s="85">
        <v>0</v>
      </c>
      <c r="E19" s="85">
        <v>0</v>
      </c>
      <c r="F19" s="11">
        <f t="shared" si="0"/>
        <v>0</v>
      </c>
      <c r="G19" s="86">
        <f>F19*Parametros!$E$6</f>
        <v>0</v>
      </c>
      <c r="H19" s="87">
        <v>0</v>
      </c>
      <c r="I19" s="87">
        <v>0</v>
      </c>
      <c r="J19" s="88" t="s">
        <v>222</v>
      </c>
      <c r="K19" s="86">
        <f>IF(J19="NO",0,IFERROR(H19/I19,0)*Parametros!$E$7)</f>
        <v>0</v>
      </c>
      <c r="L19" s="85">
        <v>0</v>
      </c>
      <c r="M19" s="88" t="s">
        <v>222</v>
      </c>
      <c r="N19" s="86">
        <f>IF(M19="NO",0,L19*Parametros!$E$8)</f>
        <v>0</v>
      </c>
      <c r="O19" s="85">
        <v>0</v>
      </c>
      <c r="P19" s="88" t="s">
        <v>222</v>
      </c>
      <c r="Q19" s="86">
        <f>IF(P19="NO",0,O19*Parametros!$E$9)</f>
        <v>0</v>
      </c>
      <c r="R19" s="85">
        <v>0</v>
      </c>
      <c r="S19" s="88" t="s">
        <v>222</v>
      </c>
      <c r="T19" s="86">
        <f>IF(S19="NO",0,R19*Parametros!$E$10)</f>
        <v>0</v>
      </c>
      <c r="U19" s="85">
        <v>0</v>
      </c>
      <c r="V19" s="86">
        <f>U19*Parametros!$E$11</f>
        <v>0</v>
      </c>
      <c r="W19" s="87">
        <v>0</v>
      </c>
      <c r="X19" s="86">
        <f>MAX(0,Parametros!$E$12-Parametros!$E$18*W19)</f>
        <v>0.25</v>
      </c>
      <c r="Y19" s="87">
        <v>0</v>
      </c>
      <c r="Z19" s="87">
        <v>0</v>
      </c>
      <c r="AA19" s="89">
        <f>IF(Y19&gt;=Parametros!$E$22,Parametros!$E$24,0)</f>
        <v>0</v>
      </c>
      <c r="AB19" s="89">
        <f>IF(Z19&gt;=Parametros!$E$23,Parametros!$E$25,0)</f>
        <v>0</v>
      </c>
      <c r="AC19" s="89">
        <f t="shared" si="1"/>
        <v>0</v>
      </c>
      <c r="AD19" s="87">
        <v>0</v>
      </c>
      <c r="AE19" s="88" t="s">
        <v>222</v>
      </c>
      <c r="AF19" s="87">
        <v>0</v>
      </c>
      <c r="AG19" s="88" t="s">
        <v>222</v>
      </c>
      <c r="AH19" s="87">
        <v>0</v>
      </c>
      <c r="AI19" s="88" t="s">
        <v>222</v>
      </c>
      <c r="AJ19" s="87">
        <v>0</v>
      </c>
      <c r="AK19" s="88" t="s">
        <v>222</v>
      </c>
      <c r="AL19" s="87">
        <v>0</v>
      </c>
      <c r="AM19" s="88" t="s">
        <v>222</v>
      </c>
      <c r="AN19" s="89">
        <f>AD19*Parametros!$E$28+AF19*Parametros!$E$29+AH19*Parametros!$E$30+AJ19*Parametros!$E$31+AL19*Parametros!$E$32</f>
        <v>0</v>
      </c>
      <c r="AO19" s="12" t="str">
        <f t="shared" si="2"/>
        <v>NO</v>
      </c>
      <c r="AP19" s="11">
        <f t="shared" si="3"/>
        <v>0.25</v>
      </c>
      <c r="AQ19" s="90">
        <f>MAX(0,MIN(1,MAX(0,AP19-IF(S19="NO",Parametros!$E$17,0))+AC19-AN19-IF(AO19="SI",Parametros!$E$33,0)))</f>
        <v>0.25</v>
      </c>
      <c r="AR19" s="58"/>
      <c r="AS19" s="111" t="s">
        <v>270</v>
      </c>
      <c r="AT19" s="111"/>
      <c r="AU19" s="111"/>
      <c r="AV19" s="111"/>
      <c r="AW19" s="111"/>
      <c r="AX19" s="111"/>
      <c r="AY19" s="111"/>
      <c r="AZ19" s="111"/>
      <c r="BA19" s="91">
        <f>AVERAGE(BA4:BA18)</f>
        <v>0.25</v>
      </c>
      <c r="BB19" s="58"/>
      <c r="BC19" s="58"/>
    </row>
    <row r="20" spans="1:55" ht="16.5" customHeight="1" x14ac:dyDescent="0.35">
      <c r="A20" s="12">
        <v>15</v>
      </c>
      <c r="B20" s="83" t="s">
        <v>138</v>
      </c>
      <c r="C20" s="84" t="str">
        <f>VLOOKUP(B20,Parametros!$I$6:$J$20,2,FALSE())</f>
        <v>Adrian Santisteban</v>
      </c>
      <c r="D20" s="85">
        <v>0</v>
      </c>
      <c r="E20" s="85">
        <v>0</v>
      </c>
      <c r="F20" s="11">
        <f t="shared" si="0"/>
        <v>0</v>
      </c>
      <c r="G20" s="86">
        <f>F20*Parametros!$E$6</f>
        <v>0</v>
      </c>
      <c r="H20" s="87">
        <v>0</v>
      </c>
      <c r="I20" s="87">
        <v>0</v>
      </c>
      <c r="J20" s="88" t="s">
        <v>222</v>
      </c>
      <c r="K20" s="86">
        <f>IF(J20="NO",0,IFERROR(H20/I20,0)*Parametros!$E$7)</f>
        <v>0</v>
      </c>
      <c r="L20" s="85">
        <v>0</v>
      </c>
      <c r="M20" s="88" t="s">
        <v>222</v>
      </c>
      <c r="N20" s="86">
        <f>IF(M20="NO",0,L20*Parametros!$E$8)</f>
        <v>0</v>
      </c>
      <c r="O20" s="85">
        <v>0</v>
      </c>
      <c r="P20" s="88" t="s">
        <v>222</v>
      </c>
      <c r="Q20" s="86">
        <f>IF(P20="NO",0,O20*Parametros!$E$9)</f>
        <v>0</v>
      </c>
      <c r="R20" s="85">
        <v>0</v>
      </c>
      <c r="S20" s="88" t="s">
        <v>222</v>
      </c>
      <c r="T20" s="86">
        <f>IF(S20="NO",0,R20*Parametros!$E$10)</f>
        <v>0</v>
      </c>
      <c r="U20" s="85">
        <v>0</v>
      </c>
      <c r="V20" s="86">
        <f>U20*Parametros!$E$11</f>
        <v>0</v>
      </c>
      <c r="W20" s="87">
        <v>0</v>
      </c>
      <c r="X20" s="86">
        <f>MAX(0,Parametros!$E$12-Parametros!$E$18*W20)</f>
        <v>0.25</v>
      </c>
      <c r="Y20" s="87">
        <v>0</v>
      </c>
      <c r="Z20" s="87">
        <v>0</v>
      </c>
      <c r="AA20" s="89">
        <f>IF(Y20&gt;=Parametros!$E$22,Parametros!$E$24,0)</f>
        <v>0</v>
      </c>
      <c r="AB20" s="89">
        <f>IF(Z20&gt;=Parametros!$E$23,Parametros!$E$25,0)</f>
        <v>0</v>
      </c>
      <c r="AC20" s="89">
        <f t="shared" si="1"/>
        <v>0</v>
      </c>
      <c r="AD20" s="87">
        <v>0</v>
      </c>
      <c r="AE20" s="88" t="s">
        <v>222</v>
      </c>
      <c r="AF20" s="87">
        <v>0</v>
      </c>
      <c r="AG20" s="88" t="s">
        <v>222</v>
      </c>
      <c r="AH20" s="87">
        <v>0</v>
      </c>
      <c r="AI20" s="88" t="s">
        <v>222</v>
      </c>
      <c r="AJ20" s="87">
        <v>0</v>
      </c>
      <c r="AK20" s="88" t="s">
        <v>222</v>
      </c>
      <c r="AL20" s="87">
        <v>0</v>
      </c>
      <c r="AM20" s="88" t="s">
        <v>222</v>
      </c>
      <c r="AN20" s="89">
        <f>AD20*Parametros!$E$28+AF20*Parametros!$E$29+AH20*Parametros!$E$30+AJ20*Parametros!$E$31+AL20*Parametros!$E$32</f>
        <v>0</v>
      </c>
      <c r="AO20" s="12" t="str">
        <f t="shared" si="2"/>
        <v>NO</v>
      </c>
      <c r="AP20" s="11">
        <f t="shared" si="3"/>
        <v>0.25</v>
      </c>
      <c r="AQ20" s="90">
        <f>MAX(0,MIN(1,MAX(0,AP20-IF(S20="NO",Parametros!$E$17,0))+AC20-AN20-IF(AO20="SI",Parametros!$E$33,0)))</f>
        <v>0.25</v>
      </c>
      <c r="AR20" s="58"/>
      <c r="AS20" s="58"/>
      <c r="AT20" s="58"/>
      <c r="AU20" s="58"/>
      <c r="AV20" s="58"/>
      <c r="AW20" s="58"/>
      <c r="AX20" s="58"/>
      <c r="AY20" s="58"/>
      <c r="AZ20" s="58"/>
      <c r="BA20" s="58"/>
      <c r="BB20" s="58"/>
    </row>
    <row r="22" spans="1:55" ht="21.75" customHeight="1" x14ac:dyDescent="0.35">
      <c r="A22" s="112"/>
      <c r="B22" s="112"/>
      <c r="C22" s="112"/>
      <c r="D22" s="70"/>
      <c r="E22" s="70"/>
      <c r="F22" s="70"/>
      <c r="G22" s="70"/>
      <c r="H22" s="70"/>
      <c r="I22" s="70"/>
      <c r="J22" s="70"/>
      <c r="K22" s="70"/>
      <c r="L22" s="70"/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V22" s="92"/>
    </row>
    <row r="23" spans="1:55" ht="21.75" customHeight="1" x14ac:dyDescent="0.35">
      <c r="A23" s="113" t="s">
        <v>225</v>
      </c>
      <c r="B23" s="113"/>
      <c r="C23" s="113"/>
      <c r="D23" s="93"/>
      <c r="E23" s="93"/>
      <c r="F23" s="93"/>
      <c r="G23" s="93"/>
      <c r="H23" s="93"/>
      <c r="I23" s="93"/>
      <c r="J23" s="93"/>
      <c r="K23" s="93"/>
      <c r="L23" s="93"/>
      <c r="M23" s="93"/>
      <c r="N23" s="93"/>
      <c r="O23" s="93"/>
      <c r="P23" s="93"/>
      <c r="Q23" s="93"/>
      <c r="R23" s="93"/>
      <c r="S23" s="93"/>
      <c r="T23" s="93"/>
      <c r="U23" s="93"/>
      <c r="V23" s="93"/>
      <c r="W23" s="93"/>
      <c r="X23" s="93"/>
      <c r="Y23" s="93"/>
      <c r="Z23" s="93"/>
      <c r="AA23" s="93"/>
      <c r="AB23" s="93"/>
      <c r="AC23" s="93"/>
      <c r="AD23" s="93"/>
      <c r="AE23" s="93"/>
      <c r="AF23" s="93"/>
      <c r="AG23" s="93"/>
      <c r="AH23" s="93"/>
      <c r="AI23" s="93"/>
      <c r="AJ23" s="93"/>
      <c r="AK23" s="93"/>
      <c r="AL23" s="93"/>
      <c r="AM23" s="93"/>
      <c r="AN23" s="93"/>
      <c r="AO23" s="93"/>
      <c r="AP23" s="93"/>
      <c r="AQ23" s="94">
        <f>AVERAGE(AQ6:AQ20)</f>
        <v>0.25</v>
      </c>
      <c r="AR23" s="58"/>
      <c r="AS23" s="58"/>
      <c r="AT23" s="58"/>
      <c r="AU23" s="58"/>
      <c r="AV23" s="58"/>
      <c r="AW23" s="58"/>
      <c r="AX23" s="58"/>
      <c r="AY23" s="58"/>
      <c r="AZ23" s="58"/>
      <c r="BA23" s="58"/>
      <c r="BB23" s="58"/>
    </row>
  </sheetData>
  <mergeCells count="20">
    <mergeCell ref="A1:AB1"/>
    <mergeCell ref="AS1:BA1"/>
    <mergeCell ref="BB1:BC1"/>
    <mergeCell ref="B2:D2"/>
    <mergeCell ref="AT2:AV2"/>
    <mergeCell ref="AX2:BA2"/>
    <mergeCell ref="BB5:BC5"/>
    <mergeCell ref="AS19:AZ19"/>
    <mergeCell ref="A22:C22"/>
    <mergeCell ref="A23:C23"/>
    <mergeCell ref="U4:V4"/>
    <mergeCell ref="W4:X4"/>
    <mergeCell ref="Y4:AC4"/>
    <mergeCell ref="AD4:AO4"/>
    <mergeCell ref="AP4:AQ4"/>
    <mergeCell ref="D4:G4"/>
    <mergeCell ref="H4:K4"/>
    <mergeCell ref="L4:N4"/>
    <mergeCell ref="O4:Q4"/>
    <mergeCell ref="R4:T4"/>
  </mergeCells>
  <conditionalFormatting sqref="AQ6:AQ20">
    <cfRule type="cellIs" dxfId="29" priority="5" operator="greaterThanOrEqual">
      <formula>0.9</formula>
    </cfRule>
    <cfRule type="cellIs" dxfId="28" priority="6" operator="between">
      <formula>0.7</formula>
      <formula>0.8999</formula>
    </cfRule>
    <cfRule type="cellIs" dxfId="27" priority="7" operator="lessThan">
      <formula>0.7</formula>
    </cfRule>
  </conditionalFormatting>
  <conditionalFormatting sqref="AV6:AV20">
    <cfRule type="cellIs" dxfId="26" priority="2" operator="greaterThanOrEqual">
      <formula>0.9</formula>
    </cfRule>
    <cfRule type="expression" dxfId="25" priority="3">
      <formula>AND(AV6&gt;=0.7,AV6&lt;0.9)</formula>
    </cfRule>
    <cfRule type="cellIs" dxfId="24" priority="4" operator="lessThan">
      <formula>0.7</formula>
    </cfRule>
  </conditionalFormatting>
  <conditionalFormatting sqref="BA4:BA18">
    <cfRule type="cellIs" dxfId="23" priority="8" operator="greaterThanOrEqual">
      <formula>0.9</formula>
    </cfRule>
    <cfRule type="cellIs" dxfId="22" priority="9" operator="between">
      <formula>0.7</formula>
      <formula>0.8999</formula>
    </cfRule>
    <cfRule type="cellIs" dxfId="21" priority="10" operator="lessThan">
      <formula>0.7</formula>
    </cfRule>
  </conditionalFormatting>
  <dataValidations count="4">
    <dataValidation type="whole" operator="greaterThanOrEqual" showErrorMessage="1" errorTitle="Valor invalido" error="Ingrese un numero entero &gt;= 0" sqref="F6:F20 K6:K20 N6:N20 V6:W20 AB6:AB20 AD6:AD20 AO6:AO20 AQ6:AQ20" xr:uid="{00000000-0002-0000-0E00-000000000000}">
      <formula1>0</formula1>
      <formula2>0</formula2>
    </dataValidation>
    <dataValidation type="decimal" showErrorMessage="1" errorTitle="Valor invalido" error="Ingrese un porcentaje entre 0% y 100%" sqref="D6:E20 L6:L20 O6:O20 R6:R20 U6:U20" xr:uid="{00000000-0002-0000-0E00-000001000000}">
      <formula1>0</formula1>
      <formula2>1</formula2>
    </dataValidation>
    <dataValidation type="whole" operator="greaterThanOrEqual" showErrorMessage="1" errorTitle="Valor inválido" error="Ingrese un número entero mayor o igual a 0" sqref="Z6:Z20" xr:uid="{00000000-0002-0000-0E00-000002000000}">
      <formula1>0</formula1>
      <formula2>0</formula2>
    </dataValidation>
    <dataValidation type="list" sqref="J6:J20 M6:M20 P6:P20 S6:T20 X6:X20 AE6:AE20 AG6:AG20 AI6:AN20 AP6:AP20 AR6:AR20" xr:uid="{00000000-0002-0000-0E00-000003000000}">
      <formula1>"SI,NO"</formula1>
      <formula2>0</formula2>
    </dataValidation>
  </dataValidations>
  <pageMargins left="0.3" right="0.3" top="0.4" bottom="0.4" header="0.511811023622047" footer="0.511811023622047"/>
  <pageSetup fitToHeight="0" orientation="landscape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ED6B23"/>
    <pageSetUpPr fitToPage="1"/>
  </sheetPr>
  <dimension ref="A1:BC23"/>
  <sheetViews>
    <sheetView showGridLines="0" zoomScale="85" zoomScaleNormal="85" workbookViewId="0">
      <pane xSplit="3" ySplit="5" topLeftCell="D6" activePane="bottomRight" state="frozen"/>
      <selection pane="topRight" activeCell="D1" sqref="D1"/>
      <selection pane="bottomLeft" activeCell="A6" sqref="A6"/>
      <selection pane="bottomRight"/>
    </sheetView>
  </sheetViews>
  <sheetFormatPr baseColWidth="10" defaultColWidth="8.6328125" defaultRowHeight="14.5" x14ac:dyDescent="0.35"/>
  <cols>
    <col min="1" max="1" width="5" customWidth="1"/>
    <col min="2" max="2" width="22" customWidth="1"/>
    <col min="3" max="3" width="16" customWidth="1"/>
    <col min="4" max="48" width="9.54296875" customWidth="1"/>
    <col min="49" max="50" width="11" customWidth="1"/>
    <col min="51" max="51" width="13" customWidth="1"/>
    <col min="52" max="52" width="11" customWidth="1"/>
    <col min="53" max="53" width="14" customWidth="1"/>
    <col min="54" max="54" width="18" customWidth="1"/>
    <col min="55" max="55" width="10" customWidth="1"/>
  </cols>
  <sheetData>
    <row r="1" spans="1:55" ht="19.5" customHeight="1" x14ac:dyDescent="0.35">
      <c r="A1" s="117" t="s">
        <v>271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  <c r="AA1" s="117"/>
      <c r="AB1" s="117"/>
      <c r="AR1" s="58"/>
      <c r="AS1" s="118" t="s">
        <v>272</v>
      </c>
      <c r="AT1" s="118"/>
      <c r="AU1" s="118"/>
      <c r="AV1" s="118"/>
      <c r="AW1" s="118"/>
      <c r="AX1" s="118"/>
      <c r="AY1" s="118"/>
      <c r="AZ1" s="118"/>
      <c r="BA1" s="118"/>
      <c r="BB1" s="119" t="s">
        <v>273</v>
      </c>
      <c r="BC1" s="119"/>
    </row>
    <row r="2" spans="1:55" ht="18" customHeight="1" x14ac:dyDescent="0.35">
      <c r="A2" s="5" t="s">
        <v>163</v>
      </c>
      <c r="B2" s="120" t="s">
        <v>274</v>
      </c>
      <c r="C2" s="120"/>
      <c r="D2" s="120"/>
      <c r="F2" s="5" t="s">
        <v>165</v>
      </c>
      <c r="G2" s="59" t="s">
        <v>166</v>
      </c>
      <c r="AR2" s="58"/>
      <c r="AS2" s="60"/>
      <c r="AT2" s="121" t="s">
        <v>167</v>
      </c>
      <c r="AU2" s="121"/>
      <c r="AV2" s="121"/>
      <c r="AW2" s="61" t="s">
        <v>96</v>
      </c>
      <c r="AX2" s="122" t="s">
        <v>168</v>
      </c>
      <c r="AY2" s="122"/>
      <c r="AZ2" s="122"/>
      <c r="BA2" s="122"/>
      <c r="BB2" s="62" t="s">
        <v>169</v>
      </c>
      <c r="BC2" s="62" t="s">
        <v>170</v>
      </c>
    </row>
    <row r="3" spans="1:55" ht="21.75" customHeight="1" x14ac:dyDescent="0.35">
      <c r="AR3" s="58"/>
      <c r="AS3" s="63" t="s">
        <v>171</v>
      </c>
      <c r="AT3" s="64" t="s">
        <v>172</v>
      </c>
      <c r="AU3" s="64" t="s">
        <v>173</v>
      </c>
      <c r="AV3" s="64" t="s">
        <v>174</v>
      </c>
      <c r="AW3" s="65" t="s">
        <v>175</v>
      </c>
      <c r="AX3" s="66" t="s">
        <v>176</v>
      </c>
      <c r="AY3" s="66" t="s">
        <v>177</v>
      </c>
      <c r="AZ3" s="66" t="s">
        <v>178</v>
      </c>
      <c r="BA3" s="67" t="s">
        <v>179</v>
      </c>
      <c r="BB3" s="68" t="s">
        <v>180</v>
      </c>
      <c r="BC3" s="69">
        <v>0</v>
      </c>
    </row>
    <row r="4" spans="1:55" ht="21.75" customHeight="1" x14ac:dyDescent="0.35">
      <c r="A4" s="70"/>
      <c r="B4" s="70"/>
      <c r="C4" s="70"/>
      <c r="D4" s="114" t="s">
        <v>181</v>
      </c>
      <c r="E4" s="114"/>
      <c r="F4" s="114"/>
      <c r="G4" s="114"/>
      <c r="H4" s="114" t="s">
        <v>182</v>
      </c>
      <c r="I4" s="114"/>
      <c r="J4" s="114"/>
      <c r="K4" s="114"/>
      <c r="L4" s="114" t="s">
        <v>183</v>
      </c>
      <c r="M4" s="114"/>
      <c r="N4" s="114"/>
      <c r="O4" s="114" t="s">
        <v>184</v>
      </c>
      <c r="P4" s="114"/>
      <c r="Q4" s="114"/>
      <c r="R4" s="114" t="s">
        <v>185</v>
      </c>
      <c r="S4" s="114"/>
      <c r="T4" s="114"/>
      <c r="U4" s="114" t="s">
        <v>186</v>
      </c>
      <c r="V4" s="114"/>
      <c r="W4" s="115" t="s">
        <v>187</v>
      </c>
      <c r="X4" s="115"/>
      <c r="Y4" s="114" t="s">
        <v>188</v>
      </c>
      <c r="Z4" s="114"/>
      <c r="AA4" s="114"/>
      <c r="AB4" s="114"/>
      <c r="AC4" s="114"/>
      <c r="AD4" s="115" t="s">
        <v>189</v>
      </c>
      <c r="AE4" s="115"/>
      <c r="AF4" s="115"/>
      <c r="AG4" s="115"/>
      <c r="AH4" s="115"/>
      <c r="AI4" s="115"/>
      <c r="AJ4" s="115"/>
      <c r="AK4" s="115"/>
      <c r="AL4" s="115"/>
      <c r="AM4" s="115"/>
      <c r="AN4" s="115"/>
      <c r="AO4" s="115"/>
      <c r="AP4" s="116" t="s">
        <v>190</v>
      </c>
      <c r="AQ4" s="116"/>
      <c r="AR4" s="58"/>
      <c r="AS4" s="71" t="str">
        <f>'Captura Noviembre'!B6</f>
        <v>Almacen de Repuestos</v>
      </c>
      <c r="AT4" s="72">
        <f>'Captura Noviembre'!K6+'Captura Noviembre'!N6+'Captura Noviembre'!Q6</f>
        <v>0</v>
      </c>
      <c r="AU4" s="72">
        <f>'Captura Noviembre'!T6</f>
        <v>0</v>
      </c>
      <c r="AV4" s="72">
        <f>'Captura Noviembre'!V6</f>
        <v>0</v>
      </c>
      <c r="AW4" s="72">
        <f>'Captura Noviembre'!G6</f>
        <v>0</v>
      </c>
      <c r="AX4" s="72">
        <f>'Captura Noviembre'!X6</f>
        <v>0.25</v>
      </c>
      <c r="AY4" s="72">
        <f>'Captura Noviembre'!AC6</f>
        <v>0</v>
      </c>
      <c r="AZ4" s="73">
        <f>-'Captura Noviembre'!AN6</f>
        <v>0</v>
      </c>
      <c r="BA4" s="74">
        <f>'Captura Noviembre'!AQ6</f>
        <v>0.25</v>
      </c>
      <c r="BB4" s="68" t="s">
        <v>191</v>
      </c>
      <c r="BC4" s="75">
        <v>0</v>
      </c>
    </row>
    <row r="5" spans="1:55" ht="13.5" customHeight="1" x14ac:dyDescent="0.35">
      <c r="A5" s="76" t="s">
        <v>93</v>
      </c>
      <c r="B5" s="76" t="s">
        <v>48</v>
      </c>
      <c r="C5" s="76" t="s">
        <v>94</v>
      </c>
      <c r="D5" s="77" t="s">
        <v>192</v>
      </c>
      <c r="E5" s="77" t="s">
        <v>193</v>
      </c>
      <c r="F5" s="77" t="s">
        <v>194</v>
      </c>
      <c r="G5" s="77" t="s">
        <v>195</v>
      </c>
      <c r="H5" s="77" t="s">
        <v>196</v>
      </c>
      <c r="I5" s="77" t="s">
        <v>197</v>
      </c>
      <c r="J5" s="77" t="s">
        <v>198</v>
      </c>
      <c r="K5" s="77" t="s">
        <v>195</v>
      </c>
      <c r="L5" s="77" t="s">
        <v>199</v>
      </c>
      <c r="M5" s="77" t="s">
        <v>198</v>
      </c>
      <c r="N5" s="77" t="s">
        <v>195</v>
      </c>
      <c r="O5" s="77" t="s">
        <v>199</v>
      </c>
      <c r="P5" s="77" t="s">
        <v>198</v>
      </c>
      <c r="Q5" s="77" t="s">
        <v>195</v>
      </c>
      <c r="R5" s="77" t="s">
        <v>199</v>
      </c>
      <c r="S5" s="77" t="s">
        <v>198</v>
      </c>
      <c r="T5" s="77" t="s">
        <v>195</v>
      </c>
      <c r="U5" s="77" t="s">
        <v>200</v>
      </c>
      <c r="V5" s="77" t="s">
        <v>195</v>
      </c>
      <c r="W5" s="78" t="s">
        <v>201</v>
      </c>
      <c r="X5" s="78" t="s">
        <v>195</v>
      </c>
      <c r="Y5" s="77" t="s">
        <v>202</v>
      </c>
      <c r="Z5" s="77" t="s">
        <v>203</v>
      </c>
      <c r="AA5" s="77" t="s">
        <v>204</v>
      </c>
      <c r="AB5" s="77" t="s">
        <v>205</v>
      </c>
      <c r="AC5" s="77" t="s">
        <v>206</v>
      </c>
      <c r="AD5" s="78" t="s">
        <v>207</v>
      </c>
      <c r="AE5" s="78" t="s">
        <v>208</v>
      </c>
      <c r="AF5" s="78" t="s">
        <v>209</v>
      </c>
      <c r="AG5" s="78" t="s">
        <v>210</v>
      </c>
      <c r="AH5" s="78" t="s">
        <v>211</v>
      </c>
      <c r="AI5" s="78" t="s">
        <v>212</v>
      </c>
      <c r="AJ5" s="78" t="s">
        <v>213</v>
      </c>
      <c r="AK5" s="78" t="s">
        <v>214</v>
      </c>
      <c r="AL5" s="78" t="s">
        <v>215</v>
      </c>
      <c r="AM5" s="78" t="s">
        <v>216</v>
      </c>
      <c r="AN5" s="78" t="s">
        <v>217</v>
      </c>
      <c r="AO5" s="78" t="s">
        <v>218</v>
      </c>
      <c r="AP5" s="76" t="s">
        <v>219</v>
      </c>
      <c r="AQ5" s="76" t="s">
        <v>220</v>
      </c>
      <c r="AR5" s="58"/>
      <c r="AS5" s="79" t="str">
        <f>'Captura Noviembre'!B7</f>
        <v>Alrededores</v>
      </c>
      <c r="AT5" s="80">
        <f>'Captura Noviembre'!K7+'Captura Noviembre'!N7+'Captura Noviembre'!Q7</f>
        <v>0</v>
      </c>
      <c r="AU5" s="80">
        <f>'Captura Noviembre'!T7</f>
        <v>0</v>
      </c>
      <c r="AV5" s="80">
        <f>'Captura Noviembre'!V7</f>
        <v>0</v>
      </c>
      <c r="AW5" s="80">
        <f>'Captura Noviembre'!G7</f>
        <v>0</v>
      </c>
      <c r="AX5" s="80">
        <f>'Captura Noviembre'!X7</f>
        <v>0.25</v>
      </c>
      <c r="AY5" s="80">
        <f>'Captura Noviembre'!AC7</f>
        <v>0</v>
      </c>
      <c r="AZ5" s="81">
        <f>-'Captura Noviembre'!AN7</f>
        <v>0</v>
      </c>
      <c r="BA5" s="82">
        <f>'Captura Noviembre'!AQ7</f>
        <v>0.25</v>
      </c>
      <c r="BB5" s="110" t="s">
        <v>221</v>
      </c>
      <c r="BC5" s="110"/>
    </row>
    <row r="6" spans="1:55" ht="16.5" customHeight="1" x14ac:dyDescent="0.35">
      <c r="A6" s="12">
        <v>1</v>
      </c>
      <c r="B6" s="83" t="s">
        <v>103</v>
      </c>
      <c r="C6" s="84" t="str">
        <f>VLOOKUP(B6,Parametros!$I$6:$J$20,2,FALSE())</f>
        <v>Fredy Fuentes</v>
      </c>
      <c r="D6" s="85">
        <v>0</v>
      </c>
      <c r="E6" s="85">
        <v>0</v>
      </c>
      <c r="F6" s="11">
        <f t="shared" ref="F6:F20" si="0">AVERAGE(D6,E6)</f>
        <v>0</v>
      </c>
      <c r="G6" s="86">
        <f>F6*Parametros!$E$6</f>
        <v>0</v>
      </c>
      <c r="H6" s="87">
        <v>0</v>
      </c>
      <c r="I6" s="87">
        <v>0</v>
      </c>
      <c r="J6" s="88" t="s">
        <v>222</v>
      </c>
      <c r="K6" s="86">
        <f>IF(J6="NO",0,IFERROR(H6/I6,0)*Parametros!$E$7)</f>
        <v>0</v>
      </c>
      <c r="L6" s="85">
        <v>0</v>
      </c>
      <c r="M6" s="88" t="s">
        <v>222</v>
      </c>
      <c r="N6" s="86">
        <f>IF(M6="NO",0,L6*Parametros!$E$8)</f>
        <v>0</v>
      </c>
      <c r="O6" s="85">
        <v>0</v>
      </c>
      <c r="P6" s="88" t="s">
        <v>222</v>
      </c>
      <c r="Q6" s="86">
        <f>IF(P6="NO",0,O6*Parametros!$E$9)</f>
        <v>0</v>
      </c>
      <c r="R6" s="85">
        <v>0</v>
      </c>
      <c r="S6" s="88" t="s">
        <v>222</v>
      </c>
      <c r="T6" s="86">
        <f>IF(S6="NO",0,R6*Parametros!$E$10)</f>
        <v>0</v>
      </c>
      <c r="U6" s="85">
        <v>0</v>
      </c>
      <c r="V6" s="86">
        <f>U6*Parametros!$E$11</f>
        <v>0</v>
      </c>
      <c r="W6" s="87">
        <v>0</v>
      </c>
      <c r="X6" s="86">
        <f>MAX(0,Parametros!$E$12-Parametros!$E$18*W6)</f>
        <v>0.25</v>
      </c>
      <c r="Y6" s="87">
        <v>0</v>
      </c>
      <c r="Z6" s="87">
        <v>0</v>
      </c>
      <c r="AA6" s="89">
        <f>IF(Y6&gt;=Parametros!$E$22,Parametros!$E$24,0)</f>
        <v>0</v>
      </c>
      <c r="AB6" s="89">
        <f>IF(Z6&gt;=Parametros!$E$23,Parametros!$E$25,0)</f>
        <v>0</v>
      </c>
      <c r="AC6" s="89">
        <f t="shared" ref="AC6:AC20" si="1">AA6+AB6</f>
        <v>0</v>
      </c>
      <c r="AD6" s="87">
        <v>0</v>
      </c>
      <c r="AE6" s="88" t="s">
        <v>222</v>
      </c>
      <c r="AF6" s="87">
        <v>0</v>
      </c>
      <c r="AG6" s="88" t="s">
        <v>222</v>
      </c>
      <c r="AH6" s="87">
        <v>0</v>
      </c>
      <c r="AI6" s="88" t="s">
        <v>222</v>
      </c>
      <c r="AJ6" s="87">
        <v>0</v>
      </c>
      <c r="AK6" s="88" t="s">
        <v>222</v>
      </c>
      <c r="AL6" s="87">
        <v>0</v>
      </c>
      <c r="AM6" s="88" t="s">
        <v>222</v>
      </c>
      <c r="AN6" s="89">
        <f>AD6*Parametros!$E$28+AF6*Parametros!$E$29+AH6*Parametros!$E$30+AJ6*Parametros!$E$31+AL6*Parametros!$E$32</f>
        <v>0</v>
      </c>
      <c r="AO6" s="12" t="str">
        <f t="shared" ref="AO6:AO20" si="2">IF(OR(AND(AD6&gt;0,AE6="NO"),AND(AF6&gt;0,AG6="NO"),AND(AH6&gt;0,AI6="NO"),AND(AJ6&gt;0,AK6="NO"),AND(AL6&gt;0,AM6="NO")),"SI","NO")</f>
        <v>NO</v>
      </c>
      <c r="AP6" s="11">
        <f t="shared" ref="AP6:AP20" si="3">G6+K6+N6+Q6+T6+V6+X6</f>
        <v>0.25</v>
      </c>
      <c r="AQ6" s="90">
        <f>MAX(0,MIN(1,MAX(0,AP6-IF(S6="NO",Parametros!$E$17,0))+AC6-AN6-IF(AO6="SI",Parametros!$E$33,0)))</f>
        <v>0.25</v>
      </c>
      <c r="AR6" s="58"/>
      <c r="AS6" s="71" t="str">
        <f>'Captura Noviembre'!B8</f>
        <v>Calidad</v>
      </c>
      <c r="AT6" s="72">
        <f>'Captura Noviembre'!K8+'Captura Noviembre'!N8+'Captura Noviembre'!Q8</f>
        <v>0</v>
      </c>
      <c r="AU6" s="72">
        <f>'Captura Noviembre'!T8</f>
        <v>0</v>
      </c>
      <c r="AV6" s="72">
        <f>'Captura Noviembre'!V8</f>
        <v>0</v>
      </c>
      <c r="AW6" s="72">
        <f>'Captura Noviembre'!G8</f>
        <v>0</v>
      </c>
      <c r="AX6" s="72">
        <f>'Captura Noviembre'!X8</f>
        <v>0.25</v>
      </c>
      <c r="AY6" s="72">
        <f>'Captura Noviembre'!AC8</f>
        <v>0</v>
      </c>
      <c r="AZ6" s="73">
        <f>-'Captura Noviembre'!AN8</f>
        <v>0</v>
      </c>
      <c r="BA6" s="74">
        <f>'Captura Noviembre'!AQ8</f>
        <v>0.25</v>
      </c>
      <c r="BB6" s="58"/>
      <c r="BC6" s="58"/>
    </row>
    <row r="7" spans="1:55" ht="16.5" customHeight="1" x14ac:dyDescent="0.35">
      <c r="A7" s="12">
        <v>2</v>
      </c>
      <c r="B7" s="83" t="s">
        <v>135</v>
      </c>
      <c r="C7" s="84" t="str">
        <f>VLOOKUP(B7,Parametros!$I$6:$J$20,2,FALSE())</f>
        <v>Carlos Chavez</v>
      </c>
      <c r="D7" s="85">
        <v>0</v>
      </c>
      <c r="E7" s="85">
        <v>0</v>
      </c>
      <c r="F7" s="11">
        <f t="shared" si="0"/>
        <v>0</v>
      </c>
      <c r="G7" s="86">
        <f>F7*Parametros!$E$6</f>
        <v>0</v>
      </c>
      <c r="H7" s="87">
        <v>0</v>
      </c>
      <c r="I7" s="87">
        <v>0</v>
      </c>
      <c r="J7" s="88" t="s">
        <v>222</v>
      </c>
      <c r="K7" s="86">
        <f>IF(J7="NO",0,IFERROR(H7/I7,0)*Parametros!$E$7)</f>
        <v>0</v>
      </c>
      <c r="L7" s="85">
        <v>0</v>
      </c>
      <c r="M7" s="88" t="s">
        <v>222</v>
      </c>
      <c r="N7" s="86">
        <f>IF(M7="NO",0,L7*Parametros!$E$8)</f>
        <v>0</v>
      </c>
      <c r="O7" s="85">
        <v>0</v>
      </c>
      <c r="P7" s="88" t="s">
        <v>222</v>
      </c>
      <c r="Q7" s="86">
        <f>IF(P7="NO",0,O7*Parametros!$E$9)</f>
        <v>0</v>
      </c>
      <c r="R7" s="85">
        <v>0</v>
      </c>
      <c r="S7" s="88" t="s">
        <v>222</v>
      </c>
      <c r="T7" s="86">
        <f>IF(S7="NO",0,R7*Parametros!$E$10)</f>
        <v>0</v>
      </c>
      <c r="U7" s="85">
        <v>0</v>
      </c>
      <c r="V7" s="86">
        <f>U7*Parametros!$E$11</f>
        <v>0</v>
      </c>
      <c r="W7" s="87">
        <v>0</v>
      </c>
      <c r="X7" s="86">
        <f>MAX(0,Parametros!$E$12-Parametros!$E$18*W7)</f>
        <v>0.25</v>
      </c>
      <c r="Y7" s="87">
        <v>0</v>
      </c>
      <c r="Z7" s="87">
        <v>0</v>
      </c>
      <c r="AA7" s="89">
        <f>IF(Y7&gt;=Parametros!$E$22,Parametros!$E$24,0)</f>
        <v>0</v>
      </c>
      <c r="AB7" s="89">
        <f>IF(Z7&gt;=Parametros!$E$23,Parametros!$E$25,0)</f>
        <v>0</v>
      </c>
      <c r="AC7" s="89">
        <f t="shared" si="1"/>
        <v>0</v>
      </c>
      <c r="AD7" s="87">
        <v>0</v>
      </c>
      <c r="AE7" s="88" t="s">
        <v>222</v>
      </c>
      <c r="AF7" s="87">
        <v>0</v>
      </c>
      <c r="AG7" s="88" t="s">
        <v>222</v>
      </c>
      <c r="AH7" s="87">
        <v>0</v>
      </c>
      <c r="AI7" s="88" t="s">
        <v>222</v>
      </c>
      <c r="AJ7" s="87">
        <v>0</v>
      </c>
      <c r="AK7" s="88" t="s">
        <v>222</v>
      </c>
      <c r="AL7" s="87">
        <v>0</v>
      </c>
      <c r="AM7" s="88" t="s">
        <v>222</v>
      </c>
      <c r="AN7" s="89">
        <f>AD7*Parametros!$E$28+AF7*Parametros!$E$29+AH7*Parametros!$E$30+AJ7*Parametros!$E$31+AL7*Parametros!$E$32</f>
        <v>0</v>
      </c>
      <c r="AO7" s="12" t="str">
        <f t="shared" si="2"/>
        <v>NO</v>
      </c>
      <c r="AP7" s="11">
        <f t="shared" si="3"/>
        <v>0.25</v>
      </c>
      <c r="AQ7" s="90">
        <f>MAX(0,MIN(1,MAX(0,AP7-IF(S7="NO",Parametros!$E$17,0))+AC7-AN7-IF(AO7="SI",Parametros!$E$33,0)))</f>
        <v>0.25</v>
      </c>
      <c r="AR7" s="58"/>
      <c r="AS7" s="79" t="str">
        <f>'Captura Noviembre'!B9</f>
        <v>Centro de Distribucion</v>
      </c>
      <c r="AT7" s="80">
        <f>'Captura Noviembre'!K9+'Captura Noviembre'!N9+'Captura Noviembre'!Q9</f>
        <v>0</v>
      </c>
      <c r="AU7" s="80">
        <f>'Captura Noviembre'!T9</f>
        <v>0</v>
      </c>
      <c r="AV7" s="80">
        <f>'Captura Noviembre'!V9</f>
        <v>0</v>
      </c>
      <c r="AW7" s="80">
        <f>'Captura Noviembre'!G9</f>
        <v>0</v>
      </c>
      <c r="AX7" s="80">
        <f>'Captura Noviembre'!X9</f>
        <v>0.25</v>
      </c>
      <c r="AY7" s="80">
        <f>'Captura Noviembre'!AC9</f>
        <v>0</v>
      </c>
      <c r="AZ7" s="81">
        <f>-'Captura Noviembre'!AN9</f>
        <v>0</v>
      </c>
      <c r="BA7" s="82">
        <f>'Captura Noviembre'!AQ9</f>
        <v>0.25</v>
      </c>
      <c r="BB7" s="58"/>
      <c r="BC7" s="58"/>
    </row>
    <row r="8" spans="1:55" ht="16.5" customHeight="1" x14ac:dyDescent="0.35">
      <c r="A8" s="12">
        <v>3</v>
      </c>
      <c r="B8" s="83" t="s">
        <v>98</v>
      </c>
      <c r="C8" s="84" t="str">
        <f>VLOOKUP(B8,Parametros!$I$6:$J$20,2,FALSE())</f>
        <v>Alejandro Martinez</v>
      </c>
      <c r="D8" s="85">
        <v>0</v>
      </c>
      <c r="E8" s="85">
        <v>0</v>
      </c>
      <c r="F8" s="11">
        <f t="shared" si="0"/>
        <v>0</v>
      </c>
      <c r="G8" s="86">
        <f>F8*Parametros!$E$6</f>
        <v>0</v>
      </c>
      <c r="H8" s="87">
        <v>0</v>
      </c>
      <c r="I8" s="87">
        <v>0</v>
      </c>
      <c r="J8" s="88" t="s">
        <v>222</v>
      </c>
      <c r="K8" s="86">
        <f>IF(J8="NO",0,IFERROR(H8/I8,0)*Parametros!$E$7)</f>
        <v>0</v>
      </c>
      <c r="L8" s="85">
        <v>0</v>
      </c>
      <c r="M8" s="88" t="s">
        <v>222</v>
      </c>
      <c r="N8" s="86">
        <f>IF(M8="NO",0,L8*Parametros!$E$8)</f>
        <v>0</v>
      </c>
      <c r="O8" s="85">
        <v>0</v>
      </c>
      <c r="P8" s="88" t="s">
        <v>222</v>
      </c>
      <c r="Q8" s="86">
        <f>IF(P8="NO",0,O8*Parametros!$E$9)</f>
        <v>0</v>
      </c>
      <c r="R8" s="85">
        <v>0</v>
      </c>
      <c r="S8" s="88" t="s">
        <v>222</v>
      </c>
      <c r="T8" s="86">
        <f>IF(S8="NO",0,R8*Parametros!$E$10)</f>
        <v>0</v>
      </c>
      <c r="U8" s="85">
        <v>0</v>
      </c>
      <c r="V8" s="86">
        <f>U8*Parametros!$E$11</f>
        <v>0</v>
      </c>
      <c r="W8" s="87">
        <v>0</v>
      </c>
      <c r="X8" s="86">
        <f>MAX(0,Parametros!$E$12-Parametros!$E$18*W8)</f>
        <v>0.25</v>
      </c>
      <c r="Y8" s="87">
        <v>0</v>
      </c>
      <c r="Z8" s="87">
        <v>0</v>
      </c>
      <c r="AA8" s="89">
        <f>IF(Y8&gt;=Parametros!$E$22,Parametros!$E$24,0)</f>
        <v>0</v>
      </c>
      <c r="AB8" s="89">
        <f>IF(Z8&gt;=Parametros!$E$23,Parametros!$E$25,0)</f>
        <v>0</v>
      </c>
      <c r="AC8" s="89">
        <f t="shared" si="1"/>
        <v>0</v>
      </c>
      <c r="AD8" s="87">
        <v>0</v>
      </c>
      <c r="AE8" s="88" t="s">
        <v>222</v>
      </c>
      <c r="AF8" s="87">
        <v>0</v>
      </c>
      <c r="AG8" s="88" t="s">
        <v>222</v>
      </c>
      <c r="AH8" s="87">
        <v>0</v>
      </c>
      <c r="AI8" s="88" t="s">
        <v>222</v>
      </c>
      <c r="AJ8" s="87">
        <v>0</v>
      </c>
      <c r="AK8" s="88" t="s">
        <v>222</v>
      </c>
      <c r="AL8" s="87">
        <v>0</v>
      </c>
      <c r="AM8" s="88" t="s">
        <v>222</v>
      </c>
      <c r="AN8" s="89">
        <f>AD8*Parametros!$E$28+AF8*Parametros!$E$29+AH8*Parametros!$E$30+AJ8*Parametros!$E$31+AL8*Parametros!$E$32</f>
        <v>0</v>
      </c>
      <c r="AO8" s="12" t="str">
        <f t="shared" si="2"/>
        <v>NO</v>
      </c>
      <c r="AP8" s="11">
        <f t="shared" si="3"/>
        <v>0.25</v>
      </c>
      <c r="AQ8" s="90">
        <f>MAX(0,MIN(1,MAX(0,AP8-IF(S8="NO",Parametros!$E$17,0))+AC8-AN8-IF(AO8="SI",Parametros!$E$33,0)))</f>
        <v>0.25</v>
      </c>
      <c r="AR8" s="58"/>
      <c r="AS8" s="71" t="str">
        <f>'Captura Noviembre'!B10</f>
        <v>ETEI</v>
      </c>
      <c r="AT8" s="72">
        <f>'Captura Noviembre'!K10+'Captura Noviembre'!N10+'Captura Noviembre'!Q10</f>
        <v>0</v>
      </c>
      <c r="AU8" s="72">
        <f>'Captura Noviembre'!T10</f>
        <v>0</v>
      </c>
      <c r="AV8" s="72">
        <f>'Captura Noviembre'!V10</f>
        <v>0</v>
      </c>
      <c r="AW8" s="72">
        <f>'Captura Noviembre'!G10</f>
        <v>0</v>
      </c>
      <c r="AX8" s="72">
        <f>'Captura Noviembre'!X10</f>
        <v>0.25</v>
      </c>
      <c r="AY8" s="72">
        <f>'Captura Noviembre'!AC10</f>
        <v>0</v>
      </c>
      <c r="AZ8" s="73">
        <f>-'Captura Noviembre'!AN10</f>
        <v>0</v>
      </c>
      <c r="BA8" s="74">
        <f>'Captura Noviembre'!AQ10</f>
        <v>0.25</v>
      </c>
      <c r="BB8" s="58"/>
      <c r="BC8" s="58"/>
    </row>
    <row r="9" spans="1:55" ht="16.5" customHeight="1" x14ac:dyDescent="0.35">
      <c r="A9" s="12">
        <v>4</v>
      </c>
      <c r="B9" s="83" t="s">
        <v>128</v>
      </c>
      <c r="C9" s="84" t="str">
        <f>VLOOKUP(B9,Parametros!$I$6:$J$20,2,FALSE())</f>
        <v>Jimmy Velasquez</v>
      </c>
      <c r="D9" s="85">
        <v>0</v>
      </c>
      <c r="E9" s="85">
        <v>0</v>
      </c>
      <c r="F9" s="11">
        <f t="shared" si="0"/>
        <v>0</v>
      </c>
      <c r="G9" s="86">
        <f>F9*Parametros!$E$6</f>
        <v>0</v>
      </c>
      <c r="H9" s="87">
        <v>0</v>
      </c>
      <c r="I9" s="87">
        <v>0</v>
      </c>
      <c r="J9" s="88" t="s">
        <v>222</v>
      </c>
      <c r="K9" s="86">
        <f>IF(J9="NO",0,IFERROR(H9/I9,0)*Parametros!$E$7)</f>
        <v>0</v>
      </c>
      <c r="L9" s="85">
        <v>0</v>
      </c>
      <c r="M9" s="88" t="s">
        <v>222</v>
      </c>
      <c r="N9" s="86">
        <f>IF(M9="NO",0,L9*Parametros!$E$8)</f>
        <v>0</v>
      </c>
      <c r="O9" s="85">
        <v>0</v>
      </c>
      <c r="P9" s="88" t="s">
        <v>222</v>
      </c>
      <c r="Q9" s="86">
        <f>IF(P9="NO",0,O9*Parametros!$E$9)</f>
        <v>0</v>
      </c>
      <c r="R9" s="85">
        <v>0</v>
      </c>
      <c r="S9" s="88" t="s">
        <v>222</v>
      </c>
      <c r="T9" s="86">
        <f>IF(S9="NO",0,R9*Parametros!$E$10)</f>
        <v>0</v>
      </c>
      <c r="U9" s="85">
        <v>0</v>
      </c>
      <c r="V9" s="86">
        <f>U9*Parametros!$E$11</f>
        <v>0</v>
      </c>
      <c r="W9" s="87">
        <v>0</v>
      </c>
      <c r="X9" s="86">
        <f>MAX(0,Parametros!$E$12-Parametros!$E$18*W9)</f>
        <v>0.25</v>
      </c>
      <c r="Y9" s="87">
        <v>0</v>
      </c>
      <c r="Z9" s="87">
        <v>0</v>
      </c>
      <c r="AA9" s="89">
        <f>IF(Y9&gt;=Parametros!$E$22,Parametros!$E$24,0)</f>
        <v>0</v>
      </c>
      <c r="AB9" s="89">
        <f>IF(Z9&gt;=Parametros!$E$23,Parametros!$E$25,0)</f>
        <v>0</v>
      </c>
      <c r="AC9" s="89">
        <f t="shared" si="1"/>
        <v>0</v>
      </c>
      <c r="AD9" s="87">
        <v>0</v>
      </c>
      <c r="AE9" s="88" t="s">
        <v>222</v>
      </c>
      <c r="AF9" s="87">
        <v>0</v>
      </c>
      <c r="AG9" s="88" t="s">
        <v>222</v>
      </c>
      <c r="AH9" s="87">
        <v>0</v>
      </c>
      <c r="AI9" s="88" t="s">
        <v>222</v>
      </c>
      <c r="AJ9" s="87">
        <v>0</v>
      </c>
      <c r="AK9" s="88" t="s">
        <v>222</v>
      </c>
      <c r="AL9" s="87">
        <v>0</v>
      </c>
      <c r="AM9" s="88" t="s">
        <v>222</v>
      </c>
      <c r="AN9" s="89">
        <f>AD9*Parametros!$E$28+AF9*Parametros!$E$29+AH9*Parametros!$E$30+AJ9*Parametros!$E$31+AL9*Parametros!$E$32</f>
        <v>0</v>
      </c>
      <c r="AO9" s="12" t="str">
        <f t="shared" si="2"/>
        <v>NO</v>
      </c>
      <c r="AP9" s="11">
        <f t="shared" si="3"/>
        <v>0.25</v>
      </c>
      <c r="AQ9" s="90">
        <f>MAX(0,MIN(1,MAX(0,AP9-IF(S9="NO",Parametros!$E$17,0))+AC9-AN9-IF(AO9="SI",Parametros!$E$33,0)))</f>
        <v>0.25</v>
      </c>
      <c r="AR9" s="58"/>
      <c r="AS9" s="79" t="str">
        <f>'Captura Noviembre'!B11</f>
        <v>Equipos Auxiliares</v>
      </c>
      <c r="AT9" s="80">
        <f>'Captura Noviembre'!K11+'Captura Noviembre'!N11+'Captura Noviembre'!Q11</f>
        <v>0</v>
      </c>
      <c r="AU9" s="80">
        <f>'Captura Noviembre'!T11</f>
        <v>0</v>
      </c>
      <c r="AV9" s="80">
        <f>'Captura Noviembre'!V11</f>
        <v>0</v>
      </c>
      <c r="AW9" s="80">
        <f>'Captura Noviembre'!G11</f>
        <v>0</v>
      </c>
      <c r="AX9" s="80">
        <f>'Captura Noviembre'!X11</f>
        <v>0.25</v>
      </c>
      <c r="AY9" s="80">
        <f>'Captura Noviembre'!AC11</f>
        <v>0</v>
      </c>
      <c r="AZ9" s="81">
        <f>-'Captura Noviembre'!AN11</f>
        <v>0</v>
      </c>
      <c r="BA9" s="82">
        <f>'Captura Noviembre'!AQ11</f>
        <v>0.25</v>
      </c>
      <c r="BB9" s="58"/>
      <c r="BC9" s="58"/>
    </row>
    <row r="10" spans="1:55" ht="16.5" customHeight="1" x14ac:dyDescent="0.35">
      <c r="A10" s="12">
        <v>5</v>
      </c>
      <c r="B10" s="83" t="s">
        <v>125</v>
      </c>
      <c r="C10" s="84" t="str">
        <f>VLOOKUP(B10,Parametros!$I$6:$J$20,2,FALSE())</f>
        <v>Jessica Loarca</v>
      </c>
      <c r="D10" s="85">
        <v>0</v>
      </c>
      <c r="E10" s="85">
        <v>0</v>
      </c>
      <c r="F10" s="11">
        <f t="shared" si="0"/>
        <v>0</v>
      </c>
      <c r="G10" s="86">
        <f>F10*Parametros!$E$6</f>
        <v>0</v>
      </c>
      <c r="H10" s="87">
        <v>0</v>
      </c>
      <c r="I10" s="87">
        <v>0</v>
      </c>
      <c r="J10" s="88" t="s">
        <v>222</v>
      </c>
      <c r="K10" s="86">
        <f>IF(J10="NO",0,IFERROR(H10/I10,0)*Parametros!$E$7)</f>
        <v>0</v>
      </c>
      <c r="L10" s="85">
        <v>0</v>
      </c>
      <c r="M10" s="88" t="s">
        <v>222</v>
      </c>
      <c r="N10" s="86">
        <f>IF(M10="NO",0,L10*Parametros!$E$8)</f>
        <v>0</v>
      </c>
      <c r="O10" s="85">
        <v>0</v>
      </c>
      <c r="P10" s="88" t="s">
        <v>222</v>
      </c>
      <c r="Q10" s="86">
        <f>IF(P10="NO",0,O10*Parametros!$E$9)</f>
        <v>0</v>
      </c>
      <c r="R10" s="85">
        <v>0</v>
      </c>
      <c r="S10" s="88" t="s">
        <v>222</v>
      </c>
      <c r="T10" s="86">
        <f>IF(S10="NO",0,R10*Parametros!$E$10)</f>
        <v>0</v>
      </c>
      <c r="U10" s="85">
        <v>0</v>
      </c>
      <c r="V10" s="86">
        <f>U10*Parametros!$E$11</f>
        <v>0</v>
      </c>
      <c r="W10" s="87">
        <v>0</v>
      </c>
      <c r="X10" s="86">
        <f>MAX(0,Parametros!$E$12-Parametros!$E$18*W10)</f>
        <v>0.25</v>
      </c>
      <c r="Y10" s="87">
        <v>0</v>
      </c>
      <c r="Z10" s="87">
        <v>0</v>
      </c>
      <c r="AA10" s="89">
        <f>IF(Y10&gt;=Parametros!$E$22,Parametros!$E$24,0)</f>
        <v>0</v>
      </c>
      <c r="AB10" s="89">
        <f>IF(Z10&gt;=Parametros!$E$23,Parametros!$E$25,0)</f>
        <v>0</v>
      </c>
      <c r="AC10" s="89">
        <f t="shared" si="1"/>
        <v>0</v>
      </c>
      <c r="AD10" s="87">
        <v>0</v>
      </c>
      <c r="AE10" s="88" t="s">
        <v>222</v>
      </c>
      <c r="AF10" s="87">
        <v>0</v>
      </c>
      <c r="AG10" s="88" t="s">
        <v>222</v>
      </c>
      <c r="AH10" s="87">
        <v>0</v>
      </c>
      <c r="AI10" s="88" t="s">
        <v>222</v>
      </c>
      <c r="AJ10" s="87">
        <v>0</v>
      </c>
      <c r="AK10" s="88" t="s">
        <v>222</v>
      </c>
      <c r="AL10" s="87">
        <v>0</v>
      </c>
      <c r="AM10" s="88" t="s">
        <v>222</v>
      </c>
      <c r="AN10" s="89">
        <f>AD10*Parametros!$E$28+AF10*Parametros!$E$29+AH10*Parametros!$E$30+AJ10*Parametros!$E$31+AL10*Parametros!$E$32</f>
        <v>0</v>
      </c>
      <c r="AO10" s="12" t="str">
        <f t="shared" si="2"/>
        <v>NO</v>
      </c>
      <c r="AP10" s="11">
        <f t="shared" si="3"/>
        <v>0.25</v>
      </c>
      <c r="AQ10" s="90">
        <f>MAX(0,MIN(1,MAX(0,AP10-IF(S10="NO",Parametros!$E$17,0))+AC10-AN10-IF(AO10="SI",Parametros!$E$33,0)))</f>
        <v>0.25</v>
      </c>
      <c r="AR10" s="58"/>
      <c r="AS10" s="71" t="str">
        <f>'Captura Noviembre'!B12</f>
        <v>Jarabes</v>
      </c>
      <c r="AT10" s="72">
        <f>'Captura Noviembre'!K12+'Captura Noviembre'!N12+'Captura Noviembre'!Q12</f>
        <v>0</v>
      </c>
      <c r="AU10" s="72">
        <f>'Captura Noviembre'!T12</f>
        <v>0</v>
      </c>
      <c r="AV10" s="72">
        <f>'Captura Noviembre'!V12</f>
        <v>0</v>
      </c>
      <c r="AW10" s="72">
        <f>'Captura Noviembre'!G12</f>
        <v>0</v>
      </c>
      <c r="AX10" s="72">
        <f>'Captura Noviembre'!X12</f>
        <v>0.25</v>
      </c>
      <c r="AY10" s="72">
        <f>'Captura Noviembre'!AC12</f>
        <v>0</v>
      </c>
      <c r="AZ10" s="73">
        <f>-'Captura Noviembre'!AN12</f>
        <v>0</v>
      </c>
      <c r="BA10" s="74">
        <f>'Captura Noviembre'!AQ12</f>
        <v>0.25</v>
      </c>
      <c r="BB10" s="58"/>
      <c r="BC10" s="58"/>
    </row>
    <row r="11" spans="1:55" ht="16.5" customHeight="1" x14ac:dyDescent="0.35">
      <c r="A11" s="12">
        <v>6</v>
      </c>
      <c r="B11" s="83" t="s">
        <v>117</v>
      </c>
      <c r="C11" s="84" t="str">
        <f>VLOOKUP(B11,Parametros!$I$6:$J$20,2,FALSE())</f>
        <v>Edson Bonifacio</v>
      </c>
      <c r="D11" s="85">
        <v>0</v>
      </c>
      <c r="E11" s="85">
        <v>0</v>
      </c>
      <c r="F11" s="11">
        <f t="shared" si="0"/>
        <v>0</v>
      </c>
      <c r="G11" s="86">
        <f>F11*Parametros!$E$6</f>
        <v>0</v>
      </c>
      <c r="H11" s="87">
        <v>0</v>
      </c>
      <c r="I11" s="87">
        <v>0</v>
      </c>
      <c r="J11" s="88" t="s">
        <v>222</v>
      </c>
      <c r="K11" s="86">
        <f>IF(J11="NO",0,IFERROR(H11/I11,0)*Parametros!$E$7)</f>
        <v>0</v>
      </c>
      <c r="L11" s="85">
        <v>0</v>
      </c>
      <c r="M11" s="88" t="s">
        <v>222</v>
      </c>
      <c r="N11" s="86">
        <f>IF(M11="NO",0,L11*Parametros!$E$8)</f>
        <v>0</v>
      </c>
      <c r="O11" s="85">
        <v>0</v>
      </c>
      <c r="P11" s="88" t="s">
        <v>222</v>
      </c>
      <c r="Q11" s="86">
        <f>IF(P11="NO",0,O11*Parametros!$E$9)</f>
        <v>0</v>
      </c>
      <c r="R11" s="85">
        <v>0</v>
      </c>
      <c r="S11" s="88" t="s">
        <v>222</v>
      </c>
      <c r="T11" s="86">
        <f>IF(S11="NO",0,R11*Parametros!$E$10)</f>
        <v>0</v>
      </c>
      <c r="U11" s="85">
        <v>0</v>
      </c>
      <c r="V11" s="86">
        <f>U11*Parametros!$E$11</f>
        <v>0</v>
      </c>
      <c r="W11" s="87">
        <v>0</v>
      </c>
      <c r="X11" s="86">
        <f>MAX(0,Parametros!$E$12-Parametros!$E$18*W11)</f>
        <v>0.25</v>
      </c>
      <c r="Y11" s="87">
        <v>0</v>
      </c>
      <c r="Z11" s="87">
        <v>0</v>
      </c>
      <c r="AA11" s="89">
        <f>IF(Y11&gt;=Parametros!$E$22,Parametros!$E$24,0)</f>
        <v>0</v>
      </c>
      <c r="AB11" s="89">
        <f>IF(Z11&gt;=Parametros!$E$23,Parametros!$E$25,0)</f>
        <v>0</v>
      </c>
      <c r="AC11" s="89">
        <f t="shared" si="1"/>
        <v>0</v>
      </c>
      <c r="AD11" s="87">
        <v>0</v>
      </c>
      <c r="AE11" s="88" t="s">
        <v>222</v>
      </c>
      <c r="AF11" s="87">
        <v>0</v>
      </c>
      <c r="AG11" s="88" t="s">
        <v>222</v>
      </c>
      <c r="AH11" s="87">
        <v>0</v>
      </c>
      <c r="AI11" s="88" t="s">
        <v>222</v>
      </c>
      <c r="AJ11" s="87">
        <v>0</v>
      </c>
      <c r="AK11" s="88" t="s">
        <v>222</v>
      </c>
      <c r="AL11" s="87">
        <v>0</v>
      </c>
      <c r="AM11" s="88" t="s">
        <v>222</v>
      </c>
      <c r="AN11" s="89">
        <f>AD11*Parametros!$E$28+AF11*Parametros!$E$29+AH11*Parametros!$E$30+AJ11*Parametros!$E$31+AL11*Parametros!$E$32</f>
        <v>0</v>
      </c>
      <c r="AO11" s="12" t="str">
        <f t="shared" si="2"/>
        <v>NO</v>
      </c>
      <c r="AP11" s="11">
        <f t="shared" si="3"/>
        <v>0.25</v>
      </c>
      <c r="AQ11" s="90">
        <f>MAX(0,MIN(1,MAX(0,AP11-IF(S11="NO",Parametros!$E$17,0))+AC11-AN11-IF(AO11="SI",Parametros!$E$33,0)))</f>
        <v>0.25</v>
      </c>
      <c r="AR11" s="58"/>
      <c r="AS11" s="79" t="str">
        <f>'Captura Noviembre'!B13</f>
        <v>Linea 1</v>
      </c>
      <c r="AT11" s="80">
        <f>'Captura Noviembre'!K13+'Captura Noviembre'!N13+'Captura Noviembre'!Q13</f>
        <v>0</v>
      </c>
      <c r="AU11" s="80">
        <f>'Captura Noviembre'!T13</f>
        <v>0</v>
      </c>
      <c r="AV11" s="80">
        <f>'Captura Noviembre'!V13</f>
        <v>0</v>
      </c>
      <c r="AW11" s="80">
        <f>'Captura Noviembre'!G13</f>
        <v>0</v>
      </c>
      <c r="AX11" s="80">
        <f>'Captura Noviembre'!X13</f>
        <v>0.25</v>
      </c>
      <c r="AY11" s="80">
        <f>'Captura Noviembre'!AC13</f>
        <v>0</v>
      </c>
      <c r="AZ11" s="81">
        <f>-'Captura Noviembre'!AN13</f>
        <v>0</v>
      </c>
      <c r="BA11" s="82">
        <f>'Captura Noviembre'!AQ13</f>
        <v>0.25</v>
      </c>
      <c r="BB11" s="58"/>
      <c r="BC11" s="58"/>
    </row>
    <row r="12" spans="1:55" ht="16.5" customHeight="1" x14ac:dyDescent="0.35">
      <c r="A12" s="12">
        <v>7</v>
      </c>
      <c r="B12" s="83" t="s">
        <v>130</v>
      </c>
      <c r="C12" s="84" t="str">
        <f>VLOOKUP(B12,Parametros!$I$6:$J$20,2,FALSE())</f>
        <v>Adrian Santisteban</v>
      </c>
      <c r="D12" s="85">
        <v>0</v>
      </c>
      <c r="E12" s="85">
        <v>0</v>
      </c>
      <c r="F12" s="11">
        <f t="shared" si="0"/>
        <v>0</v>
      </c>
      <c r="G12" s="86">
        <f>F12*Parametros!$E$6</f>
        <v>0</v>
      </c>
      <c r="H12" s="87">
        <v>0</v>
      </c>
      <c r="I12" s="87">
        <v>0</v>
      </c>
      <c r="J12" s="88" t="s">
        <v>222</v>
      </c>
      <c r="K12" s="86">
        <f>IF(J12="NO",0,IFERROR(H12/I12,0)*Parametros!$E$7)</f>
        <v>0</v>
      </c>
      <c r="L12" s="85">
        <v>0</v>
      </c>
      <c r="M12" s="88" t="s">
        <v>222</v>
      </c>
      <c r="N12" s="86">
        <f>IF(M12="NO",0,L12*Parametros!$E$8)</f>
        <v>0</v>
      </c>
      <c r="O12" s="85">
        <v>0</v>
      </c>
      <c r="P12" s="88" t="s">
        <v>222</v>
      </c>
      <c r="Q12" s="86">
        <f>IF(P12="NO",0,O12*Parametros!$E$9)</f>
        <v>0</v>
      </c>
      <c r="R12" s="85">
        <v>0</v>
      </c>
      <c r="S12" s="88" t="s">
        <v>222</v>
      </c>
      <c r="T12" s="86">
        <f>IF(S12="NO",0,R12*Parametros!$E$10)</f>
        <v>0</v>
      </c>
      <c r="U12" s="85">
        <v>0</v>
      </c>
      <c r="V12" s="86">
        <f>U12*Parametros!$E$11</f>
        <v>0</v>
      </c>
      <c r="W12" s="87">
        <v>0</v>
      </c>
      <c r="X12" s="86">
        <f>MAX(0,Parametros!$E$12-Parametros!$E$18*W12)</f>
        <v>0.25</v>
      </c>
      <c r="Y12" s="87">
        <v>0</v>
      </c>
      <c r="Z12" s="87">
        <v>0</v>
      </c>
      <c r="AA12" s="89">
        <f>IF(Y12&gt;=Parametros!$E$22,Parametros!$E$24,0)</f>
        <v>0</v>
      </c>
      <c r="AB12" s="89">
        <f>IF(Z12&gt;=Parametros!$E$23,Parametros!$E$25,0)</f>
        <v>0</v>
      </c>
      <c r="AC12" s="89">
        <f t="shared" si="1"/>
        <v>0</v>
      </c>
      <c r="AD12" s="87">
        <v>0</v>
      </c>
      <c r="AE12" s="88" t="s">
        <v>222</v>
      </c>
      <c r="AF12" s="87">
        <v>0</v>
      </c>
      <c r="AG12" s="88" t="s">
        <v>222</v>
      </c>
      <c r="AH12" s="87">
        <v>0</v>
      </c>
      <c r="AI12" s="88" t="s">
        <v>222</v>
      </c>
      <c r="AJ12" s="87">
        <v>0</v>
      </c>
      <c r="AK12" s="88" t="s">
        <v>222</v>
      </c>
      <c r="AL12" s="87">
        <v>0</v>
      </c>
      <c r="AM12" s="88" t="s">
        <v>222</v>
      </c>
      <c r="AN12" s="89">
        <f>AD12*Parametros!$E$28+AF12*Parametros!$E$29+AH12*Parametros!$E$30+AJ12*Parametros!$E$31+AL12*Parametros!$E$32</f>
        <v>0</v>
      </c>
      <c r="AO12" s="12" t="str">
        <f t="shared" si="2"/>
        <v>NO</v>
      </c>
      <c r="AP12" s="11">
        <f t="shared" si="3"/>
        <v>0.25</v>
      </c>
      <c r="AQ12" s="90">
        <f>MAX(0,MIN(1,MAX(0,AP12-IF(S12="NO",Parametros!$E$17,0))+AC12-AN12-IF(AO12="SI",Parametros!$E$33,0)))</f>
        <v>0.25</v>
      </c>
      <c r="AR12" s="58"/>
      <c r="AS12" s="71" t="str">
        <f>'Captura Noviembre'!B14</f>
        <v>Linea 2</v>
      </c>
      <c r="AT12" s="72">
        <f>'Captura Noviembre'!K14+'Captura Noviembre'!N14+'Captura Noviembre'!Q14</f>
        <v>0</v>
      </c>
      <c r="AU12" s="72">
        <f>'Captura Noviembre'!T14</f>
        <v>0</v>
      </c>
      <c r="AV12" s="72">
        <f>'Captura Noviembre'!V14</f>
        <v>0</v>
      </c>
      <c r="AW12" s="72">
        <f>'Captura Noviembre'!G14</f>
        <v>0</v>
      </c>
      <c r="AX12" s="72">
        <f>'Captura Noviembre'!X14</f>
        <v>0.25</v>
      </c>
      <c r="AY12" s="72">
        <f>'Captura Noviembre'!AC14</f>
        <v>0</v>
      </c>
      <c r="AZ12" s="73">
        <f>-'Captura Noviembre'!AN14</f>
        <v>0</v>
      </c>
      <c r="BA12" s="74">
        <f>'Captura Noviembre'!AQ14</f>
        <v>0.25</v>
      </c>
      <c r="BB12" s="58"/>
      <c r="BC12" s="58"/>
    </row>
    <row r="13" spans="1:55" ht="16.5" customHeight="1" x14ac:dyDescent="0.35">
      <c r="A13" s="12">
        <v>8</v>
      </c>
      <c r="B13" s="83" t="s">
        <v>123</v>
      </c>
      <c r="C13" s="84" t="str">
        <f>VLOOKUP(B13,Parametros!$I$6:$J$20,2,FALSE())</f>
        <v>Amilcar Ralda</v>
      </c>
      <c r="D13" s="85">
        <v>0</v>
      </c>
      <c r="E13" s="85">
        <v>0</v>
      </c>
      <c r="F13" s="11">
        <f t="shared" si="0"/>
        <v>0</v>
      </c>
      <c r="G13" s="86">
        <f>F13*Parametros!$E$6</f>
        <v>0</v>
      </c>
      <c r="H13" s="87">
        <v>0</v>
      </c>
      <c r="I13" s="87">
        <v>0</v>
      </c>
      <c r="J13" s="88" t="s">
        <v>222</v>
      </c>
      <c r="K13" s="86">
        <f>IF(J13="NO",0,IFERROR(H13/I13,0)*Parametros!$E$7)</f>
        <v>0</v>
      </c>
      <c r="L13" s="85">
        <v>0</v>
      </c>
      <c r="M13" s="88" t="s">
        <v>222</v>
      </c>
      <c r="N13" s="86">
        <f>IF(M13="NO",0,L13*Parametros!$E$8)</f>
        <v>0</v>
      </c>
      <c r="O13" s="85">
        <v>0</v>
      </c>
      <c r="P13" s="88" t="s">
        <v>222</v>
      </c>
      <c r="Q13" s="86">
        <f>IF(P13="NO",0,O13*Parametros!$E$9)</f>
        <v>0</v>
      </c>
      <c r="R13" s="85">
        <v>0</v>
      </c>
      <c r="S13" s="88" t="s">
        <v>222</v>
      </c>
      <c r="T13" s="86">
        <f>IF(S13="NO",0,R13*Parametros!$E$10)</f>
        <v>0</v>
      </c>
      <c r="U13" s="85">
        <v>0</v>
      </c>
      <c r="V13" s="86">
        <f>U13*Parametros!$E$11</f>
        <v>0</v>
      </c>
      <c r="W13" s="87">
        <v>0</v>
      </c>
      <c r="X13" s="86">
        <f>MAX(0,Parametros!$E$12-Parametros!$E$18*W13)</f>
        <v>0.25</v>
      </c>
      <c r="Y13" s="87">
        <v>0</v>
      </c>
      <c r="Z13" s="87">
        <v>0</v>
      </c>
      <c r="AA13" s="89">
        <f>IF(Y13&gt;=Parametros!$E$22,Parametros!$E$24,0)</f>
        <v>0</v>
      </c>
      <c r="AB13" s="89">
        <f>IF(Z13&gt;=Parametros!$E$23,Parametros!$E$25,0)</f>
        <v>0</v>
      </c>
      <c r="AC13" s="89">
        <f t="shared" si="1"/>
        <v>0</v>
      </c>
      <c r="AD13" s="87">
        <v>0</v>
      </c>
      <c r="AE13" s="88" t="s">
        <v>222</v>
      </c>
      <c r="AF13" s="87">
        <v>0</v>
      </c>
      <c r="AG13" s="88" t="s">
        <v>222</v>
      </c>
      <c r="AH13" s="87">
        <v>0</v>
      </c>
      <c r="AI13" s="88" t="s">
        <v>222</v>
      </c>
      <c r="AJ13" s="87">
        <v>0</v>
      </c>
      <c r="AK13" s="88" t="s">
        <v>222</v>
      </c>
      <c r="AL13" s="87">
        <v>0</v>
      </c>
      <c r="AM13" s="88" t="s">
        <v>222</v>
      </c>
      <c r="AN13" s="89">
        <f>AD13*Parametros!$E$28+AF13*Parametros!$E$29+AH13*Parametros!$E$30+AJ13*Parametros!$E$31+AL13*Parametros!$E$32</f>
        <v>0</v>
      </c>
      <c r="AO13" s="12" t="str">
        <f t="shared" si="2"/>
        <v>NO</v>
      </c>
      <c r="AP13" s="11">
        <f t="shared" si="3"/>
        <v>0.25</v>
      </c>
      <c r="AQ13" s="90">
        <f>MAX(0,MIN(1,MAX(0,AP13-IF(S13="NO",Parametros!$E$17,0))+AC13-AN13-IF(AO13="SI",Parametros!$E$33,0)))</f>
        <v>0.25</v>
      </c>
      <c r="AR13" s="58"/>
      <c r="AS13" s="79" t="str">
        <f>'Captura Noviembre'!B15</f>
        <v>Linea 3</v>
      </c>
      <c r="AT13" s="80">
        <f>'Captura Noviembre'!K15+'Captura Noviembre'!N15+'Captura Noviembre'!Q15</f>
        <v>0</v>
      </c>
      <c r="AU13" s="80">
        <f>'Captura Noviembre'!T15</f>
        <v>0</v>
      </c>
      <c r="AV13" s="80">
        <f>'Captura Noviembre'!V15</f>
        <v>0</v>
      </c>
      <c r="AW13" s="80">
        <f>'Captura Noviembre'!G15</f>
        <v>0</v>
      </c>
      <c r="AX13" s="80">
        <f>'Captura Noviembre'!X15</f>
        <v>0.25</v>
      </c>
      <c r="AY13" s="80">
        <f>'Captura Noviembre'!AC15</f>
        <v>0</v>
      </c>
      <c r="AZ13" s="81">
        <f>-'Captura Noviembre'!AN15</f>
        <v>0</v>
      </c>
      <c r="BA13" s="82">
        <f>'Captura Noviembre'!AQ15</f>
        <v>0.25</v>
      </c>
      <c r="BB13" s="58"/>
      <c r="BC13" s="58"/>
    </row>
    <row r="14" spans="1:55" ht="16.5" customHeight="1" x14ac:dyDescent="0.35">
      <c r="A14" s="12">
        <v>9</v>
      </c>
      <c r="B14" s="83" t="s">
        <v>113</v>
      </c>
      <c r="C14" s="84" t="str">
        <f>VLOOKUP(B14,Parametros!$I$6:$J$20,2,FALSE())</f>
        <v>Amilcar Ralda</v>
      </c>
      <c r="D14" s="85">
        <v>0</v>
      </c>
      <c r="E14" s="85">
        <v>0</v>
      </c>
      <c r="F14" s="11">
        <f t="shared" si="0"/>
        <v>0</v>
      </c>
      <c r="G14" s="86">
        <f>F14*Parametros!$E$6</f>
        <v>0</v>
      </c>
      <c r="H14" s="87">
        <v>0</v>
      </c>
      <c r="I14" s="87">
        <v>0</v>
      </c>
      <c r="J14" s="88" t="s">
        <v>222</v>
      </c>
      <c r="K14" s="86">
        <f>IF(J14="NO",0,IFERROR(H14/I14,0)*Parametros!$E$7)</f>
        <v>0</v>
      </c>
      <c r="L14" s="85">
        <v>0</v>
      </c>
      <c r="M14" s="88" t="s">
        <v>222</v>
      </c>
      <c r="N14" s="86">
        <f>IF(M14="NO",0,L14*Parametros!$E$8)</f>
        <v>0</v>
      </c>
      <c r="O14" s="85">
        <v>0</v>
      </c>
      <c r="P14" s="88" t="s">
        <v>222</v>
      </c>
      <c r="Q14" s="86">
        <f>IF(P14="NO",0,O14*Parametros!$E$9)</f>
        <v>0</v>
      </c>
      <c r="R14" s="85">
        <v>0</v>
      </c>
      <c r="S14" s="88" t="s">
        <v>222</v>
      </c>
      <c r="T14" s="86">
        <f>IF(S14="NO",0,R14*Parametros!$E$10)</f>
        <v>0</v>
      </c>
      <c r="U14" s="85">
        <v>0</v>
      </c>
      <c r="V14" s="86">
        <f>U14*Parametros!$E$11</f>
        <v>0</v>
      </c>
      <c r="W14" s="87">
        <v>0</v>
      </c>
      <c r="X14" s="86">
        <f>MAX(0,Parametros!$E$12-Parametros!$E$18*W14)</f>
        <v>0.25</v>
      </c>
      <c r="Y14" s="87">
        <v>0</v>
      </c>
      <c r="Z14" s="87">
        <v>0</v>
      </c>
      <c r="AA14" s="89">
        <f>IF(Y14&gt;=Parametros!$E$22,Parametros!$E$24,0)</f>
        <v>0</v>
      </c>
      <c r="AB14" s="89">
        <f>IF(Z14&gt;=Parametros!$E$23,Parametros!$E$25,0)</f>
        <v>0</v>
      </c>
      <c r="AC14" s="89">
        <f t="shared" si="1"/>
        <v>0</v>
      </c>
      <c r="AD14" s="87">
        <v>0</v>
      </c>
      <c r="AE14" s="88" t="s">
        <v>222</v>
      </c>
      <c r="AF14" s="87">
        <v>0</v>
      </c>
      <c r="AG14" s="88" t="s">
        <v>222</v>
      </c>
      <c r="AH14" s="87">
        <v>0</v>
      </c>
      <c r="AI14" s="88" t="s">
        <v>222</v>
      </c>
      <c r="AJ14" s="87">
        <v>0</v>
      </c>
      <c r="AK14" s="88" t="s">
        <v>222</v>
      </c>
      <c r="AL14" s="87">
        <v>0</v>
      </c>
      <c r="AM14" s="88" t="s">
        <v>222</v>
      </c>
      <c r="AN14" s="89">
        <f>AD14*Parametros!$E$28+AF14*Parametros!$E$29+AH14*Parametros!$E$30+AJ14*Parametros!$E$31+AL14*Parametros!$E$32</f>
        <v>0</v>
      </c>
      <c r="AO14" s="12" t="str">
        <f t="shared" si="2"/>
        <v>NO</v>
      </c>
      <c r="AP14" s="11">
        <f t="shared" si="3"/>
        <v>0.25</v>
      </c>
      <c r="AQ14" s="90">
        <f>MAX(0,MIN(1,MAX(0,AP14-IF(S14="NO",Parametros!$E$17,0))+AC14-AN14-IF(AO14="SI",Parametros!$E$33,0)))</f>
        <v>0.25</v>
      </c>
      <c r="AR14" s="58"/>
      <c r="AS14" s="71" t="str">
        <f>'Captura Noviembre'!B16</f>
        <v>Linea 4</v>
      </c>
      <c r="AT14" s="72">
        <f>'Captura Noviembre'!K16+'Captura Noviembre'!N16+'Captura Noviembre'!Q16</f>
        <v>0</v>
      </c>
      <c r="AU14" s="72">
        <f>'Captura Noviembre'!T16</f>
        <v>0</v>
      </c>
      <c r="AV14" s="72">
        <f>'Captura Noviembre'!V16</f>
        <v>0</v>
      </c>
      <c r="AW14" s="72">
        <f>'Captura Noviembre'!G16</f>
        <v>0</v>
      </c>
      <c r="AX14" s="72">
        <f>'Captura Noviembre'!X16</f>
        <v>0.25</v>
      </c>
      <c r="AY14" s="72">
        <f>'Captura Noviembre'!AC16</f>
        <v>0</v>
      </c>
      <c r="AZ14" s="73">
        <f>-'Captura Noviembre'!AN16</f>
        <v>0</v>
      </c>
      <c r="BA14" s="74">
        <f>'Captura Noviembre'!AQ16</f>
        <v>0.25</v>
      </c>
      <c r="BB14" s="58"/>
      <c r="BC14" s="58"/>
    </row>
    <row r="15" spans="1:55" ht="16.5" customHeight="1" x14ac:dyDescent="0.35">
      <c r="A15" s="12">
        <v>10</v>
      </c>
      <c r="B15" s="83" t="s">
        <v>133</v>
      </c>
      <c r="C15" s="84" t="str">
        <f>VLOOKUP(B15,Parametros!$I$6:$J$20,2,FALSE())</f>
        <v>Mario Ramos</v>
      </c>
      <c r="D15" s="85">
        <v>0</v>
      </c>
      <c r="E15" s="85">
        <v>0</v>
      </c>
      <c r="F15" s="11">
        <f t="shared" si="0"/>
        <v>0</v>
      </c>
      <c r="G15" s="86">
        <f>F15*Parametros!$E$6</f>
        <v>0</v>
      </c>
      <c r="H15" s="87">
        <v>0</v>
      </c>
      <c r="I15" s="87">
        <v>0</v>
      </c>
      <c r="J15" s="88" t="s">
        <v>222</v>
      </c>
      <c r="K15" s="86">
        <f>IF(J15="NO",0,IFERROR(H15/I15,0)*Parametros!$E$7)</f>
        <v>0</v>
      </c>
      <c r="L15" s="85">
        <v>0</v>
      </c>
      <c r="M15" s="88" t="s">
        <v>222</v>
      </c>
      <c r="N15" s="86">
        <f>IF(M15="NO",0,L15*Parametros!$E$8)</f>
        <v>0</v>
      </c>
      <c r="O15" s="85">
        <v>0</v>
      </c>
      <c r="P15" s="88" t="s">
        <v>222</v>
      </c>
      <c r="Q15" s="86">
        <f>IF(P15="NO",0,O15*Parametros!$E$9)</f>
        <v>0</v>
      </c>
      <c r="R15" s="85">
        <v>0</v>
      </c>
      <c r="S15" s="88" t="s">
        <v>222</v>
      </c>
      <c r="T15" s="86">
        <f>IF(S15="NO",0,R15*Parametros!$E$10)</f>
        <v>0</v>
      </c>
      <c r="U15" s="85">
        <v>0</v>
      </c>
      <c r="V15" s="86">
        <f>U15*Parametros!$E$11</f>
        <v>0</v>
      </c>
      <c r="W15" s="87">
        <v>0</v>
      </c>
      <c r="X15" s="86">
        <f>MAX(0,Parametros!$E$12-Parametros!$E$18*W15)</f>
        <v>0.25</v>
      </c>
      <c r="Y15" s="87">
        <v>0</v>
      </c>
      <c r="Z15" s="87">
        <v>0</v>
      </c>
      <c r="AA15" s="89">
        <f>IF(Y15&gt;=Parametros!$E$22,Parametros!$E$24,0)</f>
        <v>0</v>
      </c>
      <c r="AB15" s="89">
        <f>IF(Z15&gt;=Parametros!$E$23,Parametros!$E$25,0)</f>
        <v>0</v>
      </c>
      <c r="AC15" s="89">
        <f t="shared" si="1"/>
        <v>0</v>
      </c>
      <c r="AD15" s="87">
        <v>0</v>
      </c>
      <c r="AE15" s="88" t="s">
        <v>222</v>
      </c>
      <c r="AF15" s="87">
        <v>0</v>
      </c>
      <c r="AG15" s="88" t="s">
        <v>222</v>
      </c>
      <c r="AH15" s="87">
        <v>0</v>
      </c>
      <c r="AI15" s="88" t="s">
        <v>222</v>
      </c>
      <c r="AJ15" s="87">
        <v>0</v>
      </c>
      <c r="AK15" s="88" t="s">
        <v>222</v>
      </c>
      <c r="AL15" s="87">
        <v>0</v>
      </c>
      <c r="AM15" s="88" t="s">
        <v>222</v>
      </c>
      <c r="AN15" s="89">
        <f>AD15*Parametros!$E$28+AF15*Parametros!$E$29+AH15*Parametros!$E$30+AJ15*Parametros!$E$31+AL15*Parametros!$E$32</f>
        <v>0</v>
      </c>
      <c r="AO15" s="12" t="str">
        <f t="shared" si="2"/>
        <v>NO</v>
      </c>
      <c r="AP15" s="11">
        <f t="shared" si="3"/>
        <v>0.25</v>
      </c>
      <c r="AQ15" s="90">
        <f>MAX(0,MIN(1,MAX(0,AP15-IF(S15="NO",Parametros!$E$17,0))+AC15-AN15-IF(AO15="SI",Parametros!$E$33,0)))</f>
        <v>0.25</v>
      </c>
      <c r="AR15" s="58"/>
      <c r="AS15" s="79" t="str">
        <f>'Captura Noviembre'!B17</f>
        <v>Linea 5</v>
      </c>
      <c r="AT15" s="80">
        <f>'Captura Noviembre'!K17+'Captura Noviembre'!N17+'Captura Noviembre'!Q17</f>
        <v>0</v>
      </c>
      <c r="AU15" s="80">
        <f>'Captura Noviembre'!T17</f>
        <v>0</v>
      </c>
      <c r="AV15" s="80">
        <f>'Captura Noviembre'!V17</f>
        <v>0</v>
      </c>
      <c r="AW15" s="80">
        <f>'Captura Noviembre'!G17</f>
        <v>0</v>
      </c>
      <c r="AX15" s="80">
        <f>'Captura Noviembre'!X17</f>
        <v>0.25</v>
      </c>
      <c r="AY15" s="80">
        <f>'Captura Noviembre'!AC17</f>
        <v>0</v>
      </c>
      <c r="AZ15" s="81">
        <f>-'Captura Noviembre'!AN17</f>
        <v>0</v>
      </c>
      <c r="BA15" s="82">
        <f>'Captura Noviembre'!AQ17</f>
        <v>0.25</v>
      </c>
      <c r="BB15" s="58"/>
      <c r="BC15" s="58"/>
    </row>
    <row r="16" spans="1:55" ht="16.5" customHeight="1" x14ac:dyDescent="0.35">
      <c r="A16" s="12">
        <v>11</v>
      </c>
      <c r="B16" s="83" t="s">
        <v>106</v>
      </c>
      <c r="C16" s="84" t="str">
        <f>VLOOKUP(B16,Parametros!$I$6:$J$20,2,FALSE())</f>
        <v>Mario Ramos</v>
      </c>
      <c r="D16" s="85">
        <v>0</v>
      </c>
      <c r="E16" s="85">
        <v>0</v>
      </c>
      <c r="F16" s="11">
        <f t="shared" si="0"/>
        <v>0</v>
      </c>
      <c r="G16" s="86">
        <f>F16*Parametros!$E$6</f>
        <v>0</v>
      </c>
      <c r="H16" s="87">
        <v>0</v>
      </c>
      <c r="I16" s="87">
        <v>0</v>
      </c>
      <c r="J16" s="88" t="s">
        <v>222</v>
      </c>
      <c r="K16" s="86">
        <f>IF(J16="NO",0,IFERROR(H16/I16,0)*Parametros!$E$7)</f>
        <v>0</v>
      </c>
      <c r="L16" s="85">
        <v>0</v>
      </c>
      <c r="M16" s="88" t="s">
        <v>222</v>
      </c>
      <c r="N16" s="86">
        <f>IF(M16="NO",0,L16*Parametros!$E$8)</f>
        <v>0</v>
      </c>
      <c r="O16" s="85">
        <v>0</v>
      </c>
      <c r="P16" s="88" t="s">
        <v>222</v>
      </c>
      <c r="Q16" s="86">
        <f>IF(P16="NO",0,O16*Parametros!$E$9)</f>
        <v>0</v>
      </c>
      <c r="R16" s="85">
        <v>0</v>
      </c>
      <c r="S16" s="88" t="s">
        <v>222</v>
      </c>
      <c r="T16" s="86">
        <f>IF(S16="NO",0,R16*Parametros!$E$10)</f>
        <v>0</v>
      </c>
      <c r="U16" s="85">
        <v>0</v>
      </c>
      <c r="V16" s="86">
        <f>U16*Parametros!$E$11</f>
        <v>0</v>
      </c>
      <c r="W16" s="87">
        <v>0</v>
      </c>
      <c r="X16" s="86">
        <f>MAX(0,Parametros!$E$12-Parametros!$E$18*W16)</f>
        <v>0.25</v>
      </c>
      <c r="Y16" s="87">
        <v>0</v>
      </c>
      <c r="Z16" s="87">
        <v>0</v>
      </c>
      <c r="AA16" s="89">
        <f>IF(Y16&gt;=Parametros!$E$22,Parametros!$E$24,0)</f>
        <v>0</v>
      </c>
      <c r="AB16" s="89">
        <f>IF(Z16&gt;=Parametros!$E$23,Parametros!$E$25,0)</f>
        <v>0</v>
      </c>
      <c r="AC16" s="89">
        <f t="shared" si="1"/>
        <v>0</v>
      </c>
      <c r="AD16" s="87">
        <v>0</v>
      </c>
      <c r="AE16" s="88" t="s">
        <v>222</v>
      </c>
      <c r="AF16" s="87">
        <v>0</v>
      </c>
      <c r="AG16" s="88" t="s">
        <v>222</v>
      </c>
      <c r="AH16" s="87">
        <v>0</v>
      </c>
      <c r="AI16" s="88" t="s">
        <v>222</v>
      </c>
      <c r="AJ16" s="87">
        <v>0</v>
      </c>
      <c r="AK16" s="88" t="s">
        <v>222</v>
      </c>
      <c r="AL16" s="87">
        <v>0</v>
      </c>
      <c r="AM16" s="88" t="s">
        <v>222</v>
      </c>
      <c r="AN16" s="89">
        <f>AD16*Parametros!$E$28+AF16*Parametros!$E$29+AH16*Parametros!$E$30+AJ16*Parametros!$E$31+AL16*Parametros!$E$32</f>
        <v>0</v>
      </c>
      <c r="AO16" s="12" t="str">
        <f t="shared" si="2"/>
        <v>NO</v>
      </c>
      <c r="AP16" s="11">
        <f t="shared" si="3"/>
        <v>0.25</v>
      </c>
      <c r="AQ16" s="90">
        <f>MAX(0,MIN(1,MAX(0,AP16-IF(S16="NO",Parametros!$E$17,0))+AC16-AN16-IF(AO16="SI",Parametros!$E$33,0)))</f>
        <v>0.25</v>
      </c>
      <c r="AR16" s="58"/>
      <c r="AS16" s="71" t="str">
        <f>'Captura Noviembre'!B18</f>
        <v>Mantenimiento</v>
      </c>
      <c r="AT16" s="72">
        <f>'Captura Noviembre'!K18+'Captura Noviembre'!N18+'Captura Noviembre'!Q18</f>
        <v>0</v>
      </c>
      <c r="AU16" s="72">
        <f>'Captura Noviembre'!T18</f>
        <v>0</v>
      </c>
      <c r="AV16" s="72">
        <f>'Captura Noviembre'!V18</f>
        <v>0</v>
      </c>
      <c r="AW16" s="72">
        <f>'Captura Noviembre'!G18</f>
        <v>0</v>
      </c>
      <c r="AX16" s="72">
        <f>'Captura Noviembre'!X18</f>
        <v>0.25</v>
      </c>
      <c r="AY16" s="72">
        <f>'Captura Noviembre'!AC18</f>
        <v>0</v>
      </c>
      <c r="AZ16" s="73">
        <f>-'Captura Noviembre'!AN18</f>
        <v>0</v>
      </c>
      <c r="BA16" s="74">
        <f>'Captura Noviembre'!AQ18</f>
        <v>0.25</v>
      </c>
      <c r="BB16" s="58"/>
      <c r="BC16" s="58"/>
    </row>
    <row r="17" spans="1:55" ht="16.5" customHeight="1" x14ac:dyDescent="0.35">
      <c r="A17" s="12">
        <v>12</v>
      </c>
      <c r="B17" s="83" t="s">
        <v>109</v>
      </c>
      <c r="C17" s="84" t="str">
        <f>VLOOKUP(B17,Parametros!$I$6:$J$20,2,FALSE())</f>
        <v>Roy Luarca</v>
      </c>
      <c r="D17" s="85">
        <v>0</v>
      </c>
      <c r="E17" s="85">
        <v>0</v>
      </c>
      <c r="F17" s="11">
        <f t="shared" si="0"/>
        <v>0</v>
      </c>
      <c r="G17" s="86">
        <f>F17*Parametros!$E$6</f>
        <v>0</v>
      </c>
      <c r="H17" s="87">
        <v>0</v>
      </c>
      <c r="I17" s="87">
        <v>0</v>
      </c>
      <c r="J17" s="88" t="s">
        <v>222</v>
      </c>
      <c r="K17" s="86">
        <f>IF(J17="NO",0,IFERROR(H17/I17,0)*Parametros!$E$7)</f>
        <v>0</v>
      </c>
      <c r="L17" s="85">
        <v>0</v>
      </c>
      <c r="M17" s="88" t="s">
        <v>222</v>
      </c>
      <c r="N17" s="86">
        <f>IF(M17="NO",0,L17*Parametros!$E$8)</f>
        <v>0</v>
      </c>
      <c r="O17" s="85">
        <v>0</v>
      </c>
      <c r="P17" s="88" t="s">
        <v>222</v>
      </c>
      <c r="Q17" s="86">
        <f>IF(P17="NO",0,O17*Parametros!$E$9)</f>
        <v>0</v>
      </c>
      <c r="R17" s="85">
        <v>0</v>
      </c>
      <c r="S17" s="88" t="s">
        <v>222</v>
      </c>
      <c r="T17" s="86">
        <f>IF(S17="NO",0,R17*Parametros!$E$10)</f>
        <v>0</v>
      </c>
      <c r="U17" s="85">
        <v>0</v>
      </c>
      <c r="V17" s="86">
        <f>U17*Parametros!$E$11</f>
        <v>0</v>
      </c>
      <c r="W17" s="87">
        <v>0</v>
      </c>
      <c r="X17" s="86">
        <f>MAX(0,Parametros!$E$12-Parametros!$E$18*W17)</f>
        <v>0.25</v>
      </c>
      <c r="Y17" s="87">
        <v>0</v>
      </c>
      <c r="Z17" s="87">
        <v>0</v>
      </c>
      <c r="AA17" s="89">
        <f>IF(Y17&gt;=Parametros!$E$22,Parametros!$E$24,0)</f>
        <v>0</v>
      </c>
      <c r="AB17" s="89">
        <f>IF(Z17&gt;=Parametros!$E$23,Parametros!$E$25,0)</f>
        <v>0</v>
      </c>
      <c r="AC17" s="89">
        <f t="shared" si="1"/>
        <v>0</v>
      </c>
      <c r="AD17" s="87">
        <v>0</v>
      </c>
      <c r="AE17" s="88" t="s">
        <v>222</v>
      </c>
      <c r="AF17" s="87">
        <v>0</v>
      </c>
      <c r="AG17" s="88" t="s">
        <v>222</v>
      </c>
      <c r="AH17" s="87">
        <v>0</v>
      </c>
      <c r="AI17" s="88" t="s">
        <v>222</v>
      </c>
      <c r="AJ17" s="87">
        <v>0</v>
      </c>
      <c r="AK17" s="88" t="s">
        <v>222</v>
      </c>
      <c r="AL17" s="87">
        <v>0</v>
      </c>
      <c r="AM17" s="88" t="s">
        <v>222</v>
      </c>
      <c r="AN17" s="89">
        <f>AD17*Parametros!$E$28+AF17*Parametros!$E$29+AH17*Parametros!$E$30+AJ17*Parametros!$E$31+AL17*Parametros!$E$32</f>
        <v>0</v>
      </c>
      <c r="AO17" s="12" t="str">
        <f t="shared" si="2"/>
        <v>NO</v>
      </c>
      <c r="AP17" s="11">
        <f t="shared" si="3"/>
        <v>0.25</v>
      </c>
      <c r="AQ17" s="90">
        <f>MAX(0,MIN(1,MAX(0,AP17-IF(S17="NO",Parametros!$E$17,0))+AC17-AN17-IF(AO17="SI",Parametros!$E$33,0)))</f>
        <v>0.25</v>
      </c>
      <c r="AR17" s="58"/>
      <c r="AS17" s="79" t="str">
        <f>'Captura Noviembre'!B19</f>
        <v>Materias Primas</v>
      </c>
      <c r="AT17" s="80">
        <f>'Captura Noviembre'!K19+'Captura Noviembre'!N19+'Captura Noviembre'!Q19</f>
        <v>0</v>
      </c>
      <c r="AU17" s="80">
        <f>'Captura Noviembre'!T19</f>
        <v>0</v>
      </c>
      <c r="AV17" s="80">
        <f>'Captura Noviembre'!V19</f>
        <v>0</v>
      </c>
      <c r="AW17" s="80">
        <f>'Captura Noviembre'!G19</f>
        <v>0</v>
      </c>
      <c r="AX17" s="80">
        <f>'Captura Noviembre'!X19</f>
        <v>0.25</v>
      </c>
      <c r="AY17" s="80">
        <f>'Captura Noviembre'!AC19</f>
        <v>0</v>
      </c>
      <c r="AZ17" s="81">
        <f>-'Captura Noviembre'!AN19</f>
        <v>0</v>
      </c>
      <c r="BA17" s="82">
        <f>'Captura Noviembre'!AQ19</f>
        <v>0.25</v>
      </c>
      <c r="BB17" s="58"/>
      <c r="BC17" s="58"/>
    </row>
    <row r="18" spans="1:55" ht="16.5" customHeight="1" x14ac:dyDescent="0.35">
      <c r="A18" s="12">
        <v>13</v>
      </c>
      <c r="B18" s="83" t="s">
        <v>140</v>
      </c>
      <c r="C18" s="84" t="str">
        <f>VLOOKUP(B18,Parametros!$I$6:$J$20,2,FALSE())</f>
        <v>Eliu Tello</v>
      </c>
      <c r="D18" s="85">
        <v>0</v>
      </c>
      <c r="E18" s="85">
        <v>0</v>
      </c>
      <c r="F18" s="11">
        <f t="shared" si="0"/>
        <v>0</v>
      </c>
      <c r="G18" s="86">
        <f>F18*Parametros!$E$6</f>
        <v>0</v>
      </c>
      <c r="H18" s="87">
        <v>0</v>
      </c>
      <c r="I18" s="87">
        <v>0</v>
      </c>
      <c r="J18" s="88" t="s">
        <v>222</v>
      </c>
      <c r="K18" s="86">
        <f>IF(J18="NO",0,IFERROR(H18/I18,0)*Parametros!$E$7)</f>
        <v>0</v>
      </c>
      <c r="L18" s="85">
        <v>0</v>
      </c>
      <c r="M18" s="88" t="s">
        <v>222</v>
      </c>
      <c r="N18" s="86">
        <f>IF(M18="NO",0,L18*Parametros!$E$8)</f>
        <v>0</v>
      </c>
      <c r="O18" s="85">
        <v>0</v>
      </c>
      <c r="P18" s="88" t="s">
        <v>222</v>
      </c>
      <c r="Q18" s="86">
        <f>IF(P18="NO",0,O18*Parametros!$E$9)</f>
        <v>0</v>
      </c>
      <c r="R18" s="85">
        <v>0</v>
      </c>
      <c r="S18" s="88" t="s">
        <v>222</v>
      </c>
      <c r="T18" s="86">
        <f>IF(S18="NO",0,R18*Parametros!$E$10)</f>
        <v>0</v>
      </c>
      <c r="U18" s="85">
        <v>0</v>
      </c>
      <c r="V18" s="86">
        <f>U18*Parametros!$E$11</f>
        <v>0</v>
      </c>
      <c r="W18" s="87">
        <v>0</v>
      </c>
      <c r="X18" s="86">
        <f>MAX(0,Parametros!$E$12-Parametros!$E$18*W18)</f>
        <v>0.25</v>
      </c>
      <c r="Y18" s="87">
        <v>0</v>
      </c>
      <c r="Z18" s="87">
        <v>0</v>
      </c>
      <c r="AA18" s="89">
        <f>IF(Y18&gt;=Parametros!$E$22,Parametros!$E$24,0)</f>
        <v>0</v>
      </c>
      <c r="AB18" s="89">
        <f>IF(Z18&gt;=Parametros!$E$23,Parametros!$E$25,0)</f>
        <v>0</v>
      </c>
      <c r="AC18" s="89">
        <f t="shared" si="1"/>
        <v>0</v>
      </c>
      <c r="AD18" s="87">
        <v>0</v>
      </c>
      <c r="AE18" s="88" t="s">
        <v>222</v>
      </c>
      <c r="AF18" s="87">
        <v>0</v>
      </c>
      <c r="AG18" s="88" t="s">
        <v>222</v>
      </c>
      <c r="AH18" s="87">
        <v>0</v>
      </c>
      <c r="AI18" s="88" t="s">
        <v>222</v>
      </c>
      <c r="AJ18" s="87">
        <v>0</v>
      </c>
      <c r="AK18" s="88" t="s">
        <v>222</v>
      </c>
      <c r="AL18" s="87">
        <v>0</v>
      </c>
      <c r="AM18" s="88" t="s">
        <v>222</v>
      </c>
      <c r="AN18" s="89">
        <f>AD18*Parametros!$E$28+AF18*Parametros!$E$29+AH18*Parametros!$E$30+AJ18*Parametros!$E$31+AL18*Parametros!$E$32</f>
        <v>0</v>
      </c>
      <c r="AO18" s="12" t="str">
        <f t="shared" si="2"/>
        <v>NO</v>
      </c>
      <c r="AP18" s="11">
        <f t="shared" si="3"/>
        <v>0.25</v>
      </c>
      <c r="AQ18" s="90">
        <f>MAX(0,MIN(1,MAX(0,AP18-IF(S18="NO",Parametros!$E$17,0))+AC18-AN18-IF(AO18="SI",Parametros!$E$33,0)))</f>
        <v>0.25</v>
      </c>
      <c r="AR18" s="58"/>
      <c r="AS18" s="71" t="str">
        <f>'Captura Noviembre'!B20</f>
        <v>Tratamiento de Aguas</v>
      </c>
      <c r="AT18" s="72">
        <f>'Captura Noviembre'!K20+'Captura Noviembre'!N20+'Captura Noviembre'!Q20</f>
        <v>0</v>
      </c>
      <c r="AU18" s="72">
        <f>'Captura Noviembre'!T20</f>
        <v>0</v>
      </c>
      <c r="AV18" s="72">
        <f>'Captura Noviembre'!V20</f>
        <v>0</v>
      </c>
      <c r="AW18" s="72">
        <f>'Captura Noviembre'!G20</f>
        <v>0</v>
      </c>
      <c r="AX18" s="72">
        <f>'Captura Noviembre'!X20</f>
        <v>0.25</v>
      </c>
      <c r="AY18" s="72">
        <f>'Captura Noviembre'!AC20</f>
        <v>0</v>
      </c>
      <c r="AZ18" s="73">
        <f>-'Captura Noviembre'!AN20</f>
        <v>0</v>
      </c>
      <c r="BA18" s="74">
        <f>'Captura Noviembre'!AQ20</f>
        <v>0.25</v>
      </c>
      <c r="BB18" s="58"/>
      <c r="BC18" s="58"/>
    </row>
    <row r="19" spans="1:55" ht="25.5" customHeight="1" x14ac:dyDescent="0.35">
      <c r="A19" s="12">
        <v>14</v>
      </c>
      <c r="B19" s="83" t="s">
        <v>142</v>
      </c>
      <c r="C19" s="84" t="str">
        <f>VLOOKUP(B19,Parametros!$I$6:$J$20,2,FALSE())</f>
        <v>Miguel Godinez</v>
      </c>
      <c r="D19" s="85">
        <v>0</v>
      </c>
      <c r="E19" s="85">
        <v>0</v>
      </c>
      <c r="F19" s="11">
        <f t="shared" si="0"/>
        <v>0</v>
      </c>
      <c r="G19" s="86">
        <f>F19*Parametros!$E$6</f>
        <v>0</v>
      </c>
      <c r="H19" s="87">
        <v>0</v>
      </c>
      <c r="I19" s="87">
        <v>0</v>
      </c>
      <c r="J19" s="88" t="s">
        <v>222</v>
      </c>
      <c r="K19" s="86">
        <f>IF(J19="NO",0,IFERROR(H19/I19,0)*Parametros!$E$7)</f>
        <v>0</v>
      </c>
      <c r="L19" s="85">
        <v>0</v>
      </c>
      <c r="M19" s="88" t="s">
        <v>222</v>
      </c>
      <c r="N19" s="86">
        <f>IF(M19="NO",0,L19*Parametros!$E$8)</f>
        <v>0</v>
      </c>
      <c r="O19" s="85">
        <v>0</v>
      </c>
      <c r="P19" s="88" t="s">
        <v>222</v>
      </c>
      <c r="Q19" s="86">
        <f>IF(P19="NO",0,O19*Parametros!$E$9)</f>
        <v>0</v>
      </c>
      <c r="R19" s="85">
        <v>0</v>
      </c>
      <c r="S19" s="88" t="s">
        <v>222</v>
      </c>
      <c r="T19" s="86">
        <f>IF(S19="NO",0,R19*Parametros!$E$10)</f>
        <v>0</v>
      </c>
      <c r="U19" s="85">
        <v>0</v>
      </c>
      <c r="V19" s="86">
        <f>U19*Parametros!$E$11</f>
        <v>0</v>
      </c>
      <c r="W19" s="87">
        <v>0</v>
      </c>
      <c r="X19" s="86">
        <f>MAX(0,Parametros!$E$12-Parametros!$E$18*W19)</f>
        <v>0.25</v>
      </c>
      <c r="Y19" s="87">
        <v>0</v>
      </c>
      <c r="Z19" s="87">
        <v>0</v>
      </c>
      <c r="AA19" s="89">
        <f>IF(Y19&gt;=Parametros!$E$22,Parametros!$E$24,0)</f>
        <v>0</v>
      </c>
      <c r="AB19" s="89">
        <f>IF(Z19&gt;=Parametros!$E$23,Parametros!$E$25,0)</f>
        <v>0</v>
      </c>
      <c r="AC19" s="89">
        <f t="shared" si="1"/>
        <v>0</v>
      </c>
      <c r="AD19" s="87">
        <v>0</v>
      </c>
      <c r="AE19" s="88" t="s">
        <v>222</v>
      </c>
      <c r="AF19" s="87">
        <v>0</v>
      </c>
      <c r="AG19" s="88" t="s">
        <v>222</v>
      </c>
      <c r="AH19" s="87">
        <v>0</v>
      </c>
      <c r="AI19" s="88" t="s">
        <v>222</v>
      </c>
      <c r="AJ19" s="87">
        <v>0</v>
      </c>
      <c r="AK19" s="88" t="s">
        <v>222</v>
      </c>
      <c r="AL19" s="87">
        <v>0</v>
      </c>
      <c r="AM19" s="88" t="s">
        <v>222</v>
      </c>
      <c r="AN19" s="89">
        <f>AD19*Parametros!$E$28+AF19*Parametros!$E$29+AH19*Parametros!$E$30+AJ19*Parametros!$E$31+AL19*Parametros!$E$32</f>
        <v>0</v>
      </c>
      <c r="AO19" s="12" t="str">
        <f t="shared" si="2"/>
        <v>NO</v>
      </c>
      <c r="AP19" s="11">
        <f t="shared" si="3"/>
        <v>0.25</v>
      </c>
      <c r="AQ19" s="90">
        <f>MAX(0,MIN(1,MAX(0,AP19-IF(S19="NO",Parametros!$E$17,0))+AC19-AN19-IF(AO19="SI",Parametros!$E$33,0)))</f>
        <v>0.25</v>
      </c>
      <c r="AR19" s="58"/>
      <c r="AS19" s="111" t="s">
        <v>275</v>
      </c>
      <c r="AT19" s="111"/>
      <c r="AU19" s="111"/>
      <c r="AV19" s="111"/>
      <c r="AW19" s="111"/>
      <c r="AX19" s="111"/>
      <c r="AY19" s="111"/>
      <c r="AZ19" s="111"/>
      <c r="BA19" s="91">
        <f>AVERAGE(BA4:BA18)</f>
        <v>0.25</v>
      </c>
      <c r="BB19" s="58"/>
      <c r="BC19" s="58"/>
    </row>
    <row r="20" spans="1:55" ht="16.5" customHeight="1" x14ac:dyDescent="0.35">
      <c r="A20" s="12">
        <v>15</v>
      </c>
      <c r="B20" s="83" t="s">
        <v>138</v>
      </c>
      <c r="C20" s="84" t="str">
        <f>VLOOKUP(B20,Parametros!$I$6:$J$20,2,FALSE())</f>
        <v>Adrian Santisteban</v>
      </c>
      <c r="D20" s="85">
        <v>0</v>
      </c>
      <c r="E20" s="85">
        <v>0</v>
      </c>
      <c r="F20" s="11">
        <f t="shared" si="0"/>
        <v>0</v>
      </c>
      <c r="G20" s="86">
        <f>F20*Parametros!$E$6</f>
        <v>0</v>
      </c>
      <c r="H20" s="87">
        <v>0</v>
      </c>
      <c r="I20" s="87">
        <v>0</v>
      </c>
      <c r="J20" s="88" t="s">
        <v>222</v>
      </c>
      <c r="K20" s="86">
        <f>IF(J20="NO",0,IFERROR(H20/I20,0)*Parametros!$E$7)</f>
        <v>0</v>
      </c>
      <c r="L20" s="85">
        <v>0</v>
      </c>
      <c r="M20" s="88" t="s">
        <v>222</v>
      </c>
      <c r="N20" s="86">
        <f>IF(M20="NO",0,L20*Parametros!$E$8)</f>
        <v>0</v>
      </c>
      <c r="O20" s="85">
        <v>0</v>
      </c>
      <c r="P20" s="88" t="s">
        <v>222</v>
      </c>
      <c r="Q20" s="86">
        <f>IF(P20="NO",0,O20*Parametros!$E$9)</f>
        <v>0</v>
      </c>
      <c r="R20" s="85">
        <v>0</v>
      </c>
      <c r="S20" s="88" t="s">
        <v>222</v>
      </c>
      <c r="T20" s="86">
        <f>IF(S20="NO",0,R20*Parametros!$E$10)</f>
        <v>0</v>
      </c>
      <c r="U20" s="85">
        <v>0</v>
      </c>
      <c r="V20" s="86">
        <f>U20*Parametros!$E$11</f>
        <v>0</v>
      </c>
      <c r="W20" s="87">
        <v>0</v>
      </c>
      <c r="X20" s="86">
        <f>MAX(0,Parametros!$E$12-Parametros!$E$18*W20)</f>
        <v>0.25</v>
      </c>
      <c r="Y20" s="87">
        <v>0</v>
      </c>
      <c r="Z20" s="87">
        <v>0</v>
      </c>
      <c r="AA20" s="89">
        <f>IF(Y20&gt;=Parametros!$E$22,Parametros!$E$24,0)</f>
        <v>0</v>
      </c>
      <c r="AB20" s="89">
        <f>IF(Z20&gt;=Parametros!$E$23,Parametros!$E$25,0)</f>
        <v>0</v>
      </c>
      <c r="AC20" s="89">
        <f t="shared" si="1"/>
        <v>0</v>
      </c>
      <c r="AD20" s="87">
        <v>0</v>
      </c>
      <c r="AE20" s="88" t="s">
        <v>222</v>
      </c>
      <c r="AF20" s="87">
        <v>0</v>
      </c>
      <c r="AG20" s="88" t="s">
        <v>222</v>
      </c>
      <c r="AH20" s="87">
        <v>0</v>
      </c>
      <c r="AI20" s="88" t="s">
        <v>222</v>
      </c>
      <c r="AJ20" s="87">
        <v>0</v>
      </c>
      <c r="AK20" s="88" t="s">
        <v>222</v>
      </c>
      <c r="AL20" s="87">
        <v>0</v>
      </c>
      <c r="AM20" s="88" t="s">
        <v>222</v>
      </c>
      <c r="AN20" s="89">
        <f>AD20*Parametros!$E$28+AF20*Parametros!$E$29+AH20*Parametros!$E$30+AJ20*Parametros!$E$31+AL20*Parametros!$E$32</f>
        <v>0</v>
      </c>
      <c r="AO20" s="12" t="str">
        <f t="shared" si="2"/>
        <v>NO</v>
      </c>
      <c r="AP20" s="11">
        <f t="shared" si="3"/>
        <v>0.25</v>
      </c>
      <c r="AQ20" s="90">
        <f>MAX(0,MIN(1,MAX(0,AP20-IF(S20="NO",Parametros!$E$17,0))+AC20-AN20-IF(AO20="SI",Parametros!$E$33,0)))</f>
        <v>0.25</v>
      </c>
      <c r="AR20" s="58"/>
      <c r="AS20" s="58"/>
      <c r="AT20" s="58"/>
      <c r="AU20" s="58"/>
      <c r="AV20" s="58"/>
      <c r="AW20" s="58"/>
      <c r="AX20" s="58"/>
      <c r="AY20" s="58"/>
      <c r="AZ20" s="58"/>
      <c r="BA20" s="58"/>
      <c r="BB20" s="58"/>
    </row>
    <row r="22" spans="1:55" ht="21.75" customHeight="1" x14ac:dyDescent="0.35">
      <c r="A22" s="112"/>
      <c r="B22" s="112"/>
      <c r="C22" s="112"/>
      <c r="D22" s="70"/>
      <c r="E22" s="70"/>
      <c r="F22" s="70"/>
      <c r="G22" s="70"/>
      <c r="H22" s="70"/>
      <c r="I22" s="70"/>
      <c r="J22" s="70"/>
      <c r="K22" s="70"/>
      <c r="L22" s="70"/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V22" s="92"/>
    </row>
    <row r="23" spans="1:55" ht="21.75" customHeight="1" x14ac:dyDescent="0.35">
      <c r="A23" s="113" t="s">
        <v>225</v>
      </c>
      <c r="B23" s="113"/>
      <c r="C23" s="113"/>
      <c r="D23" s="93"/>
      <c r="E23" s="93"/>
      <c r="F23" s="93"/>
      <c r="G23" s="93"/>
      <c r="H23" s="93"/>
      <c r="I23" s="93"/>
      <c r="J23" s="93"/>
      <c r="K23" s="93"/>
      <c r="L23" s="93"/>
      <c r="M23" s="93"/>
      <c r="N23" s="93"/>
      <c r="O23" s="93"/>
      <c r="P23" s="93"/>
      <c r="Q23" s="93"/>
      <c r="R23" s="93"/>
      <c r="S23" s="93"/>
      <c r="T23" s="93"/>
      <c r="U23" s="93"/>
      <c r="V23" s="93"/>
      <c r="W23" s="93"/>
      <c r="X23" s="93"/>
      <c r="Y23" s="93"/>
      <c r="Z23" s="93"/>
      <c r="AA23" s="93"/>
      <c r="AB23" s="93"/>
      <c r="AC23" s="93"/>
      <c r="AD23" s="93"/>
      <c r="AE23" s="93"/>
      <c r="AF23" s="93"/>
      <c r="AG23" s="93"/>
      <c r="AH23" s="93"/>
      <c r="AI23" s="93"/>
      <c r="AJ23" s="93"/>
      <c r="AK23" s="93"/>
      <c r="AL23" s="93"/>
      <c r="AM23" s="93"/>
      <c r="AN23" s="93"/>
      <c r="AO23" s="93"/>
      <c r="AP23" s="93"/>
      <c r="AQ23" s="94">
        <f>AVERAGE(AQ6:AQ20)</f>
        <v>0.25</v>
      </c>
      <c r="AR23" s="58"/>
      <c r="AS23" s="58"/>
      <c r="AT23" s="58"/>
      <c r="AU23" s="58"/>
      <c r="AV23" s="58"/>
      <c r="AW23" s="58"/>
      <c r="AX23" s="58"/>
      <c r="AY23" s="58"/>
      <c r="AZ23" s="58"/>
      <c r="BA23" s="58"/>
      <c r="BB23" s="58"/>
    </row>
  </sheetData>
  <mergeCells count="20">
    <mergeCell ref="A1:AB1"/>
    <mergeCell ref="AS1:BA1"/>
    <mergeCell ref="BB1:BC1"/>
    <mergeCell ref="B2:D2"/>
    <mergeCell ref="AT2:AV2"/>
    <mergeCell ref="AX2:BA2"/>
    <mergeCell ref="BB5:BC5"/>
    <mergeCell ref="AS19:AZ19"/>
    <mergeCell ref="A22:C22"/>
    <mergeCell ref="A23:C23"/>
    <mergeCell ref="U4:V4"/>
    <mergeCell ref="W4:X4"/>
    <mergeCell ref="Y4:AC4"/>
    <mergeCell ref="AD4:AO4"/>
    <mergeCell ref="AP4:AQ4"/>
    <mergeCell ref="D4:G4"/>
    <mergeCell ref="H4:K4"/>
    <mergeCell ref="L4:N4"/>
    <mergeCell ref="O4:Q4"/>
    <mergeCell ref="R4:T4"/>
  </mergeCells>
  <conditionalFormatting sqref="AQ6:AQ20">
    <cfRule type="cellIs" dxfId="20" priority="5" operator="greaterThanOrEqual">
      <formula>0.9</formula>
    </cfRule>
    <cfRule type="cellIs" dxfId="19" priority="6" operator="between">
      <formula>0.7</formula>
      <formula>0.8999</formula>
    </cfRule>
    <cfRule type="cellIs" dxfId="18" priority="7" operator="lessThan">
      <formula>0.7</formula>
    </cfRule>
  </conditionalFormatting>
  <conditionalFormatting sqref="AV6:AV20">
    <cfRule type="cellIs" dxfId="17" priority="2" operator="greaterThanOrEqual">
      <formula>0.9</formula>
    </cfRule>
    <cfRule type="expression" dxfId="16" priority="3">
      <formula>AND(AV6&gt;=0.7,AV6&lt;0.9)</formula>
    </cfRule>
    <cfRule type="cellIs" dxfId="15" priority="4" operator="lessThan">
      <formula>0.7</formula>
    </cfRule>
  </conditionalFormatting>
  <conditionalFormatting sqref="BA4:BA18">
    <cfRule type="cellIs" dxfId="14" priority="8" operator="greaterThanOrEqual">
      <formula>0.9</formula>
    </cfRule>
    <cfRule type="cellIs" dxfId="13" priority="9" operator="between">
      <formula>0.7</formula>
      <formula>0.8999</formula>
    </cfRule>
    <cfRule type="cellIs" dxfId="12" priority="10" operator="lessThan">
      <formula>0.7</formula>
    </cfRule>
  </conditionalFormatting>
  <dataValidations count="4">
    <dataValidation type="whole" operator="greaterThanOrEqual" showErrorMessage="1" errorTitle="Valor invalido" error="Ingrese un numero entero &gt;= 0" sqref="F6:F20 K6:K20 N6:N20 V6:W20 AB6:AB20 AD6:AD20 AO6:AO20 AQ6:AQ20" xr:uid="{00000000-0002-0000-0F00-000000000000}">
      <formula1>0</formula1>
      <formula2>0</formula2>
    </dataValidation>
    <dataValidation type="decimal" showErrorMessage="1" errorTitle="Valor invalido" error="Ingrese un porcentaje entre 0% y 100%" sqref="D6:E20 L6:L20 O6:O20 R6:R20 U6:U20" xr:uid="{00000000-0002-0000-0F00-000001000000}">
      <formula1>0</formula1>
      <formula2>1</formula2>
    </dataValidation>
    <dataValidation type="whole" operator="greaterThanOrEqual" showErrorMessage="1" errorTitle="Valor inválido" error="Ingrese un número entero mayor o igual a 0" sqref="Z6:Z20" xr:uid="{00000000-0002-0000-0F00-000002000000}">
      <formula1>0</formula1>
      <formula2>0</formula2>
    </dataValidation>
    <dataValidation type="list" sqref="J6:J20 M6:M20 P6:P20 S6:T20 X6:X20 AE6:AE20 AG6:AG20 AI6:AN20 AP6:AP20 AR6:AR20" xr:uid="{00000000-0002-0000-0F00-000003000000}">
      <formula1>"SI,NO"</formula1>
      <formula2>0</formula2>
    </dataValidation>
  </dataValidations>
  <pageMargins left="0.3" right="0.3" top="0.4" bottom="0.4" header="0.511811023622047" footer="0.511811023622047"/>
  <pageSetup fitToHeight="0" orientation="landscape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ED6B23"/>
    <pageSetUpPr fitToPage="1"/>
  </sheetPr>
  <dimension ref="A1:BC23"/>
  <sheetViews>
    <sheetView showGridLines="0" zoomScale="85" zoomScaleNormal="85" workbookViewId="0">
      <pane xSplit="3" ySplit="5" topLeftCell="D6" activePane="bottomRight" state="frozen"/>
      <selection pane="topRight" activeCell="D1" sqref="D1"/>
      <selection pane="bottomLeft" activeCell="A6" sqref="A6"/>
      <selection pane="bottomRight"/>
    </sheetView>
  </sheetViews>
  <sheetFormatPr baseColWidth="10" defaultColWidth="8.6328125" defaultRowHeight="14.5" x14ac:dyDescent="0.35"/>
  <cols>
    <col min="1" max="1" width="5" customWidth="1"/>
    <col min="2" max="2" width="22" customWidth="1"/>
    <col min="3" max="3" width="16" customWidth="1"/>
    <col min="4" max="48" width="9.54296875" customWidth="1"/>
    <col min="49" max="50" width="11" customWidth="1"/>
    <col min="51" max="51" width="13" customWidth="1"/>
    <col min="52" max="52" width="11" customWidth="1"/>
    <col min="53" max="53" width="14" customWidth="1"/>
    <col min="54" max="54" width="18" customWidth="1"/>
    <col min="55" max="55" width="10" customWidth="1"/>
  </cols>
  <sheetData>
    <row r="1" spans="1:55" ht="19.5" customHeight="1" x14ac:dyDescent="0.35">
      <c r="A1" s="117" t="s">
        <v>276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  <c r="AA1" s="117"/>
      <c r="AB1" s="117"/>
      <c r="AR1" s="58"/>
      <c r="AS1" s="118" t="s">
        <v>277</v>
      </c>
      <c r="AT1" s="118"/>
      <c r="AU1" s="118"/>
      <c r="AV1" s="118"/>
      <c r="AW1" s="118"/>
      <c r="AX1" s="118"/>
      <c r="AY1" s="118"/>
      <c r="AZ1" s="118"/>
      <c r="BA1" s="118"/>
      <c r="BB1" s="119" t="s">
        <v>278</v>
      </c>
      <c r="BC1" s="119"/>
    </row>
    <row r="2" spans="1:55" ht="18" customHeight="1" x14ac:dyDescent="0.35">
      <c r="A2" s="5" t="s">
        <v>163</v>
      </c>
      <c r="B2" s="120" t="s">
        <v>279</v>
      </c>
      <c r="C2" s="120"/>
      <c r="D2" s="120"/>
      <c r="F2" s="5" t="s">
        <v>165</v>
      </c>
      <c r="G2" s="59" t="s">
        <v>166</v>
      </c>
      <c r="AR2" s="58"/>
      <c r="AS2" s="60"/>
      <c r="AT2" s="121" t="s">
        <v>167</v>
      </c>
      <c r="AU2" s="121"/>
      <c r="AV2" s="121"/>
      <c r="AW2" s="61" t="s">
        <v>96</v>
      </c>
      <c r="AX2" s="122" t="s">
        <v>168</v>
      </c>
      <c r="AY2" s="122"/>
      <c r="AZ2" s="122"/>
      <c r="BA2" s="122"/>
      <c r="BB2" s="62" t="s">
        <v>169</v>
      </c>
      <c r="BC2" s="62" t="s">
        <v>170</v>
      </c>
    </row>
    <row r="3" spans="1:55" ht="21.75" customHeight="1" x14ac:dyDescent="0.35">
      <c r="AR3" s="58"/>
      <c r="AS3" s="63" t="s">
        <v>171</v>
      </c>
      <c r="AT3" s="64" t="s">
        <v>172</v>
      </c>
      <c r="AU3" s="64" t="s">
        <v>173</v>
      </c>
      <c r="AV3" s="64" t="s">
        <v>174</v>
      </c>
      <c r="AW3" s="65" t="s">
        <v>175</v>
      </c>
      <c r="AX3" s="66" t="s">
        <v>176</v>
      </c>
      <c r="AY3" s="66" t="s">
        <v>177</v>
      </c>
      <c r="AZ3" s="66" t="s">
        <v>178</v>
      </c>
      <c r="BA3" s="67" t="s">
        <v>179</v>
      </c>
      <c r="BB3" s="68" t="s">
        <v>180</v>
      </c>
      <c r="BC3" s="69">
        <v>0</v>
      </c>
    </row>
    <row r="4" spans="1:55" ht="21.75" customHeight="1" x14ac:dyDescent="0.35">
      <c r="A4" s="70"/>
      <c r="B4" s="70"/>
      <c r="C4" s="70"/>
      <c r="D4" s="114" t="s">
        <v>181</v>
      </c>
      <c r="E4" s="114"/>
      <c r="F4" s="114"/>
      <c r="G4" s="114"/>
      <c r="H4" s="114" t="s">
        <v>182</v>
      </c>
      <c r="I4" s="114"/>
      <c r="J4" s="114"/>
      <c r="K4" s="114"/>
      <c r="L4" s="114" t="s">
        <v>183</v>
      </c>
      <c r="M4" s="114"/>
      <c r="N4" s="114"/>
      <c r="O4" s="114" t="s">
        <v>184</v>
      </c>
      <c r="P4" s="114"/>
      <c r="Q4" s="114"/>
      <c r="R4" s="114" t="s">
        <v>185</v>
      </c>
      <c r="S4" s="114"/>
      <c r="T4" s="114"/>
      <c r="U4" s="114" t="s">
        <v>186</v>
      </c>
      <c r="V4" s="114"/>
      <c r="W4" s="115" t="s">
        <v>187</v>
      </c>
      <c r="X4" s="115"/>
      <c r="Y4" s="114" t="s">
        <v>188</v>
      </c>
      <c r="Z4" s="114"/>
      <c r="AA4" s="114"/>
      <c r="AB4" s="114"/>
      <c r="AC4" s="114"/>
      <c r="AD4" s="115" t="s">
        <v>189</v>
      </c>
      <c r="AE4" s="115"/>
      <c r="AF4" s="115"/>
      <c r="AG4" s="115"/>
      <c r="AH4" s="115"/>
      <c r="AI4" s="115"/>
      <c r="AJ4" s="115"/>
      <c r="AK4" s="115"/>
      <c r="AL4" s="115"/>
      <c r="AM4" s="115"/>
      <c r="AN4" s="115"/>
      <c r="AO4" s="115"/>
      <c r="AP4" s="116" t="s">
        <v>190</v>
      </c>
      <c r="AQ4" s="116"/>
      <c r="AR4" s="58"/>
      <c r="AS4" s="71" t="str">
        <f>'Captura Diciembre'!B6</f>
        <v>Almacen de Repuestos</v>
      </c>
      <c r="AT4" s="72">
        <f>'Captura Diciembre'!K6+'Captura Diciembre'!N6+'Captura Diciembre'!Q6</f>
        <v>0</v>
      </c>
      <c r="AU4" s="72">
        <f>'Captura Diciembre'!T6</f>
        <v>0</v>
      </c>
      <c r="AV4" s="72">
        <f>'Captura Diciembre'!V6</f>
        <v>0</v>
      </c>
      <c r="AW4" s="72">
        <f>'Captura Diciembre'!G6</f>
        <v>0</v>
      </c>
      <c r="AX4" s="72">
        <f>'Captura Diciembre'!X6</f>
        <v>0.25</v>
      </c>
      <c r="AY4" s="72">
        <f>'Captura Diciembre'!AC6</f>
        <v>0</v>
      </c>
      <c r="AZ4" s="73">
        <f>-'Captura Diciembre'!AN6</f>
        <v>0</v>
      </c>
      <c r="BA4" s="74">
        <f>'Captura Diciembre'!AQ6</f>
        <v>0.25</v>
      </c>
      <c r="BB4" s="68" t="s">
        <v>191</v>
      </c>
      <c r="BC4" s="75">
        <v>0</v>
      </c>
    </row>
    <row r="5" spans="1:55" ht="13.5" customHeight="1" x14ac:dyDescent="0.35">
      <c r="A5" s="76" t="s">
        <v>93</v>
      </c>
      <c r="B5" s="76" t="s">
        <v>48</v>
      </c>
      <c r="C5" s="76" t="s">
        <v>94</v>
      </c>
      <c r="D5" s="77" t="s">
        <v>192</v>
      </c>
      <c r="E5" s="77" t="s">
        <v>193</v>
      </c>
      <c r="F5" s="77" t="s">
        <v>194</v>
      </c>
      <c r="G5" s="77" t="s">
        <v>195</v>
      </c>
      <c r="H5" s="77" t="s">
        <v>196</v>
      </c>
      <c r="I5" s="77" t="s">
        <v>197</v>
      </c>
      <c r="J5" s="77" t="s">
        <v>198</v>
      </c>
      <c r="K5" s="77" t="s">
        <v>195</v>
      </c>
      <c r="L5" s="77" t="s">
        <v>199</v>
      </c>
      <c r="M5" s="77" t="s">
        <v>198</v>
      </c>
      <c r="N5" s="77" t="s">
        <v>195</v>
      </c>
      <c r="O5" s="77" t="s">
        <v>199</v>
      </c>
      <c r="P5" s="77" t="s">
        <v>198</v>
      </c>
      <c r="Q5" s="77" t="s">
        <v>195</v>
      </c>
      <c r="R5" s="77" t="s">
        <v>199</v>
      </c>
      <c r="S5" s="77" t="s">
        <v>198</v>
      </c>
      <c r="T5" s="77" t="s">
        <v>195</v>
      </c>
      <c r="U5" s="77" t="s">
        <v>200</v>
      </c>
      <c r="V5" s="77" t="s">
        <v>195</v>
      </c>
      <c r="W5" s="78" t="s">
        <v>201</v>
      </c>
      <c r="X5" s="78" t="s">
        <v>195</v>
      </c>
      <c r="Y5" s="77" t="s">
        <v>202</v>
      </c>
      <c r="Z5" s="77" t="s">
        <v>203</v>
      </c>
      <c r="AA5" s="77" t="s">
        <v>204</v>
      </c>
      <c r="AB5" s="77" t="s">
        <v>205</v>
      </c>
      <c r="AC5" s="77" t="s">
        <v>206</v>
      </c>
      <c r="AD5" s="78" t="s">
        <v>207</v>
      </c>
      <c r="AE5" s="78" t="s">
        <v>208</v>
      </c>
      <c r="AF5" s="78" t="s">
        <v>209</v>
      </c>
      <c r="AG5" s="78" t="s">
        <v>210</v>
      </c>
      <c r="AH5" s="78" t="s">
        <v>211</v>
      </c>
      <c r="AI5" s="78" t="s">
        <v>212</v>
      </c>
      <c r="AJ5" s="78" t="s">
        <v>213</v>
      </c>
      <c r="AK5" s="78" t="s">
        <v>214</v>
      </c>
      <c r="AL5" s="78" t="s">
        <v>215</v>
      </c>
      <c r="AM5" s="78" t="s">
        <v>216</v>
      </c>
      <c r="AN5" s="78" t="s">
        <v>217</v>
      </c>
      <c r="AO5" s="78" t="s">
        <v>218</v>
      </c>
      <c r="AP5" s="76" t="s">
        <v>219</v>
      </c>
      <c r="AQ5" s="76" t="s">
        <v>220</v>
      </c>
      <c r="AR5" s="58"/>
      <c r="AS5" s="79" t="str">
        <f>'Captura Diciembre'!B7</f>
        <v>Alrededores</v>
      </c>
      <c r="AT5" s="80">
        <f>'Captura Diciembre'!K7+'Captura Diciembre'!N7+'Captura Diciembre'!Q7</f>
        <v>0</v>
      </c>
      <c r="AU5" s="80">
        <f>'Captura Diciembre'!T7</f>
        <v>0</v>
      </c>
      <c r="AV5" s="80">
        <f>'Captura Diciembre'!V7</f>
        <v>0</v>
      </c>
      <c r="AW5" s="80">
        <f>'Captura Diciembre'!G7</f>
        <v>0</v>
      </c>
      <c r="AX5" s="80">
        <f>'Captura Diciembre'!X7</f>
        <v>0.25</v>
      </c>
      <c r="AY5" s="80">
        <f>'Captura Diciembre'!AC7</f>
        <v>0</v>
      </c>
      <c r="AZ5" s="81">
        <f>-'Captura Diciembre'!AN7</f>
        <v>0</v>
      </c>
      <c r="BA5" s="82">
        <f>'Captura Diciembre'!AQ7</f>
        <v>0.25</v>
      </c>
      <c r="BB5" s="110" t="s">
        <v>221</v>
      </c>
      <c r="BC5" s="110"/>
    </row>
    <row r="6" spans="1:55" ht="16.5" customHeight="1" x14ac:dyDescent="0.35">
      <c r="A6" s="12">
        <v>1</v>
      </c>
      <c r="B6" s="83" t="s">
        <v>103</v>
      </c>
      <c r="C6" s="84" t="str">
        <f>VLOOKUP(B6,Parametros!$I$6:$J$20,2,FALSE())</f>
        <v>Fredy Fuentes</v>
      </c>
      <c r="D6" s="85">
        <v>0</v>
      </c>
      <c r="E6" s="85">
        <v>0</v>
      </c>
      <c r="F6" s="11">
        <f t="shared" ref="F6:F20" si="0">AVERAGE(D6,E6)</f>
        <v>0</v>
      </c>
      <c r="G6" s="86">
        <f>F6*Parametros!$E$6</f>
        <v>0</v>
      </c>
      <c r="H6" s="87">
        <v>0</v>
      </c>
      <c r="I6" s="87">
        <v>0</v>
      </c>
      <c r="J6" s="88" t="s">
        <v>222</v>
      </c>
      <c r="K6" s="86">
        <f>IF(J6="NO",0,IFERROR(H6/I6,0)*Parametros!$E$7)</f>
        <v>0</v>
      </c>
      <c r="L6" s="85">
        <v>0</v>
      </c>
      <c r="M6" s="88" t="s">
        <v>222</v>
      </c>
      <c r="N6" s="86">
        <f>IF(M6="NO",0,L6*Parametros!$E$8)</f>
        <v>0</v>
      </c>
      <c r="O6" s="85">
        <v>0</v>
      </c>
      <c r="P6" s="88" t="s">
        <v>222</v>
      </c>
      <c r="Q6" s="86">
        <f>IF(P6="NO",0,O6*Parametros!$E$9)</f>
        <v>0</v>
      </c>
      <c r="R6" s="85">
        <v>0</v>
      </c>
      <c r="S6" s="88" t="s">
        <v>222</v>
      </c>
      <c r="T6" s="86">
        <f>IF(S6="NO",0,R6*Parametros!$E$10)</f>
        <v>0</v>
      </c>
      <c r="U6" s="85">
        <v>0</v>
      </c>
      <c r="V6" s="86">
        <f>U6*Parametros!$E$11</f>
        <v>0</v>
      </c>
      <c r="W6" s="87">
        <v>0</v>
      </c>
      <c r="X6" s="86">
        <f>MAX(0,Parametros!$E$12-Parametros!$E$18*W6)</f>
        <v>0.25</v>
      </c>
      <c r="Y6" s="87">
        <v>0</v>
      </c>
      <c r="Z6" s="87">
        <v>0</v>
      </c>
      <c r="AA6" s="89">
        <f>IF(Y6&gt;=Parametros!$E$22,Parametros!$E$24,0)</f>
        <v>0</v>
      </c>
      <c r="AB6" s="89">
        <f>IF(Z6&gt;=Parametros!$E$23,Parametros!$E$25,0)</f>
        <v>0</v>
      </c>
      <c r="AC6" s="89">
        <f t="shared" ref="AC6:AC20" si="1">AA6+AB6</f>
        <v>0</v>
      </c>
      <c r="AD6" s="87">
        <v>0</v>
      </c>
      <c r="AE6" s="88" t="s">
        <v>222</v>
      </c>
      <c r="AF6" s="87">
        <v>0</v>
      </c>
      <c r="AG6" s="88" t="s">
        <v>222</v>
      </c>
      <c r="AH6" s="87">
        <v>0</v>
      </c>
      <c r="AI6" s="88" t="s">
        <v>222</v>
      </c>
      <c r="AJ6" s="87">
        <v>0</v>
      </c>
      <c r="AK6" s="88" t="s">
        <v>222</v>
      </c>
      <c r="AL6" s="87">
        <v>0</v>
      </c>
      <c r="AM6" s="88" t="s">
        <v>222</v>
      </c>
      <c r="AN6" s="89">
        <f>AD6*Parametros!$E$28+AF6*Parametros!$E$29+AH6*Parametros!$E$30+AJ6*Parametros!$E$31+AL6*Parametros!$E$32</f>
        <v>0</v>
      </c>
      <c r="AO6" s="12" t="str">
        <f t="shared" ref="AO6:AO20" si="2">IF(OR(AND(AD6&gt;0,AE6="NO"),AND(AF6&gt;0,AG6="NO"),AND(AH6&gt;0,AI6="NO"),AND(AJ6&gt;0,AK6="NO"),AND(AL6&gt;0,AM6="NO")),"SI","NO")</f>
        <v>NO</v>
      </c>
      <c r="AP6" s="11">
        <f t="shared" ref="AP6:AP20" si="3">G6+K6+N6+Q6+T6+V6+X6</f>
        <v>0.25</v>
      </c>
      <c r="AQ6" s="90">
        <f>MAX(0,MIN(1,MAX(0,AP6-IF(S6="NO",Parametros!$E$17,0))+AC6-AN6-IF(AO6="SI",Parametros!$E$33,0)))</f>
        <v>0.25</v>
      </c>
      <c r="AR6" s="58"/>
      <c r="AS6" s="71" t="str">
        <f>'Captura Diciembre'!B8</f>
        <v>Calidad</v>
      </c>
      <c r="AT6" s="72">
        <f>'Captura Diciembre'!K8+'Captura Diciembre'!N8+'Captura Diciembre'!Q8</f>
        <v>0</v>
      </c>
      <c r="AU6" s="72">
        <f>'Captura Diciembre'!T8</f>
        <v>0</v>
      </c>
      <c r="AV6" s="72">
        <f>'Captura Diciembre'!V8</f>
        <v>0</v>
      </c>
      <c r="AW6" s="72">
        <f>'Captura Diciembre'!G8</f>
        <v>0</v>
      </c>
      <c r="AX6" s="72">
        <f>'Captura Diciembre'!X8</f>
        <v>0.25</v>
      </c>
      <c r="AY6" s="72">
        <f>'Captura Diciembre'!AC8</f>
        <v>0</v>
      </c>
      <c r="AZ6" s="73">
        <f>-'Captura Diciembre'!AN8</f>
        <v>0</v>
      </c>
      <c r="BA6" s="74">
        <f>'Captura Diciembre'!AQ8</f>
        <v>0.25</v>
      </c>
      <c r="BB6" s="58"/>
      <c r="BC6" s="58"/>
    </row>
    <row r="7" spans="1:55" ht="16.5" customHeight="1" x14ac:dyDescent="0.35">
      <c r="A7" s="12">
        <v>2</v>
      </c>
      <c r="B7" s="83" t="s">
        <v>135</v>
      </c>
      <c r="C7" s="84" t="str">
        <f>VLOOKUP(B7,Parametros!$I$6:$J$20,2,FALSE())</f>
        <v>Carlos Chavez</v>
      </c>
      <c r="D7" s="85">
        <v>0</v>
      </c>
      <c r="E7" s="85">
        <v>0</v>
      </c>
      <c r="F7" s="11">
        <f t="shared" si="0"/>
        <v>0</v>
      </c>
      <c r="G7" s="86">
        <f>F7*Parametros!$E$6</f>
        <v>0</v>
      </c>
      <c r="H7" s="87">
        <v>0</v>
      </c>
      <c r="I7" s="87">
        <v>0</v>
      </c>
      <c r="J7" s="88" t="s">
        <v>222</v>
      </c>
      <c r="K7" s="86">
        <f>IF(J7="NO",0,IFERROR(H7/I7,0)*Parametros!$E$7)</f>
        <v>0</v>
      </c>
      <c r="L7" s="85">
        <v>0</v>
      </c>
      <c r="M7" s="88" t="s">
        <v>222</v>
      </c>
      <c r="N7" s="86">
        <f>IF(M7="NO",0,L7*Parametros!$E$8)</f>
        <v>0</v>
      </c>
      <c r="O7" s="85">
        <v>0</v>
      </c>
      <c r="P7" s="88" t="s">
        <v>222</v>
      </c>
      <c r="Q7" s="86">
        <f>IF(P7="NO",0,O7*Parametros!$E$9)</f>
        <v>0</v>
      </c>
      <c r="R7" s="85">
        <v>0</v>
      </c>
      <c r="S7" s="88" t="s">
        <v>222</v>
      </c>
      <c r="T7" s="86">
        <f>IF(S7="NO",0,R7*Parametros!$E$10)</f>
        <v>0</v>
      </c>
      <c r="U7" s="85">
        <v>0</v>
      </c>
      <c r="V7" s="86">
        <f>U7*Parametros!$E$11</f>
        <v>0</v>
      </c>
      <c r="W7" s="87">
        <v>0</v>
      </c>
      <c r="X7" s="86">
        <f>MAX(0,Parametros!$E$12-Parametros!$E$18*W7)</f>
        <v>0.25</v>
      </c>
      <c r="Y7" s="87">
        <v>0</v>
      </c>
      <c r="Z7" s="87">
        <v>0</v>
      </c>
      <c r="AA7" s="89">
        <f>IF(Y7&gt;=Parametros!$E$22,Parametros!$E$24,0)</f>
        <v>0</v>
      </c>
      <c r="AB7" s="89">
        <f>IF(Z7&gt;=Parametros!$E$23,Parametros!$E$25,0)</f>
        <v>0</v>
      </c>
      <c r="AC7" s="89">
        <f t="shared" si="1"/>
        <v>0</v>
      </c>
      <c r="AD7" s="87">
        <v>0</v>
      </c>
      <c r="AE7" s="88" t="s">
        <v>222</v>
      </c>
      <c r="AF7" s="87">
        <v>0</v>
      </c>
      <c r="AG7" s="88" t="s">
        <v>222</v>
      </c>
      <c r="AH7" s="87">
        <v>0</v>
      </c>
      <c r="AI7" s="88" t="s">
        <v>222</v>
      </c>
      <c r="AJ7" s="87">
        <v>0</v>
      </c>
      <c r="AK7" s="88" t="s">
        <v>222</v>
      </c>
      <c r="AL7" s="87">
        <v>0</v>
      </c>
      <c r="AM7" s="88" t="s">
        <v>222</v>
      </c>
      <c r="AN7" s="89">
        <f>AD7*Parametros!$E$28+AF7*Parametros!$E$29+AH7*Parametros!$E$30+AJ7*Parametros!$E$31+AL7*Parametros!$E$32</f>
        <v>0</v>
      </c>
      <c r="AO7" s="12" t="str">
        <f t="shared" si="2"/>
        <v>NO</v>
      </c>
      <c r="AP7" s="11">
        <f t="shared" si="3"/>
        <v>0.25</v>
      </c>
      <c r="AQ7" s="90">
        <f>MAX(0,MIN(1,MAX(0,AP7-IF(S7="NO",Parametros!$E$17,0))+AC7-AN7-IF(AO7="SI",Parametros!$E$33,0)))</f>
        <v>0.25</v>
      </c>
      <c r="AR7" s="58"/>
      <c r="AS7" s="79" t="str">
        <f>'Captura Diciembre'!B9</f>
        <v>Centro de Distribucion</v>
      </c>
      <c r="AT7" s="80">
        <f>'Captura Diciembre'!K9+'Captura Diciembre'!N9+'Captura Diciembre'!Q9</f>
        <v>0</v>
      </c>
      <c r="AU7" s="80">
        <f>'Captura Diciembre'!T9</f>
        <v>0</v>
      </c>
      <c r="AV7" s="80">
        <f>'Captura Diciembre'!V9</f>
        <v>0</v>
      </c>
      <c r="AW7" s="80">
        <f>'Captura Diciembre'!G9</f>
        <v>0</v>
      </c>
      <c r="AX7" s="80">
        <f>'Captura Diciembre'!X9</f>
        <v>0.25</v>
      </c>
      <c r="AY7" s="80">
        <f>'Captura Diciembre'!AC9</f>
        <v>0</v>
      </c>
      <c r="AZ7" s="81">
        <f>-'Captura Diciembre'!AN9</f>
        <v>0</v>
      </c>
      <c r="BA7" s="82">
        <f>'Captura Diciembre'!AQ9</f>
        <v>0.25</v>
      </c>
      <c r="BB7" s="58"/>
      <c r="BC7" s="58"/>
    </row>
    <row r="8" spans="1:55" ht="16.5" customHeight="1" x14ac:dyDescent="0.35">
      <c r="A8" s="12">
        <v>3</v>
      </c>
      <c r="B8" s="83" t="s">
        <v>98</v>
      </c>
      <c r="C8" s="84" t="str">
        <f>VLOOKUP(B8,Parametros!$I$6:$J$20,2,FALSE())</f>
        <v>Alejandro Martinez</v>
      </c>
      <c r="D8" s="85">
        <v>0</v>
      </c>
      <c r="E8" s="85">
        <v>0</v>
      </c>
      <c r="F8" s="11">
        <f t="shared" si="0"/>
        <v>0</v>
      </c>
      <c r="G8" s="86">
        <f>F8*Parametros!$E$6</f>
        <v>0</v>
      </c>
      <c r="H8" s="87">
        <v>0</v>
      </c>
      <c r="I8" s="87">
        <v>0</v>
      </c>
      <c r="J8" s="88" t="s">
        <v>222</v>
      </c>
      <c r="K8" s="86">
        <f>IF(J8="NO",0,IFERROR(H8/I8,0)*Parametros!$E$7)</f>
        <v>0</v>
      </c>
      <c r="L8" s="85">
        <v>0</v>
      </c>
      <c r="M8" s="88" t="s">
        <v>222</v>
      </c>
      <c r="N8" s="86">
        <f>IF(M8="NO",0,L8*Parametros!$E$8)</f>
        <v>0</v>
      </c>
      <c r="O8" s="85">
        <v>0</v>
      </c>
      <c r="P8" s="88" t="s">
        <v>222</v>
      </c>
      <c r="Q8" s="86">
        <f>IF(P8="NO",0,O8*Parametros!$E$9)</f>
        <v>0</v>
      </c>
      <c r="R8" s="85">
        <v>0</v>
      </c>
      <c r="S8" s="88" t="s">
        <v>222</v>
      </c>
      <c r="T8" s="86">
        <f>IF(S8="NO",0,R8*Parametros!$E$10)</f>
        <v>0</v>
      </c>
      <c r="U8" s="85">
        <v>0</v>
      </c>
      <c r="V8" s="86">
        <f>U8*Parametros!$E$11</f>
        <v>0</v>
      </c>
      <c r="W8" s="87">
        <v>0</v>
      </c>
      <c r="X8" s="86">
        <f>MAX(0,Parametros!$E$12-Parametros!$E$18*W8)</f>
        <v>0.25</v>
      </c>
      <c r="Y8" s="87">
        <v>0</v>
      </c>
      <c r="Z8" s="87">
        <v>0</v>
      </c>
      <c r="AA8" s="89">
        <f>IF(Y8&gt;=Parametros!$E$22,Parametros!$E$24,0)</f>
        <v>0</v>
      </c>
      <c r="AB8" s="89">
        <f>IF(Z8&gt;=Parametros!$E$23,Parametros!$E$25,0)</f>
        <v>0</v>
      </c>
      <c r="AC8" s="89">
        <f t="shared" si="1"/>
        <v>0</v>
      </c>
      <c r="AD8" s="87">
        <v>0</v>
      </c>
      <c r="AE8" s="88" t="s">
        <v>222</v>
      </c>
      <c r="AF8" s="87">
        <v>0</v>
      </c>
      <c r="AG8" s="88" t="s">
        <v>222</v>
      </c>
      <c r="AH8" s="87">
        <v>0</v>
      </c>
      <c r="AI8" s="88" t="s">
        <v>222</v>
      </c>
      <c r="AJ8" s="87">
        <v>0</v>
      </c>
      <c r="AK8" s="88" t="s">
        <v>222</v>
      </c>
      <c r="AL8" s="87">
        <v>0</v>
      </c>
      <c r="AM8" s="88" t="s">
        <v>222</v>
      </c>
      <c r="AN8" s="89">
        <f>AD8*Parametros!$E$28+AF8*Parametros!$E$29+AH8*Parametros!$E$30+AJ8*Parametros!$E$31+AL8*Parametros!$E$32</f>
        <v>0</v>
      </c>
      <c r="AO8" s="12" t="str">
        <f t="shared" si="2"/>
        <v>NO</v>
      </c>
      <c r="AP8" s="11">
        <f t="shared" si="3"/>
        <v>0.25</v>
      </c>
      <c r="AQ8" s="90">
        <f>MAX(0,MIN(1,MAX(0,AP8-IF(S8="NO",Parametros!$E$17,0))+AC8-AN8-IF(AO8="SI",Parametros!$E$33,0)))</f>
        <v>0.25</v>
      </c>
      <c r="AR8" s="58"/>
      <c r="AS8" s="71" t="str">
        <f>'Captura Diciembre'!B10</f>
        <v>ETEI</v>
      </c>
      <c r="AT8" s="72">
        <f>'Captura Diciembre'!K10+'Captura Diciembre'!N10+'Captura Diciembre'!Q10</f>
        <v>0</v>
      </c>
      <c r="AU8" s="72">
        <f>'Captura Diciembre'!T10</f>
        <v>0</v>
      </c>
      <c r="AV8" s="72">
        <f>'Captura Diciembre'!V10</f>
        <v>0</v>
      </c>
      <c r="AW8" s="72">
        <f>'Captura Diciembre'!G10</f>
        <v>0</v>
      </c>
      <c r="AX8" s="72">
        <f>'Captura Diciembre'!X10</f>
        <v>0.25</v>
      </c>
      <c r="AY8" s="72">
        <f>'Captura Diciembre'!AC10</f>
        <v>0</v>
      </c>
      <c r="AZ8" s="73">
        <f>-'Captura Diciembre'!AN10</f>
        <v>0</v>
      </c>
      <c r="BA8" s="74">
        <f>'Captura Diciembre'!AQ10</f>
        <v>0.25</v>
      </c>
      <c r="BB8" s="58"/>
      <c r="BC8" s="58"/>
    </row>
    <row r="9" spans="1:55" ht="16.5" customHeight="1" x14ac:dyDescent="0.35">
      <c r="A9" s="12">
        <v>4</v>
      </c>
      <c r="B9" s="83" t="s">
        <v>128</v>
      </c>
      <c r="C9" s="84" t="str">
        <f>VLOOKUP(B9,Parametros!$I$6:$J$20,2,FALSE())</f>
        <v>Jimmy Velasquez</v>
      </c>
      <c r="D9" s="85">
        <v>0</v>
      </c>
      <c r="E9" s="85">
        <v>0</v>
      </c>
      <c r="F9" s="11">
        <f t="shared" si="0"/>
        <v>0</v>
      </c>
      <c r="G9" s="86">
        <f>F9*Parametros!$E$6</f>
        <v>0</v>
      </c>
      <c r="H9" s="87">
        <v>0</v>
      </c>
      <c r="I9" s="87">
        <v>0</v>
      </c>
      <c r="J9" s="88" t="s">
        <v>222</v>
      </c>
      <c r="K9" s="86">
        <f>IF(J9="NO",0,IFERROR(H9/I9,0)*Parametros!$E$7)</f>
        <v>0</v>
      </c>
      <c r="L9" s="85">
        <v>0</v>
      </c>
      <c r="M9" s="88" t="s">
        <v>222</v>
      </c>
      <c r="N9" s="86">
        <f>IF(M9="NO",0,L9*Parametros!$E$8)</f>
        <v>0</v>
      </c>
      <c r="O9" s="85">
        <v>0</v>
      </c>
      <c r="P9" s="88" t="s">
        <v>222</v>
      </c>
      <c r="Q9" s="86">
        <f>IF(P9="NO",0,O9*Parametros!$E$9)</f>
        <v>0</v>
      </c>
      <c r="R9" s="85">
        <v>0</v>
      </c>
      <c r="S9" s="88" t="s">
        <v>222</v>
      </c>
      <c r="T9" s="86">
        <f>IF(S9="NO",0,R9*Parametros!$E$10)</f>
        <v>0</v>
      </c>
      <c r="U9" s="85">
        <v>0</v>
      </c>
      <c r="V9" s="86">
        <f>U9*Parametros!$E$11</f>
        <v>0</v>
      </c>
      <c r="W9" s="87">
        <v>0</v>
      </c>
      <c r="X9" s="86">
        <f>MAX(0,Parametros!$E$12-Parametros!$E$18*W9)</f>
        <v>0.25</v>
      </c>
      <c r="Y9" s="87">
        <v>0</v>
      </c>
      <c r="Z9" s="87">
        <v>0</v>
      </c>
      <c r="AA9" s="89">
        <f>IF(Y9&gt;=Parametros!$E$22,Parametros!$E$24,0)</f>
        <v>0</v>
      </c>
      <c r="AB9" s="89">
        <f>IF(Z9&gt;=Parametros!$E$23,Parametros!$E$25,0)</f>
        <v>0</v>
      </c>
      <c r="AC9" s="89">
        <f t="shared" si="1"/>
        <v>0</v>
      </c>
      <c r="AD9" s="87">
        <v>0</v>
      </c>
      <c r="AE9" s="88" t="s">
        <v>222</v>
      </c>
      <c r="AF9" s="87">
        <v>0</v>
      </c>
      <c r="AG9" s="88" t="s">
        <v>222</v>
      </c>
      <c r="AH9" s="87">
        <v>0</v>
      </c>
      <c r="AI9" s="88" t="s">
        <v>222</v>
      </c>
      <c r="AJ9" s="87">
        <v>0</v>
      </c>
      <c r="AK9" s="88" t="s">
        <v>222</v>
      </c>
      <c r="AL9" s="87">
        <v>0</v>
      </c>
      <c r="AM9" s="88" t="s">
        <v>222</v>
      </c>
      <c r="AN9" s="89">
        <f>AD9*Parametros!$E$28+AF9*Parametros!$E$29+AH9*Parametros!$E$30+AJ9*Parametros!$E$31+AL9*Parametros!$E$32</f>
        <v>0</v>
      </c>
      <c r="AO9" s="12" t="str">
        <f t="shared" si="2"/>
        <v>NO</v>
      </c>
      <c r="AP9" s="11">
        <f t="shared" si="3"/>
        <v>0.25</v>
      </c>
      <c r="AQ9" s="90">
        <f>MAX(0,MIN(1,MAX(0,AP9-IF(S9="NO",Parametros!$E$17,0))+AC9-AN9-IF(AO9="SI",Parametros!$E$33,0)))</f>
        <v>0.25</v>
      </c>
      <c r="AR9" s="58"/>
      <c r="AS9" s="79" t="str">
        <f>'Captura Diciembre'!B11</f>
        <v>Equipos Auxiliares</v>
      </c>
      <c r="AT9" s="80">
        <f>'Captura Diciembre'!K11+'Captura Diciembre'!N11+'Captura Diciembre'!Q11</f>
        <v>0</v>
      </c>
      <c r="AU9" s="80">
        <f>'Captura Diciembre'!T11</f>
        <v>0</v>
      </c>
      <c r="AV9" s="80">
        <f>'Captura Diciembre'!V11</f>
        <v>0</v>
      </c>
      <c r="AW9" s="80">
        <f>'Captura Diciembre'!G11</f>
        <v>0</v>
      </c>
      <c r="AX9" s="80">
        <f>'Captura Diciembre'!X11</f>
        <v>0.25</v>
      </c>
      <c r="AY9" s="80">
        <f>'Captura Diciembre'!AC11</f>
        <v>0</v>
      </c>
      <c r="AZ9" s="81">
        <f>-'Captura Diciembre'!AN11</f>
        <v>0</v>
      </c>
      <c r="BA9" s="82">
        <f>'Captura Diciembre'!AQ11</f>
        <v>0.25</v>
      </c>
      <c r="BB9" s="58"/>
      <c r="BC9" s="58"/>
    </row>
    <row r="10" spans="1:55" ht="16.5" customHeight="1" x14ac:dyDescent="0.35">
      <c r="A10" s="12">
        <v>5</v>
      </c>
      <c r="B10" s="83" t="s">
        <v>125</v>
      </c>
      <c r="C10" s="84" t="str">
        <f>VLOOKUP(B10,Parametros!$I$6:$J$20,2,FALSE())</f>
        <v>Jessica Loarca</v>
      </c>
      <c r="D10" s="85">
        <v>0</v>
      </c>
      <c r="E10" s="85">
        <v>0</v>
      </c>
      <c r="F10" s="11">
        <f t="shared" si="0"/>
        <v>0</v>
      </c>
      <c r="G10" s="86">
        <f>F10*Parametros!$E$6</f>
        <v>0</v>
      </c>
      <c r="H10" s="87">
        <v>0</v>
      </c>
      <c r="I10" s="87">
        <v>0</v>
      </c>
      <c r="J10" s="88" t="s">
        <v>222</v>
      </c>
      <c r="K10" s="86">
        <f>IF(J10="NO",0,IFERROR(H10/I10,0)*Parametros!$E$7)</f>
        <v>0</v>
      </c>
      <c r="L10" s="85">
        <v>0</v>
      </c>
      <c r="M10" s="88" t="s">
        <v>222</v>
      </c>
      <c r="N10" s="86">
        <f>IF(M10="NO",0,L10*Parametros!$E$8)</f>
        <v>0</v>
      </c>
      <c r="O10" s="85">
        <v>0</v>
      </c>
      <c r="P10" s="88" t="s">
        <v>222</v>
      </c>
      <c r="Q10" s="86">
        <f>IF(P10="NO",0,O10*Parametros!$E$9)</f>
        <v>0</v>
      </c>
      <c r="R10" s="85">
        <v>0</v>
      </c>
      <c r="S10" s="88" t="s">
        <v>222</v>
      </c>
      <c r="T10" s="86">
        <f>IF(S10="NO",0,R10*Parametros!$E$10)</f>
        <v>0</v>
      </c>
      <c r="U10" s="85">
        <v>0</v>
      </c>
      <c r="V10" s="86">
        <f>U10*Parametros!$E$11</f>
        <v>0</v>
      </c>
      <c r="W10" s="87">
        <v>0</v>
      </c>
      <c r="X10" s="86">
        <f>MAX(0,Parametros!$E$12-Parametros!$E$18*W10)</f>
        <v>0.25</v>
      </c>
      <c r="Y10" s="87">
        <v>0</v>
      </c>
      <c r="Z10" s="87">
        <v>0</v>
      </c>
      <c r="AA10" s="89">
        <f>IF(Y10&gt;=Parametros!$E$22,Parametros!$E$24,0)</f>
        <v>0</v>
      </c>
      <c r="AB10" s="89">
        <f>IF(Z10&gt;=Parametros!$E$23,Parametros!$E$25,0)</f>
        <v>0</v>
      </c>
      <c r="AC10" s="89">
        <f t="shared" si="1"/>
        <v>0</v>
      </c>
      <c r="AD10" s="87">
        <v>0</v>
      </c>
      <c r="AE10" s="88" t="s">
        <v>222</v>
      </c>
      <c r="AF10" s="87">
        <v>0</v>
      </c>
      <c r="AG10" s="88" t="s">
        <v>222</v>
      </c>
      <c r="AH10" s="87">
        <v>0</v>
      </c>
      <c r="AI10" s="88" t="s">
        <v>222</v>
      </c>
      <c r="AJ10" s="87">
        <v>0</v>
      </c>
      <c r="AK10" s="88" t="s">
        <v>222</v>
      </c>
      <c r="AL10" s="87">
        <v>0</v>
      </c>
      <c r="AM10" s="88" t="s">
        <v>222</v>
      </c>
      <c r="AN10" s="89">
        <f>AD10*Parametros!$E$28+AF10*Parametros!$E$29+AH10*Parametros!$E$30+AJ10*Parametros!$E$31+AL10*Parametros!$E$32</f>
        <v>0</v>
      </c>
      <c r="AO10" s="12" t="str">
        <f t="shared" si="2"/>
        <v>NO</v>
      </c>
      <c r="AP10" s="11">
        <f t="shared" si="3"/>
        <v>0.25</v>
      </c>
      <c r="AQ10" s="90">
        <f>MAX(0,MIN(1,MAX(0,AP10-IF(S10="NO",Parametros!$E$17,0))+AC10-AN10-IF(AO10="SI",Parametros!$E$33,0)))</f>
        <v>0.25</v>
      </c>
      <c r="AR10" s="58"/>
      <c r="AS10" s="71" t="str">
        <f>'Captura Diciembre'!B12</f>
        <v>Jarabes</v>
      </c>
      <c r="AT10" s="72">
        <f>'Captura Diciembre'!K12+'Captura Diciembre'!N12+'Captura Diciembre'!Q12</f>
        <v>0</v>
      </c>
      <c r="AU10" s="72">
        <f>'Captura Diciembre'!T12</f>
        <v>0</v>
      </c>
      <c r="AV10" s="72">
        <f>'Captura Diciembre'!V12</f>
        <v>0</v>
      </c>
      <c r="AW10" s="72">
        <f>'Captura Diciembre'!G12</f>
        <v>0</v>
      </c>
      <c r="AX10" s="72">
        <f>'Captura Diciembre'!X12</f>
        <v>0.25</v>
      </c>
      <c r="AY10" s="72">
        <f>'Captura Diciembre'!AC12</f>
        <v>0</v>
      </c>
      <c r="AZ10" s="73">
        <f>-'Captura Diciembre'!AN12</f>
        <v>0</v>
      </c>
      <c r="BA10" s="74">
        <f>'Captura Diciembre'!AQ12</f>
        <v>0.25</v>
      </c>
      <c r="BB10" s="58"/>
      <c r="BC10" s="58"/>
    </row>
    <row r="11" spans="1:55" ht="16.5" customHeight="1" x14ac:dyDescent="0.35">
      <c r="A11" s="12">
        <v>6</v>
      </c>
      <c r="B11" s="83" t="s">
        <v>117</v>
      </c>
      <c r="C11" s="84" t="str">
        <f>VLOOKUP(B11,Parametros!$I$6:$J$20,2,FALSE())</f>
        <v>Edson Bonifacio</v>
      </c>
      <c r="D11" s="85">
        <v>0</v>
      </c>
      <c r="E11" s="85">
        <v>0</v>
      </c>
      <c r="F11" s="11">
        <f t="shared" si="0"/>
        <v>0</v>
      </c>
      <c r="G11" s="86">
        <f>F11*Parametros!$E$6</f>
        <v>0</v>
      </c>
      <c r="H11" s="87">
        <v>0</v>
      </c>
      <c r="I11" s="87">
        <v>0</v>
      </c>
      <c r="J11" s="88" t="s">
        <v>222</v>
      </c>
      <c r="K11" s="86">
        <f>IF(J11="NO",0,IFERROR(H11/I11,0)*Parametros!$E$7)</f>
        <v>0</v>
      </c>
      <c r="L11" s="85">
        <v>0</v>
      </c>
      <c r="M11" s="88" t="s">
        <v>222</v>
      </c>
      <c r="N11" s="86">
        <f>IF(M11="NO",0,L11*Parametros!$E$8)</f>
        <v>0</v>
      </c>
      <c r="O11" s="85">
        <v>0</v>
      </c>
      <c r="P11" s="88" t="s">
        <v>222</v>
      </c>
      <c r="Q11" s="86">
        <f>IF(P11="NO",0,O11*Parametros!$E$9)</f>
        <v>0</v>
      </c>
      <c r="R11" s="85">
        <v>0</v>
      </c>
      <c r="S11" s="88" t="s">
        <v>222</v>
      </c>
      <c r="T11" s="86">
        <f>IF(S11="NO",0,R11*Parametros!$E$10)</f>
        <v>0</v>
      </c>
      <c r="U11" s="85">
        <v>0</v>
      </c>
      <c r="V11" s="86">
        <f>U11*Parametros!$E$11</f>
        <v>0</v>
      </c>
      <c r="W11" s="87">
        <v>0</v>
      </c>
      <c r="X11" s="86">
        <f>MAX(0,Parametros!$E$12-Parametros!$E$18*W11)</f>
        <v>0.25</v>
      </c>
      <c r="Y11" s="87">
        <v>0</v>
      </c>
      <c r="Z11" s="87">
        <v>0</v>
      </c>
      <c r="AA11" s="89">
        <f>IF(Y11&gt;=Parametros!$E$22,Parametros!$E$24,0)</f>
        <v>0</v>
      </c>
      <c r="AB11" s="89">
        <f>IF(Z11&gt;=Parametros!$E$23,Parametros!$E$25,0)</f>
        <v>0</v>
      </c>
      <c r="AC11" s="89">
        <f t="shared" si="1"/>
        <v>0</v>
      </c>
      <c r="AD11" s="87">
        <v>0</v>
      </c>
      <c r="AE11" s="88" t="s">
        <v>222</v>
      </c>
      <c r="AF11" s="87">
        <v>0</v>
      </c>
      <c r="AG11" s="88" t="s">
        <v>222</v>
      </c>
      <c r="AH11" s="87">
        <v>0</v>
      </c>
      <c r="AI11" s="88" t="s">
        <v>222</v>
      </c>
      <c r="AJ11" s="87">
        <v>0</v>
      </c>
      <c r="AK11" s="88" t="s">
        <v>222</v>
      </c>
      <c r="AL11" s="87">
        <v>0</v>
      </c>
      <c r="AM11" s="88" t="s">
        <v>222</v>
      </c>
      <c r="AN11" s="89">
        <f>AD11*Parametros!$E$28+AF11*Parametros!$E$29+AH11*Parametros!$E$30+AJ11*Parametros!$E$31+AL11*Parametros!$E$32</f>
        <v>0</v>
      </c>
      <c r="AO11" s="12" t="str">
        <f t="shared" si="2"/>
        <v>NO</v>
      </c>
      <c r="AP11" s="11">
        <f t="shared" si="3"/>
        <v>0.25</v>
      </c>
      <c r="AQ11" s="90">
        <f>MAX(0,MIN(1,MAX(0,AP11-IF(S11="NO",Parametros!$E$17,0))+AC11-AN11-IF(AO11="SI",Parametros!$E$33,0)))</f>
        <v>0.25</v>
      </c>
      <c r="AR11" s="58"/>
      <c r="AS11" s="79" t="str">
        <f>'Captura Diciembre'!B13</f>
        <v>Linea 1</v>
      </c>
      <c r="AT11" s="80">
        <f>'Captura Diciembre'!K13+'Captura Diciembre'!N13+'Captura Diciembre'!Q13</f>
        <v>0</v>
      </c>
      <c r="AU11" s="80">
        <f>'Captura Diciembre'!T13</f>
        <v>0</v>
      </c>
      <c r="AV11" s="80">
        <f>'Captura Diciembre'!V13</f>
        <v>0</v>
      </c>
      <c r="AW11" s="80">
        <f>'Captura Diciembre'!G13</f>
        <v>0</v>
      </c>
      <c r="AX11" s="80">
        <f>'Captura Diciembre'!X13</f>
        <v>0.25</v>
      </c>
      <c r="AY11" s="80">
        <f>'Captura Diciembre'!AC13</f>
        <v>0</v>
      </c>
      <c r="AZ11" s="81">
        <f>-'Captura Diciembre'!AN13</f>
        <v>0</v>
      </c>
      <c r="BA11" s="82">
        <f>'Captura Diciembre'!AQ13</f>
        <v>0.25</v>
      </c>
      <c r="BB11" s="58"/>
      <c r="BC11" s="58"/>
    </row>
    <row r="12" spans="1:55" ht="16.5" customHeight="1" x14ac:dyDescent="0.35">
      <c r="A12" s="12">
        <v>7</v>
      </c>
      <c r="B12" s="83" t="s">
        <v>130</v>
      </c>
      <c r="C12" s="84" t="str">
        <f>VLOOKUP(B12,Parametros!$I$6:$J$20,2,FALSE())</f>
        <v>Adrian Santisteban</v>
      </c>
      <c r="D12" s="85">
        <v>0</v>
      </c>
      <c r="E12" s="85">
        <v>0</v>
      </c>
      <c r="F12" s="11">
        <f t="shared" si="0"/>
        <v>0</v>
      </c>
      <c r="G12" s="86">
        <f>F12*Parametros!$E$6</f>
        <v>0</v>
      </c>
      <c r="H12" s="87">
        <v>0</v>
      </c>
      <c r="I12" s="87">
        <v>0</v>
      </c>
      <c r="J12" s="88" t="s">
        <v>222</v>
      </c>
      <c r="K12" s="86">
        <f>IF(J12="NO",0,IFERROR(H12/I12,0)*Parametros!$E$7)</f>
        <v>0</v>
      </c>
      <c r="L12" s="85">
        <v>0</v>
      </c>
      <c r="M12" s="88" t="s">
        <v>222</v>
      </c>
      <c r="N12" s="86">
        <f>IF(M12="NO",0,L12*Parametros!$E$8)</f>
        <v>0</v>
      </c>
      <c r="O12" s="85">
        <v>0</v>
      </c>
      <c r="P12" s="88" t="s">
        <v>222</v>
      </c>
      <c r="Q12" s="86">
        <f>IF(P12="NO",0,O12*Parametros!$E$9)</f>
        <v>0</v>
      </c>
      <c r="R12" s="85">
        <v>0</v>
      </c>
      <c r="S12" s="88" t="s">
        <v>222</v>
      </c>
      <c r="T12" s="86">
        <f>IF(S12="NO",0,R12*Parametros!$E$10)</f>
        <v>0</v>
      </c>
      <c r="U12" s="85">
        <v>0</v>
      </c>
      <c r="V12" s="86">
        <f>U12*Parametros!$E$11</f>
        <v>0</v>
      </c>
      <c r="W12" s="87">
        <v>0</v>
      </c>
      <c r="X12" s="86">
        <f>MAX(0,Parametros!$E$12-Parametros!$E$18*W12)</f>
        <v>0.25</v>
      </c>
      <c r="Y12" s="87">
        <v>0</v>
      </c>
      <c r="Z12" s="87">
        <v>0</v>
      </c>
      <c r="AA12" s="89">
        <f>IF(Y12&gt;=Parametros!$E$22,Parametros!$E$24,0)</f>
        <v>0</v>
      </c>
      <c r="AB12" s="89">
        <f>IF(Z12&gt;=Parametros!$E$23,Parametros!$E$25,0)</f>
        <v>0</v>
      </c>
      <c r="AC12" s="89">
        <f t="shared" si="1"/>
        <v>0</v>
      </c>
      <c r="AD12" s="87">
        <v>0</v>
      </c>
      <c r="AE12" s="88" t="s">
        <v>222</v>
      </c>
      <c r="AF12" s="87">
        <v>0</v>
      </c>
      <c r="AG12" s="88" t="s">
        <v>222</v>
      </c>
      <c r="AH12" s="87">
        <v>0</v>
      </c>
      <c r="AI12" s="88" t="s">
        <v>222</v>
      </c>
      <c r="AJ12" s="87">
        <v>0</v>
      </c>
      <c r="AK12" s="88" t="s">
        <v>222</v>
      </c>
      <c r="AL12" s="87">
        <v>0</v>
      </c>
      <c r="AM12" s="88" t="s">
        <v>222</v>
      </c>
      <c r="AN12" s="89">
        <f>AD12*Parametros!$E$28+AF12*Parametros!$E$29+AH12*Parametros!$E$30+AJ12*Parametros!$E$31+AL12*Parametros!$E$32</f>
        <v>0</v>
      </c>
      <c r="AO12" s="12" t="str">
        <f t="shared" si="2"/>
        <v>NO</v>
      </c>
      <c r="AP12" s="11">
        <f t="shared" si="3"/>
        <v>0.25</v>
      </c>
      <c r="AQ12" s="90">
        <f>MAX(0,MIN(1,MAX(0,AP12-IF(S12="NO",Parametros!$E$17,0))+AC12-AN12-IF(AO12="SI",Parametros!$E$33,0)))</f>
        <v>0.25</v>
      </c>
      <c r="AR12" s="58"/>
      <c r="AS12" s="71" t="str">
        <f>'Captura Diciembre'!B14</f>
        <v>Linea 2</v>
      </c>
      <c r="AT12" s="72">
        <f>'Captura Diciembre'!K14+'Captura Diciembre'!N14+'Captura Diciembre'!Q14</f>
        <v>0</v>
      </c>
      <c r="AU12" s="72">
        <f>'Captura Diciembre'!T14</f>
        <v>0</v>
      </c>
      <c r="AV12" s="72">
        <f>'Captura Diciembre'!V14</f>
        <v>0</v>
      </c>
      <c r="AW12" s="72">
        <f>'Captura Diciembre'!G14</f>
        <v>0</v>
      </c>
      <c r="AX12" s="72">
        <f>'Captura Diciembre'!X14</f>
        <v>0.25</v>
      </c>
      <c r="AY12" s="72">
        <f>'Captura Diciembre'!AC14</f>
        <v>0</v>
      </c>
      <c r="AZ12" s="73">
        <f>-'Captura Diciembre'!AN14</f>
        <v>0</v>
      </c>
      <c r="BA12" s="74">
        <f>'Captura Diciembre'!AQ14</f>
        <v>0.25</v>
      </c>
      <c r="BB12" s="58"/>
      <c r="BC12" s="58"/>
    </row>
    <row r="13" spans="1:55" ht="16.5" customHeight="1" x14ac:dyDescent="0.35">
      <c r="A13" s="12">
        <v>8</v>
      </c>
      <c r="B13" s="83" t="s">
        <v>123</v>
      </c>
      <c r="C13" s="84" t="str">
        <f>VLOOKUP(B13,Parametros!$I$6:$J$20,2,FALSE())</f>
        <v>Amilcar Ralda</v>
      </c>
      <c r="D13" s="85">
        <v>0</v>
      </c>
      <c r="E13" s="85">
        <v>0</v>
      </c>
      <c r="F13" s="11">
        <f t="shared" si="0"/>
        <v>0</v>
      </c>
      <c r="G13" s="86">
        <f>F13*Parametros!$E$6</f>
        <v>0</v>
      </c>
      <c r="H13" s="87">
        <v>0</v>
      </c>
      <c r="I13" s="87">
        <v>0</v>
      </c>
      <c r="J13" s="88" t="s">
        <v>222</v>
      </c>
      <c r="K13" s="86">
        <f>IF(J13="NO",0,IFERROR(H13/I13,0)*Parametros!$E$7)</f>
        <v>0</v>
      </c>
      <c r="L13" s="85">
        <v>0</v>
      </c>
      <c r="M13" s="88" t="s">
        <v>222</v>
      </c>
      <c r="N13" s="86">
        <f>IF(M13="NO",0,L13*Parametros!$E$8)</f>
        <v>0</v>
      </c>
      <c r="O13" s="85">
        <v>0</v>
      </c>
      <c r="P13" s="88" t="s">
        <v>222</v>
      </c>
      <c r="Q13" s="86">
        <f>IF(P13="NO",0,O13*Parametros!$E$9)</f>
        <v>0</v>
      </c>
      <c r="R13" s="85">
        <v>0</v>
      </c>
      <c r="S13" s="88" t="s">
        <v>222</v>
      </c>
      <c r="T13" s="86">
        <f>IF(S13="NO",0,R13*Parametros!$E$10)</f>
        <v>0</v>
      </c>
      <c r="U13" s="85">
        <v>0</v>
      </c>
      <c r="V13" s="86">
        <f>U13*Parametros!$E$11</f>
        <v>0</v>
      </c>
      <c r="W13" s="87">
        <v>0</v>
      </c>
      <c r="X13" s="86">
        <f>MAX(0,Parametros!$E$12-Parametros!$E$18*W13)</f>
        <v>0.25</v>
      </c>
      <c r="Y13" s="87">
        <v>0</v>
      </c>
      <c r="Z13" s="87">
        <v>0</v>
      </c>
      <c r="AA13" s="89">
        <f>IF(Y13&gt;=Parametros!$E$22,Parametros!$E$24,0)</f>
        <v>0</v>
      </c>
      <c r="AB13" s="89">
        <f>IF(Z13&gt;=Parametros!$E$23,Parametros!$E$25,0)</f>
        <v>0</v>
      </c>
      <c r="AC13" s="89">
        <f t="shared" si="1"/>
        <v>0</v>
      </c>
      <c r="AD13" s="87">
        <v>0</v>
      </c>
      <c r="AE13" s="88" t="s">
        <v>222</v>
      </c>
      <c r="AF13" s="87">
        <v>0</v>
      </c>
      <c r="AG13" s="88" t="s">
        <v>222</v>
      </c>
      <c r="AH13" s="87">
        <v>0</v>
      </c>
      <c r="AI13" s="88" t="s">
        <v>222</v>
      </c>
      <c r="AJ13" s="87">
        <v>0</v>
      </c>
      <c r="AK13" s="88" t="s">
        <v>222</v>
      </c>
      <c r="AL13" s="87">
        <v>0</v>
      </c>
      <c r="AM13" s="88" t="s">
        <v>222</v>
      </c>
      <c r="AN13" s="89">
        <f>AD13*Parametros!$E$28+AF13*Parametros!$E$29+AH13*Parametros!$E$30+AJ13*Parametros!$E$31+AL13*Parametros!$E$32</f>
        <v>0</v>
      </c>
      <c r="AO13" s="12" t="str">
        <f t="shared" si="2"/>
        <v>NO</v>
      </c>
      <c r="AP13" s="11">
        <f t="shared" si="3"/>
        <v>0.25</v>
      </c>
      <c r="AQ13" s="90">
        <f>MAX(0,MIN(1,MAX(0,AP13-IF(S13="NO",Parametros!$E$17,0))+AC13-AN13-IF(AO13="SI",Parametros!$E$33,0)))</f>
        <v>0.25</v>
      </c>
      <c r="AR13" s="58"/>
      <c r="AS13" s="79" t="str">
        <f>'Captura Diciembre'!B15</f>
        <v>Linea 3</v>
      </c>
      <c r="AT13" s="80">
        <f>'Captura Diciembre'!K15+'Captura Diciembre'!N15+'Captura Diciembre'!Q15</f>
        <v>0</v>
      </c>
      <c r="AU13" s="80">
        <f>'Captura Diciembre'!T15</f>
        <v>0</v>
      </c>
      <c r="AV13" s="80">
        <f>'Captura Diciembre'!V15</f>
        <v>0</v>
      </c>
      <c r="AW13" s="80">
        <f>'Captura Diciembre'!G15</f>
        <v>0</v>
      </c>
      <c r="AX13" s="80">
        <f>'Captura Diciembre'!X15</f>
        <v>0.25</v>
      </c>
      <c r="AY13" s="80">
        <f>'Captura Diciembre'!AC15</f>
        <v>0</v>
      </c>
      <c r="AZ13" s="81">
        <f>-'Captura Diciembre'!AN15</f>
        <v>0</v>
      </c>
      <c r="BA13" s="82">
        <f>'Captura Diciembre'!AQ15</f>
        <v>0.25</v>
      </c>
      <c r="BB13" s="58"/>
      <c r="BC13" s="58"/>
    </row>
    <row r="14" spans="1:55" ht="16.5" customHeight="1" x14ac:dyDescent="0.35">
      <c r="A14" s="12">
        <v>9</v>
      </c>
      <c r="B14" s="83" t="s">
        <v>113</v>
      </c>
      <c r="C14" s="84" t="str">
        <f>VLOOKUP(B14,Parametros!$I$6:$J$20,2,FALSE())</f>
        <v>Amilcar Ralda</v>
      </c>
      <c r="D14" s="85">
        <v>0</v>
      </c>
      <c r="E14" s="85">
        <v>0</v>
      </c>
      <c r="F14" s="11">
        <f t="shared" si="0"/>
        <v>0</v>
      </c>
      <c r="G14" s="86">
        <f>F14*Parametros!$E$6</f>
        <v>0</v>
      </c>
      <c r="H14" s="87">
        <v>0</v>
      </c>
      <c r="I14" s="87">
        <v>0</v>
      </c>
      <c r="J14" s="88" t="s">
        <v>222</v>
      </c>
      <c r="K14" s="86">
        <f>IF(J14="NO",0,IFERROR(H14/I14,0)*Parametros!$E$7)</f>
        <v>0</v>
      </c>
      <c r="L14" s="85">
        <v>0</v>
      </c>
      <c r="M14" s="88" t="s">
        <v>222</v>
      </c>
      <c r="N14" s="86">
        <f>IF(M14="NO",0,L14*Parametros!$E$8)</f>
        <v>0</v>
      </c>
      <c r="O14" s="85">
        <v>0</v>
      </c>
      <c r="P14" s="88" t="s">
        <v>222</v>
      </c>
      <c r="Q14" s="86">
        <f>IF(P14="NO",0,O14*Parametros!$E$9)</f>
        <v>0</v>
      </c>
      <c r="R14" s="85">
        <v>0</v>
      </c>
      <c r="S14" s="88" t="s">
        <v>222</v>
      </c>
      <c r="T14" s="86">
        <f>IF(S14="NO",0,R14*Parametros!$E$10)</f>
        <v>0</v>
      </c>
      <c r="U14" s="85">
        <v>0</v>
      </c>
      <c r="V14" s="86">
        <f>U14*Parametros!$E$11</f>
        <v>0</v>
      </c>
      <c r="W14" s="87">
        <v>0</v>
      </c>
      <c r="X14" s="86">
        <f>MAX(0,Parametros!$E$12-Parametros!$E$18*W14)</f>
        <v>0.25</v>
      </c>
      <c r="Y14" s="87">
        <v>0</v>
      </c>
      <c r="Z14" s="87">
        <v>0</v>
      </c>
      <c r="AA14" s="89">
        <f>IF(Y14&gt;=Parametros!$E$22,Parametros!$E$24,0)</f>
        <v>0</v>
      </c>
      <c r="AB14" s="89">
        <f>IF(Z14&gt;=Parametros!$E$23,Parametros!$E$25,0)</f>
        <v>0</v>
      </c>
      <c r="AC14" s="89">
        <f t="shared" si="1"/>
        <v>0</v>
      </c>
      <c r="AD14" s="87">
        <v>0</v>
      </c>
      <c r="AE14" s="88" t="s">
        <v>222</v>
      </c>
      <c r="AF14" s="87">
        <v>0</v>
      </c>
      <c r="AG14" s="88" t="s">
        <v>222</v>
      </c>
      <c r="AH14" s="87">
        <v>0</v>
      </c>
      <c r="AI14" s="88" t="s">
        <v>222</v>
      </c>
      <c r="AJ14" s="87">
        <v>0</v>
      </c>
      <c r="AK14" s="88" t="s">
        <v>222</v>
      </c>
      <c r="AL14" s="87">
        <v>0</v>
      </c>
      <c r="AM14" s="88" t="s">
        <v>222</v>
      </c>
      <c r="AN14" s="89">
        <f>AD14*Parametros!$E$28+AF14*Parametros!$E$29+AH14*Parametros!$E$30+AJ14*Parametros!$E$31+AL14*Parametros!$E$32</f>
        <v>0</v>
      </c>
      <c r="AO14" s="12" t="str">
        <f t="shared" si="2"/>
        <v>NO</v>
      </c>
      <c r="AP14" s="11">
        <f t="shared" si="3"/>
        <v>0.25</v>
      </c>
      <c r="AQ14" s="90">
        <f>MAX(0,MIN(1,MAX(0,AP14-IF(S14="NO",Parametros!$E$17,0))+AC14-AN14-IF(AO14="SI",Parametros!$E$33,0)))</f>
        <v>0.25</v>
      </c>
      <c r="AR14" s="58"/>
      <c r="AS14" s="71" t="str">
        <f>'Captura Diciembre'!B16</f>
        <v>Linea 4</v>
      </c>
      <c r="AT14" s="72">
        <f>'Captura Diciembre'!K16+'Captura Diciembre'!N16+'Captura Diciembre'!Q16</f>
        <v>0</v>
      </c>
      <c r="AU14" s="72">
        <f>'Captura Diciembre'!T16</f>
        <v>0</v>
      </c>
      <c r="AV14" s="72">
        <f>'Captura Diciembre'!V16</f>
        <v>0</v>
      </c>
      <c r="AW14" s="72">
        <f>'Captura Diciembre'!G16</f>
        <v>0</v>
      </c>
      <c r="AX14" s="72">
        <f>'Captura Diciembre'!X16</f>
        <v>0.25</v>
      </c>
      <c r="AY14" s="72">
        <f>'Captura Diciembre'!AC16</f>
        <v>0</v>
      </c>
      <c r="AZ14" s="73">
        <f>-'Captura Diciembre'!AN16</f>
        <v>0</v>
      </c>
      <c r="BA14" s="74">
        <f>'Captura Diciembre'!AQ16</f>
        <v>0.25</v>
      </c>
      <c r="BB14" s="58"/>
      <c r="BC14" s="58"/>
    </row>
    <row r="15" spans="1:55" ht="16.5" customHeight="1" x14ac:dyDescent="0.35">
      <c r="A15" s="12">
        <v>10</v>
      </c>
      <c r="B15" s="83" t="s">
        <v>133</v>
      </c>
      <c r="C15" s="84" t="str">
        <f>VLOOKUP(B15,Parametros!$I$6:$J$20,2,FALSE())</f>
        <v>Mario Ramos</v>
      </c>
      <c r="D15" s="85">
        <v>0</v>
      </c>
      <c r="E15" s="85">
        <v>0</v>
      </c>
      <c r="F15" s="11">
        <f t="shared" si="0"/>
        <v>0</v>
      </c>
      <c r="G15" s="86">
        <f>F15*Parametros!$E$6</f>
        <v>0</v>
      </c>
      <c r="H15" s="87">
        <v>0</v>
      </c>
      <c r="I15" s="87">
        <v>0</v>
      </c>
      <c r="J15" s="88" t="s">
        <v>222</v>
      </c>
      <c r="K15" s="86">
        <f>IF(J15="NO",0,IFERROR(H15/I15,0)*Parametros!$E$7)</f>
        <v>0</v>
      </c>
      <c r="L15" s="85">
        <v>0</v>
      </c>
      <c r="M15" s="88" t="s">
        <v>222</v>
      </c>
      <c r="N15" s="86">
        <f>IF(M15="NO",0,L15*Parametros!$E$8)</f>
        <v>0</v>
      </c>
      <c r="O15" s="85">
        <v>0</v>
      </c>
      <c r="P15" s="88" t="s">
        <v>222</v>
      </c>
      <c r="Q15" s="86">
        <f>IF(P15="NO",0,O15*Parametros!$E$9)</f>
        <v>0</v>
      </c>
      <c r="R15" s="85">
        <v>0</v>
      </c>
      <c r="S15" s="88" t="s">
        <v>222</v>
      </c>
      <c r="T15" s="86">
        <f>IF(S15="NO",0,R15*Parametros!$E$10)</f>
        <v>0</v>
      </c>
      <c r="U15" s="85">
        <v>0</v>
      </c>
      <c r="V15" s="86">
        <f>U15*Parametros!$E$11</f>
        <v>0</v>
      </c>
      <c r="W15" s="87">
        <v>0</v>
      </c>
      <c r="X15" s="86">
        <f>MAX(0,Parametros!$E$12-Parametros!$E$18*W15)</f>
        <v>0.25</v>
      </c>
      <c r="Y15" s="87">
        <v>0</v>
      </c>
      <c r="Z15" s="87">
        <v>0</v>
      </c>
      <c r="AA15" s="89">
        <f>IF(Y15&gt;=Parametros!$E$22,Parametros!$E$24,0)</f>
        <v>0</v>
      </c>
      <c r="AB15" s="89">
        <f>IF(Z15&gt;=Parametros!$E$23,Parametros!$E$25,0)</f>
        <v>0</v>
      </c>
      <c r="AC15" s="89">
        <f t="shared" si="1"/>
        <v>0</v>
      </c>
      <c r="AD15" s="87">
        <v>0</v>
      </c>
      <c r="AE15" s="88" t="s">
        <v>222</v>
      </c>
      <c r="AF15" s="87">
        <v>0</v>
      </c>
      <c r="AG15" s="88" t="s">
        <v>222</v>
      </c>
      <c r="AH15" s="87">
        <v>0</v>
      </c>
      <c r="AI15" s="88" t="s">
        <v>222</v>
      </c>
      <c r="AJ15" s="87">
        <v>0</v>
      </c>
      <c r="AK15" s="88" t="s">
        <v>222</v>
      </c>
      <c r="AL15" s="87">
        <v>0</v>
      </c>
      <c r="AM15" s="88" t="s">
        <v>222</v>
      </c>
      <c r="AN15" s="89">
        <f>AD15*Parametros!$E$28+AF15*Parametros!$E$29+AH15*Parametros!$E$30+AJ15*Parametros!$E$31+AL15*Parametros!$E$32</f>
        <v>0</v>
      </c>
      <c r="AO15" s="12" t="str">
        <f t="shared" si="2"/>
        <v>NO</v>
      </c>
      <c r="AP15" s="11">
        <f t="shared" si="3"/>
        <v>0.25</v>
      </c>
      <c r="AQ15" s="90">
        <f>MAX(0,MIN(1,MAX(0,AP15-IF(S15="NO",Parametros!$E$17,0))+AC15-AN15-IF(AO15="SI",Parametros!$E$33,0)))</f>
        <v>0.25</v>
      </c>
      <c r="AR15" s="58"/>
      <c r="AS15" s="79" t="str">
        <f>'Captura Diciembre'!B17</f>
        <v>Linea 5</v>
      </c>
      <c r="AT15" s="80">
        <f>'Captura Diciembre'!K17+'Captura Diciembre'!N17+'Captura Diciembre'!Q17</f>
        <v>0</v>
      </c>
      <c r="AU15" s="80">
        <f>'Captura Diciembre'!T17</f>
        <v>0</v>
      </c>
      <c r="AV15" s="80">
        <f>'Captura Diciembre'!V17</f>
        <v>0</v>
      </c>
      <c r="AW15" s="80">
        <f>'Captura Diciembre'!G17</f>
        <v>0</v>
      </c>
      <c r="AX15" s="80">
        <f>'Captura Diciembre'!X17</f>
        <v>0.25</v>
      </c>
      <c r="AY15" s="80">
        <f>'Captura Diciembre'!AC17</f>
        <v>0</v>
      </c>
      <c r="AZ15" s="81">
        <f>-'Captura Diciembre'!AN17</f>
        <v>0</v>
      </c>
      <c r="BA15" s="82">
        <f>'Captura Diciembre'!AQ17</f>
        <v>0.25</v>
      </c>
      <c r="BB15" s="58"/>
      <c r="BC15" s="58"/>
    </row>
    <row r="16" spans="1:55" ht="16.5" customHeight="1" x14ac:dyDescent="0.35">
      <c r="A16" s="12">
        <v>11</v>
      </c>
      <c r="B16" s="83" t="s">
        <v>106</v>
      </c>
      <c r="C16" s="84" t="str">
        <f>VLOOKUP(B16,Parametros!$I$6:$J$20,2,FALSE())</f>
        <v>Mario Ramos</v>
      </c>
      <c r="D16" s="85">
        <v>0</v>
      </c>
      <c r="E16" s="85">
        <v>0</v>
      </c>
      <c r="F16" s="11">
        <f t="shared" si="0"/>
        <v>0</v>
      </c>
      <c r="G16" s="86">
        <f>F16*Parametros!$E$6</f>
        <v>0</v>
      </c>
      <c r="H16" s="87">
        <v>0</v>
      </c>
      <c r="I16" s="87">
        <v>0</v>
      </c>
      <c r="J16" s="88" t="s">
        <v>222</v>
      </c>
      <c r="K16" s="86">
        <f>IF(J16="NO",0,IFERROR(H16/I16,0)*Parametros!$E$7)</f>
        <v>0</v>
      </c>
      <c r="L16" s="85">
        <v>0</v>
      </c>
      <c r="M16" s="88" t="s">
        <v>222</v>
      </c>
      <c r="N16" s="86">
        <f>IF(M16="NO",0,L16*Parametros!$E$8)</f>
        <v>0</v>
      </c>
      <c r="O16" s="85">
        <v>0</v>
      </c>
      <c r="P16" s="88" t="s">
        <v>222</v>
      </c>
      <c r="Q16" s="86">
        <f>IF(P16="NO",0,O16*Parametros!$E$9)</f>
        <v>0</v>
      </c>
      <c r="R16" s="85">
        <v>0</v>
      </c>
      <c r="S16" s="88" t="s">
        <v>222</v>
      </c>
      <c r="T16" s="86">
        <f>IF(S16="NO",0,R16*Parametros!$E$10)</f>
        <v>0</v>
      </c>
      <c r="U16" s="85">
        <v>0</v>
      </c>
      <c r="V16" s="86">
        <f>U16*Parametros!$E$11</f>
        <v>0</v>
      </c>
      <c r="W16" s="87">
        <v>0</v>
      </c>
      <c r="X16" s="86">
        <f>MAX(0,Parametros!$E$12-Parametros!$E$18*W16)</f>
        <v>0.25</v>
      </c>
      <c r="Y16" s="87">
        <v>0</v>
      </c>
      <c r="Z16" s="87">
        <v>0</v>
      </c>
      <c r="AA16" s="89">
        <f>IF(Y16&gt;=Parametros!$E$22,Parametros!$E$24,0)</f>
        <v>0</v>
      </c>
      <c r="AB16" s="89">
        <f>IF(Z16&gt;=Parametros!$E$23,Parametros!$E$25,0)</f>
        <v>0</v>
      </c>
      <c r="AC16" s="89">
        <f t="shared" si="1"/>
        <v>0</v>
      </c>
      <c r="AD16" s="87">
        <v>0</v>
      </c>
      <c r="AE16" s="88" t="s">
        <v>222</v>
      </c>
      <c r="AF16" s="87">
        <v>0</v>
      </c>
      <c r="AG16" s="88" t="s">
        <v>222</v>
      </c>
      <c r="AH16" s="87">
        <v>0</v>
      </c>
      <c r="AI16" s="88" t="s">
        <v>222</v>
      </c>
      <c r="AJ16" s="87">
        <v>0</v>
      </c>
      <c r="AK16" s="88" t="s">
        <v>222</v>
      </c>
      <c r="AL16" s="87">
        <v>0</v>
      </c>
      <c r="AM16" s="88" t="s">
        <v>222</v>
      </c>
      <c r="AN16" s="89">
        <f>AD16*Parametros!$E$28+AF16*Parametros!$E$29+AH16*Parametros!$E$30+AJ16*Parametros!$E$31+AL16*Parametros!$E$32</f>
        <v>0</v>
      </c>
      <c r="AO16" s="12" t="str">
        <f t="shared" si="2"/>
        <v>NO</v>
      </c>
      <c r="AP16" s="11">
        <f t="shared" si="3"/>
        <v>0.25</v>
      </c>
      <c r="AQ16" s="90">
        <f>MAX(0,MIN(1,MAX(0,AP16-IF(S16="NO",Parametros!$E$17,0))+AC16-AN16-IF(AO16="SI",Parametros!$E$33,0)))</f>
        <v>0.25</v>
      </c>
      <c r="AR16" s="58"/>
      <c r="AS16" s="71" t="str">
        <f>'Captura Diciembre'!B18</f>
        <v>Mantenimiento</v>
      </c>
      <c r="AT16" s="72">
        <f>'Captura Diciembre'!K18+'Captura Diciembre'!N18+'Captura Diciembre'!Q18</f>
        <v>0</v>
      </c>
      <c r="AU16" s="72">
        <f>'Captura Diciembre'!T18</f>
        <v>0</v>
      </c>
      <c r="AV16" s="72">
        <f>'Captura Diciembre'!V18</f>
        <v>0</v>
      </c>
      <c r="AW16" s="72">
        <f>'Captura Diciembre'!G18</f>
        <v>0</v>
      </c>
      <c r="AX16" s="72">
        <f>'Captura Diciembre'!X18</f>
        <v>0.25</v>
      </c>
      <c r="AY16" s="72">
        <f>'Captura Diciembre'!AC18</f>
        <v>0</v>
      </c>
      <c r="AZ16" s="73">
        <f>-'Captura Diciembre'!AN18</f>
        <v>0</v>
      </c>
      <c r="BA16" s="74">
        <f>'Captura Diciembre'!AQ18</f>
        <v>0.25</v>
      </c>
      <c r="BB16" s="58"/>
      <c r="BC16" s="58"/>
    </row>
    <row r="17" spans="1:55" ht="16.5" customHeight="1" x14ac:dyDescent="0.35">
      <c r="A17" s="12">
        <v>12</v>
      </c>
      <c r="B17" s="83" t="s">
        <v>109</v>
      </c>
      <c r="C17" s="84" t="str">
        <f>VLOOKUP(B17,Parametros!$I$6:$J$20,2,FALSE())</f>
        <v>Roy Luarca</v>
      </c>
      <c r="D17" s="85">
        <v>0</v>
      </c>
      <c r="E17" s="85">
        <v>0</v>
      </c>
      <c r="F17" s="11">
        <f t="shared" si="0"/>
        <v>0</v>
      </c>
      <c r="G17" s="86">
        <f>F17*Parametros!$E$6</f>
        <v>0</v>
      </c>
      <c r="H17" s="87">
        <v>0</v>
      </c>
      <c r="I17" s="87">
        <v>0</v>
      </c>
      <c r="J17" s="88" t="s">
        <v>222</v>
      </c>
      <c r="K17" s="86">
        <f>IF(J17="NO",0,IFERROR(H17/I17,0)*Parametros!$E$7)</f>
        <v>0</v>
      </c>
      <c r="L17" s="85">
        <v>0</v>
      </c>
      <c r="M17" s="88" t="s">
        <v>222</v>
      </c>
      <c r="N17" s="86">
        <f>IF(M17="NO",0,L17*Parametros!$E$8)</f>
        <v>0</v>
      </c>
      <c r="O17" s="85">
        <v>0</v>
      </c>
      <c r="P17" s="88" t="s">
        <v>222</v>
      </c>
      <c r="Q17" s="86">
        <f>IF(P17="NO",0,O17*Parametros!$E$9)</f>
        <v>0</v>
      </c>
      <c r="R17" s="85">
        <v>0</v>
      </c>
      <c r="S17" s="88" t="s">
        <v>222</v>
      </c>
      <c r="T17" s="86">
        <f>IF(S17="NO",0,R17*Parametros!$E$10)</f>
        <v>0</v>
      </c>
      <c r="U17" s="85">
        <v>0</v>
      </c>
      <c r="V17" s="86">
        <f>U17*Parametros!$E$11</f>
        <v>0</v>
      </c>
      <c r="W17" s="87">
        <v>0</v>
      </c>
      <c r="X17" s="86">
        <f>MAX(0,Parametros!$E$12-Parametros!$E$18*W17)</f>
        <v>0.25</v>
      </c>
      <c r="Y17" s="87">
        <v>0</v>
      </c>
      <c r="Z17" s="87">
        <v>0</v>
      </c>
      <c r="AA17" s="89">
        <f>IF(Y17&gt;=Parametros!$E$22,Parametros!$E$24,0)</f>
        <v>0</v>
      </c>
      <c r="AB17" s="89">
        <f>IF(Z17&gt;=Parametros!$E$23,Parametros!$E$25,0)</f>
        <v>0</v>
      </c>
      <c r="AC17" s="89">
        <f t="shared" si="1"/>
        <v>0</v>
      </c>
      <c r="AD17" s="87">
        <v>0</v>
      </c>
      <c r="AE17" s="88" t="s">
        <v>222</v>
      </c>
      <c r="AF17" s="87">
        <v>0</v>
      </c>
      <c r="AG17" s="88" t="s">
        <v>222</v>
      </c>
      <c r="AH17" s="87">
        <v>0</v>
      </c>
      <c r="AI17" s="88" t="s">
        <v>222</v>
      </c>
      <c r="AJ17" s="87">
        <v>0</v>
      </c>
      <c r="AK17" s="88" t="s">
        <v>222</v>
      </c>
      <c r="AL17" s="87">
        <v>0</v>
      </c>
      <c r="AM17" s="88" t="s">
        <v>222</v>
      </c>
      <c r="AN17" s="89">
        <f>AD17*Parametros!$E$28+AF17*Parametros!$E$29+AH17*Parametros!$E$30+AJ17*Parametros!$E$31+AL17*Parametros!$E$32</f>
        <v>0</v>
      </c>
      <c r="AO17" s="12" t="str">
        <f t="shared" si="2"/>
        <v>NO</v>
      </c>
      <c r="AP17" s="11">
        <f t="shared" si="3"/>
        <v>0.25</v>
      </c>
      <c r="AQ17" s="90">
        <f>MAX(0,MIN(1,MAX(0,AP17-IF(S17="NO",Parametros!$E$17,0))+AC17-AN17-IF(AO17="SI",Parametros!$E$33,0)))</f>
        <v>0.25</v>
      </c>
      <c r="AR17" s="58"/>
      <c r="AS17" s="79" t="str">
        <f>'Captura Diciembre'!B19</f>
        <v>Materias Primas</v>
      </c>
      <c r="AT17" s="80">
        <f>'Captura Diciembre'!K19+'Captura Diciembre'!N19+'Captura Diciembre'!Q19</f>
        <v>0</v>
      </c>
      <c r="AU17" s="80">
        <f>'Captura Diciembre'!T19</f>
        <v>0</v>
      </c>
      <c r="AV17" s="80">
        <f>'Captura Diciembre'!V19</f>
        <v>0</v>
      </c>
      <c r="AW17" s="80">
        <f>'Captura Diciembre'!G19</f>
        <v>0</v>
      </c>
      <c r="AX17" s="80">
        <f>'Captura Diciembre'!X19</f>
        <v>0.25</v>
      </c>
      <c r="AY17" s="80">
        <f>'Captura Diciembre'!AC19</f>
        <v>0</v>
      </c>
      <c r="AZ17" s="81">
        <f>-'Captura Diciembre'!AN19</f>
        <v>0</v>
      </c>
      <c r="BA17" s="82">
        <f>'Captura Diciembre'!AQ19</f>
        <v>0.25</v>
      </c>
      <c r="BB17" s="58"/>
      <c r="BC17" s="58"/>
    </row>
    <row r="18" spans="1:55" ht="16.5" customHeight="1" x14ac:dyDescent="0.35">
      <c r="A18" s="12">
        <v>13</v>
      </c>
      <c r="B18" s="83" t="s">
        <v>140</v>
      </c>
      <c r="C18" s="84" t="str">
        <f>VLOOKUP(B18,Parametros!$I$6:$J$20,2,FALSE())</f>
        <v>Eliu Tello</v>
      </c>
      <c r="D18" s="85">
        <v>0</v>
      </c>
      <c r="E18" s="85">
        <v>0</v>
      </c>
      <c r="F18" s="11">
        <f t="shared" si="0"/>
        <v>0</v>
      </c>
      <c r="G18" s="86">
        <f>F18*Parametros!$E$6</f>
        <v>0</v>
      </c>
      <c r="H18" s="87">
        <v>0</v>
      </c>
      <c r="I18" s="87">
        <v>0</v>
      </c>
      <c r="J18" s="88" t="s">
        <v>222</v>
      </c>
      <c r="K18" s="86">
        <f>IF(J18="NO",0,IFERROR(H18/I18,0)*Parametros!$E$7)</f>
        <v>0</v>
      </c>
      <c r="L18" s="85">
        <v>0</v>
      </c>
      <c r="M18" s="88" t="s">
        <v>222</v>
      </c>
      <c r="N18" s="86">
        <f>IF(M18="NO",0,L18*Parametros!$E$8)</f>
        <v>0</v>
      </c>
      <c r="O18" s="85">
        <v>0</v>
      </c>
      <c r="P18" s="88" t="s">
        <v>222</v>
      </c>
      <c r="Q18" s="86">
        <f>IF(P18="NO",0,O18*Parametros!$E$9)</f>
        <v>0</v>
      </c>
      <c r="R18" s="85">
        <v>0</v>
      </c>
      <c r="S18" s="88" t="s">
        <v>222</v>
      </c>
      <c r="T18" s="86">
        <f>IF(S18="NO",0,R18*Parametros!$E$10)</f>
        <v>0</v>
      </c>
      <c r="U18" s="85">
        <v>0</v>
      </c>
      <c r="V18" s="86">
        <f>U18*Parametros!$E$11</f>
        <v>0</v>
      </c>
      <c r="W18" s="87">
        <v>0</v>
      </c>
      <c r="X18" s="86">
        <f>MAX(0,Parametros!$E$12-Parametros!$E$18*W18)</f>
        <v>0.25</v>
      </c>
      <c r="Y18" s="87">
        <v>0</v>
      </c>
      <c r="Z18" s="87">
        <v>0</v>
      </c>
      <c r="AA18" s="89">
        <f>IF(Y18&gt;=Parametros!$E$22,Parametros!$E$24,0)</f>
        <v>0</v>
      </c>
      <c r="AB18" s="89">
        <f>IF(Z18&gt;=Parametros!$E$23,Parametros!$E$25,0)</f>
        <v>0</v>
      </c>
      <c r="AC18" s="89">
        <f t="shared" si="1"/>
        <v>0</v>
      </c>
      <c r="AD18" s="87">
        <v>0</v>
      </c>
      <c r="AE18" s="88" t="s">
        <v>222</v>
      </c>
      <c r="AF18" s="87">
        <v>0</v>
      </c>
      <c r="AG18" s="88" t="s">
        <v>222</v>
      </c>
      <c r="AH18" s="87">
        <v>0</v>
      </c>
      <c r="AI18" s="88" t="s">
        <v>222</v>
      </c>
      <c r="AJ18" s="87">
        <v>0</v>
      </c>
      <c r="AK18" s="88" t="s">
        <v>222</v>
      </c>
      <c r="AL18" s="87">
        <v>0</v>
      </c>
      <c r="AM18" s="88" t="s">
        <v>222</v>
      </c>
      <c r="AN18" s="89">
        <f>AD18*Parametros!$E$28+AF18*Parametros!$E$29+AH18*Parametros!$E$30+AJ18*Parametros!$E$31+AL18*Parametros!$E$32</f>
        <v>0</v>
      </c>
      <c r="AO18" s="12" t="str">
        <f t="shared" si="2"/>
        <v>NO</v>
      </c>
      <c r="AP18" s="11">
        <f t="shared" si="3"/>
        <v>0.25</v>
      </c>
      <c r="AQ18" s="90">
        <f>MAX(0,MIN(1,MAX(0,AP18-IF(S18="NO",Parametros!$E$17,0))+AC18-AN18-IF(AO18="SI",Parametros!$E$33,0)))</f>
        <v>0.25</v>
      </c>
      <c r="AR18" s="58"/>
      <c r="AS18" s="71" t="str">
        <f>'Captura Diciembre'!B20</f>
        <v>Tratamiento de Aguas</v>
      </c>
      <c r="AT18" s="72">
        <f>'Captura Diciembre'!K20+'Captura Diciembre'!N20+'Captura Diciembre'!Q20</f>
        <v>0</v>
      </c>
      <c r="AU18" s="72">
        <f>'Captura Diciembre'!T20</f>
        <v>0</v>
      </c>
      <c r="AV18" s="72">
        <f>'Captura Diciembre'!V20</f>
        <v>0</v>
      </c>
      <c r="AW18" s="72">
        <f>'Captura Diciembre'!G20</f>
        <v>0</v>
      </c>
      <c r="AX18" s="72">
        <f>'Captura Diciembre'!X20</f>
        <v>0.25</v>
      </c>
      <c r="AY18" s="72">
        <f>'Captura Diciembre'!AC20</f>
        <v>0</v>
      </c>
      <c r="AZ18" s="73">
        <f>-'Captura Diciembre'!AN20</f>
        <v>0</v>
      </c>
      <c r="BA18" s="74">
        <f>'Captura Diciembre'!AQ20</f>
        <v>0.25</v>
      </c>
      <c r="BB18" s="58"/>
      <c r="BC18" s="58"/>
    </row>
    <row r="19" spans="1:55" ht="25.5" customHeight="1" x14ac:dyDescent="0.35">
      <c r="A19" s="12">
        <v>14</v>
      </c>
      <c r="B19" s="83" t="s">
        <v>142</v>
      </c>
      <c r="C19" s="84" t="str">
        <f>VLOOKUP(B19,Parametros!$I$6:$J$20,2,FALSE())</f>
        <v>Miguel Godinez</v>
      </c>
      <c r="D19" s="85">
        <v>0</v>
      </c>
      <c r="E19" s="85">
        <v>0</v>
      </c>
      <c r="F19" s="11">
        <f t="shared" si="0"/>
        <v>0</v>
      </c>
      <c r="G19" s="86">
        <f>F19*Parametros!$E$6</f>
        <v>0</v>
      </c>
      <c r="H19" s="87">
        <v>0</v>
      </c>
      <c r="I19" s="87">
        <v>0</v>
      </c>
      <c r="J19" s="88" t="s">
        <v>222</v>
      </c>
      <c r="K19" s="86">
        <f>IF(J19="NO",0,IFERROR(H19/I19,0)*Parametros!$E$7)</f>
        <v>0</v>
      </c>
      <c r="L19" s="85">
        <v>0</v>
      </c>
      <c r="M19" s="88" t="s">
        <v>222</v>
      </c>
      <c r="N19" s="86">
        <f>IF(M19="NO",0,L19*Parametros!$E$8)</f>
        <v>0</v>
      </c>
      <c r="O19" s="85">
        <v>0</v>
      </c>
      <c r="P19" s="88" t="s">
        <v>222</v>
      </c>
      <c r="Q19" s="86">
        <f>IF(P19="NO",0,O19*Parametros!$E$9)</f>
        <v>0</v>
      </c>
      <c r="R19" s="85">
        <v>0</v>
      </c>
      <c r="S19" s="88" t="s">
        <v>222</v>
      </c>
      <c r="T19" s="86">
        <f>IF(S19="NO",0,R19*Parametros!$E$10)</f>
        <v>0</v>
      </c>
      <c r="U19" s="85">
        <v>0</v>
      </c>
      <c r="V19" s="86">
        <f>U19*Parametros!$E$11</f>
        <v>0</v>
      </c>
      <c r="W19" s="87">
        <v>0</v>
      </c>
      <c r="X19" s="86">
        <f>MAX(0,Parametros!$E$12-Parametros!$E$18*W19)</f>
        <v>0.25</v>
      </c>
      <c r="Y19" s="87">
        <v>0</v>
      </c>
      <c r="Z19" s="87">
        <v>0</v>
      </c>
      <c r="AA19" s="89">
        <f>IF(Y19&gt;=Parametros!$E$22,Parametros!$E$24,0)</f>
        <v>0</v>
      </c>
      <c r="AB19" s="89">
        <f>IF(Z19&gt;=Parametros!$E$23,Parametros!$E$25,0)</f>
        <v>0</v>
      </c>
      <c r="AC19" s="89">
        <f t="shared" si="1"/>
        <v>0</v>
      </c>
      <c r="AD19" s="87">
        <v>0</v>
      </c>
      <c r="AE19" s="88" t="s">
        <v>222</v>
      </c>
      <c r="AF19" s="87">
        <v>0</v>
      </c>
      <c r="AG19" s="88" t="s">
        <v>222</v>
      </c>
      <c r="AH19" s="87">
        <v>0</v>
      </c>
      <c r="AI19" s="88" t="s">
        <v>222</v>
      </c>
      <c r="AJ19" s="87">
        <v>0</v>
      </c>
      <c r="AK19" s="88" t="s">
        <v>222</v>
      </c>
      <c r="AL19" s="87">
        <v>0</v>
      </c>
      <c r="AM19" s="88" t="s">
        <v>222</v>
      </c>
      <c r="AN19" s="89">
        <f>AD19*Parametros!$E$28+AF19*Parametros!$E$29+AH19*Parametros!$E$30+AJ19*Parametros!$E$31+AL19*Parametros!$E$32</f>
        <v>0</v>
      </c>
      <c r="AO19" s="12" t="str">
        <f t="shared" si="2"/>
        <v>NO</v>
      </c>
      <c r="AP19" s="11">
        <f t="shared" si="3"/>
        <v>0.25</v>
      </c>
      <c r="AQ19" s="90">
        <f>MAX(0,MIN(1,MAX(0,AP19-IF(S19="NO",Parametros!$E$17,0))+AC19-AN19-IF(AO19="SI",Parametros!$E$33,0)))</f>
        <v>0.25</v>
      </c>
      <c r="AR19" s="58"/>
      <c r="AS19" s="111" t="s">
        <v>280</v>
      </c>
      <c r="AT19" s="111"/>
      <c r="AU19" s="111"/>
      <c r="AV19" s="111"/>
      <c r="AW19" s="111"/>
      <c r="AX19" s="111"/>
      <c r="AY19" s="111"/>
      <c r="AZ19" s="111"/>
      <c r="BA19" s="91">
        <f>AVERAGE(BA4:BA18)</f>
        <v>0.25</v>
      </c>
      <c r="BB19" s="58"/>
      <c r="BC19" s="58"/>
    </row>
    <row r="20" spans="1:55" ht="16.5" customHeight="1" x14ac:dyDescent="0.35">
      <c r="A20" s="12">
        <v>15</v>
      </c>
      <c r="B20" s="83" t="s">
        <v>138</v>
      </c>
      <c r="C20" s="84" t="str">
        <f>VLOOKUP(B20,Parametros!$I$6:$J$20,2,FALSE())</f>
        <v>Adrian Santisteban</v>
      </c>
      <c r="D20" s="85">
        <v>0</v>
      </c>
      <c r="E20" s="85">
        <v>0</v>
      </c>
      <c r="F20" s="11">
        <f t="shared" si="0"/>
        <v>0</v>
      </c>
      <c r="G20" s="86">
        <f>F20*Parametros!$E$6</f>
        <v>0</v>
      </c>
      <c r="H20" s="87">
        <v>0</v>
      </c>
      <c r="I20" s="87">
        <v>0</v>
      </c>
      <c r="J20" s="88" t="s">
        <v>222</v>
      </c>
      <c r="K20" s="86">
        <f>IF(J20="NO",0,IFERROR(H20/I20,0)*Parametros!$E$7)</f>
        <v>0</v>
      </c>
      <c r="L20" s="85">
        <v>0</v>
      </c>
      <c r="M20" s="88" t="s">
        <v>222</v>
      </c>
      <c r="N20" s="86">
        <f>IF(M20="NO",0,L20*Parametros!$E$8)</f>
        <v>0</v>
      </c>
      <c r="O20" s="85">
        <v>0</v>
      </c>
      <c r="P20" s="88" t="s">
        <v>222</v>
      </c>
      <c r="Q20" s="86">
        <f>IF(P20="NO",0,O20*Parametros!$E$9)</f>
        <v>0</v>
      </c>
      <c r="R20" s="85">
        <v>0</v>
      </c>
      <c r="S20" s="88" t="s">
        <v>222</v>
      </c>
      <c r="T20" s="86">
        <f>IF(S20="NO",0,R20*Parametros!$E$10)</f>
        <v>0</v>
      </c>
      <c r="U20" s="85">
        <v>0</v>
      </c>
      <c r="V20" s="86">
        <f>U20*Parametros!$E$11</f>
        <v>0</v>
      </c>
      <c r="W20" s="87">
        <v>0</v>
      </c>
      <c r="X20" s="86">
        <f>MAX(0,Parametros!$E$12-Parametros!$E$18*W20)</f>
        <v>0.25</v>
      </c>
      <c r="Y20" s="87">
        <v>0</v>
      </c>
      <c r="Z20" s="87">
        <v>0</v>
      </c>
      <c r="AA20" s="89">
        <f>IF(Y20&gt;=Parametros!$E$22,Parametros!$E$24,0)</f>
        <v>0</v>
      </c>
      <c r="AB20" s="89">
        <f>IF(Z20&gt;=Parametros!$E$23,Parametros!$E$25,0)</f>
        <v>0</v>
      </c>
      <c r="AC20" s="89">
        <f t="shared" si="1"/>
        <v>0</v>
      </c>
      <c r="AD20" s="87">
        <v>0</v>
      </c>
      <c r="AE20" s="88" t="s">
        <v>222</v>
      </c>
      <c r="AF20" s="87">
        <v>0</v>
      </c>
      <c r="AG20" s="88" t="s">
        <v>222</v>
      </c>
      <c r="AH20" s="87">
        <v>0</v>
      </c>
      <c r="AI20" s="88" t="s">
        <v>222</v>
      </c>
      <c r="AJ20" s="87">
        <v>0</v>
      </c>
      <c r="AK20" s="88" t="s">
        <v>222</v>
      </c>
      <c r="AL20" s="87">
        <v>0</v>
      </c>
      <c r="AM20" s="88" t="s">
        <v>222</v>
      </c>
      <c r="AN20" s="89">
        <f>AD20*Parametros!$E$28+AF20*Parametros!$E$29+AH20*Parametros!$E$30+AJ20*Parametros!$E$31+AL20*Parametros!$E$32</f>
        <v>0</v>
      </c>
      <c r="AO20" s="12" t="str">
        <f t="shared" si="2"/>
        <v>NO</v>
      </c>
      <c r="AP20" s="11">
        <f t="shared" si="3"/>
        <v>0.25</v>
      </c>
      <c r="AQ20" s="90">
        <f>MAX(0,MIN(1,MAX(0,AP20-IF(S20="NO",Parametros!$E$17,0))+AC20-AN20-IF(AO20="SI",Parametros!$E$33,0)))</f>
        <v>0.25</v>
      </c>
      <c r="AR20" s="58"/>
      <c r="AS20" s="58"/>
      <c r="AT20" s="58"/>
      <c r="AU20" s="58"/>
      <c r="AV20" s="58"/>
      <c r="AW20" s="58"/>
      <c r="AX20" s="58"/>
      <c r="AY20" s="58"/>
      <c r="AZ20" s="58"/>
      <c r="BA20" s="58"/>
      <c r="BB20" s="58"/>
    </row>
    <row r="22" spans="1:55" ht="21.75" customHeight="1" x14ac:dyDescent="0.35">
      <c r="A22" s="112"/>
      <c r="B22" s="112"/>
      <c r="C22" s="112"/>
      <c r="D22" s="70"/>
      <c r="E22" s="70"/>
      <c r="F22" s="70"/>
      <c r="G22" s="70"/>
      <c r="H22" s="70"/>
      <c r="I22" s="70"/>
      <c r="J22" s="70"/>
      <c r="K22" s="70"/>
      <c r="L22" s="70"/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V22" s="92"/>
    </row>
    <row r="23" spans="1:55" ht="21.75" customHeight="1" x14ac:dyDescent="0.35">
      <c r="A23" s="113" t="s">
        <v>225</v>
      </c>
      <c r="B23" s="113"/>
      <c r="C23" s="113"/>
      <c r="D23" s="93"/>
      <c r="E23" s="93"/>
      <c r="F23" s="93"/>
      <c r="G23" s="93"/>
      <c r="H23" s="93"/>
      <c r="I23" s="93"/>
      <c r="J23" s="93"/>
      <c r="K23" s="93"/>
      <c r="L23" s="93"/>
      <c r="M23" s="93"/>
      <c r="N23" s="93"/>
      <c r="O23" s="93"/>
      <c r="P23" s="93"/>
      <c r="Q23" s="93"/>
      <c r="R23" s="93"/>
      <c r="S23" s="93"/>
      <c r="T23" s="93"/>
      <c r="U23" s="93"/>
      <c r="V23" s="93"/>
      <c r="W23" s="93"/>
      <c r="X23" s="93"/>
      <c r="Y23" s="93"/>
      <c r="Z23" s="93"/>
      <c r="AA23" s="93"/>
      <c r="AB23" s="93"/>
      <c r="AC23" s="93"/>
      <c r="AD23" s="93"/>
      <c r="AE23" s="93"/>
      <c r="AF23" s="93"/>
      <c r="AG23" s="93"/>
      <c r="AH23" s="93"/>
      <c r="AI23" s="93"/>
      <c r="AJ23" s="93"/>
      <c r="AK23" s="93"/>
      <c r="AL23" s="93"/>
      <c r="AM23" s="93"/>
      <c r="AN23" s="93"/>
      <c r="AO23" s="93"/>
      <c r="AP23" s="93"/>
      <c r="AQ23" s="94">
        <f>AVERAGE(AQ6:AQ20)</f>
        <v>0.25</v>
      </c>
      <c r="AR23" s="58"/>
      <c r="AS23" s="58"/>
      <c r="AT23" s="58"/>
      <c r="AU23" s="58"/>
      <c r="AV23" s="58"/>
      <c r="AW23" s="58"/>
      <c r="AX23" s="58"/>
      <c r="AY23" s="58"/>
      <c r="AZ23" s="58"/>
      <c r="BA23" s="58"/>
      <c r="BB23" s="58"/>
    </row>
  </sheetData>
  <mergeCells count="20">
    <mergeCell ref="A1:AB1"/>
    <mergeCell ref="AS1:BA1"/>
    <mergeCell ref="BB1:BC1"/>
    <mergeCell ref="B2:D2"/>
    <mergeCell ref="AT2:AV2"/>
    <mergeCell ref="AX2:BA2"/>
    <mergeCell ref="BB5:BC5"/>
    <mergeCell ref="AS19:AZ19"/>
    <mergeCell ref="A22:C22"/>
    <mergeCell ref="A23:C23"/>
    <mergeCell ref="U4:V4"/>
    <mergeCell ref="W4:X4"/>
    <mergeCell ref="Y4:AC4"/>
    <mergeCell ref="AD4:AO4"/>
    <mergeCell ref="AP4:AQ4"/>
    <mergeCell ref="D4:G4"/>
    <mergeCell ref="H4:K4"/>
    <mergeCell ref="L4:N4"/>
    <mergeCell ref="O4:Q4"/>
    <mergeCell ref="R4:T4"/>
  </mergeCells>
  <conditionalFormatting sqref="AQ6:AQ20">
    <cfRule type="cellIs" dxfId="11" priority="5" operator="greaterThanOrEqual">
      <formula>0.9</formula>
    </cfRule>
    <cfRule type="cellIs" dxfId="10" priority="6" operator="between">
      <formula>0.7</formula>
      <formula>0.8999</formula>
    </cfRule>
    <cfRule type="cellIs" dxfId="9" priority="7" operator="lessThan">
      <formula>0.7</formula>
    </cfRule>
  </conditionalFormatting>
  <conditionalFormatting sqref="AV6:AV20">
    <cfRule type="cellIs" dxfId="8" priority="2" operator="greaterThanOrEqual">
      <formula>0.9</formula>
    </cfRule>
    <cfRule type="expression" dxfId="7" priority="3">
      <formula>AND(AV6&gt;=0.7,AV6&lt;0.9)</formula>
    </cfRule>
    <cfRule type="cellIs" dxfId="6" priority="4" operator="lessThan">
      <formula>0.7</formula>
    </cfRule>
  </conditionalFormatting>
  <conditionalFormatting sqref="BA4:BA18">
    <cfRule type="cellIs" dxfId="5" priority="8" operator="greaterThanOrEqual">
      <formula>0.9</formula>
    </cfRule>
    <cfRule type="cellIs" dxfId="4" priority="9" operator="between">
      <formula>0.7</formula>
      <formula>0.8999</formula>
    </cfRule>
    <cfRule type="cellIs" dxfId="3" priority="10" operator="lessThan">
      <formula>0.7</formula>
    </cfRule>
  </conditionalFormatting>
  <dataValidations count="4">
    <dataValidation type="whole" operator="greaterThanOrEqual" showErrorMessage="1" errorTitle="Valor invalido" error="Ingrese un numero entero &gt;= 0" sqref="F6:F20 K6:K20 N6:N20 V6:W20 AB6:AB20 AD6:AD20 AO6:AO20 AQ6:AQ20" xr:uid="{00000000-0002-0000-1000-000000000000}">
      <formula1>0</formula1>
      <formula2>0</formula2>
    </dataValidation>
    <dataValidation type="decimal" showErrorMessage="1" errorTitle="Valor invalido" error="Ingrese un porcentaje entre 0% y 100%" sqref="D6:E20 L6:L20 O6:O20 R6:R20 U6:U20" xr:uid="{00000000-0002-0000-1000-000001000000}">
      <formula1>0</formula1>
      <formula2>1</formula2>
    </dataValidation>
    <dataValidation type="whole" operator="greaterThanOrEqual" showErrorMessage="1" errorTitle="Valor inválido" error="Ingrese un número entero mayor o igual a 0" sqref="Z6:Z20" xr:uid="{00000000-0002-0000-1000-000002000000}">
      <formula1>0</formula1>
      <formula2>0</formula2>
    </dataValidation>
    <dataValidation type="list" sqref="J6:J20 M6:M20 P6:P20 S6:T20 X6:X20 AE6:AE20 AG6:AG20 AI6:AN20 AP6:AP20 AR6:AR20" xr:uid="{00000000-0002-0000-1000-000003000000}">
      <formula1>"SI,NO"</formula1>
      <formula2>0</formula2>
    </dataValidation>
  </dataValidations>
  <pageMargins left="0.3" right="0.3" top="0.4" bottom="0.4" header="0.511811023622047" footer="0.511811023622047"/>
  <pageSetup fitToHeight="0" orientation="landscape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808080"/>
  </sheetPr>
  <dimension ref="A1:F19"/>
  <sheetViews>
    <sheetView showGridLines="0" zoomScaleNormal="100" workbookViewId="0">
      <selection activeCell="B17" sqref="B17"/>
    </sheetView>
  </sheetViews>
  <sheetFormatPr baseColWidth="10" defaultColWidth="8.6328125" defaultRowHeight="14.5" x14ac:dyDescent="0.35"/>
  <cols>
    <col min="1" max="1" width="18" customWidth="1"/>
    <col min="2" max="2" width="22" customWidth="1"/>
    <col min="3" max="3" width="14" customWidth="1"/>
  </cols>
  <sheetData>
    <row r="1" spans="1:6" ht="53.25" customHeight="1" x14ac:dyDescent="0.35">
      <c r="A1" s="117" t="s">
        <v>281</v>
      </c>
      <c r="B1" s="117"/>
      <c r="C1" s="117"/>
    </row>
    <row r="3" spans="1:6" ht="30" customHeight="1" x14ac:dyDescent="0.35">
      <c r="A3" s="150" t="s">
        <v>282</v>
      </c>
      <c r="B3" s="150"/>
      <c r="C3" s="150"/>
      <c r="D3" s="150"/>
      <c r="E3" s="150"/>
      <c r="F3" s="150"/>
    </row>
    <row r="5" spans="1:6" ht="27.75" customHeight="1" x14ac:dyDescent="0.35">
      <c r="A5" s="7" t="s">
        <v>283</v>
      </c>
      <c r="B5" s="7" t="s">
        <v>284</v>
      </c>
      <c r="C5" s="7" t="s">
        <v>50</v>
      </c>
    </row>
    <row r="6" spans="1:6" ht="14.25" customHeight="1" x14ac:dyDescent="0.35">
      <c r="A6" s="12" t="s">
        <v>164</v>
      </c>
      <c r="B6" s="10">
        <f>IF(AVERAGE('Captura Enero'!D6:D20)=0,"",'Captura Enero'!AQ23)</f>
        <v>0.93297435897435899</v>
      </c>
      <c r="C6" s="12" t="str">
        <f>IF(B6="","",IF(B6&gt;=Parametros!$C$37,"Verde",IF(B6&gt;=Parametros!$C$38,"Amarillo","Rojo")))</f>
        <v>Verde</v>
      </c>
    </row>
    <row r="7" spans="1:6" ht="14.25" customHeight="1" x14ac:dyDescent="0.35">
      <c r="A7" s="12" t="s">
        <v>229</v>
      </c>
      <c r="B7" s="97">
        <f>IF(AVERAGE('Captura Febrero'!D6:D20)=0,"",'Captura Febrero'!AQ23)</f>
        <v>0.9572597670647206</v>
      </c>
      <c r="C7" s="12" t="str">
        <f>IF(B7="","",IF(B7&gt;=Parametros!$C$37,"Verde",IF(B7&gt;=Parametros!$C$38,"Amarillo","Rojo")))</f>
        <v>Verde</v>
      </c>
    </row>
    <row r="8" spans="1:6" ht="14.25" customHeight="1" x14ac:dyDescent="0.35">
      <c r="A8" s="12" t="s">
        <v>234</v>
      </c>
      <c r="B8" s="97">
        <f>IF(AVERAGE('Captura Marzo'!D6:D20)=0,"",'Captura Marzo'!AQ23)</f>
        <v>0.99283333333333335</v>
      </c>
      <c r="C8" s="12" t="str">
        <f>IF(B8="","",IF(B8&gt;=Parametros!$C$37,"Verde",IF(B8&gt;=Parametros!$C$38,"Amarillo","Rojo")))</f>
        <v>Verde</v>
      </c>
    </row>
    <row r="9" spans="1:6" ht="14.25" customHeight="1" x14ac:dyDescent="0.35">
      <c r="A9" s="12" t="s">
        <v>239</v>
      </c>
      <c r="B9" s="97">
        <f>IF(AVERAGE('Captura Abril'!D6:D20)=0,"",'Captura Abril'!AQ23)</f>
        <v>0.93466666666666676</v>
      </c>
      <c r="C9" s="12" t="str">
        <f>IF(B9="","",IF(B9&gt;=Parametros!$C$37,"Verde",IF(B9&gt;=Parametros!$C$38,"Amarillo","Rojo")))</f>
        <v>Verde</v>
      </c>
    </row>
    <row r="10" spans="1:6" ht="14.25" customHeight="1" x14ac:dyDescent="0.35">
      <c r="A10" s="12" t="s">
        <v>244</v>
      </c>
      <c r="B10" s="97">
        <f>IF(AVERAGE('Captura Mayo'!D6:D20)=0,"",'Captura Mayo'!AQ23)</f>
        <v>0.8793333333333333</v>
      </c>
      <c r="C10" s="12" t="str">
        <f>IF(B10="","",IF(B10&gt;=Parametros!$C$37,"Verde",IF(B10&gt;=Parametros!$C$38,"Amarillo","Rojo")))</f>
        <v>Amarillo</v>
      </c>
    </row>
    <row r="11" spans="1:6" ht="14.25" customHeight="1" x14ac:dyDescent="0.35">
      <c r="A11" s="12" t="s">
        <v>249</v>
      </c>
      <c r="B11" s="97">
        <f>IF(AVERAGE('Captura Junio'!D6:D20)=0,"",'Captura Junio'!AQ23)</f>
        <v>0.83357372900851168</v>
      </c>
      <c r="C11" s="12" t="str">
        <f>IF(B11="","",IF(B11&gt;=Parametros!$C$37,"Verde",IF(B11&gt;=Parametros!$C$38,"Amarillo","Rojo")))</f>
        <v>Amarillo</v>
      </c>
    </row>
    <row r="12" spans="1:6" ht="14.25" customHeight="1" x14ac:dyDescent="0.35">
      <c r="A12" s="12" t="s">
        <v>254</v>
      </c>
      <c r="B12" s="97">
        <f>IF(AVERAGE('Captura Julio'!D6:D20)=0,"",'Captura Julio'!AQ23)</f>
        <v>0.88027777777777783</v>
      </c>
      <c r="C12" s="12" t="str">
        <f>IF(B12="","",IF(B12&gt;=Parametros!$C$37,"Verde",IF(B12&gt;=Parametros!$C$38,"Amarillo","Rojo")))</f>
        <v>Amarillo</v>
      </c>
    </row>
    <row r="13" spans="1:6" ht="14.25" customHeight="1" x14ac:dyDescent="0.35">
      <c r="A13" s="12" t="s">
        <v>259</v>
      </c>
      <c r="B13" s="97">
        <f>IF(AVERAGE('Captura Agosto'!D6:D20)=0,"",'Captura Agosto'!AQ23)</f>
        <v>0.86230933333333326</v>
      </c>
      <c r="C13" s="12" t="str">
        <f>IF(B13="","",IF(B13&gt;=Parametros!$C$37,"Verde",IF(B13&gt;=Parametros!$C$38,"Amarillo","Rojo")))</f>
        <v>Amarillo</v>
      </c>
    </row>
    <row r="14" spans="1:6" ht="14.25" customHeight="1" x14ac:dyDescent="0.35">
      <c r="A14" s="12" t="s">
        <v>264</v>
      </c>
      <c r="B14" s="97">
        <f>IF(AVERAGE('Captura Septiembre'!D6:D20)=0,"",'Captura Septiembre'!AQ23)</f>
        <v>0.83891666666666675</v>
      </c>
      <c r="C14" s="12" t="str">
        <f>IF(B14="","",IF(B14&gt;=Parametros!$C$37,"Verde",IF(B14&gt;=Parametros!$C$38,"Amarillo","Rojo")))</f>
        <v>Amarillo</v>
      </c>
    </row>
    <row r="15" spans="1:6" ht="14.25" customHeight="1" x14ac:dyDescent="0.35">
      <c r="A15" s="12" t="s">
        <v>269</v>
      </c>
      <c r="B15" s="97" t="str">
        <f>IF(AVERAGE('Captura Octubre'!D6:D20)=0,"",'Captura Octubre'!AQ23)</f>
        <v/>
      </c>
      <c r="C15" s="12" t="str">
        <f>IF(B15="","",IF(B15&gt;=Parametros!$C$37,"Verde",IF(B15&gt;=Parametros!$C$38,"Amarillo","Rojo")))</f>
        <v/>
      </c>
    </row>
    <row r="16" spans="1:6" ht="14.25" customHeight="1" x14ac:dyDescent="0.35">
      <c r="A16" s="12" t="s">
        <v>274</v>
      </c>
      <c r="B16" s="97" t="str">
        <f>IF(AVERAGE('Captura Noviembre'!D6:D20)=0,"",'Captura Noviembre'!AQ23)</f>
        <v/>
      </c>
      <c r="C16" s="12" t="str">
        <f>IF(B16="","",IF(B16&gt;=Parametros!$C$37,"Verde",IF(B16&gt;=Parametros!$C$38,"Amarillo","Rojo")))</f>
        <v/>
      </c>
    </row>
    <row r="17" spans="1:3" ht="14.25" customHeight="1" x14ac:dyDescent="0.35">
      <c r="A17" s="12" t="s">
        <v>279</v>
      </c>
      <c r="B17" s="97" t="str">
        <f>IF(AVERAGE('Captura Diciembre'!D6:D20)=0,"",'Captura Diciembre'!AQ23)</f>
        <v/>
      </c>
      <c r="C17" s="12" t="str">
        <f>IF(B17="","",IF(B17&gt;=Parametros!$C$37,"Verde",IF(B17&gt;=Parametros!$C$38,"Amarillo","Rojo")))</f>
        <v/>
      </c>
    </row>
    <row r="19" spans="1:3" ht="14.25" customHeight="1" x14ac:dyDescent="0.35">
      <c r="B19" s="98"/>
    </row>
  </sheetData>
  <mergeCells count="2">
    <mergeCell ref="A1:C1"/>
    <mergeCell ref="A3:F3"/>
  </mergeCells>
  <conditionalFormatting sqref="C6:C17">
    <cfRule type="cellIs" dxfId="2" priority="2" operator="equal">
      <formula>"Verde"</formula>
    </cfRule>
    <cfRule type="cellIs" dxfId="1" priority="3" operator="equal">
      <formula>"Amarillo"</formula>
    </cfRule>
    <cfRule type="cellIs" dxfId="0" priority="4" operator="equal">
      <formula>"Rojo"</formula>
    </cfRule>
  </conditionalFormatting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808080"/>
  </sheetPr>
  <dimension ref="A1:N20"/>
  <sheetViews>
    <sheetView showGridLines="0" zoomScale="70" zoomScaleNormal="7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N9" sqref="N9"/>
    </sheetView>
  </sheetViews>
  <sheetFormatPr baseColWidth="10" defaultColWidth="8.6328125" defaultRowHeight="14.5" x14ac:dyDescent="0.35"/>
  <cols>
    <col min="1" max="1" width="22" customWidth="1"/>
    <col min="2" max="13" width="10" customWidth="1"/>
    <col min="14" max="14" width="12" customWidth="1"/>
  </cols>
  <sheetData>
    <row r="1" spans="1:14" ht="27.75" customHeight="1" x14ac:dyDescent="0.35">
      <c r="A1" s="151" t="s">
        <v>285</v>
      </c>
      <c r="B1" s="151"/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</row>
    <row r="3" spans="1:14" ht="30" customHeight="1" x14ac:dyDescent="0.35">
      <c r="A3" s="99" t="s">
        <v>48</v>
      </c>
      <c r="B3" s="7" t="s">
        <v>286</v>
      </c>
      <c r="C3" s="7" t="s">
        <v>287</v>
      </c>
      <c r="D3" s="7" t="s">
        <v>288</v>
      </c>
      <c r="E3" s="7" t="s">
        <v>289</v>
      </c>
      <c r="F3" s="7" t="s">
        <v>290</v>
      </c>
      <c r="G3" s="7" t="s">
        <v>291</v>
      </c>
      <c r="H3" s="7" t="s">
        <v>292</v>
      </c>
      <c r="I3" s="7" t="s">
        <v>26</v>
      </c>
      <c r="J3" s="7" t="s">
        <v>293</v>
      </c>
      <c r="K3" s="7" t="s">
        <v>294</v>
      </c>
      <c r="L3" s="7" t="s">
        <v>295</v>
      </c>
      <c r="M3" s="7" t="s">
        <v>296</v>
      </c>
      <c r="N3" s="100" t="s">
        <v>297</v>
      </c>
    </row>
    <row r="4" spans="1:14" ht="14.25" customHeight="1" x14ac:dyDescent="0.35">
      <c r="A4" s="101" t="s">
        <v>98</v>
      </c>
      <c r="B4" s="10">
        <f>IFERROR(IF('Captura Enero'!D8=0,"",'Captura Enero'!AQ8),"")</f>
        <v>1</v>
      </c>
      <c r="C4" s="10">
        <f>IFERROR(IF('Captura Febrero'!D8=0,"",'Captura Febrero'!AQ8),"")</f>
        <v>1</v>
      </c>
      <c r="D4" s="10">
        <f>IFERROR(IF('Captura Marzo'!D8=0,"",'Captura Marzo'!AQ8),"")</f>
        <v>1</v>
      </c>
      <c r="E4" s="10">
        <f>IFERROR(IF('Captura Abril'!D8=0,"",'Captura Abril'!AQ8),"")</f>
        <v>1</v>
      </c>
      <c r="F4" s="10">
        <f>IFERROR(IF('Captura Mayo'!D8=0,"",'Captura Mayo'!AQ8),"")</f>
        <v>1</v>
      </c>
      <c r="G4" s="10">
        <f>IFERROR(IF('Captura Junio'!D8=0,"",'Captura Junio'!AQ8),"")</f>
        <v>1</v>
      </c>
      <c r="H4" s="10">
        <f>IFERROR(IF('Captura Julio'!D8=0,"",'Captura Julio'!AQ8),"")</f>
        <v>1</v>
      </c>
      <c r="I4" s="10">
        <f>IFERROR(IF('Captura Agosto'!D8=0,"",'Captura Agosto'!AQ8),"")</f>
        <v>0.97525000000000006</v>
      </c>
      <c r="J4" s="10">
        <f>IFERROR(IF('Captura Septiembre'!D8=0,"",'Captura Septiembre'!AQ8),"")</f>
        <v>1</v>
      </c>
      <c r="K4" s="10" t="str">
        <f>IFERROR(IF('Captura Octubre'!D8=0,"",'Captura Octubre'!AQ8),"")</f>
        <v/>
      </c>
      <c r="L4" s="10" t="str">
        <f>IFERROR(IF('Captura Noviembre'!D8=0,"",'Captura Noviembre'!AQ8),"")</f>
        <v/>
      </c>
      <c r="M4" s="10" t="str">
        <f>IFERROR(IF('Captura Diciembre'!D8=0,"",'Captura Diciembre'!AQ8),"")</f>
        <v/>
      </c>
      <c r="N4" s="102">
        <f t="shared" ref="N4:N18" si="0">IFERROR(AVERAGE(B4:M4),"")</f>
        <v>0.99724999999999986</v>
      </c>
    </row>
    <row r="5" spans="1:14" ht="14.25" customHeight="1" x14ac:dyDescent="0.35">
      <c r="A5" s="101" t="s">
        <v>103</v>
      </c>
      <c r="B5" s="10">
        <f>IFERROR(IF('Captura Enero'!D6=0,"",'Captura Enero'!AQ6),"")</f>
        <v>1</v>
      </c>
      <c r="C5" s="10">
        <f>IFERROR(IF('Captura Febrero'!D6=0,"",'Captura Febrero'!AQ6),"")</f>
        <v>1</v>
      </c>
      <c r="D5" s="10">
        <f>IFERROR(IF('Captura Marzo'!D6=0,"",'Captura Marzo'!AQ6),"")</f>
        <v>1</v>
      </c>
      <c r="E5" s="10">
        <f>IFERROR(IF('Captura Abril'!D6=0,"",'Captura Abril'!AQ6),"")</f>
        <v>0.96000000000000008</v>
      </c>
      <c r="F5" s="10">
        <f>IFERROR(IF('Captura Mayo'!D6=0,"",'Captura Mayo'!AQ6),"")</f>
        <v>0.96000000000000008</v>
      </c>
      <c r="G5" s="10">
        <f>IFERROR(IF('Captura Junio'!D6=0,"",'Captura Junio'!AQ6),"")</f>
        <v>0.84000000000000008</v>
      </c>
      <c r="H5" s="10">
        <f>IFERROR(IF('Captura Julio'!D6=0,"",'Captura Julio'!AQ6),"")</f>
        <v>1</v>
      </c>
      <c r="I5" s="10">
        <f>IFERROR(IF('Captura Agosto'!D6=0,"",'Captura Agosto'!AQ6),"")</f>
        <v>0.92995000000000005</v>
      </c>
      <c r="J5" s="10">
        <f>IFERROR(IF('Captura Septiembre'!D6=0,"",'Captura Septiembre'!AQ6),"")</f>
        <v>0.89475000000000016</v>
      </c>
      <c r="K5" s="10" t="str">
        <f>IFERROR(IF('Captura Octubre'!D6=0,"",'Captura Octubre'!AQ6),"")</f>
        <v/>
      </c>
      <c r="L5" s="10" t="str">
        <f>IFERROR(IF('Captura Noviembre'!D6=0,"",'Captura Noviembre'!AQ6),"")</f>
        <v/>
      </c>
      <c r="M5" s="10" t="str">
        <f>IFERROR(IF('Captura Diciembre'!D6=0,"",'Captura Diciembre'!AQ6),"")</f>
        <v/>
      </c>
      <c r="N5" s="102">
        <f t="shared" si="0"/>
        <v>0.95385555555555557</v>
      </c>
    </row>
    <row r="6" spans="1:14" ht="14.25" customHeight="1" x14ac:dyDescent="0.35">
      <c r="A6" s="101" t="s">
        <v>106</v>
      </c>
      <c r="B6" s="10">
        <f>IFERROR(IF('Captura Enero'!D16=0,"",'Captura Enero'!AQ16),"")</f>
        <v>0.9</v>
      </c>
      <c r="C6" s="10">
        <f>IFERROR(IF('Captura Febrero'!D16=0,"",'Captura Febrero'!AQ16),"")</f>
        <v>0.91428571428571437</v>
      </c>
      <c r="D6" s="10">
        <f>IFERROR(IF('Captura Marzo'!D16=0,"",'Captura Marzo'!AQ16),"")</f>
        <v>1</v>
      </c>
      <c r="E6" s="10">
        <f>IFERROR(IF('Captura Abril'!D16=0,"",'Captura Abril'!AQ16),"")</f>
        <v>0.96000000000000008</v>
      </c>
      <c r="F6" s="10">
        <f>IFERROR(IF('Captura Mayo'!D16=0,"",'Captura Mayo'!AQ16),"")</f>
        <v>1</v>
      </c>
      <c r="G6" s="10">
        <f>IFERROR(IF('Captura Junio'!D16=0,"",'Captura Junio'!AQ16),"")</f>
        <v>1</v>
      </c>
      <c r="H6" s="10">
        <f>IFERROR(IF('Captura Julio'!D16=0,"",'Captura Julio'!AQ16),"")</f>
        <v>1</v>
      </c>
      <c r="I6" s="10">
        <f>IFERROR(IF('Captura Agosto'!D16=0,"",'Captura Agosto'!AQ16),"")</f>
        <v>1</v>
      </c>
      <c r="J6" s="10">
        <f>IFERROR(IF('Captura Septiembre'!D16=0,"",'Captura Septiembre'!AQ16),"")</f>
        <v>0.91835</v>
      </c>
      <c r="K6" s="10" t="str">
        <f>IFERROR(IF('Captura Octubre'!D16=0,"",'Captura Octubre'!AQ16),"")</f>
        <v/>
      </c>
      <c r="L6" s="10" t="str">
        <f>IFERROR(IF('Captura Noviembre'!D16=0,"",'Captura Noviembre'!AQ16),"")</f>
        <v/>
      </c>
      <c r="M6" s="10" t="str">
        <f>IFERROR(IF('Captura Diciembre'!D16=0,"",'Captura Diciembre'!AQ16),"")</f>
        <v/>
      </c>
      <c r="N6" s="102">
        <f t="shared" si="0"/>
        <v>0.96584841269841271</v>
      </c>
    </row>
    <row r="7" spans="1:14" ht="14.25" customHeight="1" x14ac:dyDescent="0.35">
      <c r="A7" s="101" t="s">
        <v>109</v>
      </c>
      <c r="B7" s="10">
        <f>IFERROR(IF('Captura Enero'!D17=0,"",'Captura Enero'!AQ17),"")</f>
        <v>0.86461538461538467</v>
      </c>
      <c r="C7" s="10">
        <f>IFERROR(IF('Captura Febrero'!D17=0,"",'Captura Febrero'!AQ17),"")</f>
        <v>0.96428571428571441</v>
      </c>
      <c r="D7" s="10">
        <f>IFERROR(IF('Captura Marzo'!D17=0,"",'Captura Marzo'!AQ17),"")</f>
        <v>1</v>
      </c>
      <c r="E7" s="10">
        <f>IFERROR(IF('Captura Abril'!D17=0,"",'Captura Abril'!AQ17),"")</f>
        <v>0.74</v>
      </c>
      <c r="F7" s="10">
        <f>IFERROR(IF('Captura Mayo'!D17=0,"",'Captura Mayo'!AQ17),"")</f>
        <v>0.89</v>
      </c>
      <c r="G7" s="10">
        <f>IFERROR(IF('Captura Junio'!D17=0,"",'Captura Junio'!AQ17),"")</f>
        <v>0.79285714285714293</v>
      </c>
      <c r="H7" s="10">
        <f>IFERROR(IF('Captura Julio'!D17=0,"",'Captura Julio'!AQ17),"")</f>
        <v>0.83</v>
      </c>
      <c r="I7" s="10">
        <f>IFERROR(IF('Captura Agosto'!D17=0,"",'Captura Agosto'!AQ17),"")</f>
        <v>0.70295000000000007</v>
      </c>
      <c r="J7" s="10">
        <f>IFERROR(IF('Captura Septiembre'!D17=0,"",'Captura Septiembre'!AQ17),"")</f>
        <v>0.61814999999999998</v>
      </c>
      <c r="K7" s="10" t="str">
        <f>IFERROR(IF('Captura Octubre'!D17=0,"",'Captura Octubre'!AQ17),"")</f>
        <v/>
      </c>
      <c r="L7" s="10" t="str">
        <f>IFERROR(IF('Captura Noviembre'!D17=0,"",'Captura Noviembre'!AQ17),"")</f>
        <v/>
      </c>
      <c r="M7" s="10" t="str">
        <f>IFERROR(IF('Captura Diciembre'!D17=0,"",'Captura Diciembre'!AQ17),"")</f>
        <v/>
      </c>
      <c r="N7" s="102">
        <f t="shared" si="0"/>
        <v>0.82253980463980469</v>
      </c>
    </row>
    <row r="8" spans="1:14" ht="14.25" customHeight="1" x14ac:dyDescent="0.35">
      <c r="A8" s="101" t="s">
        <v>113</v>
      </c>
      <c r="B8" s="10">
        <f>IFERROR(IF('Captura Enero'!D14=0,"",'Captura Enero'!AQ14),"")</f>
        <v>0.99</v>
      </c>
      <c r="C8" s="10">
        <f>IFERROR(IF('Captura Febrero'!D14=0,"",'Captura Febrero'!AQ14),"")</f>
        <v>0.95</v>
      </c>
      <c r="D8" s="10">
        <f>IFERROR(IF('Captura Marzo'!D14=0,"",'Captura Marzo'!AQ14),"")</f>
        <v>0.99</v>
      </c>
      <c r="E8" s="10">
        <f>IFERROR(IF('Captura Abril'!D14=0,"",'Captura Abril'!AQ14),"")</f>
        <v>1</v>
      </c>
      <c r="F8" s="10">
        <f>IFERROR(IF('Captura Mayo'!D14=0,"",'Captura Mayo'!AQ14),"")</f>
        <v>0.9</v>
      </c>
      <c r="G8" s="10">
        <f>IFERROR(IF('Captura Junio'!D14=0,"",'Captura Junio'!AQ14),"")</f>
        <v>0.94000000000000006</v>
      </c>
      <c r="H8" s="10">
        <f>IFERROR(IF('Captura Julio'!D14=0,"",'Captura Julio'!AQ14),"")</f>
        <v>0.79</v>
      </c>
      <c r="I8" s="10">
        <f>IFERROR(IF('Captura Agosto'!D14=0,"",'Captura Agosto'!AQ14),"")</f>
        <v>0.64826000000000006</v>
      </c>
      <c r="J8" s="10">
        <f>IFERROR(IF('Captura Septiembre'!D14=0,"",'Captura Septiembre'!AQ14),"")</f>
        <v>0.76500999999999997</v>
      </c>
      <c r="K8" s="10" t="str">
        <f>IFERROR(IF('Captura Octubre'!D14=0,"",'Captura Octubre'!AQ14),"")</f>
        <v/>
      </c>
      <c r="L8" s="10" t="str">
        <f>IFERROR(IF('Captura Noviembre'!D14=0,"",'Captura Noviembre'!AQ14),"")</f>
        <v/>
      </c>
      <c r="M8" s="10" t="str">
        <f>IFERROR(IF('Captura Diciembre'!D14=0,"",'Captura Diciembre'!AQ14),"")</f>
        <v/>
      </c>
      <c r="N8" s="102">
        <f t="shared" si="0"/>
        <v>0.88591888888888903</v>
      </c>
    </row>
    <row r="9" spans="1:14" ht="14.25" customHeight="1" x14ac:dyDescent="0.35">
      <c r="A9" s="101" t="s">
        <v>117</v>
      </c>
      <c r="B9" s="10">
        <f>IFERROR(IF('Captura Enero'!D11=0,"",'Captura Enero'!AQ11),"")</f>
        <v>0.84000000000000008</v>
      </c>
      <c r="C9" s="10">
        <f>IFERROR(IF('Captura Febrero'!D11=0,"",'Captura Febrero'!AQ11),"")</f>
        <v>1</v>
      </c>
      <c r="D9" s="10">
        <f>IFERROR(IF('Captura Marzo'!D11=0,"",'Captura Marzo'!AQ11),"")</f>
        <v>0.97500000000000009</v>
      </c>
      <c r="E9" s="10">
        <f>IFERROR(IF('Captura Abril'!D11=0,"",'Captura Abril'!AQ11),"")</f>
        <v>1</v>
      </c>
      <c r="F9" s="10">
        <f>IFERROR(IF('Captura Mayo'!D11=0,"",'Captura Mayo'!AQ11),"")</f>
        <v>1</v>
      </c>
      <c r="G9" s="10">
        <f>IFERROR(IF('Captura Junio'!D11=0,"",'Captura Junio'!AQ11),"")</f>
        <v>0.85</v>
      </c>
      <c r="H9" s="10">
        <f>IFERROR(IF('Captura Julio'!D11=0,"",'Captura Julio'!AQ11),"")</f>
        <v>0.94000000000000006</v>
      </c>
      <c r="I9" s="10">
        <f>IFERROR(IF('Captura Agosto'!D11=0,"",'Captura Agosto'!AQ11),"")</f>
        <v>0.79</v>
      </c>
      <c r="J9" s="10">
        <f>IFERROR(IF('Captura Septiembre'!D11=0,"",'Captura Septiembre'!AQ11),"")</f>
        <v>0.81770000000000009</v>
      </c>
      <c r="K9" s="10" t="str">
        <f>IFERROR(IF('Captura Octubre'!D11=0,"",'Captura Octubre'!AQ11),"")</f>
        <v/>
      </c>
      <c r="L9" s="10" t="str">
        <f>IFERROR(IF('Captura Noviembre'!D11=0,"",'Captura Noviembre'!AQ11),"")</f>
        <v/>
      </c>
      <c r="M9" s="10" t="str">
        <f>IFERROR(IF('Captura Diciembre'!D11=0,"",'Captura Diciembre'!AQ11),"")</f>
        <v/>
      </c>
      <c r="N9" s="102">
        <f t="shared" si="0"/>
        <v>0.91252222222222223</v>
      </c>
    </row>
    <row r="10" spans="1:14" ht="14.25" customHeight="1" x14ac:dyDescent="0.35">
      <c r="A10" s="101" t="s">
        <v>123</v>
      </c>
      <c r="B10" s="10">
        <f>IFERROR(IF('Captura Enero'!D13=0,"",'Captura Enero'!AQ13),"")</f>
        <v>0.99</v>
      </c>
      <c r="C10" s="10">
        <f>IFERROR(IF('Captura Febrero'!D13=0,"",'Captura Febrero'!AQ13),"")</f>
        <v>0.99</v>
      </c>
      <c r="D10" s="10">
        <f>IFERROR(IF('Captura Marzo'!D13=0,"",'Captura Marzo'!AQ13),"")</f>
        <v>0.99</v>
      </c>
      <c r="E10" s="10">
        <f>IFERROR(IF('Captura Abril'!D13=0,"",'Captura Abril'!AQ13),"")</f>
        <v>0.79</v>
      </c>
      <c r="F10" s="10">
        <f>IFERROR(IF('Captura Mayo'!D13=0,"",'Captura Mayo'!AQ13),"")</f>
        <v>0.64</v>
      </c>
      <c r="G10" s="10">
        <f>IFERROR(IF('Captura Junio'!D13=0,"",'Captura Junio'!AQ13),"")</f>
        <v>0.79</v>
      </c>
      <c r="H10" s="10">
        <f>IFERROR(IF('Captura Julio'!D13=0,"",'Captura Julio'!AQ13),"")</f>
        <v>0.64</v>
      </c>
      <c r="I10" s="10">
        <f>IFERROR(IF('Captura Agosto'!D13=0,"",'Captura Agosto'!AQ13),"")</f>
        <v>0.74768000000000001</v>
      </c>
      <c r="J10" s="10">
        <f>IFERROR(IF('Captura Septiembre'!D13=0,"",'Captura Septiembre'!AQ13),"")</f>
        <v>0.69623999999999997</v>
      </c>
      <c r="K10" s="10" t="str">
        <f>IFERROR(IF('Captura Octubre'!D13=0,"",'Captura Octubre'!AQ13),"")</f>
        <v/>
      </c>
      <c r="L10" s="10" t="str">
        <f>IFERROR(IF('Captura Noviembre'!D13=0,"",'Captura Noviembre'!AQ13),"")</f>
        <v/>
      </c>
      <c r="M10" s="10" t="str">
        <f>IFERROR(IF('Captura Diciembre'!D13=0,"",'Captura Diciembre'!AQ13),"")</f>
        <v/>
      </c>
      <c r="N10" s="102">
        <f t="shared" si="0"/>
        <v>0.80821333333333323</v>
      </c>
    </row>
    <row r="11" spans="1:14" ht="14.25" customHeight="1" x14ac:dyDescent="0.35">
      <c r="A11" s="101" t="s">
        <v>125</v>
      </c>
      <c r="B11" s="10">
        <f>IFERROR(IF('Captura Enero'!D10=0,"",'Captura Enero'!AQ10),"")</f>
        <v>0.95000000000000007</v>
      </c>
      <c r="C11" s="10">
        <f>IFERROR(IF('Captura Febrero'!D10=0,"",'Captura Febrero'!AQ10),"")</f>
        <v>0.84499999999999997</v>
      </c>
      <c r="D11" s="10">
        <f>IFERROR(IF('Captura Marzo'!D10=0,"",'Captura Marzo'!AQ10),"")</f>
        <v>1</v>
      </c>
      <c r="E11" s="10">
        <f>IFERROR(IF('Captura Abril'!D10=0,"",'Captura Abril'!AQ10),"")</f>
        <v>1</v>
      </c>
      <c r="F11" s="10">
        <f>IFERROR(IF('Captura Mayo'!D10=0,"",'Captura Mayo'!AQ10),"")</f>
        <v>0.99</v>
      </c>
      <c r="G11" s="10">
        <f>IFERROR(IF('Captura Junio'!D10=0,"",'Captura Junio'!AQ10),"")</f>
        <v>0.87000000000000011</v>
      </c>
      <c r="H11" s="10">
        <f>IFERROR(IF('Captura Julio'!D10=0,"",'Captura Julio'!AQ10),"")</f>
        <v>1</v>
      </c>
      <c r="I11" s="10">
        <f>IFERROR(IF('Captura Agosto'!D10=0,"",'Captura Agosto'!AQ10),"")</f>
        <v>1</v>
      </c>
      <c r="J11" s="10">
        <f>IFERROR(IF('Captura Septiembre'!D10=0,"",'Captura Septiembre'!AQ10),"")</f>
        <v>0.97300000000000009</v>
      </c>
      <c r="K11" s="10" t="str">
        <f>IFERROR(IF('Captura Octubre'!D10=0,"",'Captura Octubre'!AQ10),"")</f>
        <v/>
      </c>
      <c r="L11" s="10" t="str">
        <f>IFERROR(IF('Captura Noviembre'!D10=0,"",'Captura Noviembre'!AQ10),"")</f>
        <v/>
      </c>
      <c r="M11" s="10" t="str">
        <f>IFERROR(IF('Captura Diciembre'!D10=0,"",'Captura Diciembre'!AQ10),"")</f>
        <v/>
      </c>
      <c r="N11" s="102">
        <f t="shared" si="0"/>
        <v>0.95866666666666667</v>
      </c>
    </row>
    <row r="12" spans="1:14" ht="14.25" customHeight="1" x14ac:dyDescent="0.35">
      <c r="A12" s="101" t="s">
        <v>128</v>
      </c>
      <c r="B12" s="10">
        <f>IFERROR(IF('Captura Enero'!D9=0,"",'Captura Enero'!AQ9),"")</f>
        <v>1</v>
      </c>
      <c r="C12" s="10">
        <f>IFERROR(IF('Captura Febrero'!D9=0,"",'Captura Febrero'!AQ9),"")</f>
        <v>1</v>
      </c>
      <c r="D12" s="10">
        <f>IFERROR(IF('Captura Marzo'!D9=0,"",'Captura Marzo'!AQ9),"")</f>
        <v>0.98750000000000004</v>
      </c>
      <c r="E12" s="10">
        <f>IFERROR(IF('Captura Abril'!D9=0,"",'Captura Abril'!AQ9),"")</f>
        <v>0.99</v>
      </c>
      <c r="F12" s="10">
        <f>IFERROR(IF('Captura Mayo'!D9=0,"",'Captura Mayo'!AQ9),"")</f>
        <v>0.94000000000000006</v>
      </c>
      <c r="G12" s="10">
        <f>IFERROR(IF('Captura Junio'!D9=0,"",'Captura Junio'!AQ9),"")</f>
        <v>1</v>
      </c>
      <c r="H12" s="10">
        <f>IFERROR(IF('Captura Julio'!D9=0,"",'Captura Julio'!AQ9),"")</f>
        <v>1</v>
      </c>
      <c r="I12" s="10">
        <f>IFERROR(IF('Captura Agosto'!D9=0,"",'Captura Agosto'!AQ9),"")</f>
        <v>0.97195000000000009</v>
      </c>
      <c r="J12" s="10">
        <f>IFERROR(IF('Captura Septiembre'!D9=0,"",'Captura Septiembre'!AQ9),"")</f>
        <v>0.86675000000000013</v>
      </c>
      <c r="K12" s="10" t="str">
        <f>IFERROR(IF('Captura Octubre'!D9=0,"",'Captura Octubre'!AQ9),"")</f>
        <v/>
      </c>
      <c r="L12" s="10" t="str">
        <f>IFERROR(IF('Captura Noviembre'!D9=0,"",'Captura Noviembre'!AQ9),"")</f>
        <v/>
      </c>
      <c r="M12" s="10" t="str">
        <f>IFERROR(IF('Captura Diciembre'!D9=0,"",'Captura Diciembre'!AQ9),"")</f>
        <v/>
      </c>
      <c r="N12" s="102">
        <f t="shared" si="0"/>
        <v>0.97291111111111106</v>
      </c>
    </row>
    <row r="13" spans="1:14" ht="14.25" customHeight="1" x14ac:dyDescent="0.35">
      <c r="A13" s="101" t="s">
        <v>130</v>
      </c>
      <c r="B13" s="10">
        <f>IFERROR(IF('Captura Enero'!D12=0,"",'Captura Enero'!AQ12),"")</f>
        <v>0.79</v>
      </c>
      <c r="C13" s="10">
        <f>IFERROR(IF('Captura Febrero'!D12=0,"",'Captura Febrero'!AQ12),"")</f>
        <v>0.9</v>
      </c>
      <c r="D13" s="10">
        <f>IFERROR(IF('Captura Marzo'!D12=0,"",'Captura Marzo'!AQ12),"")</f>
        <v>0.95</v>
      </c>
      <c r="E13" s="10">
        <f>IFERROR(IF('Captura Abril'!D12=0,"",'Captura Abril'!AQ12),"")</f>
        <v>1</v>
      </c>
      <c r="F13" s="10">
        <f>IFERROR(IF('Captura Mayo'!D12=0,"",'Captura Mayo'!AQ12),"")</f>
        <v>0.7</v>
      </c>
      <c r="G13" s="10">
        <f>IFERROR(IF('Captura Junio'!D12=0,"",'Captura Junio'!AQ12),"")</f>
        <v>0.70130434782608708</v>
      </c>
      <c r="H13" s="10">
        <f>IFERROR(IF('Captura Julio'!D12=0,"",'Captura Julio'!AQ12),"")</f>
        <v>0.9</v>
      </c>
      <c r="I13" s="10">
        <f>IFERROR(IF('Captura Agosto'!D12=0,"",'Captura Agosto'!AQ12),"")</f>
        <v>0.92700000000000005</v>
      </c>
      <c r="J13" s="10">
        <f>IFERROR(IF('Captura Septiembre'!D12=0,"",'Captura Septiembre'!AQ12),"")</f>
        <v>1</v>
      </c>
      <c r="K13" s="10" t="str">
        <f>IFERROR(IF('Captura Octubre'!D12=0,"",'Captura Octubre'!AQ12),"")</f>
        <v/>
      </c>
      <c r="L13" s="10" t="str">
        <f>IFERROR(IF('Captura Noviembre'!D12=0,"",'Captura Noviembre'!AQ12),"")</f>
        <v/>
      </c>
      <c r="M13" s="10" t="str">
        <f>IFERROR(IF('Captura Diciembre'!D12=0,"",'Captura Diciembre'!AQ12),"")</f>
        <v/>
      </c>
      <c r="N13" s="102">
        <f t="shared" si="0"/>
        <v>0.87425603864734314</v>
      </c>
    </row>
    <row r="14" spans="1:14" ht="14.25" customHeight="1" x14ac:dyDescent="0.35">
      <c r="A14" s="101" t="s">
        <v>133</v>
      </c>
      <c r="B14" s="10">
        <f>IFERROR(IF('Captura Enero'!D15=0,"",'Captura Enero'!AQ15),"")</f>
        <v>0.94000000000000006</v>
      </c>
      <c r="C14" s="10">
        <f>IFERROR(IF('Captura Febrero'!D15=0,"",'Captura Febrero'!AQ15),"")</f>
        <v>0.98473684210526335</v>
      </c>
      <c r="D14" s="10">
        <f>IFERROR(IF('Captura Marzo'!D15=0,"",'Captura Marzo'!AQ15),"")</f>
        <v>1</v>
      </c>
      <c r="E14" s="10">
        <f>IFERROR(IF('Captura Abril'!D15=0,"",'Captura Abril'!AQ15),"")</f>
        <v>0.87000000000000011</v>
      </c>
      <c r="F14" s="10">
        <f>IFERROR(IF('Captura Mayo'!D15=0,"",'Captura Mayo'!AQ15),"")</f>
        <v>0.69000000000000006</v>
      </c>
      <c r="G14" s="10">
        <f>IFERROR(IF('Captura Junio'!D15=0,"",'Captura Junio'!AQ15),"")</f>
        <v>0.74444444444444446</v>
      </c>
      <c r="H14" s="10">
        <f>IFERROR(IF('Captura Julio'!D15=0,"",'Captura Julio'!AQ15),"")</f>
        <v>0.75</v>
      </c>
      <c r="I14" s="10">
        <f>IFERROR(IF('Captura Agosto'!D15=0,"",'Captura Agosto'!AQ15),"")</f>
        <v>0.69375000000000009</v>
      </c>
      <c r="J14" s="10">
        <f>IFERROR(IF('Captura Septiembre'!D15=0,"",'Captura Septiembre'!AQ15),"")</f>
        <v>0.77855000000000008</v>
      </c>
      <c r="K14" s="10" t="str">
        <f>IFERROR(IF('Captura Octubre'!D15=0,"",'Captura Octubre'!AQ15),"")</f>
        <v/>
      </c>
      <c r="L14" s="10" t="str">
        <f>IFERROR(IF('Captura Noviembre'!D15=0,"",'Captura Noviembre'!AQ15),"")</f>
        <v/>
      </c>
      <c r="M14" s="10" t="str">
        <f>IFERROR(IF('Captura Diciembre'!D15=0,"",'Captura Diciembre'!AQ15),"")</f>
        <v/>
      </c>
      <c r="N14" s="102">
        <f t="shared" si="0"/>
        <v>0.82794236517218989</v>
      </c>
    </row>
    <row r="15" spans="1:14" ht="14.25" customHeight="1" x14ac:dyDescent="0.35">
      <c r="A15" s="101" t="s">
        <v>135</v>
      </c>
      <c r="B15" s="10">
        <f>IFERROR(IF('Captura Enero'!D7=0,"",'Captura Enero'!AQ7),"")</f>
        <v>0.94000000000000006</v>
      </c>
      <c r="C15" s="10">
        <f>IFERROR(IF('Captura Febrero'!D7=0,"",'Captura Febrero'!AQ7),"")</f>
        <v>1</v>
      </c>
      <c r="D15" s="10">
        <f>IFERROR(IF('Captura Marzo'!D7=0,"",'Captura Marzo'!AQ7),"")</f>
        <v>1</v>
      </c>
      <c r="E15" s="10">
        <f>IFERROR(IF('Captura Abril'!D7=0,"",'Captura Abril'!AQ7),"")</f>
        <v>0.71000000000000008</v>
      </c>
      <c r="F15" s="10">
        <f>IFERROR(IF('Captura Mayo'!D7=0,"",'Captura Mayo'!AQ7),"")</f>
        <v>0.69000000000000006</v>
      </c>
      <c r="G15" s="10">
        <f>IFERROR(IF('Captura Junio'!D7=0,"",'Captura Junio'!AQ7),"")</f>
        <v>0.64000000000000012</v>
      </c>
      <c r="H15" s="10">
        <f>IFERROR(IF('Captura Julio'!D7=0,"",'Captura Julio'!AQ7),"")</f>
        <v>0.64</v>
      </c>
      <c r="I15" s="10">
        <f>IFERROR(IF('Captura Agosto'!D7=0,"",'Captura Agosto'!AQ7),"")</f>
        <v>0.64449999999999996</v>
      </c>
      <c r="J15" s="10">
        <f>IFERROR(IF('Captura Septiembre'!D7=0,"",'Captura Septiembre'!AQ7),"")</f>
        <v>0.55049999999999999</v>
      </c>
      <c r="K15" s="10" t="str">
        <f>IFERROR(IF('Captura Octubre'!D7=0,"",'Captura Octubre'!AQ7),"")</f>
        <v/>
      </c>
      <c r="L15" s="10" t="str">
        <f>IFERROR(IF('Captura Noviembre'!D7=0,"",'Captura Noviembre'!AQ7),"")</f>
        <v/>
      </c>
      <c r="M15" s="10" t="str">
        <f>IFERROR(IF('Captura Diciembre'!D7=0,"",'Captura Diciembre'!AQ7),"")</f>
        <v/>
      </c>
      <c r="N15" s="102">
        <f t="shared" si="0"/>
        <v>0.75722222222222213</v>
      </c>
    </row>
    <row r="16" spans="1:14" ht="14.25" customHeight="1" x14ac:dyDescent="0.35">
      <c r="A16" s="101" t="s">
        <v>138</v>
      </c>
      <c r="B16" s="10">
        <f>IFERROR(IF('Captura Enero'!D20=0,"",'Captura Enero'!AQ20),"")</f>
        <v>0.95</v>
      </c>
      <c r="C16" s="10">
        <f>IFERROR(IF('Captura Febrero'!D20=0,"",'Captura Febrero'!AQ20),"")</f>
        <v>1</v>
      </c>
      <c r="D16" s="10">
        <f>IFERROR(IF('Captura Marzo'!D20=0,"",'Captura Marzo'!AQ20),"")</f>
        <v>1</v>
      </c>
      <c r="E16" s="10">
        <f>IFERROR(IF('Captura Abril'!D20=0,"",'Captura Abril'!AQ20),"")</f>
        <v>1</v>
      </c>
      <c r="F16" s="10">
        <f>IFERROR(IF('Captura Mayo'!D20=0,"",'Captura Mayo'!AQ20),"")</f>
        <v>0.95</v>
      </c>
      <c r="G16" s="10">
        <f>IFERROR(IF('Captura Junio'!D20=0,"",'Captura Junio'!AQ20),"")</f>
        <v>0.71000000000000008</v>
      </c>
      <c r="H16" s="10">
        <f>IFERROR(IF('Captura Julio'!D20=0,"",'Captura Julio'!AQ20),"")</f>
        <v>1</v>
      </c>
      <c r="I16" s="10">
        <f>IFERROR(IF('Captura Agosto'!D20=0,"",'Captura Agosto'!AQ20),"")</f>
        <v>0.93700000000000006</v>
      </c>
      <c r="J16" s="10">
        <f>IFERROR(IF('Captura Septiembre'!D20=0,"",'Captura Septiembre'!AQ20),"")</f>
        <v>0.93059999999999987</v>
      </c>
      <c r="K16" s="10" t="str">
        <f>IFERROR(IF('Captura Octubre'!D20=0,"",'Captura Octubre'!AQ20),"")</f>
        <v/>
      </c>
      <c r="L16" s="10" t="str">
        <f>IFERROR(IF('Captura Noviembre'!D20=0,"",'Captura Noviembre'!AQ20),"")</f>
        <v/>
      </c>
      <c r="M16" s="10" t="str">
        <f>IFERROR(IF('Captura Diciembre'!D20=0,"",'Captura Diciembre'!AQ20),"")</f>
        <v/>
      </c>
      <c r="N16" s="102">
        <f t="shared" si="0"/>
        <v>0.94195555555555566</v>
      </c>
    </row>
    <row r="17" spans="1:14" ht="14.25" customHeight="1" x14ac:dyDescent="0.35">
      <c r="A17" s="101" t="s">
        <v>140</v>
      </c>
      <c r="B17" s="10">
        <f>IFERROR(IF('Captura Enero'!D18=0,"",'Captura Enero'!AQ18),"")</f>
        <v>0.84000000000000008</v>
      </c>
      <c r="C17" s="10">
        <f>IFERROR(IF('Captura Febrero'!D18=0,"",'Captura Febrero'!AQ18),"")</f>
        <v>0.81058823529411772</v>
      </c>
      <c r="D17" s="10">
        <f>IFERROR(IF('Captura Marzo'!D18=0,"",'Captura Marzo'!AQ18),"")</f>
        <v>1</v>
      </c>
      <c r="E17" s="10">
        <f>IFERROR(IF('Captura Abril'!D18=0,"",'Captura Abril'!AQ18),"")</f>
        <v>1</v>
      </c>
      <c r="F17" s="10">
        <f>IFERROR(IF('Captura Mayo'!D18=0,"",'Captura Mayo'!AQ18),"")</f>
        <v>1</v>
      </c>
      <c r="G17" s="10">
        <f>IFERROR(IF('Captura Junio'!D18=0,"",'Captura Junio'!AQ18),"")</f>
        <v>0.91000000000000014</v>
      </c>
      <c r="H17" s="10">
        <f>IFERROR(IF('Captura Julio'!D18=0,"",'Captura Julio'!AQ18),"")</f>
        <v>0.97666666666666679</v>
      </c>
      <c r="I17" s="10">
        <f>IFERROR(IF('Captura Agosto'!D18=0,"",'Captura Agosto'!AQ18),"")</f>
        <v>0.9951000000000001</v>
      </c>
      <c r="J17" s="10">
        <f>IFERROR(IF('Captura Septiembre'!D18=0,"",'Captura Septiembre'!AQ18),"")</f>
        <v>0.91290000000000004</v>
      </c>
      <c r="K17" s="10" t="str">
        <f>IFERROR(IF('Captura Octubre'!D18=0,"",'Captura Octubre'!AQ18),"")</f>
        <v/>
      </c>
      <c r="L17" s="10" t="str">
        <f>IFERROR(IF('Captura Noviembre'!D18=0,"",'Captura Noviembre'!AQ18),"")</f>
        <v/>
      </c>
      <c r="M17" s="10" t="str">
        <f>IFERROR(IF('Captura Diciembre'!D18=0,"",'Captura Diciembre'!AQ18),"")</f>
        <v/>
      </c>
      <c r="N17" s="102">
        <f t="shared" si="0"/>
        <v>0.93836165577342046</v>
      </c>
    </row>
    <row r="18" spans="1:14" ht="14.25" customHeight="1" x14ac:dyDescent="0.35">
      <c r="A18" s="101" t="s">
        <v>142</v>
      </c>
      <c r="B18" s="10">
        <f>IFERROR(IF('Captura Enero'!D19=0,"",'Captura Enero'!AQ19),"")</f>
        <v>1</v>
      </c>
      <c r="C18" s="10">
        <f>IFERROR(IF('Captura Febrero'!D19=0,"",'Captura Febrero'!AQ19),"")</f>
        <v>1</v>
      </c>
      <c r="D18" s="10">
        <f>IFERROR(IF('Captura Marzo'!D19=0,"",'Captura Marzo'!AQ19),"")</f>
        <v>1</v>
      </c>
      <c r="E18" s="10">
        <f>IFERROR(IF('Captura Abril'!D19=0,"",'Captura Abril'!AQ19),"")</f>
        <v>1</v>
      </c>
      <c r="F18" s="10">
        <f>IFERROR(IF('Captura Mayo'!D19=0,"",'Captura Mayo'!AQ19),"")</f>
        <v>0.84000000000000008</v>
      </c>
      <c r="G18" s="10">
        <f>IFERROR(IF('Captura Junio'!D19=0,"",'Captura Junio'!AQ19),"")</f>
        <v>0.71500000000000008</v>
      </c>
      <c r="H18" s="10">
        <f>IFERROR(IF('Captura Julio'!D19=0,"",'Captura Julio'!AQ19),"")</f>
        <v>0.73750000000000004</v>
      </c>
      <c r="I18" s="10">
        <f>IFERROR(IF('Captura Agosto'!D19=0,"",'Captura Agosto'!AQ19),"")</f>
        <v>0.97124999999999995</v>
      </c>
      <c r="J18" s="10">
        <f>IFERROR(IF('Captura Septiembre'!D19=0,"",'Captura Septiembre'!AQ19),"")</f>
        <v>0.86125000000000018</v>
      </c>
      <c r="K18" s="10" t="str">
        <f>IFERROR(IF('Captura Octubre'!D19=0,"",'Captura Octubre'!AQ19),"")</f>
        <v/>
      </c>
      <c r="L18" s="10" t="str">
        <f>IFERROR(IF('Captura Noviembre'!D19=0,"",'Captura Noviembre'!AQ19),"")</f>
        <v/>
      </c>
      <c r="M18" s="10" t="str">
        <f>IFERROR(IF('Captura Diciembre'!D19=0,"",'Captura Diciembre'!AQ19),"")</f>
        <v/>
      </c>
      <c r="N18" s="102">
        <f t="shared" si="0"/>
        <v>0.90277777777777779</v>
      </c>
    </row>
    <row r="19" spans="1:14" ht="18" customHeight="1" x14ac:dyDescent="0.35">
      <c r="A19" s="103" t="s">
        <v>298</v>
      </c>
      <c r="B19" s="104">
        <f t="shared" ref="B19:M19" si="1">IFERROR(AVERAGE(B4:B18),"")</f>
        <v>0.93297435897435887</v>
      </c>
      <c r="C19" s="104">
        <f t="shared" si="1"/>
        <v>0.95725976706472082</v>
      </c>
      <c r="D19" s="104">
        <f t="shared" si="1"/>
        <v>0.99283333333333335</v>
      </c>
      <c r="E19" s="104">
        <f t="shared" si="1"/>
        <v>0.93466666666666665</v>
      </c>
      <c r="F19" s="104">
        <f t="shared" si="1"/>
        <v>0.87933333333333319</v>
      </c>
      <c r="G19" s="104">
        <f t="shared" si="1"/>
        <v>0.83357372900851179</v>
      </c>
      <c r="H19" s="104">
        <f t="shared" si="1"/>
        <v>0.88027777777777783</v>
      </c>
      <c r="I19" s="104">
        <f t="shared" si="1"/>
        <v>0.86230933333333337</v>
      </c>
      <c r="J19" s="104">
        <f t="shared" si="1"/>
        <v>0.83891666666666675</v>
      </c>
      <c r="K19" s="104" t="str">
        <f t="shared" si="1"/>
        <v/>
      </c>
      <c r="L19" s="104" t="str">
        <f t="shared" si="1"/>
        <v/>
      </c>
      <c r="M19" s="104" t="str">
        <f t="shared" si="1"/>
        <v/>
      </c>
      <c r="N19" s="105">
        <f>AVERAGE(B19:H19)</f>
        <v>0.91584556659410032</v>
      </c>
    </row>
    <row r="20" spans="1:14" ht="14.25" customHeight="1" x14ac:dyDescent="0.35">
      <c r="A20" s="152" t="s">
        <v>22</v>
      </c>
      <c r="B20" s="152"/>
      <c r="C20" s="152"/>
      <c r="D20" s="152"/>
      <c r="E20" s="152"/>
      <c r="F20" s="152"/>
      <c r="G20" s="152"/>
      <c r="H20" s="152"/>
      <c r="I20" s="152"/>
      <c r="J20" s="152"/>
      <c r="K20" s="152"/>
      <c r="L20" s="152"/>
      <c r="M20" s="152"/>
    </row>
  </sheetData>
  <mergeCells count="2">
    <mergeCell ref="A1:N1"/>
    <mergeCell ref="A20:M20"/>
  </mergeCells>
  <pageMargins left="0.75" right="0.75" top="1" bottom="1" header="0.511811023622047" footer="0.511811023622047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00B050"/>
  </sheetPr>
  <dimension ref="A1:O24"/>
  <sheetViews>
    <sheetView zoomScale="85" zoomScaleNormal="85" workbookViewId="0">
      <selection activeCell="K44" sqref="K44"/>
    </sheetView>
  </sheetViews>
  <sheetFormatPr baseColWidth="10" defaultColWidth="10.6328125" defaultRowHeight="14.5" x14ac:dyDescent="0.35"/>
  <cols>
    <col min="1" max="1" width="24.08984375" customWidth="1"/>
    <col min="10" max="10" width="16.81640625" bestFit="1" customWidth="1"/>
    <col min="12" max="12" width="16.36328125" bestFit="1" customWidth="1"/>
  </cols>
  <sheetData>
    <row r="1" spans="1:15" ht="22.5" customHeight="1" x14ac:dyDescent="0.35">
      <c r="A1" s="151" t="s">
        <v>285</v>
      </c>
      <c r="B1" s="151"/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</row>
    <row r="3" spans="1:15" ht="42" customHeight="1" x14ac:dyDescent="0.35">
      <c r="A3" s="99" t="s">
        <v>48</v>
      </c>
      <c r="B3" s="7" t="s">
        <v>286</v>
      </c>
      <c r="C3" s="7" t="s">
        <v>287</v>
      </c>
      <c r="D3" s="7" t="s">
        <v>288</v>
      </c>
      <c r="E3" s="7" t="s">
        <v>289</v>
      </c>
      <c r="F3" s="7" t="s">
        <v>290</v>
      </c>
      <c r="G3" s="7" t="s">
        <v>291</v>
      </c>
      <c r="H3" s="7" t="s">
        <v>292</v>
      </c>
      <c r="I3" s="7" t="s">
        <v>26</v>
      </c>
      <c r="J3" s="7" t="s">
        <v>293</v>
      </c>
      <c r="K3" s="7" t="s">
        <v>294</v>
      </c>
      <c r="L3" s="7" t="s">
        <v>295</v>
      </c>
      <c r="M3" s="7" t="s">
        <v>296</v>
      </c>
      <c r="N3" s="100" t="s">
        <v>297</v>
      </c>
    </row>
    <row r="4" spans="1:15" ht="14.25" customHeight="1" x14ac:dyDescent="0.35">
      <c r="A4" s="101" t="s">
        <v>98</v>
      </c>
      <c r="B4" s="10">
        <f>IFERROR(IF('Captura Enero'!D8=0,"",'Captura Enero'!AQ8),"")</f>
        <v>1</v>
      </c>
      <c r="C4" s="10">
        <f>IFERROR(IF('Captura Febrero'!D8=0,"",'Captura Febrero'!AQ8),"")</f>
        <v>1</v>
      </c>
      <c r="D4" s="10">
        <f>IFERROR(IF('Captura Marzo'!D8=0,"",'Captura Marzo'!AQ8),"")</f>
        <v>1</v>
      </c>
      <c r="E4" s="10">
        <f>IFERROR(IF('Captura Abril'!D8=0,"",'Captura Abril'!AQ8),"")</f>
        <v>1</v>
      </c>
      <c r="F4" s="10">
        <f>IFERROR(IF('Captura Mayo'!D8=0,"",'Captura Mayo'!AQ8),"")</f>
        <v>1</v>
      </c>
      <c r="G4" s="10">
        <f>IFERROR(IF('Captura Junio'!D8=0,"",'Captura Junio'!AQ8),"")</f>
        <v>1</v>
      </c>
      <c r="H4" s="10">
        <f>IFERROR(IF('Captura Julio'!D8=0,"",'Captura Julio'!AQ8),"")</f>
        <v>1</v>
      </c>
      <c r="I4" s="10">
        <f>IFERROR(IF('Captura Agosto'!D8=0,"",'Captura Agosto'!AQ8),"")</f>
        <v>0.97525000000000006</v>
      </c>
      <c r="J4" s="10">
        <f>IFERROR(IF('Captura Septiembre'!D8=0,"",'Captura Septiembre'!AQ8),"")</f>
        <v>1</v>
      </c>
      <c r="K4" s="10" t="str">
        <f>IFERROR(IF('Captura Octubre'!D8=0,"",'Captura Octubre'!AQ8),"")</f>
        <v/>
      </c>
      <c r="L4" s="10" t="str">
        <f>IFERROR(IF('Captura Noviembre'!D8=0,"",'Captura Noviembre'!AQ8),"")</f>
        <v/>
      </c>
      <c r="M4" s="10" t="str">
        <f>IFERROR(IF('Captura Diciembre'!D8=0,"",'Captura Diciembre'!AQ8),"")</f>
        <v/>
      </c>
      <c r="N4" s="102">
        <f t="shared" ref="N4:N18" si="0">IFERROR(AVERAGE(B4:M4),"")</f>
        <v>0.99724999999999986</v>
      </c>
      <c r="O4" s="106"/>
    </row>
    <row r="5" spans="1:15" ht="14.25" customHeight="1" x14ac:dyDescent="0.35">
      <c r="A5" s="101" t="s">
        <v>128</v>
      </c>
      <c r="B5" s="10">
        <f>IFERROR(IF('Captura Enero'!D9=0,"",'Captura Enero'!AQ9),"")</f>
        <v>1</v>
      </c>
      <c r="C5" s="10">
        <f>IFERROR(IF('Captura Febrero'!D9=0,"",'Captura Febrero'!AQ9),"")</f>
        <v>1</v>
      </c>
      <c r="D5" s="10">
        <f>IFERROR(IF('Captura Marzo'!D9=0,"",'Captura Marzo'!AQ9),"")</f>
        <v>0.98750000000000004</v>
      </c>
      <c r="E5" s="10">
        <f>IFERROR(IF('Captura Abril'!D9=0,"",'Captura Abril'!AQ9),"")</f>
        <v>0.99</v>
      </c>
      <c r="F5" s="10">
        <f>IFERROR(IF('Captura Mayo'!D9=0,"",'Captura Mayo'!AQ9),"")</f>
        <v>0.94000000000000006</v>
      </c>
      <c r="G5" s="10">
        <f>IFERROR(IF('Captura Junio'!D9=0,"",'Captura Junio'!AQ9),"")</f>
        <v>1</v>
      </c>
      <c r="H5" s="10">
        <f>IFERROR(IF('Captura Julio'!D9=0,"",'Captura Julio'!AQ9),"")</f>
        <v>1</v>
      </c>
      <c r="I5" s="10">
        <f>IFERROR(IF('Captura Agosto'!D9=0,"",'Captura Agosto'!AQ9),"")</f>
        <v>0.97195000000000009</v>
      </c>
      <c r="J5" s="10">
        <f>IFERROR(IF('Captura Septiembre'!D9=0,"",'Captura Septiembre'!AQ9),"")</f>
        <v>0.86675000000000013</v>
      </c>
      <c r="K5" s="10" t="str">
        <f>IFERROR(IF('Captura Octubre'!D9=0,"",'Captura Octubre'!AQ9),"")</f>
        <v/>
      </c>
      <c r="L5" s="10" t="str">
        <f>IFERROR(IF('Captura Noviembre'!D9=0,"",'Captura Noviembre'!AQ9),"")</f>
        <v/>
      </c>
      <c r="M5" s="10" t="str">
        <f>IFERROR(IF('Captura Diciembre'!D9=0,"",'Captura Diciembre'!AQ9),"")</f>
        <v/>
      </c>
      <c r="N5" s="102">
        <f t="shared" si="0"/>
        <v>0.97291111111111106</v>
      </c>
      <c r="O5" s="106"/>
    </row>
    <row r="6" spans="1:15" ht="14.25" customHeight="1" x14ac:dyDescent="0.35">
      <c r="A6" s="101" t="s">
        <v>106</v>
      </c>
      <c r="B6" s="10">
        <f>IFERROR(IF('Captura Enero'!D16=0,"",'Captura Enero'!AQ16),"")</f>
        <v>0.9</v>
      </c>
      <c r="C6" s="10">
        <f>IFERROR(IF('Captura Febrero'!D16=0,"",'Captura Febrero'!AQ16),"")</f>
        <v>0.91428571428571437</v>
      </c>
      <c r="D6" s="10">
        <f>IFERROR(IF('Captura Marzo'!D16=0,"",'Captura Marzo'!AQ16),"")</f>
        <v>1</v>
      </c>
      <c r="E6" s="10">
        <f>IFERROR(IF('Captura Abril'!D16=0,"",'Captura Abril'!AQ16),"")</f>
        <v>0.96000000000000008</v>
      </c>
      <c r="F6" s="10">
        <f>IFERROR(IF('Captura Mayo'!D16=0,"",'Captura Mayo'!AQ16),"")</f>
        <v>1</v>
      </c>
      <c r="G6" s="10">
        <f>IFERROR(IF('Captura Junio'!D16=0,"",'Captura Junio'!AQ16),"")</f>
        <v>1</v>
      </c>
      <c r="H6" s="10">
        <f>IFERROR(IF('Captura Julio'!D16=0,"",'Captura Julio'!AQ16),"")</f>
        <v>1</v>
      </c>
      <c r="I6" s="10">
        <f>IFERROR(IF('Captura Agosto'!D16=0,"",'Captura Agosto'!AQ16),"")</f>
        <v>1</v>
      </c>
      <c r="J6" s="10">
        <f>IFERROR(IF('Captura Septiembre'!D16=0,"",'Captura Septiembre'!AQ16),"")</f>
        <v>0.91835</v>
      </c>
      <c r="K6" s="10" t="str">
        <f>IFERROR(IF('Captura Octubre'!D16=0,"",'Captura Octubre'!AQ16),"")</f>
        <v/>
      </c>
      <c r="L6" s="10" t="str">
        <f>IFERROR(IF('Captura Noviembre'!D16=0,"",'Captura Noviembre'!AQ16),"")</f>
        <v/>
      </c>
      <c r="M6" s="10" t="str">
        <f>IFERROR(IF('Captura Diciembre'!D16=0,"",'Captura Diciembre'!AQ16),"")</f>
        <v/>
      </c>
      <c r="N6" s="102">
        <f t="shared" si="0"/>
        <v>0.96584841269841271</v>
      </c>
      <c r="O6" s="106"/>
    </row>
    <row r="7" spans="1:15" ht="14.25" customHeight="1" x14ac:dyDescent="0.35">
      <c r="A7" s="101" t="s">
        <v>103</v>
      </c>
      <c r="B7" s="10">
        <f>IFERROR(IF('Captura Enero'!D6=0,"",'Captura Enero'!AQ6),"")</f>
        <v>1</v>
      </c>
      <c r="C7" s="10">
        <f>IFERROR(IF('Captura Febrero'!D6=0,"",'Captura Febrero'!AQ6),"")</f>
        <v>1</v>
      </c>
      <c r="D7" s="10">
        <f>IFERROR(IF('Captura Marzo'!D6=0,"",'Captura Marzo'!AQ6),"")</f>
        <v>1</v>
      </c>
      <c r="E7" s="10">
        <f>IFERROR(IF('Captura Abril'!D6=0,"",'Captura Abril'!AQ6),"")</f>
        <v>0.96000000000000008</v>
      </c>
      <c r="F7" s="10">
        <f>IFERROR(IF('Captura Mayo'!D6=0,"",'Captura Mayo'!AQ6),"")</f>
        <v>0.96000000000000008</v>
      </c>
      <c r="G7" s="10">
        <f>IFERROR(IF('Captura Junio'!D6=0,"",'Captura Junio'!AQ6),"")</f>
        <v>0.84000000000000008</v>
      </c>
      <c r="H7" s="10">
        <f>IFERROR(IF('Captura Julio'!D6=0,"",'Captura Julio'!AQ6),"")</f>
        <v>1</v>
      </c>
      <c r="I7" s="10">
        <f>IFERROR(IF('Captura Agosto'!D6=0,"",'Captura Agosto'!AQ6),"")</f>
        <v>0.92995000000000005</v>
      </c>
      <c r="J7" s="10">
        <f>IFERROR(IF('Captura Septiembre'!D6=0,"",'Captura Septiembre'!AQ6),"")</f>
        <v>0.89475000000000016</v>
      </c>
      <c r="K7" s="10" t="str">
        <f>IFERROR(IF('Captura Octubre'!D6=0,"",'Captura Octubre'!AQ6),"")</f>
        <v/>
      </c>
      <c r="L7" s="10" t="str">
        <f>IFERROR(IF('Captura Noviembre'!D6=0,"",'Captura Noviembre'!AQ6),"")</f>
        <v/>
      </c>
      <c r="M7" s="10" t="str">
        <f>IFERROR(IF('Captura Diciembre'!D6=0,"",'Captura Diciembre'!AQ6),"")</f>
        <v/>
      </c>
      <c r="N7" s="102">
        <f t="shared" si="0"/>
        <v>0.95385555555555557</v>
      </c>
      <c r="O7" s="106"/>
    </row>
    <row r="8" spans="1:15" ht="14.25" customHeight="1" x14ac:dyDescent="0.35">
      <c r="A8" s="101" t="s">
        <v>125</v>
      </c>
      <c r="B8" s="10">
        <f>IFERROR(IF('Captura Enero'!D10=0,"",'Captura Enero'!AQ10),"")</f>
        <v>0.95000000000000007</v>
      </c>
      <c r="C8" s="10">
        <f>IFERROR(IF('Captura Febrero'!D10=0,"",'Captura Febrero'!AQ10),"")</f>
        <v>0.84499999999999997</v>
      </c>
      <c r="D8" s="10">
        <f>IFERROR(IF('Captura Marzo'!D10=0,"",'Captura Marzo'!AQ10),"")</f>
        <v>1</v>
      </c>
      <c r="E8" s="10">
        <f>IFERROR(IF('Captura Abril'!D10=0,"",'Captura Abril'!AQ10),"")</f>
        <v>1</v>
      </c>
      <c r="F8" s="10">
        <f>IFERROR(IF('Captura Mayo'!D10=0,"",'Captura Mayo'!AQ10),"")</f>
        <v>0.99</v>
      </c>
      <c r="G8" s="10">
        <f>IFERROR(IF('Captura Junio'!D10=0,"",'Captura Junio'!AQ10),"")</f>
        <v>0.87000000000000011</v>
      </c>
      <c r="H8" s="10">
        <f>IFERROR(IF('Captura Julio'!D10=0,"",'Captura Julio'!AQ10),"")</f>
        <v>1</v>
      </c>
      <c r="I8" s="10">
        <f>IFERROR(IF('Captura Agosto'!D10=0,"",'Captura Agosto'!AQ10),"")</f>
        <v>1</v>
      </c>
      <c r="J8" s="10">
        <f>IFERROR(IF('Captura Septiembre'!D10=0,"",'Captura Septiembre'!AQ10),"")</f>
        <v>0.97300000000000009</v>
      </c>
      <c r="K8" s="10" t="str">
        <f>IFERROR(IF('Captura Octubre'!D10=0,"",'Captura Octubre'!AQ10),"")</f>
        <v/>
      </c>
      <c r="L8" s="10" t="str">
        <f>IFERROR(IF('Captura Noviembre'!D10=0,"",'Captura Noviembre'!AQ10),"")</f>
        <v/>
      </c>
      <c r="M8" s="10" t="str">
        <f>IFERROR(IF('Captura Diciembre'!D10=0,"",'Captura Diciembre'!AQ10),"")</f>
        <v/>
      </c>
      <c r="N8" s="102">
        <f t="shared" si="0"/>
        <v>0.95866666666666667</v>
      </c>
      <c r="O8" s="106"/>
    </row>
    <row r="9" spans="1:15" ht="14.25" customHeight="1" x14ac:dyDescent="0.35">
      <c r="A9" s="101" t="s">
        <v>138</v>
      </c>
      <c r="B9" s="10">
        <f>IFERROR(IF('Captura Enero'!D20=0,"",'Captura Enero'!AQ20),"")</f>
        <v>0.95</v>
      </c>
      <c r="C9" s="10">
        <f>IFERROR(IF('Captura Febrero'!D20=0,"",'Captura Febrero'!AQ20),"")</f>
        <v>1</v>
      </c>
      <c r="D9" s="10">
        <f>IFERROR(IF('Captura Marzo'!D20=0,"",'Captura Marzo'!AQ20),"")</f>
        <v>1</v>
      </c>
      <c r="E9" s="10">
        <f>IFERROR(IF('Captura Abril'!D20=0,"",'Captura Abril'!AQ20),"")</f>
        <v>1</v>
      </c>
      <c r="F9" s="10">
        <f>IFERROR(IF('Captura Mayo'!D20=0,"",'Captura Mayo'!AQ20),"")</f>
        <v>0.95</v>
      </c>
      <c r="G9" s="10">
        <f>IFERROR(IF('Captura Junio'!D20=0,"",'Captura Junio'!AQ20),"")</f>
        <v>0.71000000000000008</v>
      </c>
      <c r="H9" s="10">
        <f>IFERROR(IF('Captura Julio'!D20=0,"",'Captura Julio'!AQ20),"")</f>
        <v>1</v>
      </c>
      <c r="I9" s="10">
        <f>IFERROR(IF('Captura Agosto'!D20=0,"",'Captura Agosto'!AQ20),"")</f>
        <v>0.93700000000000006</v>
      </c>
      <c r="J9" s="10">
        <f>IFERROR(IF('Captura Septiembre'!D20=0,"",'Captura Septiembre'!AQ20),"")</f>
        <v>0.93059999999999987</v>
      </c>
      <c r="K9" s="10" t="str">
        <f>IFERROR(IF('Captura Octubre'!D20=0,"",'Captura Octubre'!AQ20),"")</f>
        <v/>
      </c>
      <c r="L9" s="10" t="str">
        <f>IFERROR(IF('Captura Noviembre'!D20=0,"",'Captura Noviembre'!AQ20),"")</f>
        <v/>
      </c>
      <c r="M9" s="10" t="str">
        <f>IFERROR(IF('Captura Diciembre'!D20=0,"",'Captura Diciembre'!AQ20),"")</f>
        <v/>
      </c>
      <c r="N9" s="102">
        <f t="shared" si="0"/>
        <v>0.94195555555555566</v>
      </c>
      <c r="O9" s="106"/>
    </row>
    <row r="10" spans="1:15" ht="14.25" customHeight="1" x14ac:dyDescent="0.35">
      <c r="A10" s="101" t="s">
        <v>140</v>
      </c>
      <c r="B10" s="10">
        <f>IFERROR(IF('Captura Enero'!D18=0,"",'Captura Enero'!AQ18),"")</f>
        <v>0.84000000000000008</v>
      </c>
      <c r="C10" s="10">
        <f>IFERROR(IF('Captura Febrero'!D18=0,"",'Captura Febrero'!AQ18),"")</f>
        <v>0.81058823529411772</v>
      </c>
      <c r="D10" s="10">
        <f>IFERROR(IF('Captura Marzo'!D18=0,"",'Captura Marzo'!AQ18),"")</f>
        <v>1</v>
      </c>
      <c r="E10" s="10">
        <f>IFERROR(IF('Captura Abril'!D18=0,"",'Captura Abril'!AQ18),"")</f>
        <v>1</v>
      </c>
      <c r="F10" s="10">
        <f>IFERROR(IF('Captura Mayo'!D18=0,"",'Captura Mayo'!AQ18),"")</f>
        <v>1</v>
      </c>
      <c r="G10" s="10">
        <f>IFERROR(IF('Captura Junio'!D18=0,"",'Captura Junio'!AQ18),"")</f>
        <v>0.91000000000000014</v>
      </c>
      <c r="H10" s="10">
        <f>IFERROR(IF('Captura Julio'!D18=0,"",'Captura Julio'!AQ18),"")</f>
        <v>0.97666666666666679</v>
      </c>
      <c r="I10" s="10">
        <f>IFERROR(IF('Captura Agosto'!D18=0,"",'Captura Agosto'!AQ18),"")</f>
        <v>0.9951000000000001</v>
      </c>
      <c r="J10" s="10">
        <f>IFERROR(IF('Captura Septiembre'!D18=0,"",'Captura Septiembre'!AQ18),"")</f>
        <v>0.91290000000000004</v>
      </c>
      <c r="K10" s="10" t="str">
        <f>IFERROR(IF('Captura Octubre'!D18=0,"",'Captura Octubre'!AQ18),"")</f>
        <v/>
      </c>
      <c r="L10" s="10" t="str">
        <f>IFERROR(IF('Captura Noviembre'!D18=0,"",'Captura Noviembre'!AQ18),"")</f>
        <v/>
      </c>
      <c r="M10" s="10" t="str">
        <f>IFERROR(IF('Captura Diciembre'!D18=0,"",'Captura Diciembre'!AQ18),"")</f>
        <v/>
      </c>
      <c r="N10" s="102">
        <f t="shared" si="0"/>
        <v>0.93836165577342046</v>
      </c>
      <c r="O10" s="106"/>
    </row>
    <row r="11" spans="1:15" ht="14.25" customHeight="1" x14ac:dyDescent="0.35">
      <c r="A11" s="101" t="s">
        <v>117</v>
      </c>
      <c r="B11" s="10">
        <f>IFERROR(IF('Captura Enero'!D11=0,"",'Captura Enero'!AQ11),"")</f>
        <v>0.84000000000000008</v>
      </c>
      <c r="C11" s="10">
        <f>IFERROR(IF('Captura Febrero'!D11=0,"",'Captura Febrero'!AQ11),"")</f>
        <v>1</v>
      </c>
      <c r="D11" s="10">
        <f>IFERROR(IF('Captura Marzo'!D11=0,"",'Captura Marzo'!AQ11),"")</f>
        <v>0.97500000000000009</v>
      </c>
      <c r="E11" s="10">
        <f>IFERROR(IF('Captura Abril'!D11=0,"",'Captura Abril'!AQ11),"")</f>
        <v>1</v>
      </c>
      <c r="F11" s="10">
        <f>IFERROR(IF('Captura Mayo'!D11=0,"",'Captura Mayo'!AQ11),"")</f>
        <v>1</v>
      </c>
      <c r="G11" s="10">
        <f>IFERROR(IF('Captura Junio'!D11=0,"",'Captura Junio'!AQ11),"")</f>
        <v>0.85</v>
      </c>
      <c r="H11" s="10">
        <f>IFERROR(IF('Captura Julio'!D11=0,"",'Captura Julio'!AQ11),"")</f>
        <v>0.94000000000000006</v>
      </c>
      <c r="I11" s="10">
        <f>IFERROR(IF('Captura Agosto'!D11=0,"",'Captura Agosto'!AQ11),"")</f>
        <v>0.79</v>
      </c>
      <c r="J11" s="10">
        <f>IFERROR(IF('Captura Septiembre'!D11=0,"",'Captura Septiembre'!AQ11),"")</f>
        <v>0.81770000000000009</v>
      </c>
      <c r="K11" s="10" t="str">
        <f>IFERROR(IF('Captura Octubre'!D11=0,"",'Captura Octubre'!AQ11),"")</f>
        <v/>
      </c>
      <c r="L11" s="10" t="str">
        <f>IFERROR(IF('Captura Noviembre'!D11=0,"",'Captura Noviembre'!AQ11),"")</f>
        <v/>
      </c>
      <c r="M11" s="10" t="str">
        <f>IFERROR(IF('Captura Diciembre'!D11=0,"",'Captura Diciembre'!AQ11),"")</f>
        <v/>
      </c>
      <c r="N11" s="102">
        <f t="shared" si="0"/>
        <v>0.91252222222222223</v>
      </c>
      <c r="O11" s="106"/>
    </row>
    <row r="12" spans="1:15" ht="14.25" customHeight="1" x14ac:dyDescent="0.35">
      <c r="A12" s="101" t="s">
        <v>142</v>
      </c>
      <c r="B12" s="10">
        <f>IFERROR(IF('Captura Enero'!D19=0,"",'Captura Enero'!AQ19),"")</f>
        <v>1</v>
      </c>
      <c r="C12" s="10">
        <f>IFERROR(IF('Captura Febrero'!D19=0,"",'Captura Febrero'!AQ19),"")</f>
        <v>1</v>
      </c>
      <c r="D12" s="10">
        <f>IFERROR(IF('Captura Marzo'!D19=0,"",'Captura Marzo'!AQ19),"")</f>
        <v>1</v>
      </c>
      <c r="E12" s="10">
        <f>IFERROR(IF('Captura Abril'!D19=0,"",'Captura Abril'!AQ19),"")</f>
        <v>1</v>
      </c>
      <c r="F12" s="10">
        <f>IFERROR(IF('Captura Mayo'!D19=0,"",'Captura Mayo'!AQ19),"")</f>
        <v>0.84000000000000008</v>
      </c>
      <c r="G12" s="10">
        <f>IFERROR(IF('Captura Junio'!D19=0,"",'Captura Junio'!AQ19),"")</f>
        <v>0.71500000000000008</v>
      </c>
      <c r="H12" s="10">
        <f>IFERROR(IF('Captura Julio'!D19=0,"",'Captura Julio'!AQ19),"")</f>
        <v>0.73750000000000004</v>
      </c>
      <c r="I12" s="10">
        <f>IFERROR(IF('Captura Agosto'!D19=0,"",'Captura Agosto'!AQ19),"")</f>
        <v>0.97124999999999995</v>
      </c>
      <c r="J12" s="10">
        <f>IFERROR(IF('Captura Septiembre'!D19=0,"",'Captura Septiembre'!AQ19),"")</f>
        <v>0.86125000000000018</v>
      </c>
      <c r="K12" s="10" t="str">
        <f>IFERROR(IF('Captura Octubre'!D19=0,"",'Captura Octubre'!AQ19),"")</f>
        <v/>
      </c>
      <c r="L12" s="10" t="str">
        <f>IFERROR(IF('Captura Noviembre'!D19=0,"",'Captura Noviembre'!AQ19),"")</f>
        <v/>
      </c>
      <c r="M12" s="10" t="str">
        <f>IFERROR(IF('Captura Diciembre'!D19=0,"",'Captura Diciembre'!AQ19),"")</f>
        <v/>
      </c>
      <c r="N12" s="102">
        <f t="shared" si="0"/>
        <v>0.90277777777777779</v>
      </c>
      <c r="O12" s="106"/>
    </row>
    <row r="13" spans="1:15" ht="14.25" customHeight="1" x14ac:dyDescent="0.35">
      <c r="A13" s="101" t="s">
        <v>113</v>
      </c>
      <c r="B13" s="10">
        <f>IFERROR(IF('Captura Enero'!D14=0,"",'Captura Enero'!AQ14),"")</f>
        <v>0.99</v>
      </c>
      <c r="C13" s="10">
        <f>IFERROR(IF('Captura Febrero'!D14=0,"",'Captura Febrero'!AQ14),"")</f>
        <v>0.95</v>
      </c>
      <c r="D13" s="10">
        <f>IFERROR(IF('Captura Marzo'!D14=0,"",'Captura Marzo'!AQ14),"")</f>
        <v>0.99</v>
      </c>
      <c r="E13" s="10">
        <f>IFERROR(IF('Captura Abril'!D14=0,"",'Captura Abril'!AQ14),"")</f>
        <v>1</v>
      </c>
      <c r="F13" s="10">
        <f>IFERROR(IF('Captura Mayo'!D14=0,"",'Captura Mayo'!AQ14),"")</f>
        <v>0.9</v>
      </c>
      <c r="G13" s="10">
        <f>IFERROR(IF('Captura Junio'!D14=0,"",'Captura Junio'!AQ14),"")</f>
        <v>0.94000000000000006</v>
      </c>
      <c r="H13" s="10">
        <f>IFERROR(IF('Captura Julio'!D14=0,"",'Captura Julio'!AQ14),"")</f>
        <v>0.79</v>
      </c>
      <c r="I13" s="10">
        <f>IFERROR(IF('Captura Agosto'!D14=0,"",'Captura Agosto'!AQ14),"")</f>
        <v>0.64826000000000006</v>
      </c>
      <c r="J13" s="10">
        <f>IFERROR(IF('Captura Septiembre'!D14=0,"",'Captura Septiembre'!AQ14),"")</f>
        <v>0.76500999999999997</v>
      </c>
      <c r="K13" s="10" t="str">
        <f>IFERROR(IF('Captura Octubre'!D14=0,"",'Captura Octubre'!AQ14),"")</f>
        <v/>
      </c>
      <c r="L13" s="10" t="str">
        <f>IFERROR(IF('Captura Noviembre'!D14=0,"",'Captura Noviembre'!AQ14),"")</f>
        <v/>
      </c>
      <c r="M13" s="10" t="str">
        <f>IFERROR(IF('Captura Diciembre'!D14=0,"",'Captura Diciembre'!AQ14),"")</f>
        <v/>
      </c>
      <c r="N13" s="102">
        <f t="shared" si="0"/>
        <v>0.88591888888888903</v>
      </c>
      <c r="O13" s="106"/>
    </row>
    <row r="14" spans="1:15" ht="14.25" customHeight="1" x14ac:dyDescent="0.35">
      <c r="A14" s="101" t="s">
        <v>130</v>
      </c>
      <c r="B14" s="10">
        <f>IFERROR(IF('Captura Enero'!D12=0,"",'Captura Enero'!AQ12),"")</f>
        <v>0.79</v>
      </c>
      <c r="C14" s="10">
        <f>IFERROR(IF('Captura Febrero'!D12=0,"",'Captura Febrero'!AQ12),"")</f>
        <v>0.9</v>
      </c>
      <c r="D14" s="10">
        <f>IFERROR(IF('Captura Marzo'!D12=0,"",'Captura Marzo'!AQ12),"")</f>
        <v>0.95</v>
      </c>
      <c r="E14" s="10">
        <f>IFERROR(IF('Captura Abril'!D12=0,"",'Captura Abril'!AQ12),"")</f>
        <v>1</v>
      </c>
      <c r="F14" s="10">
        <f>IFERROR(IF('Captura Mayo'!D12=0,"",'Captura Mayo'!AQ12),"")</f>
        <v>0.7</v>
      </c>
      <c r="G14" s="10">
        <f>IFERROR(IF('Captura Junio'!D12=0,"",'Captura Junio'!AQ12),"")</f>
        <v>0.70130434782608708</v>
      </c>
      <c r="H14" s="10">
        <f>IFERROR(IF('Captura Julio'!D12=0,"",'Captura Julio'!AQ12),"")</f>
        <v>0.9</v>
      </c>
      <c r="I14" s="10">
        <f>IFERROR(IF('Captura Agosto'!D12=0,"",'Captura Agosto'!AQ12),"")</f>
        <v>0.92700000000000005</v>
      </c>
      <c r="J14" s="10">
        <f>IFERROR(IF('Captura Septiembre'!D12=0,"",'Captura Septiembre'!AQ12),"")</f>
        <v>1</v>
      </c>
      <c r="K14" s="10" t="str">
        <f>IFERROR(IF('Captura Octubre'!D12=0,"",'Captura Octubre'!AQ12),"")</f>
        <v/>
      </c>
      <c r="L14" s="10" t="str">
        <f>IFERROR(IF('Captura Noviembre'!D12=0,"",'Captura Noviembre'!AQ12),"")</f>
        <v/>
      </c>
      <c r="M14" s="10" t="str">
        <f>IFERROR(IF('Captura Diciembre'!D12=0,"",'Captura Diciembre'!AQ12),"")</f>
        <v/>
      </c>
      <c r="N14" s="102">
        <f t="shared" si="0"/>
        <v>0.87425603864734314</v>
      </c>
      <c r="O14" s="106"/>
    </row>
    <row r="15" spans="1:15" ht="14.25" customHeight="1" x14ac:dyDescent="0.35">
      <c r="A15" s="101" t="s">
        <v>109</v>
      </c>
      <c r="B15" s="10">
        <f>IFERROR(IF('Captura Enero'!D17=0,"",'Captura Enero'!AQ17),"")</f>
        <v>0.86461538461538467</v>
      </c>
      <c r="C15" s="10">
        <f>IFERROR(IF('Captura Febrero'!D17=0,"",'Captura Febrero'!AQ17),"")</f>
        <v>0.96428571428571441</v>
      </c>
      <c r="D15" s="10">
        <f>IFERROR(IF('Captura Marzo'!D17=0,"",'Captura Marzo'!AQ17),"")</f>
        <v>1</v>
      </c>
      <c r="E15" s="10">
        <f>IFERROR(IF('Captura Abril'!D17=0,"",'Captura Abril'!AQ17),"")</f>
        <v>0.74</v>
      </c>
      <c r="F15" s="10">
        <f>IFERROR(IF('Captura Mayo'!D17=0,"",'Captura Mayo'!AQ17),"")</f>
        <v>0.89</v>
      </c>
      <c r="G15" s="10">
        <f>IFERROR(IF('Captura Junio'!D17=0,"",'Captura Junio'!AQ17),"")</f>
        <v>0.79285714285714293</v>
      </c>
      <c r="H15" s="10">
        <f>IFERROR(IF('Captura Julio'!D17=0,"",'Captura Julio'!AQ17),"")</f>
        <v>0.83</v>
      </c>
      <c r="I15" s="10">
        <f>IFERROR(IF('Captura Agosto'!D17=0,"",'Captura Agosto'!AQ17),"")</f>
        <v>0.70295000000000007</v>
      </c>
      <c r="J15" s="10">
        <f>IFERROR(IF('Captura Septiembre'!D17=0,"",'Captura Septiembre'!AQ17),"")</f>
        <v>0.61814999999999998</v>
      </c>
      <c r="K15" s="10" t="str">
        <f>IFERROR(IF('Captura Octubre'!D17=0,"",'Captura Octubre'!AQ17),"")</f>
        <v/>
      </c>
      <c r="L15" s="10" t="str">
        <f>IFERROR(IF('Captura Noviembre'!D17=0,"",'Captura Noviembre'!AQ17),"")</f>
        <v/>
      </c>
      <c r="M15" s="10" t="str">
        <f>IFERROR(IF('Captura Diciembre'!D17=0,"",'Captura Diciembre'!AQ17),"")</f>
        <v/>
      </c>
      <c r="N15" s="102">
        <f t="shared" si="0"/>
        <v>0.82253980463980469</v>
      </c>
      <c r="O15" s="106"/>
    </row>
    <row r="16" spans="1:15" ht="14.25" customHeight="1" x14ac:dyDescent="0.35">
      <c r="A16" s="101" t="s">
        <v>133</v>
      </c>
      <c r="B16" s="10">
        <f>IFERROR(IF('Captura Enero'!D15=0,"",'Captura Enero'!AQ15),"")</f>
        <v>0.94000000000000006</v>
      </c>
      <c r="C16" s="10">
        <f>IFERROR(IF('Captura Febrero'!D15=0,"",'Captura Febrero'!AQ15),"")</f>
        <v>0.98473684210526335</v>
      </c>
      <c r="D16" s="10">
        <f>IFERROR(IF('Captura Marzo'!D15=0,"",'Captura Marzo'!AQ15),"")</f>
        <v>1</v>
      </c>
      <c r="E16" s="10">
        <f>IFERROR(IF('Captura Abril'!D15=0,"",'Captura Abril'!AQ15),"")</f>
        <v>0.87000000000000011</v>
      </c>
      <c r="F16" s="10">
        <f>IFERROR(IF('Captura Mayo'!D15=0,"",'Captura Mayo'!AQ15),"")</f>
        <v>0.69000000000000006</v>
      </c>
      <c r="G16" s="10">
        <f>IFERROR(IF('Captura Junio'!D15=0,"",'Captura Junio'!AQ15),"")</f>
        <v>0.74444444444444446</v>
      </c>
      <c r="H16" s="10">
        <f>IFERROR(IF('Captura Julio'!D15=0,"",'Captura Julio'!AQ15),"")</f>
        <v>0.75</v>
      </c>
      <c r="I16" s="10">
        <f>IFERROR(IF('Captura Agosto'!D15=0,"",'Captura Agosto'!AQ15),"")</f>
        <v>0.69375000000000009</v>
      </c>
      <c r="J16" s="10">
        <f>IFERROR(IF('Captura Septiembre'!D15=0,"",'Captura Septiembre'!AQ15),"")</f>
        <v>0.77855000000000008</v>
      </c>
      <c r="K16" s="10" t="str">
        <f>IFERROR(IF('Captura Octubre'!D15=0,"",'Captura Octubre'!AQ15),"")</f>
        <v/>
      </c>
      <c r="L16" s="10" t="str">
        <f>IFERROR(IF('Captura Noviembre'!D15=0,"",'Captura Noviembre'!AQ15),"")</f>
        <v/>
      </c>
      <c r="M16" s="10" t="str">
        <f>IFERROR(IF('Captura Diciembre'!D15=0,"",'Captura Diciembre'!AQ15),"")</f>
        <v/>
      </c>
      <c r="N16" s="102">
        <f t="shared" si="0"/>
        <v>0.82794236517218989</v>
      </c>
      <c r="O16" s="106"/>
    </row>
    <row r="17" spans="1:15" ht="14.25" customHeight="1" x14ac:dyDescent="0.35">
      <c r="A17" s="101" t="s">
        <v>123</v>
      </c>
      <c r="B17" s="10">
        <f>IFERROR(IF('Captura Enero'!D13=0,"",'Captura Enero'!AQ13),"")</f>
        <v>0.99</v>
      </c>
      <c r="C17" s="10">
        <f>IFERROR(IF('Captura Febrero'!D13=0,"",'Captura Febrero'!AQ13),"")</f>
        <v>0.99</v>
      </c>
      <c r="D17" s="10">
        <f>IFERROR(IF('Captura Marzo'!D13=0,"",'Captura Marzo'!AQ13),"")</f>
        <v>0.99</v>
      </c>
      <c r="E17" s="10">
        <f>IFERROR(IF('Captura Abril'!D13=0,"",'Captura Abril'!AQ13),"")</f>
        <v>0.79</v>
      </c>
      <c r="F17" s="10">
        <f>IFERROR(IF('Captura Mayo'!D13=0,"",'Captura Mayo'!AQ13),"")</f>
        <v>0.64</v>
      </c>
      <c r="G17" s="10">
        <f>IFERROR(IF('Captura Junio'!D13=0,"",'Captura Junio'!AQ13),"")</f>
        <v>0.79</v>
      </c>
      <c r="H17" s="10">
        <f>IFERROR(IF('Captura Julio'!D13=0,"",'Captura Julio'!AQ13),"")</f>
        <v>0.64</v>
      </c>
      <c r="I17" s="10">
        <f>IFERROR(IF('Captura Agosto'!D13=0,"",'Captura Agosto'!AQ13),"")</f>
        <v>0.74768000000000001</v>
      </c>
      <c r="J17" s="10">
        <f>IFERROR(IF('Captura Septiembre'!D13=0,"",'Captura Septiembre'!AQ13),"")</f>
        <v>0.69623999999999997</v>
      </c>
      <c r="K17" s="10" t="str">
        <f>IFERROR(IF('Captura Octubre'!D13=0,"",'Captura Octubre'!AQ13),"")</f>
        <v/>
      </c>
      <c r="L17" s="10" t="str">
        <f>IFERROR(IF('Captura Noviembre'!D13=0,"",'Captura Noviembre'!AQ13),"")</f>
        <v/>
      </c>
      <c r="M17" s="10" t="str">
        <f>IFERROR(IF('Captura Diciembre'!D13=0,"",'Captura Diciembre'!AQ13),"")</f>
        <v/>
      </c>
      <c r="N17" s="102">
        <f t="shared" si="0"/>
        <v>0.80821333333333323</v>
      </c>
      <c r="O17" s="106"/>
    </row>
    <row r="18" spans="1:15" ht="14.25" customHeight="1" x14ac:dyDescent="0.35">
      <c r="A18" s="101" t="s">
        <v>135</v>
      </c>
      <c r="B18" s="10">
        <f>IFERROR(IF('Captura Enero'!D7=0,"",'Captura Enero'!AQ7),"")</f>
        <v>0.94000000000000006</v>
      </c>
      <c r="C18" s="10">
        <f>IFERROR(IF('Captura Febrero'!D7=0,"",'Captura Febrero'!AQ7),"")</f>
        <v>1</v>
      </c>
      <c r="D18" s="10">
        <f>IFERROR(IF('Captura Marzo'!D7=0,"",'Captura Marzo'!AQ7),"")</f>
        <v>1</v>
      </c>
      <c r="E18" s="10">
        <f>IFERROR(IF('Captura Abril'!D7=0,"",'Captura Abril'!AQ7),"")</f>
        <v>0.71000000000000008</v>
      </c>
      <c r="F18" s="10">
        <f>IFERROR(IF('Captura Mayo'!D7=0,"",'Captura Mayo'!AQ7),"")</f>
        <v>0.69000000000000006</v>
      </c>
      <c r="G18" s="10">
        <f>IFERROR(IF('Captura Junio'!D7=0,"",'Captura Junio'!AQ7),"")</f>
        <v>0.64000000000000012</v>
      </c>
      <c r="H18" s="10">
        <f>IFERROR(IF('Captura Julio'!D7=0,"",'Captura Julio'!AQ7),"")</f>
        <v>0.64</v>
      </c>
      <c r="I18" s="10">
        <f>IFERROR(IF('Captura Agosto'!D7=0,"",'Captura Agosto'!AQ7),"")</f>
        <v>0.64449999999999996</v>
      </c>
      <c r="J18" s="10">
        <f>IFERROR(IF('Captura Septiembre'!D7=0,"",'Captura Septiembre'!AQ7),"")</f>
        <v>0.55049999999999999</v>
      </c>
      <c r="K18" s="10" t="str">
        <f>IFERROR(IF('Captura Octubre'!D7=0,"",'Captura Octubre'!AQ7),"")</f>
        <v/>
      </c>
      <c r="L18" s="10" t="str">
        <f>IFERROR(IF('Captura Noviembre'!D7=0,"",'Captura Noviembre'!AQ7),"")</f>
        <v/>
      </c>
      <c r="M18" s="10" t="str">
        <f>IFERROR(IF('Captura Diciembre'!D7=0,"",'Captura Diciembre'!AQ7),"")</f>
        <v/>
      </c>
      <c r="N18" s="102">
        <f t="shared" si="0"/>
        <v>0.75722222222222213</v>
      </c>
      <c r="O18" s="106"/>
    </row>
    <row r="19" spans="1:15" ht="18" customHeight="1" x14ac:dyDescent="0.35">
      <c r="A19" s="103" t="s">
        <v>298</v>
      </c>
      <c r="B19" s="104">
        <f t="shared" ref="B19:M19" si="1">IFERROR(AVERAGE(B4:B18),"")</f>
        <v>0.9329743589743591</v>
      </c>
      <c r="C19" s="104">
        <f t="shared" si="1"/>
        <v>0.9572597670647206</v>
      </c>
      <c r="D19" s="104">
        <f t="shared" si="1"/>
        <v>0.99283333333333335</v>
      </c>
      <c r="E19" s="104">
        <f t="shared" si="1"/>
        <v>0.93466666666666665</v>
      </c>
      <c r="F19" s="104">
        <f t="shared" si="1"/>
        <v>0.8793333333333333</v>
      </c>
      <c r="G19" s="104">
        <f t="shared" si="1"/>
        <v>0.83357372900851157</v>
      </c>
      <c r="H19" s="104">
        <f t="shared" si="1"/>
        <v>0.88027777777777794</v>
      </c>
      <c r="I19" s="104">
        <f t="shared" si="1"/>
        <v>0.86230933333333348</v>
      </c>
      <c r="J19" s="104">
        <f t="shared" si="1"/>
        <v>0.83891666666666653</v>
      </c>
      <c r="K19" s="104" t="str">
        <f t="shared" si="1"/>
        <v/>
      </c>
      <c r="L19" s="104" t="str">
        <f t="shared" si="1"/>
        <v/>
      </c>
      <c r="M19" s="104" t="str">
        <f t="shared" si="1"/>
        <v/>
      </c>
      <c r="N19" s="105">
        <f>AVERAGE(B19:H19)</f>
        <v>0.91584556659410032</v>
      </c>
    </row>
    <row r="24" spans="1:15" ht="14.25" customHeight="1" x14ac:dyDescent="0.35">
      <c r="M24" s="98"/>
    </row>
  </sheetData>
  <mergeCells count="1">
    <mergeCell ref="A1:N1"/>
  </mergeCells>
  <pageMargins left="0.7" right="0.7" top="0.75" bottom="0.75" header="0.511811023622047" footer="0.511811023622047"/>
  <pageSetup paperSize="9" orientation="portrait" horizontalDpi="300" verticalDpi="300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E33BA48D1B17740BD20DC3C1E7D6897" ma:contentTypeVersion="17" ma:contentTypeDescription="Create a new document." ma:contentTypeScope="" ma:versionID="c5918174441eb6b55e4531b53824222f">
  <xsd:schema xmlns:xsd="http://www.w3.org/2001/XMLSchema" xmlns:xs="http://www.w3.org/2001/XMLSchema" xmlns:p="http://schemas.microsoft.com/office/2006/metadata/properties" xmlns:ns2="fbb49d05-d3df-47ef-b263-f54790ad9dd3" xmlns:ns3="4bae7dba-0f75-4d38-a352-dd7a188b5c30" targetNamespace="http://schemas.microsoft.com/office/2006/metadata/properties" ma:root="true" ma:fieldsID="9432285c6019c8f9bf7f2f5b0ebbd793" ns2:_="" ns3:_="">
    <xsd:import namespace="fbb49d05-d3df-47ef-b263-f54790ad9dd3"/>
    <xsd:import namespace="4bae7dba-0f75-4d38-a352-dd7a188b5c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b49d05-d3df-47ef-b263-f54790ad9dd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101546eb-6c89-4d85-9347-36ceb32eb3b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ae7dba-0f75-4d38-a352-dd7a188b5c30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1dc30bec-998c-489f-bd61-9ad91e547014}" ma:internalName="TaxCatchAll" ma:showField="CatchAllData" ma:web="4bae7dba-0f75-4d38-a352-dd7a188b5c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bb49d05-d3df-47ef-b263-f54790ad9dd3">
      <Terms xmlns="http://schemas.microsoft.com/office/infopath/2007/PartnerControls"/>
    </lcf76f155ced4ddcb4097134ff3c332f>
    <TaxCatchAll xmlns="4bae7dba-0f75-4d38-a352-dd7a188b5c30" xsi:nil="true"/>
  </documentManagement>
</p:properties>
</file>

<file path=customXml/itemProps1.xml><?xml version="1.0" encoding="utf-8"?>
<ds:datastoreItem xmlns:ds="http://schemas.openxmlformats.org/officeDocument/2006/customXml" ds:itemID="{76AB9A25-5769-416B-8E9A-2215F01CC61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bb49d05-d3df-47ef-b263-f54790ad9dd3"/>
    <ds:schemaRef ds:uri="4bae7dba-0f75-4d38-a352-dd7a188b5c3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F89154A-65FC-4B0C-9F99-7590878B1EB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6EFD81E-D775-40C0-B455-ADBB6CF11754}">
  <ds:schemaRefs>
    <ds:schemaRef ds:uri="4bae7dba-0f75-4d38-a352-dd7a188b5c30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fbb49d05-d3df-47ef-b263-f54790ad9dd3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20</vt:i4>
      </vt:variant>
      <vt:variant>
        <vt:lpstr>Rangos con nombre</vt:lpstr>
      </vt:variant>
      <vt:variant>
        <vt:i4>1</vt:i4>
      </vt:variant>
    </vt:vector>
  </HeadingPairs>
  <TitlesOfParts>
    <vt:vector size="21" baseType="lpstr">
      <vt:lpstr>Portada</vt:lpstr>
      <vt:lpstr>Calculos</vt:lpstr>
      <vt:lpstr>Dashboard Ejecutivo</vt:lpstr>
      <vt:lpstr>Triángulo Accidentabilidad</vt:lpstr>
      <vt:lpstr>Parametros</vt:lpstr>
      <vt:lpstr>Captura Enero</vt:lpstr>
      <vt:lpstr>Captura Febrero</vt:lpstr>
      <vt:lpstr>Captura Marzo</vt:lpstr>
      <vt:lpstr>Captura Abril</vt:lpstr>
      <vt:lpstr>Captura Mayo</vt:lpstr>
      <vt:lpstr>Captura Junio</vt:lpstr>
      <vt:lpstr>Captura Julio</vt:lpstr>
      <vt:lpstr>Captura Agosto</vt:lpstr>
      <vt:lpstr>Captura Septiembre</vt:lpstr>
      <vt:lpstr>Captura Octubre</vt:lpstr>
      <vt:lpstr>Captura Noviembre</vt:lpstr>
      <vt:lpstr>Captura Diciembre</vt:lpstr>
      <vt:lpstr>Historico</vt:lpstr>
      <vt:lpstr>Acumulado 2026</vt:lpstr>
      <vt:lpstr>ACUMULADO - 2026</vt:lpstr>
      <vt:lpstr>'Dashboard Ejecutivo'!Área_de_impresión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German Estuardo Orozco Perez</cp:lastModifiedBy>
  <cp:revision>12</cp:revision>
  <dcterms:created xsi:type="dcterms:W3CDTF">2026-06-26T21:12:07Z</dcterms:created>
  <dcterms:modified xsi:type="dcterms:W3CDTF">2026-09-30T22:31:49Z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0x0101003E33BA48D1B17740BD20DC3C1E7D6897</vt:lpwstr>
  </property>
  <property fmtid="{D5CDD505-2E9C-101B-9397-08002B2CF9AE}" pid="3" name="MediaServiceImageTags">
    <vt:lpwstr/>
  </property>
</Properties>
</file>